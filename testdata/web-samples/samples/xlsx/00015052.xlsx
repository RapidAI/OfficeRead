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" yWindow="48" windowWidth="18996" windowHeight="871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Sheet1!$A$1:$AF$495</definedName>
    <definedName name="_xlnm.Print_Titles" localSheetId="0">Sheet1!$1:$8</definedName>
  </definedNames>
  <calcPr calcId="145621" calcOnSave="0"/>
</workbook>
</file>

<file path=xl/calcChain.xml><?xml version="1.0" encoding="utf-8"?>
<calcChain xmlns="http://schemas.openxmlformats.org/spreadsheetml/2006/main">
  <c r="O121" i="1" l="1"/>
  <c r="W153" i="1"/>
  <c r="AF489" i="1"/>
  <c r="AE489" i="1"/>
  <c r="AD489" i="1"/>
  <c r="AB489" i="1"/>
  <c r="AB490" i="1" s="1"/>
  <c r="AA489" i="1"/>
  <c r="AC489" i="1"/>
  <c r="Y489" i="1"/>
  <c r="X489" i="1"/>
  <c r="W489" i="1"/>
  <c r="AD479" i="1"/>
  <c r="AF480" i="1"/>
  <c r="AE480" i="1"/>
  <c r="AD480" i="1"/>
  <c r="AF479" i="1"/>
  <c r="AE479" i="1"/>
  <c r="AF475" i="1"/>
  <c r="AE475" i="1"/>
  <c r="AD475" i="1"/>
  <c r="AF473" i="1"/>
  <c r="AE473" i="1"/>
  <c r="AD473" i="1"/>
  <c r="AB480" i="1"/>
  <c r="AC480" i="1" s="1"/>
  <c r="AA480" i="1"/>
  <c r="AB479" i="1"/>
  <c r="AA479" i="1"/>
  <c r="AB475" i="1"/>
  <c r="AA475" i="1"/>
  <c r="AC475" i="1"/>
  <c r="AB473" i="1"/>
  <c r="AC473" i="1" s="1"/>
  <c r="AA473" i="1"/>
  <c r="Y480" i="1"/>
  <c r="X480" i="1"/>
  <c r="W480" i="1"/>
  <c r="Y479" i="1"/>
  <c r="X479" i="1"/>
  <c r="W479" i="1"/>
  <c r="Z479" i="1"/>
  <c r="Y475" i="1"/>
  <c r="X475" i="1"/>
  <c r="W475" i="1"/>
  <c r="Y473" i="1"/>
  <c r="X473" i="1"/>
  <c r="W473" i="1"/>
  <c r="Z473" i="1" s="1"/>
  <c r="AF451" i="1"/>
  <c r="AE451" i="1"/>
  <c r="AD451" i="1"/>
  <c r="AB451" i="1"/>
  <c r="AA451" i="1"/>
  <c r="Y451" i="1"/>
  <c r="X451" i="1"/>
  <c r="W451" i="1"/>
  <c r="AF450" i="1"/>
  <c r="AE450" i="1"/>
  <c r="AD450" i="1"/>
  <c r="AB450" i="1"/>
  <c r="AA450" i="1"/>
  <c r="Y450" i="1"/>
  <c r="X450" i="1"/>
  <c r="W450" i="1"/>
  <c r="Z450" i="1" s="1"/>
  <c r="X424" i="1"/>
  <c r="W424" i="1"/>
  <c r="AF391" i="1"/>
  <c r="AE391" i="1"/>
  <c r="AD391" i="1"/>
  <c r="AF390" i="1"/>
  <c r="AE390" i="1"/>
  <c r="AD390" i="1"/>
  <c r="AB391" i="1"/>
  <c r="AC391" i="1" s="1"/>
  <c r="AA391" i="1"/>
  <c r="AB390" i="1"/>
  <c r="AC390" i="1"/>
  <c r="AA390" i="1"/>
  <c r="Y391" i="1"/>
  <c r="X391" i="1"/>
  <c r="W391" i="1"/>
  <c r="Y390" i="1"/>
  <c r="Z390" i="1" s="1"/>
  <c r="X390" i="1"/>
  <c r="W390" i="1"/>
  <c r="Y334" i="1"/>
  <c r="X334" i="1"/>
  <c r="W334" i="1"/>
  <c r="AB334" i="1"/>
  <c r="AA334" i="1"/>
  <c r="AF334" i="1"/>
  <c r="AE334" i="1"/>
  <c r="AD334" i="1"/>
  <c r="AF332" i="1"/>
  <c r="AE332" i="1"/>
  <c r="AD332" i="1"/>
  <c r="AB332" i="1"/>
  <c r="AA332" i="1"/>
  <c r="AC332" i="1" s="1"/>
  <c r="Y332" i="1"/>
  <c r="Z332" i="1" s="1"/>
  <c r="X332" i="1"/>
  <c r="W332" i="1"/>
  <c r="AA231" i="1"/>
  <c r="AA230" i="1"/>
  <c r="AF188" i="1"/>
  <c r="AE188" i="1"/>
  <c r="AD188" i="1"/>
  <c r="AB188" i="1"/>
  <c r="AA188" i="1"/>
  <c r="Y188" i="1"/>
  <c r="X188" i="1"/>
  <c r="W188" i="1"/>
  <c r="AF153" i="1"/>
  <c r="AE153" i="1"/>
  <c r="AD153" i="1"/>
  <c r="AB153" i="1"/>
  <c r="AC153" i="1" s="1"/>
  <c r="AA153" i="1"/>
  <c r="Y153" i="1"/>
  <c r="X153" i="1"/>
  <c r="AF145" i="1"/>
  <c r="AE145" i="1"/>
  <c r="AD145" i="1"/>
  <c r="AB145" i="1"/>
  <c r="AA145" i="1"/>
  <c r="Y145" i="1"/>
  <c r="X145" i="1"/>
  <c r="W145" i="1"/>
  <c r="W488" i="1"/>
  <c r="W487" i="1"/>
  <c r="W486" i="1"/>
  <c r="W482" i="1"/>
  <c r="W481" i="1"/>
  <c r="W478" i="1"/>
  <c r="W477" i="1"/>
  <c r="Z477" i="1" s="1"/>
  <c r="W476" i="1"/>
  <c r="W474" i="1"/>
  <c r="W472" i="1"/>
  <c r="W471" i="1"/>
  <c r="W470" i="1"/>
  <c r="Z470" i="1" s="1"/>
  <c r="W469" i="1"/>
  <c r="W468" i="1"/>
  <c r="W467" i="1"/>
  <c r="Z467" i="1" s="1"/>
  <c r="W466" i="1"/>
  <c r="W465" i="1"/>
  <c r="W464" i="1"/>
  <c r="W463" i="1"/>
  <c r="W462" i="1"/>
  <c r="W461" i="1"/>
  <c r="W460" i="1"/>
  <c r="W459" i="1"/>
  <c r="Z459" i="1" s="1"/>
  <c r="W458" i="1"/>
  <c r="W457" i="1"/>
  <c r="W456" i="1"/>
  <c r="W455" i="1"/>
  <c r="W449" i="1"/>
  <c r="W448" i="1"/>
  <c r="W447" i="1"/>
  <c r="W446" i="1"/>
  <c r="Z446" i="1" s="1"/>
  <c r="W445" i="1"/>
  <c r="W444" i="1"/>
  <c r="W443" i="1"/>
  <c r="W442" i="1"/>
  <c r="W441" i="1"/>
  <c r="W440" i="1"/>
  <c r="W439" i="1"/>
  <c r="W438" i="1"/>
  <c r="Z438" i="1" s="1"/>
  <c r="W437" i="1"/>
  <c r="W436" i="1"/>
  <c r="W435" i="1"/>
  <c r="W434" i="1"/>
  <c r="W429" i="1"/>
  <c r="W428" i="1"/>
  <c r="W427" i="1"/>
  <c r="W426" i="1"/>
  <c r="Z426" i="1" s="1"/>
  <c r="W425" i="1"/>
  <c r="W423" i="1"/>
  <c r="W422" i="1"/>
  <c r="W421" i="1"/>
  <c r="W420" i="1"/>
  <c r="W419" i="1"/>
  <c r="W418" i="1"/>
  <c r="W417" i="1"/>
  <c r="Z417" i="1" s="1"/>
  <c r="W416" i="1"/>
  <c r="W415" i="1"/>
  <c r="Z415" i="1" s="1"/>
  <c r="W414" i="1"/>
  <c r="W410" i="1"/>
  <c r="W409" i="1"/>
  <c r="W408" i="1"/>
  <c r="W407" i="1"/>
  <c r="W405" i="1"/>
  <c r="Z405" i="1" s="1"/>
  <c r="W404" i="1"/>
  <c r="W403" i="1"/>
  <c r="W402" i="1"/>
  <c r="W401" i="1"/>
  <c r="W400" i="1"/>
  <c r="W399" i="1"/>
  <c r="W398" i="1"/>
  <c r="W397" i="1"/>
  <c r="W411" i="1" s="1"/>
  <c r="W396" i="1"/>
  <c r="W395" i="1"/>
  <c r="W389" i="1"/>
  <c r="W388" i="1"/>
  <c r="W387" i="1"/>
  <c r="Z387" i="1" s="1"/>
  <c r="W386" i="1"/>
  <c r="W385" i="1"/>
  <c r="W384" i="1"/>
  <c r="Z384" i="1" s="1"/>
  <c r="W383" i="1"/>
  <c r="W382" i="1"/>
  <c r="W380" i="1"/>
  <c r="W379" i="1"/>
  <c r="W378" i="1"/>
  <c r="W377" i="1"/>
  <c r="W376" i="1"/>
  <c r="W375" i="1"/>
  <c r="W374" i="1"/>
  <c r="W373" i="1"/>
  <c r="W372" i="1"/>
  <c r="W371" i="1"/>
  <c r="W370" i="1"/>
  <c r="W369" i="1"/>
  <c r="W368" i="1"/>
  <c r="W367" i="1"/>
  <c r="Z367" i="1" s="1"/>
  <c r="W366" i="1"/>
  <c r="W365" i="1"/>
  <c r="W364" i="1"/>
  <c r="W363" i="1"/>
  <c r="W362" i="1"/>
  <c r="W361" i="1"/>
  <c r="W355" i="1"/>
  <c r="W354" i="1"/>
  <c r="W356" i="1" s="1"/>
  <c r="W353" i="1"/>
  <c r="W352" i="1"/>
  <c r="W351" i="1"/>
  <c r="W350" i="1"/>
  <c r="W349" i="1"/>
  <c r="Z349" i="1" s="1"/>
  <c r="W345" i="1"/>
  <c r="W344" i="1"/>
  <c r="W343" i="1"/>
  <c r="Z343" i="1" s="1"/>
  <c r="W342" i="1"/>
  <c r="W341" i="1"/>
  <c r="W340" i="1"/>
  <c r="W339" i="1"/>
  <c r="W333" i="1"/>
  <c r="W331" i="1"/>
  <c r="W330" i="1"/>
  <c r="W329" i="1"/>
  <c r="W335" i="1" s="1"/>
  <c r="W328" i="1"/>
  <c r="W327" i="1"/>
  <c r="W326" i="1"/>
  <c r="W322" i="1"/>
  <c r="W321" i="1"/>
  <c r="W320" i="1"/>
  <c r="W319" i="1"/>
  <c r="W318" i="1"/>
  <c r="Z318" i="1" s="1"/>
  <c r="W317" i="1"/>
  <c r="W316" i="1"/>
  <c r="W315" i="1"/>
  <c r="W314" i="1"/>
  <c r="W313" i="1"/>
  <c r="Z313" i="1" s="1"/>
  <c r="W312" i="1"/>
  <c r="W311" i="1"/>
  <c r="W310" i="1"/>
  <c r="W306" i="1"/>
  <c r="W305" i="1"/>
  <c r="W304" i="1"/>
  <c r="W303" i="1"/>
  <c r="W302" i="1"/>
  <c r="Z302" i="1" s="1"/>
  <c r="W301" i="1"/>
  <c r="W300" i="1"/>
  <c r="Z300" i="1" s="1"/>
  <c r="W299" i="1"/>
  <c r="Z299" i="1" s="1"/>
  <c r="W298" i="1"/>
  <c r="W297" i="1"/>
  <c r="W296" i="1"/>
  <c r="W295" i="1"/>
  <c r="W294" i="1"/>
  <c r="W290" i="1"/>
  <c r="W289" i="1"/>
  <c r="Z289" i="1" s="1"/>
  <c r="W288" i="1"/>
  <c r="Z288" i="1" s="1"/>
  <c r="W287" i="1"/>
  <c r="W286" i="1"/>
  <c r="W285" i="1"/>
  <c r="W284" i="1"/>
  <c r="W283" i="1"/>
  <c r="W282" i="1"/>
  <c r="W281" i="1"/>
  <c r="Z281" i="1" s="1"/>
  <c r="W280" i="1"/>
  <c r="W279" i="1"/>
  <c r="W278" i="1"/>
  <c r="W273" i="1"/>
  <c r="W272" i="1"/>
  <c r="W268" i="1"/>
  <c r="W267" i="1"/>
  <c r="Z267" i="1"/>
  <c r="W266" i="1"/>
  <c r="W262" i="1"/>
  <c r="W261" i="1"/>
  <c r="W260" i="1"/>
  <c r="Z260" i="1"/>
  <c r="W255" i="1"/>
  <c r="W254" i="1"/>
  <c r="W253" i="1"/>
  <c r="Z253" i="1" s="1"/>
  <c r="W252" i="1"/>
  <c r="Z252" i="1" s="1"/>
  <c r="W251" i="1"/>
  <c r="W247" i="1"/>
  <c r="W246" i="1"/>
  <c r="W245" i="1"/>
  <c r="W244" i="1"/>
  <c r="W243" i="1"/>
  <c r="W239" i="1"/>
  <c r="Z239" i="1" s="1"/>
  <c r="W238" i="1"/>
  <c r="Z238" i="1" s="1"/>
  <c r="W237" i="1"/>
  <c r="W236" i="1"/>
  <c r="W235" i="1"/>
  <c r="W234" i="1"/>
  <c r="W233" i="1"/>
  <c r="W232" i="1"/>
  <c r="Z232" i="1" s="1"/>
  <c r="W231" i="1"/>
  <c r="Z231" i="1" s="1"/>
  <c r="W230" i="1"/>
  <c r="W229" i="1"/>
  <c r="W228" i="1"/>
  <c r="W227" i="1"/>
  <c r="W226" i="1"/>
  <c r="W225" i="1"/>
  <c r="W224" i="1"/>
  <c r="Z224" i="1" s="1"/>
  <c r="W223" i="1"/>
  <c r="Z223" i="1" s="1"/>
  <c r="Z240" i="1" s="1"/>
  <c r="W222" i="1"/>
  <c r="W221" i="1"/>
  <c r="W220" i="1"/>
  <c r="W219" i="1"/>
  <c r="W218" i="1"/>
  <c r="W217" i="1"/>
  <c r="W212" i="1"/>
  <c r="Z212" i="1" s="1"/>
  <c r="W211" i="1"/>
  <c r="W210" i="1"/>
  <c r="W209" i="1"/>
  <c r="W208" i="1"/>
  <c r="W204" i="1"/>
  <c r="W203" i="1"/>
  <c r="W202" i="1"/>
  <c r="W201" i="1"/>
  <c r="Z201" i="1" s="1"/>
  <c r="W200" i="1"/>
  <c r="W196" i="1"/>
  <c r="W195" i="1"/>
  <c r="W194" i="1"/>
  <c r="W193" i="1"/>
  <c r="W192" i="1"/>
  <c r="W186" i="1"/>
  <c r="W185" i="1"/>
  <c r="Z185" i="1" s="1"/>
  <c r="W184" i="1"/>
  <c r="W187" i="1" s="1"/>
  <c r="W183" i="1"/>
  <c r="W182" i="1"/>
  <c r="W181" i="1"/>
  <c r="W180" i="1"/>
  <c r="W179" i="1"/>
  <c r="Z179" i="1"/>
  <c r="W175" i="1"/>
  <c r="W174" i="1"/>
  <c r="W173" i="1"/>
  <c r="W172" i="1"/>
  <c r="W171" i="1"/>
  <c r="W170" i="1"/>
  <c r="Z170" i="1" s="1"/>
  <c r="W169" i="1"/>
  <c r="W168" i="1"/>
  <c r="W164" i="1"/>
  <c r="W163" i="1"/>
  <c r="W162" i="1"/>
  <c r="W161" i="1"/>
  <c r="W160" i="1"/>
  <c r="Z160" i="1" s="1"/>
  <c r="W159" i="1"/>
  <c r="W158" i="1"/>
  <c r="W157" i="1"/>
  <c r="W165" i="1" s="1"/>
  <c r="W152" i="1"/>
  <c r="W151" i="1"/>
  <c r="W150" i="1"/>
  <c r="W149" i="1"/>
  <c r="W143" i="1"/>
  <c r="W142" i="1"/>
  <c r="W141" i="1"/>
  <c r="W140" i="1"/>
  <c r="W136" i="1"/>
  <c r="W135" i="1"/>
  <c r="W134" i="1"/>
  <c r="W133" i="1"/>
  <c r="W129" i="1"/>
  <c r="W128" i="1"/>
  <c r="W127" i="1"/>
  <c r="W126" i="1"/>
  <c r="W121" i="1"/>
  <c r="W120" i="1"/>
  <c r="W119" i="1"/>
  <c r="W118" i="1"/>
  <c r="W117" i="1"/>
  <c r="W116" i="1"/>
  <c r="W115" i="1"/>
  <c r="W114" i="1"/>
  <c r="W113" i="1"/>
  <c r="W112" i="1"/>
  <c r="W111" i="1"/>
  <c r="Z111" i="1" s="1"/>
  <c r="W110" i="1"/>
  <c r="W109" i="1"/>
  <c r="Z109" i="1" s="1"/>
  <c r="W108" i="1"/>
  <c r="W107" i="1"/>
  <c r="W106" i="1"/>
  <c r="W105" i="1"/>
  <c r="W104" i="1"/>
  <c r="W103" i="1"/>
  <c r="W102" i="1"/>
  <c r="Z102" i="1" s="1"/>
  <c r="W101" i="1"/>
  <c r="W100" i="1"/>
  <c r="W99" i="1"/>
  <c r="W98" i="1"/>
  <c r="W97" i="1"/>
  <c r="W96" i="1"/>
  <c r="W95" i="1"/>
  <c r="W94" i="1"/>
  <c r="W93" i="1"/>
  <c r="W92" i="1"/>
  <c r="W91" i="1"/>
  <c r="W90" i="1"/>
  <c r="W89" i="1"/>
  <c r="W122" i="1" s="1"/>
  <c r="W88" i="1"/>
  <c r="W87" i="1"/>
  <c r="W83" i="1"/>
  <c r="W82" i="1"/>
  <c r="W81" i="1"/>
  <c r="W80" i="1"/>
  <c r="W79" i="1"/>
  <c r="W78" i="1"/>
  <c r="Z78" i="1" s="1"/>
  <c r="W77" i="1"/>
  <c r="W76" i="1"/>
  <c r="W75" i="1"/>
  <c r="W74" i="1"/>
  <c r="W73" i="1"/>
  <c r="W72" i="1"/>
  <c r="W71" i="1"/>
  <c r="W70" i="1"/>
  <c r="W69" i="1"/>
  <c r="W68" i="1"/>
  <c r="W67" i="1"/>
  <c r="W66" i="1"/>
  <c r="W65" i="1"/>
  <c r="W64" i="1"/>
  <c r="W63" i="1"/>
  <c r="W62" i="1"/>
  <c r="W61" i="1"/>
  <c r="W60" i="1"/>
  <c r="W59" i="1"/>
  <c r="W58" i="1"/>
  <c r="W57" i="1"/>
  <c r="W56" i="1"/>
  <c r="W55" i="1"/>
  <c r="W54" i="1"/>
  <c r="W84" i="1" s="1"/>
  <c r="W53" i="1"/>
  <c r="W52" i="1"/>
  <c r="W51" i="1"/>
  <c r="W50" i="1"/>
  <c r="W49" i="1"/>
  <c r="W48" i="1"/>
  <c r="W44" i="1"/>
  <c r="W43" i="1"/>
  <c r="W42" i="1"/>
  <c r="W41" i="1"/>
  <c r="W40" i="1"/>
  <c r="W39" i="1"/>
  <c r="W38" i="1"/>
  <c r="W37" i="1"/>
  <c r="W36" i="1"/>
  <c r="W35" i="1"/>
  <c r="Z35" i="1" s="1"/>
  <c r="W34" i="1"/>
  <c r="W33" i="1"/>
  <c r="W32" i="1"/>
  <c r="W31" i="1"/>
  <c r="W30" i="1"/>
  <c r="W29" i="1"/>
  <c r="W28" i="1"/>
  <c r="W27" i="1"/>
  <c r="W26" i="1"/>
  <c r="Z26" i="1" s="1"/>
  <c r="W25" i="1"/>
  <c r="W24" i="1"/>
  <c r="W23" i="1"/>
  <c r="W22" i="1"/>
  <c r="W21" i="1"/>
  <c r="W20" i="1"/>
  <c r="W19" i="1"/>
  <c r="Z19" i="1" s="1"/>
  <c r="W18" i="1"/>
  <c r="W17" i="1"/>
  <c r="W16" i="1"/>
  <c r="W15" i="1"/>
  <c r="W14" i="1"/>
  <c r="W13" i="1"/>
  <c r="W12" i="1"/>
  <c r="W11" i="1"/>
  <c r="W45" i="1" s="1"/>
  <c r="W10" i="1"/>
  <c r="R145" i="1"/>
  <c r="R153" i="1"/>
  <c r="R188" i="1"/>
  <c r="R334" i="1"/>
  <c r="R391" i="1"/>
  <c r="R390" i="1"/>
  <c r="R450" i="1"/>
  <c r="R473" i="1"/>
  <c r="R475" i="1"/>
  <c r="R480" i="1"/>
  <c r="R479" i="1"/>
  <c r="R489" i="1"/>
  <c r="R488" i="1"/>
  <c r="R487" i="1"/>
  <c r="R486" i="1"/>
  <c r="R482" i="1"/>
  <c r="R481" i="1"/>
  <c r="R478" i="1"/>
  <c r="R477" i="1"/>
  <c r="R476" i="1"/>
  <c r="R474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1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55" i="1"/>
  <c r="R354" i="1"/>
  <c r="R353" i="1"/>
  <c r="R352" i="1"/>
  <c r="R351" i="1"/>
  <c r="R350" i="1"/>
  <c r="R349" i="1"/>
  <c r="R345" i="1"/>
  <c r="R344" i="1"/>
  <c r="R343" i="1"/>
  <c r="R342" i="1"/>
  <c r="R341" i="1"/>
  <c r="R340" i="1"/>
  <c r="R339" i="1"/>
  <c r="R333" i="1"/>
  <c r="R331" i="1"/>
  <c r="R330" i="1"/>
  <c r="R329" i="1"/>
  <c r="R328" i="1"/>
  <c r="R327" i="1"/>
  <c r="R326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3" i="1"/>
  <c r="R272" i="1"/>
  <c r="R268" i="1"/>
  <c r="R267" i="1"/>
  <c r="R266" i="1"/>
  <c r="R262" i="1"/>
  <c r="R261" i="1"/>
  <c r="R260" i="1"/>
  <c r="R255" i="1"/>
  <c r="R254" i="1"/>
  <c r="R253" i="1"/>
  <c r="R252" i="1"/>
  <c r="R251" i="1"/>
  <c r="R247" i="1"/>
  <c r="R246" i="1"/>
  <c r="R245" i="1"/>
  <c r="R244" i="1"/>
  <c r="R243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2" i="1"/>
  <c r="R211" i="1"/>
  <c r="R210" i="1"/>
  <c r="R209" i="1"/>
  <c r="R208" i="1"/>
  <c r="R204" i="1"/>
  <c r="R203" i="1"/>
  <c r="R202" i="1"/>
  <c r="R201" i="1"/>
  <c r="R200" i="1"/>
  <c r="R196" i="1"/>
  <c r="R195" i="1"/>
  <c r="R194" i="1"/>
  <c r="R193" i="1"/>
  <c r="R192" i="1"/>
  <c r="R186" i="1"/>
  <c r="R185" i="1"/>
  <c r="R184" i="1"/>
  <c r="R183" i="1"/>
  <c r="R182" i="1"/>
  <c r="R181" i="1"/>
  <c r="R180" i="1"/>
  <c r="R179" i="1"/>
  <c r="R175" i="1"/>
  <c r="R174" i="1"/>
  <c r="R173" i="1"/>
  <c r="R172" i="1"/>
  <c r="R171" i="1"/>
  <c r="R170" i="1"/>
  <c r="R169" i="1"/>
  <c r="R168" i="1"/>
  <c r="R164" i="1"/>
  <c r="R163" i="1"/>
  <c r="R162" i="1"/>
  <c r="R161" i="1"/>
  <c r="R160" i="1"/>
  <c r="R159" i="1"/>
  <c r="R158" i="1"/>
  <c r="R157" i="1"/>
  <c r="R152" i="1"/>
  <c r="R151" i="1"/>
  <c r="R150" i="1"/>
  <c r="R149" i="1"/>
  <c r="R143" i="1"/>
  <c r="R142" i="1"/>
  <c r="R141" i="1"/>
  <c r="R140" i="1"/>
  <c r="R136" i="1"/>
  <c r="R135" i="1"/>
  <c r="R134" i="1"/>
  <c r="R133" i="1"/>
  <c r="R129" i="1"/>
  <c r="R128" i="1"/>
  <c r="R127" i="1"/>
  <c r="R126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O145" i="1"/>
  <c r="O153" i="1"/>
  <c r="O188" i="1"/>
  <c r="O332" i="1"/>
  <c r="O334" i="1"/>
  <c r="O391" i="1"/>
  <c r="O390" i="1"/>
  <c r="O450" i="1"/>
  <c r="O480" i="1"/>
  <c r="O479" i="1"/>
  <c r="O473" i="1"/>
  <c r="O475" i="1"/>
  <c r="O489" i="1"/>
  <c r="O488" i="1"/>
  <c r="O487" i="1"/>
  <c r="O486" i="1"/>
  <c r="O482" i="1"/>
  <c r="O481" i="1"/>
  <c r="O478" i="1"/>
  <c r="O477" i="1"/>
  <c r="O476" i="1"/>
  <c r="O474" i="1"/>
  <c r="O472" i="1"/>
  <c r="O471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1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29" i="1"/>
  <c r="O428" i="1"/>
  <c r="O427" i="1"/>
  <c r="O426" i="1"/>
  <c r="O424" i="1"/>
  <c r="O423" i="1"/>
  <c r="O422" i="1"/>
  <c r="O421" i="1"/>
  <c r="O420" i="1"/>
  <c r="O419" i="1"/>
  <c r="O418" i="1"/>
  <c r="O417" i="1"/>
  <c r="O416" i="1"/>
  <c r="O415" i="1"/>
  <c r="O414" i="1"/>
  <c r="O410" i="1"/>
  <c r="O409" i="1"/>
  <c r="O408" i="1"/>
  <c r="O407" i="1"/>
  <c r="O405" i="1"/>
  <c r="O404" i="1"/>
  <c r="O403" i="1"/>
  <c r="O402" i="1"/>
  <c r="O401" i="1"/>
  <c r="O400" i="1"/>
  <c r="O399" i="1"/>
  <c r="O398" i="1"/>
  <c r="O397" i="1"/>
  <c r="O396" i="1"/>
  <c r="O395" i="1"/>
  <c r="O389" i="1"/>
  <c r="O388" i="1"/>
  <c r="O387" i="1"/>
  <c r="O386" i="1"/>
  <c r="O385" i="1"/>
  <c r="O384" i="1"/>
  <c r="O383" i="1"/>
  <c r="O382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55" i="1"/>
  <c r="O354" i="1"/>
  <c r="O353" i="1"/>
  <c r="O352" i="1"/>
  <c r="O351" i="1"/>
  <c r="O350" i="1"/>
  <c r="O349" i="1"/>
  <c r="O345" i="1"/>
  <c r="O344" i="1"/>
  <c r="O343" i="1"/>
  <c r="O342" i="1"/>
  <c r="O341" i="1"/>
  <c r="O340" i="1"/>
  <c r="O339" i="1"/>
  <c r="O333" i="1"/>
  <c r="O331" i="1"/>
  <c r="O330" i="1"/>
  <c r="O329" i="1"/>
  <c r="O328" i="1"/>
  <c r="O327" i="1"/>
  <c r="O326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3" i="1"/>
  <c r="O272" i="1"/>
  <c r="O268" i="1"/>
  <c r="O267" i="1"/>
  <c r="O266" i="1"/>
  <c r="O262" i="1"/>
  <c r="O261" i="1"/>
  <c r="O260" i="1"/>
  <c r="O255" i="1"/>
  <c r="O254" i="1"/>
  <c r="O253" i="1"/>
  <c r="O252" i="1"/>
  <c r="O251" i="1"/>
  <c r="O247" i="1"/>
  <c r="O246" i="1"/>
  <c r="O245" i="1"/>
  <c r="O244" i="1"/>
  <c r="O243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2" i="1"/>
  <c r="O211" i="1"/>
  <c r="O210" i="1"/>
  <c r="O209" i="1"/>
  <c r="O208" i="1"/>
  <c r="O204" i="1"/>
  <c r="O203" i="1"/>
  <c r="O202" i="1"/>
  <c r="O201" i="1"/>
  <c r="O200" i="1"/>
  <c r="O196" i="1"/>
  <c r="O195" i="1"/>
  <c r="O194" i="1"/>
  <c r="O193" i="1"/>
  <c r="O192" i="1"/>
  <c r="O186" i="1"/>
  <c r="O185" i="1"/>
  <c r="O184" i="1"/>
  <c r="O183" i="1"/>
  <c r="O182" i="1"/>
  <c r="O181" i="1"/>
  <c r="O180" i="1"/>
  <c r="O179" i="1"/>
  <c r="O175" i="1"/>
  <c r="O174" i="1"/>
  <c r="O173" i="1"/>
  <c r="O172" i="1"/>
  <c r="O171" i="1"/>
  <c r="O170" i="1"/>
  <c r="O169" i="1"/>
  <c r="O168" i="1"/>
  <c r="O164" i="1"/>
  <c r="O163" i="1"/>
  <c r="O162" i="1"/>
  <c r="O161" i="1"/>
  <c r="O160" i="1"/>
  <c r="O159" i="1"/>
  <c r="O158" i="1"/>
  <c r="O157" i="1"/>
  <c r="O152" i="1"/>
  <c r="O151" i="1"/>
  <c r="O150" i="1"/>
  <c r="O149" i="1"/>
  <c r="O143" i="1"/>
  <c r="O142" i="1"/>
  <c r="O141" i="1"/>
  <c r="O140" i="1"/>
  <c r="O136" i="1"/>
  <c r="O135" i="1"/>
  <c r="O134" i="1"/>
  <c r="O133" i="1"/>
  <c r="O129" i="1"/>
  <c r="O128" i="1"/>
  <c r="O127" i="1"/>
  <c r="O126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W406" i="1"/>
  <c r="W381" i="1"/>
  <c r="AF224" i="1"/>
  <c r="AE224" i="1"/>
  <c r="AD224" i="1"/>
  <c r="AD240" i="1" s="1"/>
  <c r="AB224" i="1"/>
  <c r="AA224" i="1"/>
  <c r="AC224" i="1"/>
  <c r="Y224" i="1"/>
  <c r="X224" i="1"/>
  <c r="AF231" i="1"/>
  <c r="AE231" i="1"/>
  <c r="AD231" i="1"/>
  <c r="AB231" i="1"/>
  <c r="AC231" i="1"/>
  <c r="Y231" i="1"/>
  <c r="X231" i="1"/>
  <c r="AB424" i="1"/>
  <c r="AA424" i="1"/>
  <c r="AA126" i="1"/>
  <c r="AF223" i="1"/>
  <c r="AE223" i="1"/>
  <c r="AD223" i="1"/>
  <c r="AB223" i="1"/>
  <c r="AA223" i="1"/>
  <c r="AC223" i="1" s="1"/>
  <c r="Y223" i="1"/>
  <c r="X223" i="1"/>
  <c r="AD230" i="1"/>
  <c r="AE230" i="1"/>
  <c r="AF230" i="1"/>
  <c r="AB230" i="1"/>
  <c r="Y230" i="1"/>
  <c r="X230" i="1"/>
  <c r="AF254" i="1"/>
  <c r="AE254" i="1"/>
  <c r="AD254" i="1"/>
  <c r="Y254" i="1"/>
  <c r="X254" i="1"/>
  <c r="AB254" i="1"/>
  <c r="AA254" i="1"/>
  <c r="AC254" i="1" s="1"/>
  <c r="AF246" i="1"/>
  <c r="AE246" i="1"/>
  <c r="AD246" i="1"/>
  <c r="Y246" i="1"/>
  <c r="X246" i="1"/>
  <c r="AB246" i="1"/>
  <c r="AA246" i="1"/>
  <c r="AA470" i="1"/>
  <c r="AB470" i="1"/>
  <c r="AA471" i="1"/>
  <c r="AB471" i="1"/>
  <c r="X220" i="1"/>
  <c r="Y220" i="1"/>
  <c r="AD220" i="1"/>
  <c r="AE220" i="1"/>
  <c r="AF220" i="1"/>
  <c r="AB316" i="1"/>
  <c r="AA316" i="1"/>
  <c r="AC316" i="1" s="1"/>
  <c r="AA312" i="1"/>
  <c r="AB312" i="1"/>
  <c r="AB300" i="1"/>
  <c r="AA300" i="1"/>
  <c r="AC300" i="1" s="1"/>
  <c r="AA296" i="1"/>
  <c r="AB296" i="1"/>
  <c r="AB355" i="1"/>
  <c r="AB345" i="1"/>
  <c r="AB333" i="1"/>
  <c r="AA333" i="1"/>
  <c r="AC333" i="1" s="1"/>
  <c r="AA220" i="1"/>
  <c r="AC220" i="1" s="1"/>
  <c r="AB220" i="1"/>
  <c r="AA222" i="1"/>
  <c r="AB222" i="1"/>
  <c r="F425" i="1"/>
  <c r="AA425" i="1"/>
  <c r="G425" i="1"/>
  <c r="AB425" i="1" s="1"/>
  <c r="H425" i="1"/>
  <c r="AD425" i="1"/>
  <c r="I425" i="1"/>
  <c r="J425" i="1"/>
  <c r="E425" i="1"/>
  <c r="U425" i="1"/>
  <c r="AF425" i="1" s="1"/>
  <c r="T425" i="1"/>
  <c r="S425" i="1"/>
  <c r="N425" i="1"/>
  <c r="X425" i="1"/>
  <c r="AA426" i="1"/>
  <c r="AB426" i="1"/>
  <c r="AC426" i="1" s="1"/>
  <c r="X426" i="1"/>
  <c r="Y426" i="1"/>
  <c r="AD426" i="1"/>
  <c r="AE426" i="1"/>
  <c r="AF426" i="1"/>
  <c r="AA405" i="1"/>
  <c r="AB405" i="1"/>
  <c r="AC405" i="1" s="1"/>
  <c r="F406" i="1"/>
  <c r="AA406" i="1"/>
  <c r="G406" i="1"/>
  <c r="AB406" i="1"/>
  <c r="H406" i="1"/>
  <c r="AD406" i="1" s="1"/>
  <c r="I406" i="1"/>
  <c r="J406" i="1"/>
  <c r="AF406" i="1" s="1"/>
  <c r="E406" i="1"/>
  <c r="U406" i="1"/>
  <c r="T406" i="1"/>
  <c r="AE406" i="1" s="1"/>
  <c r="S406" i="1"/>
  <c r="N406" i="1"/>
  <c r="Y406" i="1"/>
  <c r="M406" i="1"/>
  <c r="O406" i="1" s="1"/>
  <c r="X406" i="1"/>
  <c r="AF380" i="1"/>
  <c r="AE380" i="1"/>
  <c r="AD380" i="1"/>
  <c r="N381" i="1"/>
  <c r="S381" i="1"/>
  <c r="T381" i="1"/>
  <c r="U381" i="1"/>
  <c r="AF381" i="1"/>
  <c r="E381" i="1"/>
  <c r="F381" i="1"/>
  <c r="AA381" i="1" s="1"/>
  <c r="G381" i="1"/>
  <c r="AB381" i="1"/>
  <c r="H381" i="1"/>
  <c r="I381" i="1"/>
  <c r="J381" i="1"/>
  <c r="D381" i="1"/>
  <c r="X381" i="1"/>
  <c r="Z381" i="1" s="1"/>
  <c r="AA378" i="1"/>
  <c r="AB378" i="1"/>
  <c r="AC378" i="1" s="1"/>
  <c r="Y471" i="1"/>
  <c r="X471" i="1"/>
  <c r="AF471" i="1"/>
  <c r="AE471" i="1"/>
  <c r="AD471" i="1"/>
  <c r="AF386" i="1"/>
  <c r="AE386" i="1"/>
  <c r="AD386" i="1"/>
  <c r="AB386" i="1"/>
  <c r="AA386" i="1"/>
  <c r="Y386" i="1"/>
  <c r="X386" i="1"/>
  <c r="AB143" i="1"/>
  <c r="AB141" i="1"/>
  <c r="AB136" i="1"/>
  <c r="AC136" i="1" s="1"/>
  <c r="AA136" i="1"/>
  <c r="AA135" i="1"/>
  <c r="AB134" i="1"/>
  <c r="AB408" i="1"/>
  <c r="AB400" i="1"/>
  <c r="AB396" i="1"/>
  <c r="AA408" i="1"/>
  <c r="AC408" i="1" s="1"/>
  <c r="AA400" i="1"/>
  <c r="AC400" i="1" s="1"/>
  <c r="AA396" i="1"/>
  <c r="AB290" i="1"/>
  <c r="AC290" i="1" s="1"/>
  <c r="AA290" i="1"/>
  <c r="AB289" i="1"/>
  <c r="AA289" i="1"/>
  <c r="AC289" i="1" s="1"/>
  <c r="AB288" i="1"/>
  <c r="AA288" i="1"/>
  <c r="AB287" i="1"/>
  <c r="AA287" i="1"/>
  <c r="AB286" i="1"/>
  <c r="AC286" i="1" s="1"/>
  <c r="AA286" i="1"/>
  <c r="AB285" i="1"/>
  <c r="AA285" i="1"/>
  <c r="AC285" i="1" s="1"/>
  <c r="AB284" i="1"/>
  <c r="AC284" i="1" s="1"/>
  <c r="AA284" i="1"/>
  <c r="AB283" i="1"/>
  <c r="AC283" i="1" s="1"/>
  <c r="AA283" i="1"/>
  <c r="AB282" i="1"/>
  <c r="AA282" i="1"/>
  <c r="AC282" i="1"/>
  <c r="AB218" i="1"/>
  <c r="AC218" i="1" s="1"/>
  <c r="AA218" i="1"/>
  <c r="AB75" i="1"/>
  <c r="AA75" i="1"/>
  <c r="AB73" i="1"/>
  <c r="AA73" i="1"/>
  <c r="AC73" i="1" s="1"/>
  <c r="AB50" i="1"/>
  <c r="AA50" i="1"/>
  <c r="AC50" i="1" s="1"/>
  <c r="AA49" i="1"/>
  <c r="AC49" i="1"/>
  <c r="AB49" i="1"/>
  <c r="AB385" i="1"/>
  <c r="AA385" i="1"/>
  <c r="AB384" i="1"/>
  <c r="AA384" i="1"/>
  <c r="AB383" i="1"/>
  <c r="AA383" i="1"/>
  <c r="AC383" i="1" s="1"/>
  <c r="AB382" i="1"/>
  <c r="AC382" i="1" s="1"/>
  <c r="AA382" i="1"/>
  <c r="AB379" i="1"/>
  <c r="AA379" i="1"/>
  <c r="AB229" i="1"/>
  <c r="AA229" i="1"/>
  <c r="AB228" i="1"/>
  <c r="AA228" i="1"/>
  <c r="AC228" i="1"/>
  <c r="AB227" i="1"/>
  <c r="AA227" i="1"/>
  <c r="AB226" i="1"/>
  <c r="AA226" i="1"/>
  <c r="AF253" i="1"/>
  <c r="AE253" i="1"/>
  <c r="AD253" i="1"/>
  <c r="AD256" i="1" s="1"/>
  <c r="Y253" i="1"/>
  <c r="X253" i="1"/>
  <c r="AF245" i="1"/>
  <c r="AE245" i="1"/>
  <c r="AD245" i="1"/>
  <c r="Y245" i="1"/>
  <c r="X245" i="1"/>
  <c r="Z245" i="1" s="1"/>
  <c r="Z248" i="1" s="1"/>
  <c r="AB253" i="1"/>
  <c r="AA253" i="1"/>
  <c r="AB245" i="1"/>
  <c r="AA245" i="1"/>
  <c r="AC245" i="1" s="1"/>
  <c r="AF239" i="1"/>
  <c r="AE239" i="1"/>
  <c r="AD239" i="1"/>
  <c r="Y239" i="1"/>
  <c r="X239" i="1"/>
  <c r="AF219" i="1"/>
  <c r="AE219" i="1"/>
  <c r="AD219" i="1"/>
  <c r="Y219" i="1"/>
  <c r="X219" i="1"/>
  <c r="AB219" i="1"/>
  <c r="AC219" i="1" s="1"/>
  <c r="AA219" i="1"/>
  <c r="AB239" i="1"/>
  <c r="AA239" i="1"/>
  <c r="AB237" i="1"/>
  <c r="AA237" i="1"/>
  <c r="AB238" i="1"/>
  <c r="AA238" i="1"/>
  <c r="AB236" i="1"/>
  <c r="AC236" i="1" s="1"/>
  <c r="AA236" i="1"/>
  <c r="AB235" i="1"/>
  <c r="AA235" i="1"/>
  <c r="AC235" i="1" s="1"/>
  <c r="AB234" i="1"/>
  <c r="AA234" i="1"/>
  <c r="AB233" i="1"/>
  <c r="AA233" i="1"/>
  <c r="AF121" i="1"/>
  <c r="AE121" i="1"/>
  <c r="AD121" i="1"/>
  <c r="Y121" i="1"/>
  <c r="X121" i="1"/>
  <c r="AF115" i="1"/>
  <c r="AE115" i="1"/>
  <c r="AD115" i="1"/>
  <c r="Y115" i="1"/>
  <c r="X115" i="1"/>
  <c r="Z115" i="1" s="1"/>
  <c r="AB121" i="1"/>
  <c r="AA121" i="1"/>
  <c r="AB115" i="1"/>
  <c r="AA115" i="1"/>
  <c r="AC115" i="1"/>
  <c r="AF83" i="1"/>
  <c r="AE83" i="1"/>
  <c r="AD83" i="1"/>
  <c r="AD84" i="1" s="1"/>
  <c r="Y83" i="1"/>
  <c r="X83" i="1"/>
  <c r="AF77" i="1"/>
  <c r="AE77" i="1"/>
  <c r="AD77" i="1"/>
  <c r="Y77" i="1"/>
  <c r="X77" i="1"/>
  <c r="Z77" i="1"/>
  <c r="AB83" i="1"/>
  <c r="AA83" i="1"/>
  <c r="AB77" i="1"/>
  <c r="AA77" i="1"/>
  <c r="AB44" i="1"/>
  <c r="AC44" i="1" s="1"/>
  <c r="AA44" i="1"/>
  <c r="AF38" i="1"/>
  <c r="AE38" i="1"/>
  <c r="AE45" i="1" s="1"/>
  <c r="AD38" i="1"/>
  <c r="Y38" i="1"/>
  <c r="X38" i="1"/>
  <c r="Z38" i="1"/>
  <c r="AF44" i="1"/>
  <c r="AE44" i="1"/>
  <c r="AD44" i="1"/>
  <c r="Y44" i="1"/>
  <c r="Z44" i="1" s="1"/>
  <c r="X44" i="1"/>
  <c r="AB38" i="1"/>
  <c r="AA38" i="1"/>
  <c r="AC38" i="1"/>
  <c r="AF424" i="1"/>
  <c r="AE424" i="1"/>
  <c r="AD424" i="1"/>
  <c r="Y424" i="1"/>
  <c r="AF405" i="1"/>
  <c r="AE405" i="1"/>
  <c r="AD405" i="1"/>
  <c r="Y405" i="1"/>
  <c r="X405" i="1"/>
  <c r="Y380" i="1"/>
  <c r="X380" i="1"/>
  <c r="Z380" i="1" s="1"/>
  <c r="AF333" i="1"/>
  <c r="AE333" i="1"/>
  <c r="AD333" i="1"/>
  <c r="Y333" i="1"/>
  <c r="X333" i="1"/>
  <c r="X345" i="1"/>
  <c r="X355" i="1"/>
  <c r="AE355" i="1"/>
  <c r="AA345" i="1"/>
  <c r="AC345" i="1" s="1"/>
  <c r="AD487" i="1"/>
  <c r="AE487" i="1"/>
  <c r="AF487" i="1"/>
  <c r="AD488" i="1"/>
  <c r="AE488" i="1"/>
  <c r="AF488" i="1"/>
  <c r="AF486" i="1"/>
  <c r="AF490" i="1" s="1"/>
  <c r="AE486" i="1"/>
  <c r="AE490" i="1" s="1"/>
  <c r="AD486" i="1"/>
  <c r="AD482" i="1"/>
  <c r="AE482" i="1"/>
  <c r="AF482" i="1"/>
  <c r="AF481" i="1"/>
  <c r="AE481" i="1"/>
  <c r="AD481" i="1"/>
  <c r="AD477" i="1"/>
  <c r="AE477" i="1"/>
  <c r="AF477" i="1"/>
  <c r="AD478" i="1"/>
  <c r="AE478" i="1"/>
  <c r="AF478" i="1"/>
  <c r="AF476" i="1"/>
  <c r="AE476" i="1"/>
  <c r="AD476" i="1"/>
  <c r="AF474" i="1"/>
  <c r="AE474" i="1"/>
  <c r="AD474" i="1"/>
  <c r="AD456" i="1"/>
  <c r="AE456" i="1"/>
  <c r="AF456" i="1"/>
  <c r="AD457" i="1"/>
  <c r="AE457" i="1"/>
  <c r="AF457" i="1"/>
  <c r="AD458" i="1"/>
  <c r="AE458" i="1"/>
  <c r="AF458" i="1"/>
  <c r="AD459" i="1"/>
  <c r="AE459" i="1"/>
  <c r="AF459" i="1"/>
  <c r="AD460" i="1"/>
  <c r="AE460" i="1"/>
  <c r="AF460" i="1"/>
  <c r="AD461" i="1"/>
  <c r="AE461" i="1"/>
  <c r="AF461" i="1"/>
  <c r="AD462" i="1"/>
  <c r="AE462" i="1"/>
  <c r="AF462" i="1"/>
  <c r="AD463" i="1"/>
  <c r="AE463" i="1"/>
  <c r="AF463" i="1"/>
  <c r="AD464" i="1"/>
  <c r="AE464" i="1"/>
  <c r="AF464" i="1"/>
  <c r="AD465" i="1"/>
  <c r="AE465" i="1"/>
  <c r="AF465" i="1"/>
  <c r="AD466" i="1"/>
  <c r="AE466" i="1"/>
  <c r="AF466" i="1"/>
  <c r="AD467" i="1"/>
  <c r="AE467" i="1"/>
  <c r="AF467" i="1"/>
  <c r="AD468" i="1"/>
  <c r="AE468" i="1"/>
  <c r="AF468" i="1"/>
  <c r="AD469" i="1"/>
  <c r="AE469" i="1"/>
  <c r="AF469" i="1"/>
  <c r="AD470" i="1"/>
  <c r="AE470" i="1"/>
  <c r="AF470" i="1"/>
  <c r="AD472" i="1"/>
  <c r="AE472" i="1"/>
  <c r="AF472" i="1"/>
  <c r="AF455" i="1"/>
  <c r="AE455" i="1"/>
  <c r="AD455" i="1"/>
  <c r="AD435" i="1"/>
  <c r="AE435" i="1"/>
  <c r="AE452" i="1" s="1"/>
  <c r="AF435" i="1"/>
  <c r="AD436" i="1"/>
  <c r="AE436" i="1"/>
  <c r="AF436" i="1"/>
  <c r="AD437" i="1"/>
  <c r="AE437" i="1"/>
  <c r="AF437" i="1"/>
  <c r="AD438" i="1"/>
  <c r="AE438" i="1"/>
  <c r="AF438" i="1"/>
  <c r="AD439" i="1"/>
  <c r="AE439" i="1"/>
  <c r="AF439" i="1"/>
  <c r="AD440" i="1"/>
  <c r="AE440" i="1"/>
  <c r="AF440" i="1"/>
  <c r="AD441" i="1"/>
  <c r="AE441" i="1"/>
  <c r="AF441" i="1"/>
  <c r="AD442" i="1"/>
  <c r="AE442" i="1"/>
  <c r="AF442" i="1"/>
  <c r="AD443" i="1"/>
  <c r="AE443" i="1"/>
  <c r="AF443" i="1"/>
  <c r="AD444" i="1"/>
  <c r="AE444" i="1"/>
  <c r="AF444" i="1"/>
  <c r="AD445" i="1"/>
  <c r="AE445" i="1"/>
  <c r="AF445" i="1"/>
  <c r="AD446" i="1"/>
  <c r="AE446" i="1"/>
  <c r="AF446" i="1"/>
  <c r="AD447" i="1"/>
  <c r="AE447" i="1"/>
  <c r="AF447" i="1"/>
  <c r="AD448" i="1"/>
  <c r="AE448" i="1"/>
  <c r="AF448" i="1"/>
  <c r="AD449" i="1"/>
  <c r="AE449" i="1"/>
  <c r="AF449" i="1"/>
  <c r="AF434" i="1"/>
  <c r="AE434" i="1"/>
  <c r="AD434" i="1"/>
  <c r="AD420" i="1"/>
  <c r="AE420" i="1"/>
  <c r="AF420" i="1"/>
  <c r="AD421" i="1"/>
  <c r="AE421" i="1"/>
  <c r="AF421" i="1"/>
  <c r="AD422" i="1"/>
  <c r="AE422" i="1"/>
  <c r="AF422" i="1"/>
  <c r="AD423" i="1"/>
  <c r="AE423" i="1"/>
  <c r="AF423" i="1"/>
  <c r="AD427" i="1"/>
  <c r="AE427" i="1"/>
  <c r="AF427" i="1"/>
  <c r="AD428" i="1"/>
  <c r="AE428" i="1"/>
  <c r="AF428" i="1"/>
  <c r="AD429" i="1"/>
  <c r="AE429" i="1"/>
  <c r="AF429" i="1"/>
  <c r="AD415" i="1"/>
  <c r="AE415" i="1"/>
  <c r="AF415" i="1"/>
  <c r="AD416" i="1"/>
  <c r="AE416" i="1"/>
  <c r="AF416" i="1"/>
  <c r="AD417" i="1"/>
  <c r="AE417" i="1"/>
  <c r="AF417" i="1"/>
  <c r="AD418" i="1"/>
  <c r="AE418" i="1"/>
  <c r="AF418" i="1"/>
  <c r="AD419" i="1"/>
  <c r="AE419" i="1"/>
  <c r="AF419" i="1"/>
  <c r="AF414" i="1"/>
  <c r="AE414" i="1"/>
  <c r="AD414" i="1"/>
  <c r="AD396" i="1"/>
  <c r="AE396" i="1"/>
  <c r="AF396" i="1"/>
  <c r="AF411" i="1" s="1"/>
  <c r="AD397" i="1"/>
  <c r="AE397" i="1"/>
  <c r="AF397" i="1"/>
  <c r="AD398" i="1"/>
  <c r="AE398" i="1"/>
  <c r="AF398" i="1"/>
  <c r="AD399" i="1"/>
  <c r="AE399" i="1"/>
  <c r="AF399" i="1"/>
  <c r="AD400" i="1"/>
  <c r="AE400" i="1"/>
  <c r="AF400" i="1"/>
  <c r="AD401" i="1"/>
  <c r="AE401" i="1"/>
  <c r="AF401" i="1"/>
  <c r="AD402" i="1"/>
  <c r="AE402" i="1"/>
  <c r="AF402" i="1"/>
  <c r="AD403" i="1"/>
  <c r="AE403" i="1"/>
  <c r="AF403" i="1"/>
  <c r="AD404" i="1"/>
  <c r="AE404" i="1"/>
  <c r="AF404" i="1"/>
  <c r="AD407" i="1"/>
  <c r="AE407" i="1"/>
  <c r="AF407" i="1"/>
  <c r="AD408" i="1"/>
  <c r="AE408" i="1"/>
  <c r="AF408" i="1"/>
  <c r="AD409" i="1"/>
  <c r="AE409" i="1"/>
  <c r="AF409" i="1"/>
  <c r="AD410" i="1"/>
  <c r="AE410" i="1"/>
  <c r="AF410" i="1"/>
  <c r="AF395" i="1"/>
  <c r="AE395" i="1"/>
  <c r="AD395" i="1"/>
  <c r="AD362" i="1"/>
  <c r="AE362" i="1"/>
  <c r="AF362" i="1"/>
  <c r="AD363" i="1"/>
  <c r="AE363" i="1"/>
  <c r="AF363" i="1"/>
  <c r="AD364" i="1"/>
  <c r="AE364" i="1"/>
  <c r="AF364" i="1"/>
  <c r="AF392" i="1" s="1"/>
  <c r="AD365" i="1"/>
  <c r="AE365" i="1"/>
  <c r="AF365" i="1"/>
  <c r="AD366" i="1"/>
  <c r="AE366" i="1"/>
  <c r="AF366" i="1"/>
  <c r="AD367" i="1"/>
  <c r="AE367" i="1"/>
  <c r="AE392" i="1" s="1"/>
  <c r="AF367" i="1"/>
  <c r="AD368" i="1"/>
  <c r="AE368" i="1"/>
  <c r="AF368" i="1"/>
  <c r="AD369" i="1"/>
  <c r="AE369" i="1"/>
  <c r="AF369" i="1"/>
  <c r="AD370" i="1"/>
  <c r="AE370" i="1"/>
  <c r="AF370" i="1"/>
  <c r="AD371" i="1"/>
  <c r="AE371" i="1"/>
  <c r="AF371" i="1"/>
  <c r="AD372" i="1"/>
  <c r="AE372" i="1"/>
  <c r="AF372" i="1"/>
  <c r="AD373" i="1"/>
  <c r="AE373" i="1"/>
  <c r="AF373" i="1"/>
  <c r="AD374" i="1"/>
  <c r="AE374" i="1"/>
  <c r="AF374" i="1"/>
  <c r="AD375" i="1"/>
  <c r="AE375" i="1"/>
  <c r="AF375" i="1"/>
  <c r="AD376" i="1"/>
  <c r="AE376" i="1"/>
  <c r="AF376" i="1"/>
  <c r="AD377" i="1"/>
  <c r="AE377" i="1"/>
  <c r="AF377" i="1"/>
  <c r="AD378" i="1"/>
  <c r="AE378" i="1"/>
  <c r="AF378" i="1"/>
  <c r="AD387" i="1"/>
  <c r="AE387" i="1"/>
  <c r="AF387" i="1"/>
  <c r="AD388" i="1"/>
  <c r="AE388" i="1"/>
  <c r="AF388" i="1"/>
  <c r="AD389" i="1"/>
  <c r="AE389" i="1"/>
  <c r="AF389" i="1"/>
  <c r="AD225" i="1"/>
  <c r="AE225" i="1"/>
  <c r="AF225" i="1"/>
  <c r="AD226" i="1"/>
  <c r="AE226" i="1"/>
  <c r="AF226" i="1"/>
  <c r="AD227" i="1"/>
  <c r="AE227" i="1"/>
  <c r="AF227" i="1"/>
  <c r="AD228" i="1"/>
  <c r="AE228" i="1"/>
  <c r="AF228" i="1"/>
  <c r="AD229" i="1"/>
  <c r="AE229" i="1"/>
  <c r="AF229" i="1"/>
  <c r="AD379" i="1"/>
  <c r="AE379" i="1"/>
  <c r="AF379" i="1"/>
  <c r="AD382" i="1"/>
  <c r="AE382" i="1"/>
  <c r="AF382" i="1"/>
  <c r="AD383" i="1"/>
  <c r="AE383" i="1"/>
  <c r="AF383" i="1"/>
  <c r="AD384" i="1"/>
  <c r="AE384" i="1"/>
  <c r="AF384" i="1"/>
  <c r="AD385" i="1"/>
  <c r="AE385" i="1"/>
  <c r="AF385" i="1"/>
  <c r="AF361" i="1"/>
  <c r="AE361" i="1"/>
  <c r="AD361" i="1"/>
  <c r="AD350" i="1"/>
  <c r="AE350" i="1"/>
  <c r="AF350" i="1"/>
  <c r="AD351" i="1"/>
  <c r="AD356" i="1" s="1"/>
  <c r="AD357" i="1" s="1"/>
  <c r="AE351" i="1"/>
  <c r="AF351" i="1"/>
  <c r="AD352" i="1"/>
  <c r="AE352" i="1"/>
  <c r="AF352" i="1"/>
  <c r="AD353" i="1"/>
  <c r="AE353" i="1"/>
  <c r="AE356" i="1" s="1"/>
  <c r="AF353" i="1"/>
  <c r="AF356" i="1" s="1"/>
  <c r="AF357" i="1" s="1"/>
  <c r="AD354" i="1"/>
  <c r="AE354" i="1"/>
  <c r="AF354" i="1"/>
  <c r="AF349" i="1"/>
  <c r="AE349" i="1"/>
  <c r="AD349" i="1"/>
  <c r="AD340" i="1"/>
  <c r="AE340" i="1"/>
  <c r="AE346" i="1" s="1"/>
  <c r="AF340" i="1"/>
  <c r="AD341" i="1"/>
  <c r="AE341" i="1"/>
  <c r="AF341" i="1"/>
  <c r="AD342" i="1"/>
  <c r="AE342" i="1"/>
  <c r="AF342" i="1"/>
  <c r="AF346" i="1" s="1"/>
  <c r="AD343" i="1"/>
  <c r="AE343" i="1"/>
  <c r="AF343" i="1"/>
  <c r="AD344" i="1"/>
  <c r="AE344" i="1"/>
  <c r="AF344" i="1"/>
  <c r="AF339" i="1"/>
  <c r="AE339" i="1"/>
  <c r="AD339" i="1"/>
  <c r="AD346" i="1" s="1"/>
  <c r="AD327" i="1"/>
  <c r="AE327" i="1"/>
  <c r="AF327" i="1"/>
  <c r="AD328" i="1"/>
  <c r="AE328" i="1"/>
  <c r="AF328" i="1"/>
  <c r="AD329" i="1"/>
  <c r="AE329" i="1"/>
  <c r="AE335" i="1" s="1"/>
  <c r="AF329" i="1"/>
  <c r="AD330" i="1"/>
  <c r="AE330" i="1"/>
  <c r="AF330" i="1"/>
  <c r="AD331" i="1"/>
  <c r="AE331" i="1"/>
  <c r="AF331" i="1"/>
  <c r="AF326" i="1"/>
  <c r="AF335" i="1" s="1"/>
  <c r="AE326" i="1"/>
  <c r="AD326" i="1"/>
  <c r="AD335" i="1" s="1"/>
  <c r="AD311" i="1"/>
  <c r="AE311" i="1"/>
  <c r="AF311" i="1"/>
  <c r="AD312" i="1"/>
  <c r="AE312" i="1"/>
  <c r="AF312" i="1"/>
  <c r="AD313" i="1"/>
  <c r="AE313" i="1"/>
  <c r="AF313" i="1"/>
  <c r="AD314" i="1"/>
  <c r="AE314" i="1"/>
  <c r="AF314" i="1"/>
  <c r="AD315" i="1"/>
  <c r="AE315" i="1"/>
  <c r="AF315" i="1"/>
  <c r="AD316" i="1"/>
  <c r="AE316" i="1"/>
  <c r="AF316" i="1"/>
  <c r="AD317" i="1"/>
  <c r="AE317" i="1"/>
  <c r="AF317" i="1"/>
  <c r="AD318" i="1"/>
  <c r="AE318" i="1"/>
  <c r="AF318" i="1"/>
  <c r="AD319" i="1"/>
  <c r="AE319" i="1"/>
  <c r="AF319" i="1"/>
  <c r="AD320" i="1"/>
  <c r="AE320" i="1"/>
  <c r="AF320" i="1"/>
  <c r="AD321" i="1"/>
  <c r="AE321" i="1"/>
  <c r="AF321" i="1"/>
  <c r="AD322" i="1"/>
  <c r="AE322" i="1"/>
  <c r="AF322" i="1"/>
  <c r="AF310" i="1"/>
  <c r="AF323" i="1" s="1"/>
  <c r="AE310" i="1"/>
  <c r="AD310" i="1"/>
  <c r="AD295" i="1"/>
  <c r="AE295" i="1"/>
  <c r="AF295" i="1"/>
  <c r="AD296" i="1"/>
  <c r="AE296" i="1"/>
  <c r="AF296" i="1"/>
  <c r="AD297" i="1"/>
  <c r="AE297" i="1"/>
  <c r="AF297" i="1"/>
  <c r="AD298" i="1"/>
  <c r="AE298" i="1"/>
  <c r="AF298" i="1"/>
  <c r="AD299" i="1"/>
  <c r="AE299" i="1"/>
  <c r="AF299" i="1"/>
  <c r="AD300" i="1"/>
  <c r="AE300" i="1"/>
  <c r="AF300" i="1"/>
  <c r="AD301" i="1"/>
  <c r="AE301" i="1"/>
  <c r="AF301" i="1"/>
  <c r="AD302" i="1"/>
  <c r="AD307" i="1" s="1"/>
  <c r="AE302" i="1"/>
  <c r="AF302" i="1"/>
  <c r="AD303" i="1"/>
  <c r="AE303" i="1"/>
  <c r="AF303" i="1"/>
  <c r="AD304" i="1"/>
  <c r="AE304" i="1"/>
  <c r="AF304" i="1"/>
  <c r="AD305" i="1"/>
  <c r="AE305" i="1"/>
  <c r="AF305" i="1"/>
  <c r="AD306" i="1"/>
  <c r="AE306" i="1"/>
  <c r="AF306" i="1"/>
  <c r="AF294" i="1"/>
  <c r="AE294" i="1"/>
  <c r="AE307" i="1" s="1"/>
  <c r="AD294" i="1"/>
  <c r="AD279" i="1"/>
  <c r="AE279" i="1"/>
  <c r="AF279" i="1"/>
  <c r="AD280" i="1"/>
  <c r="AE280" i="1"/>
  <c r="AF280" i="1"/>
  <c r="AD281" i="1"/>
  <c r="AE281" i="1"/>
  <c r="AF281" i="1"/>
  <c r="AD282" i="1"/>
  <c r="AE282" i="1"/>
  <c r="AF282" i="1"/>
  <c r="AD283" i="1"/>
  <c r="AE283" i="1"/>
  <c r="AF283" i="1"/>
  <c r="AF291" i="1" s="1"/>
  <c r="AD284" i="1"/>
  <c r="AE284" i="1"/>
  <c r="AF284" i="1"/>
  <c r="AD285" i="1"/>
  <c r="AE285" i="1"/>
  <c r="AF285" i="1"/>
  <c r="AD286" i="1"/>
  <c r="AE286" i="1"/>
  <c r="AF286" i="1"/>
  <c r="AD287" i="1"/>
  <c r="AE287" i="1"/>
  <c r="AF287" i="1"/>
  <c r="AD288" i="1"/>
  <c r="AE288" i="1"/>
  <c r="AF288" i="1"/>
  <c r="AD289" i="1"/>
  <c r="AE289" i="1"/>
  <c r="AF289" i="1"/>
  <c r="AD290" i="1"/>
  <c r="AE290" i="1"/>
  <c r="AF290" i="1"/>
  <c r="AF278" i="1"/>
  <c r="AE278" i="1"/>
  <c r="AD278" i="1"/>
  <c r="AD273" i="1"/>
  <c r="AE273" i="1"/>
  <c r="AF273" i="1"/>
  <c r="AF272" i="1"/>
  <c r="AF274" i="1" s="1"/>
  <c r="AE272" i="1"/>
  <c r="AE274" i="1" s="1"/>
  <c r="AD272" i="1"/>
  <c r="AD267" i="1"/>
  <c r="AE267" i="1"/>
  <c r="AF267" i="1"/>
  <c r="AD268" i="1"/>
  <c r="AE268" i="1"/>
  <c r="AF268" i="1"/>
  <c r="AF266" i="1"/>
  <c r="AE266" i="1"/>
  <c r="AE269" i="1" s="1"/>
  <c r="AD266" i="1"/>
  <c r="AD269" i="1" s="1"/>
  <c r="AD261" i="1"/>
  <c r="AE261" i="1"/>
  <c r="AF261" i="1"/>
  <c r="AD262" i="1"/>
  <c r="AE262" i="1"/>
  <c r="AF262" i="1"/>
  <c r="AF260" i="1"/>
  <c r="AE260" i="1"/>
  <c r="AD260" i="1"/>
  <c r="AD252" i="1"/>
  <c r="AE252" i="1"/>
  <c r="AF252" i="1"/>
  <c r="AD255" i="1"/>
  <c r="AE255" i="1"/>
  <c r="AF255" i="1"/>
  <c r="AF251" i="1"/>
  <c r="AE251" i="1"/>
  <c r="AD251" i="1"/>
  <c r="AD244" i="1"/>
  <c r="AE244" i="1"/>
  <c r="AF244" i="1"/>
  <c r="AD247" i="1"/>
  <c r="AD248" i="1" s="1"/>
  <c r="AE247" i="1"/>
  <c r="AF247" i="1"/>
  <c r="AF248" i="1" s="1"/>
  <c r="AF243" i="1"/>
  <c r="AE243" i="1"/>
  <c r="AD243" i="1"/>
  <c r="AD234" i="1"/>
  <c r="AE234" i="1"/>
  <c r="AF234" i="1"/>
  <c r="AD235" i="1"/>
  <c r="AE235" i="1"/>
  <c r="AF235" i="1"/>
  <c r="AD236" i="1"/>
  <c r="AE236" i="1"/>
  <c r="AF236" i="1"/>
  <c r="AD238" i="1"/>
  <c r="AE238" i="1"/>
  <c r="AF238" i="1"/>
  <c r="AD237" i="1"/>
  <c r="AE237" i="1"/>
  <c r="AF237" i="1"/>
  <c r="AF233" i="1"/>
  <c r="AE233" i="1"/>
  <c r="AD233" i="1"/>
  <c r="AF232" i="1"/>
  <c r="AE232" i="1"/>
  <c r="AD232" i="1"/>
  <c r="AF222" i="1"/>
  <c r="AE222" i="1"/>
  <c r="AD222" i="1"/>
  <c r="AF221" i="1"/>
  <c r="AE221" i="1"/>
  <c r="AD221" i="1"/>
  <c r="AD218" i="1"/>
  <c r="AE218" i="1"/>
  <c r="AF218" i="1"/>
  <c r="AF217" i="1"/>
  <c r="AE217" i="1"/>
  <c r="AD217" i="1"/>
  <c r="AD209" i="1"/>
  <c r="AE209" i="1"/>
  <c r="AF209" i="1"/>
  <c r="AF213" i="1" s="1"/>
  <c r="AD210" i="1"/>
  <c r="AE210" i="1"/>
  <c r="AF210" i="1"/>
  <c r="AD211" i="1"/>
  <c r="AE211" i="1"/>
  <c r="AF211" i="1"/>
  <c r="AD212" i="1"/>
  <c r="AE212" i="1"/>
  <c r="AF212" i="1"/>
  <c r="AF208" i="1"/>
  <c r="AE208" i="1"/>
  <c r="AD208" i="1"/>
  <c r="AD213" i="1" s="1"/>
  <c r="AD201" i="1"/>
  <c r="AE201" i="1"/>
  <c r="AF201" i="1"/>
  <c r="AF205" i="1" s="1"/>
  <c r="AD202" i="1"/>
  <c r="AE202" i="1"/>
  <c r="AF202" i="1"/>
  <c r="AD203" i="1"/>
  <c r="AE203" i="1"/>
  <c r="AF203" i="1"/>
  <c r="AD204" i="1"/>
  <c r="AE204" i="1"/>
  <c r="AF204" i="1"/>
  <c r="AF200" i="1"/>
  <c r="AE200" i="1"/>
  <c r="AD200" i="1"/>
  <c r="AD205" i="1"/>
  <c r="AD195" i="1"/>
  <c r="AE195" i="1"/>
  <c r="AF195" i="1"/>
  <c r="AD196" i="1"/>
  <c r="AE196" i="1"/>
  <c r="AF196" i="1"/>
  <c r="AF194" i="1"/>
  <c r="AF197" i="1" s="1"/>
  <c r="AE194" i="1"/>
  <c r="AE197" i="1" s="1"/>
  <c r="AD194" i="1"/>
  <c r="AF193" i="1"/>
  <c r="AE193" i="1"/>
  <c r="AD193" i="1"/>
  <c r="AF192" i="1"/>
  <c r="AE192" i="1"/>
  <c r="AD192" i="1"/>
  <c r="AD197" i="1" s="1"/>
  <c r="AD180" i="1"/>
  <c r="AE180" i="1"/>
  <c r="AF180" i="1"/>
  <c r="AD181" i="1"/>
  <c r="AE181" i="1"/>
  <c r="AF181" i="1"/>
  <c r="AD182" i="1"/>
  <c r="AE182" i="1"/>
  <c r="AF182" i="1"/>
  <c r="AD183" i="1"/>
  <c r="AE183" i="1"/>
  <c r="AF183" i="1"/>
  <c r="AD184" i="1"/>
  <c r="AE184" i="1"/>
  <c r="AF184" i="1"/>
  <c r="AD185" i="1"/>
  <c r="AE185" i="1"/>
  <c r="AF185" i="1"/>
  <c r="AD186" i="1"/>
  <c r="AE186" i="1"/>
  <c r="AF186" i="1"/>
  <c r="AF179" i="1"/>
  <c r="AE179" i="1"/>
  <c r="AD179" i="1"/>
  <c r="AD187" i="1" s="1"/>
  <c r="AD169" i="1"/>
  <c r="AE169" i="1"/>
  <c r="AF169" i="1"/>
  <c r="AD170" i="1"/>
  <c r="AE170" i="1"/>
  <c r="AF170" i="1"/>
  <c r="AD171" i="1"/>
  <c r="AE171" i="1"/>
  <c r="AF171" i="1"/>
  <c r="AD172" i="1"/>
  <c r="AE172" i="1"/>
  <c r="AF172" i="1"/>
  <c r="AD173" i="1"/>
  <c r="AE173" i="1"/>
  <c r="AE176" i="1" s="1"/>
  <c r="AF173" i="1"/>
  <c r="AD174" i="1"/>
  <c r="AE174" i="1"/>
  <c r="AF174" i="1"/>
  <c r="AD175" i="1"/>
  <c r="AE175" i="1"/>
  <c r="AF175" i="1"/>
  <c r="AF168" i="1"/>
  <c r="AF176" i="1" s="1"/>
  <c r="AE168" i="1"/>
  <c r="AD168" i="1"/>
  <c r="AD176" i="1" s="1"/>
  <c r="AD158" i="1"/>
  <c r="AE158" i="1"/>
  <c r="AF158" i="1"/>
  <c r="AD159" i="1"/>
  <c r="AD165" i="1" s="1"/>
  <c r="AE159" i="1"/>
  <c r="AF159" i="1"/>
  <c r="AD160" i="1"/>
  <c r="AE160" i="1"/>
  <c r="AF160" i="1"/>
  <c r="AD161" i="1"/>
  <c r="AE161" i="1"/>
  <c r="AF161" i="1"/>
  <c r="AD162" i="1"/>
  <c r="AE162" i="1"/>
  <c r="AF162" i="1"/>
  <c r="AD163" i="1"/>
  <c r="AE163" i="1"/>
  <c r="AF163" i="1"/>
  <c r="AD164" i="1"/>
  <c r="AE164" i="1"/>
  <c r="AF164" i="1"/>
  <c r="AF157" i="1"/>
  <c r="AE157" i="1"/>
  <c r="AD157" i="1"/>
  <c r="AD150" i="1"/>
  <c r="AE150" i="1"/>
  <c r="AF150" i="1"/>
  <c r="AD151" i="1"/>
  <c r="AE151" i="1"/>
  <c r="AE154" i="1" s="1"/>
  <c r="AF151" i="1"/>
  <c r="AD152" i="1"/>
  <c r="AE152" i="1"/>
  <c r="AF152" i="1"/>
  <c r="AF149" i="1"/>
  <c r="AE149" i="1"/>
  <c r="AD149" i="1"/>
  <c r="AD141" i="1"/>
  <c r="AD144" i="1" s="1"/>
  <c r="AE141" i="1"/>
  <c r="AE144" i="1" s="1"/>
  <c r="AF141" i="1"/>
  <c r="AD142" i="1"/>
  <c r="AE142" i="1"/>
  <c r="AF142" i="1"/>
  <c r="AD143" i="1"/>
  <c r="AE143" i="1"/>
  <c r="AF143" i="1"/>
  <c r="AF140" i="1"/>
  <c r="AE140" i="1"/>
  <c r="AD140" i="1"/>
  <c r="AD134" i="1"/>
  <c r="AE134" i="1"/>
  <c r="AF134" i="1"/>
  <c r="AD135" i="1"/>
  <c r="AE135" i="1"/>
  <c r="AF135" i="1"/>
  <c r="AD136" i="1"/>
  <c r="AE136" i="1"/>
  <c r="AF136" i="1"/>
  <c r="AF133" i="1"/>
  <c r="AE133" i="1"/>
  <c r="AD133" i="1"/>
  <c r="AD127" i="1"/>
  <c r="AE127" i="1"/>
  <c r="AE130" i="1" s="1"/>
  <c r="AF127" i="1"/>
  <c r="AD128" i="1"/>
  <c r="AE128" i="1"/>
  <c r="AF128" i="1"/>
  <c r="AD129" i="1"/>
  <c r="AE129" i="1"/>
  <c r="AF129" i="1"/>
  <c r="AF126" i="1"/>
  <c r="AF130" i="1" s="1"/>
  <c r="AE126" i="1"/>
  <c r="AD126" i="1"/>
  <c r="AD88" i="1"/>
  <c r="AE88" i="1"/>
  <c r="AF88" i="1"/>
  <c r="AD89" i="1"/>
  <c r="AE89" i="1"/>
  <c r="AF89" i="1"/>
  <c r="AD90" i="1"/>
  <c r="AE90" i="1"/>
  <c r="AF90" i="1"/>
  <c r="AD91" i="1"/>
  <c r="AE91" i="1"/>
  <c r="AF91" i="1"/>
  <c r="AD92" i="1"/>
  <c r="AE92" i="1"/>
  <c r="AF92" i="1"/>
  <c r="AD93" i="1"/>
  <c r="AE93" i="1"/>
  <c r="AF93" i="1"/>
  <c r="AD94" i="1"/>
  <c r="AE94" i="1"/>
  <c r="AF94" i="1"/>
  <c r="AD95" i="1"/>
  <c r="AE95" i="1"/>
  <c r="AF95" i="1"/>
  <c r="AD96" i="1"/>
  <c r="AE96" i="1"/>
  <c r="AF96" i="1"/>
  <c r="AD97" i="1"/>
  <c r="AE97" i="1"/>
  <c r="AF97" i="1"/>
  <c r="AD98" i="1"/>
  <c r="AE98" i="1"/>
  <c r="AF98" i="1"/>
  <c r="AD99" i="1"/>
  <c r="AE99" i="1"/>
  <c r="AF99" i="1"/>
  <c r="AD100" i="1"/>
  <c r="AE100" i="1"/>
  <c r="AF100" i="1"/>
  <c r="AD101" i="1"/>
  <c r="AE101" i="1"/>
  <c r="AF101" i="1"/>
  <c r="AD102" i="1"/>
  <c r="AE102" i="1"/>
  <c r="AF102" i="1"/>
  <c r="AD103" i="1"/>
  <c r="AE103" i="1"/>
  <c r="AF103" i="1"/>
  <c r="AD104" i="1"/>
  <c r="AE104" i="1"/>
  <c r="AF104" i="1"/>
  <c r="AD105" i="1"/>
  <c r="AE105" i="1"/>
  <c r="AF105" i="1"/>
  <c r="AD106" i="1"/>
  <c r="AE106" i="1"/>
  <c r="AF106" i="1"/>
  <c r="AD107" i="1"/>
  <c r="AE107" i="1"/>
  <c r="AF107" i="1"/>
  <c r="AD108" i="1"/>
  <c r="AE108" i="1"/>
  <c r="AF108" i="1"/>
  <c r="AD109" i="1"/>
  <c r="AE109" i="1"/>
  <c r="AF109" i="1"/>
  <c r="AD110" i="1"/>
  <c r="AE110" i="1"/>
  <c r="AF110" i="1"/>
  <c r="AD111" i="1"/>
  <c r="AE111" i="1"/>
  <c r="AF111" i="1"/>
  <c r="AD112" i="1"/>
  <c r="AE112" i="1"/>
  <c r="AF112" i="1"/>
  <c r="AD113" i="1"/>
  <c r="AE113" i="1"/>
  <c r="AF113" i="1"/>
  <c r="AD114" i="1"/>
  <c r="AE114" i="1"/>
  <c r="AF114" i="1"/>
  <c r="AD116" i="1"/>
  <c r="AE116" i="1"/>
  <c r="AF116" i="1"/>
  <c r="AD117" i="1"/>
  <c r="AE117" i="1"/>
  <c r="AF117" i="1"/>
  <c r="AD118" i="1"/>
  <c r="AE118" i="1"/>
  <c r="AF118" i="1"/>
  <c r="AD119" i="1"/>
  <c r="AE119" i="1"/>
  <c r="AF119" i="1"/>
  <c r="AD120" i="1"/>
  <c r="AE120" i="1"/>
  <c r="AF120" i="1"/>
  <c r="AF87" i="1"/>
  <c r="AE87" i="1"/>
  <c r="AD87" i="1"/>
  <c r="AD49" i="1"/>
  <c r="AE49" i="1"/>
  <c r="AF49" i="1"/>
  <c r="AD50" i="1"/>
  <c r="AE50" i="1"/>
  <c r="AF50" i="1"/>
  <c r="AD51" i="1"/>
  <c r="AE51" i="1"/>
  <c r="AF51" i="1"/>
  <c r="AD52" i="1"/>
  <c r="AE52" i="1"/>
  <c r="AF52" i="1"/>
  <c r="AD53" i="1"/>
  <c r="AE53" i="1"/>
  <c r="AF53" i="1"/>
  <c r="AD54" i="1"/>
  <c r="AE54" i="1"/>
  <c r="AF54" i="1"/>
  <c r="AD55" i="1"/>
  <c r="AE55" i="1"/>
  <c r="AF55" i="1"/>
  <c r="AD56" i="1"/>
  <c r="AE56" i="1"/>
  <c r="AF56" i="1"/>
  <c r="AD57" i="1"/>
  <c r="AE57" i="1"/>
  <c r="AF57" i="1"/>
  <c r="AD58" i="1"/>
  <c r="AE58" i="1"/>
  <c r="AF58" i="1"/>
  <c r="AD59" i="1"/>
  <c r="AE59" i="1"/>
  <c r="AF59" i="1"/>
  <c r="AD60" i="1"/>
  <c r="AE60" i="1"/>
  <c r="AF60" i="1"/>
  <c r="AD61" i="1"/>
  <c r="AE61" i="1"/>
  <c r="AF61" i="1"/>
  <c r="AD62" i="1"/>
  <c r="AE62" i="1"/>
  <c r="AF62" i="1"/>
  <c r="AD63" i="1"/>
  <c r="AE63" i="1"/>
  <c r="AF63" i="1"/>
  <c r="AD64" i="1"/>
  <c r="AE64" i="1"/>
  <c r="AF64" i="1"/>
  <c r="AD65" i="1"/>
  <c r="AE65" i="1"/>
  <c r="AF65" i="1"/>
  <c r="AD66" i="1"/>
  <c r="AE66" i="1"/>
  <c r="AF66" i="1"/>
  <c r="AD67" i="1"/>
  <c r="AE67" i="1"/>
  <c r="AF67" i="1"/>
  <c r="AD68" i="1"/>
  <c r="AE68" i="1"/>
  <c r="AF68" i="1"/>
  <c r="AD69" i="1"/>
  <c r="AE69" i="1"/>
  <c r="AF69" i="1"/>
  <c r="AD70" i="1"/>
  <c r="AE70" i="1"/>
  <c r="AF70" i="1"/>
  <c r="AD71" i="1"/>
  <c r="AE71" i="1"/>
  <c r="AF71" i="1"/>
  <c r="AD72" i="1"/>
  <c r="AE72" i="1"/>
  <c r="AF72" i="1"/>
  <c r="AD73" i="1"/>
  <c r="AE73" i="1"/>
  <c r="AF73" i="1"/>
  <c r="AD74" i="1"/>
  <c r="AE74" i="1"/>
  <c r="AF74" i="1"/>
  <c r="AD75" i="1"/>
  <c r="AE75" i="1"/>
  <c r="AF75" i="1"/>
  <c r="AD76" i="1"/>
  <c r="AE76" i="1"/>
  <c r="AF76" i="1"/>
  <c r="AD78" i="1"/>
  <c r="AE78" i="1"/>
  <c r="AF78" i="1"/>
  <c r="AD79" i="1"/>
  <c r="AE79" i="1"/>
  <c r="AF79" i="1"/>
  <c r="AD80" i="1"/>
  <c r="AE80" i="1"/>
  <c r="AF80" i="1"/>
  <c r="AD81" i="1"/>
  <c r="AE81" i="1"/>
  <c r="AF81" i="1"/>
  <c r="AD82" i="1"/>
  <c r="AE82" i="1"/>
  <c r="AF82" i="1"/>
  <c r="AF48" i="1"/>
  <c r="AE48" i="1"/>
  <c r="AD48" i="1"/>
  <c r="AD11" i="1"/>
  <c r="AE11" i="1"/>
  <c r="AF11" i="1"/>
  <c r="AD12" i="1"/>
  <c r="AE12" i="1"/>
  <c r="AF12" i="1"/>
  <c r="AD13" i="1"/>
  <c r="AE13" i="1"/>
  <c r="AF13" i="1"/>
  <c r="AD14" i="1"/>
  <c r="AE14" i="1"/>
  <c r="AF14" i="1"/>
  <c r="AD15" i="1"/>
  <c r="AE15" i="1"/>
  <c r="AF15" i="1"/>
  <c r="AD16" i="1"/>
  <c r="AE16" i="1"/>
  <c r="AF16" i="1"/>
  <c r="AD17" i="1"/>
  <c r="AE17" i="1"/>
  <c r="AF17" i="1"/>
  <c r="AD18" i="1"/>
  <c r="AE18" i="1"/>
  <c r="AF18" i="1"/>
  <c r="AD19" i="1"/>
  <c r="AE19" i="1"/>
  <c r="AF19" i="1"/>
  <c r="AD20" i="1"/>
  <c r="AE20" i="1"/>
  <c r="AF20" i="1"/>
  <c r="AD21" i="1"/>
  <c r="AE21" i="1"/>
  <c r="AF21" i="1"/>
  <c r="AD22" i="1"/>
  <c r="AE22" i="1"/>
  <c r="AF22" i="1"/>
  <c r="AD23" i="1"/>
  <c r="AE23" i="1"/>
  <c r="AF23" i="1"/>
  <c r="AD24" i="1"/>
  <c r="AE24" i="1"/>
  <c r="AF24" i="1"/>
  <c r="AD25" i="1"/>
  <c r="AE25" i="1"/>
  <c r="AF25" i="1"/>
  <c r="AD26" i="1"/>
  <c r="AE26" i="1"/>
  <c r="AF26" i="1"/>
  <c r="AD27" i="1"/>
  <c r="AE27" i="1"/>
  <c r="AF27" i="1"/>
  <c r="AD28" i="1"/>
  <c r="AE28" i="1"/>
  <c r="AF28" i="1"/>
  <c r="AD29" i="1"/>
  <c r="AE29" i="1"/>
  <c r="AF29" i="1"/>
  <c r="AD30" i="1"/>
  <c r="AE30" i="1"/>
  <c r="AF30" i="1"/>
  <c r="AD31" i="1"/>
  <c r="AE31" i="1"/>
  <c r="AF31" i="1"/>
  <c r="AD32" i="1"/>
  <c r="AE32" i="1"/>
  <c r="AF32" i="1"/>
  <c r="AD33" i="1"/>
  <c r="AE33" i="1"/>
  <c r="AF33" i="1"/>
  <c r="AD34" i="1"/>
  <c r="AE34" i="1"/>
  <c r="AF34" i="1"/>
  <c r="AD35" i="1"/>
  <c r="AE35" i="1"/>
  <c r="AF35" i="1"/>
  <c r="AD36" i="1"/>
  <c r="AE36" i="1"/>
  <c r="AF36" i="1"/>
  <c r="AD37" i="1"/>
  <c r="AE37" i="1"/>
  <c r="AF37" i="1"/>
  <c r="AD39" i="1"/>
  <c r="AE39" i="1"/>
  <c r="AF39" i="1"/>
  <c r="AD40" i="1"/>
  <c r="AE40" i="1"/>
  <c r="AF40" i="1"/>
  <c r="AD41" i="1"/>
  <c r="AE41" i="1"/>
  <c r="AF41" i="1"/>
  <c r="AD42" i="1"/>
  <c r="AE42" i="1"/>
  <c r="AF42" i="1"/>
  <c r="AD43" i="1"/>
  <c r="AE43" i="1"/>
  <c r="AF43" i="1"/>
  <c r="AE10" i="1"/>
  <c r="AF10" i="1"/>
  <c r="AD10" i="1"/>
  <c r="AA477" i="1"/>
  <c r="AB477" i="1"/>
  <c r="AA478" i="1"/>
  <c r="AB478" i="1"/>
  <c r="AB476" i="1"/>
  <c r="AA476" i="1"/>
  <c r="AC476" i="1" s="1"/>
  <c r="AB474" i="1"/>
  <c r="AA474" i="1"/>
  <c r="AA467" i="1"/>
  <c r="AB467" i="1"/>
  <c r="AA468" i="1"/>
  <c r="AB468" i="1"/>
  <c r="AC468" i="1"/>
  <c r="AA449" i="1"/>
  <c r="AB449" i="1"/>
  <c r="AA445" i="1"/>
  <c r="AB445" i="1"/>
  <c r="AC445" i="1" s="1"/>
  <c r="AA446" i="1"/>
  <c r="AB446" i="1"/>
  <c r="AA447" i="1"/>
  <c r="AB447" i="1"/>
  <c r="AA448" i="1"/>
  <c r="AB448" i="1"/>
  <c r="AA443" i="1"/>
  <c r="AB443" i="1"/>
  <c r="AC443" i="1" s="1"/>
  <c r="AA444" i="1"/>
  <c r="AC444" i="1" s="1"/>
  <c r="AB444" i="1"/>
  <c r="AA436" i="1"/>
  <c r="AB436" i="1"/>
  <c r="AA438" i="1"/>
  <c r="AB438" i="1"/>
  <c r="AC438" i="1" s="1"/>
  <c r="AA429" i="1"/>
  <c r="AB429" i="1"/>
  <c r="AC429" i="1" s="1"/>
  <c r="AA423" i="1"/>
  <c r="AC423" i="1" s="1"/>
  <c r="AB423" i="1"/>
  <c r="AA427" i="1"/>
  <c r="AB427" i="1"/>
  <c r="AA428" i="1"/>
  <c r="AB428" i="1"/>
  <c r="AA415" i="1"/>
  <c r="AB415" i="1"/>
  <c r="AA416" i="1"/>
  <c r="AC416" i="1" s="1"/>
  <c r="AB416" i="1"/>
  <c r="AA410" i="1"/>
  <c r="AB410" i="1"/>
  <c r="AA365" i="1"/>
  <c r="AB365" i="1"/>
  <c r="AC365" i="1" s="1"/>
  <c r="AA354" i="1"/>
  <c r="AC354" i="1" s="1"/>
  <c r="AB354" i="1"/>
  <c r="AA298" i="1"/>
  <c r="AC298" i="1" s="1"/>
  <c r="AB298" i="1"/>
  <c r="AA295" i="1"/>
  <c r="AB295" i="1"/>
  <c r="AA268" i="1"/>
  <c r="AB268" i="1"/>
  <c r="AB252" i="1"/>
  <c r="AC252" i="1"/>
  <c r="AA252" i="1"/>
  <c r="AA244" i="1"/>
  <c r="AB244" i="1"/>
  <c r="AA174" i="1"/>
  <c r="AB174" i="1"/>
  <c r="AB140" i="1"/>
  <c r="AA133" i="1"/>
  <c r="AB133" i="1"/>
  <c r="AA127" i="1"/>
  <c r="AC127" i="1" s="1"/>
  <c r="AB127" i="1"/>
  <c r="AA128" i="1"/>
  <c r="AB128" i="1"/>
  <c r="AA129" i="1"/>
  <c r="AB129" i="1"/>
  <c r="AB126" i="1"/>
  <c r="AB130" i="1" s="1"/>
  <c r="X487" i="1"/>
  <c r="X490" i="1" s="1"/>
  <c r="Y487" i="1"/>
  <c r="X488" i="1"/>
  <c r="Y488" i="1"/>
  <c r="Y486" i="1"/>
  <c r="X486" i="1"/>
  <c r="X482" i="1"/>
  <c r="Y482" i="1"/>
  <c r="Y481" i="1"/>
  <c r="X481" i="1"/>
  <c r="X477" i="1"/>
  <c r="Y477" i="1"/>
  <c r="X478" i="1"/>
  <c r="Y478" i="1"/>
  <c r="Z478" i="1" s="1"/>
  <c r="Y476" i="1"/>
  <c r="X476" i="1"/>
  <c r="Y474" i="1"/>
  <c r="X474" i="1"/>
  <c r="Z474" i="1" s="1"/>
  <c r="X468" i="1"/>
  <c r="Y468" i="1"/>
  <c r="X469" i="1"/>
  <c r="Y469" i="1"/>
  <c r="X472" i="1"/>
  <c r="Z472" i="1" s="1"/>
  <c r="Y472" i="1"/>
  <c r="X465" i="1"/>
  <c r="Y465" i="1"/>
  <c r="X466" i="1"/>
  <c r="Y466" i="1"/>
  <c r="X467" i="1"/>
  <c r="Y467" i="1"/>
  <c r="X462" i="1"/>
  <c r="Y462" i="1"/>
  <c r="X463" i="1"/>
  <c r="Y463" i="1"/>
  <c r="X464" i="1"/>
  <c r="Y464" i="1"/>
  <c r="X460" i="1"/>
  <c r="Y460" i="1"/>
  <c r="X461" i="1"/>
  <c r="Z461" i="1" s="1"/>
  <c r="Y461" i="1"/>
  <c r="X459" i="1"/>
  <c r="Y459" i="1"/>
  <c r="X456" i="1"/>
  <c r="Y456" i="1"/>
  <c r="Z456" i="1" s="1"/>
  <c r="X457" i="1"/>
  <c r="Y457" i="1"/>
  <c r="X458" i="1"/>
  <c r="Y458" i="1"/>
  <c r="Y455" i="1"/>
  <c r="X455" i="1"/>
  <c r="X449" i="1"/>
  <c r="Y449" i="1"/>
  <c r="X445" i="1"/>
  <c r="Y445" i="1"/>
  <c r="X446" i="1"/>
  <c r="Y446" i="1"/>
  <c r="X447" i="1"/>
  <c r="Y447" i="1"/>
  <c r="X448" i="1"/>
  <c r="Y448" i="1"/>
  <c r="Z448" i="1" s="1"/>
  <c r="X442" i="1"/>
  <c r="Y442" i="1"/>
  <c r="X443" i="1"/>
  <c r="Y443" i="1"/>
  <c r="Z443" i="1" s="1"/>
  <c r="X444" i="1"/>
  <c r="Y444" i="1"/>
  <c r="X439" i="1"/>
  <c r="Y439" i="1"/>
  <c r="Y452" i="1" s="1"/>
  <c r="X440" i="1"/>
  <c r="Y440" i="1"/>
  <c r="X441" i="1"/>
  <c r="Y441" i="1"/>
  <c r="X435" i="1"/>
  <c r="Y435" i="1"/>
  <c r="Z435" i="1"/>
  <c r="X436" i="1"/>
  <c r="Z436" i="1"/>
  <c r="Y436" i="1"/>
  <c r="X437" i="1"/>
  <c r="Y437" i="1"/>
  <c r="X438" i="1"/>
  <c r="Y438" i="1"/>
  <c r="Y434" i="1"/>
  <c r="X434" i="1"/>
  <c r="Z434" i="1" s="1"/>
  <c r="X427" i="1"/>
  <c r="Y427" i="1"/>
  <c r="Z427" i="1" s="1"/>
  <c r="X428" i="1"/>
  <c r="Z428" i="1" s="1"/>
  <c r="Y428" i="1"/>
  <c r="X429" i="1"/>
  <c r="Y429" i="1"/>
  <c r="X422" i="1"/>
  <c r="Z422" i="1" s="1"/>
  <c r="Y422" i="1"/>
  <c r="X423" i="1"/>
  <c r="Z423" i="1"/>
  <c r="Y423" i="1"/>
  <c r="X419" i="1"/>
  <c r="Y419" i="1"/>
  <c r="X420" i="1"/>
  <c r="Y420" i="1"/>
  <c r="X421" i="1"/>
  <c r="Y421" i="1"/>
  <c r="Z421" i="1"/>
  <c r="X415" i="1"/>
  <c r="Y415" i="1"/>
  <c r="X416" i="1"/>
  <c r="Y416" i="1"/>
  <c r="X417" i="1"/>
  <c r="Y417" i="1"/>
  <c r="X418" i="1"/>
  <c r="Z418" i="1" s="1"/>
  <c r="Y418" i="1"/>
  <c r="Y414" i="1"/>
  <c r="X414" i="1"/>
  <c r="Z414" i="1" s="1"/>
  <c r="X409" i="1"/>
  <c r="Y409" i="1"/>
  <c r="X410" i="1"/>
  <c r="Z410" i="1"/>
  <c r="Y410" i="1"/>
  <c r="X404" i="1"/>
  <c r="Y404" i="1"/>
  <c r="Z404" i="1"/>
  <c r="X407" i="1"/>
  <c r="Y407" i="1"/>
  <c r="X408" i="1"/>
  <c r="Y408" i="1"/>
  <c r="Z408" i="1" s="1"/>
  <c r="X401" i="1"/>
  <c r="Y401" i="1"/>
  <c r="X402" i="1"/>
  <c r="Y402" i="1"/>
  <c r="X403" i="1"/>
  <c r="Y403" i="1"/>
  <c r="Z403" i="1" s="1"/>
  <c r="X396" i="1"/>
  <c r="Y396" i="1"/>
  <c r="Z396" i="1" s="1"/>
  <c r="X397" i="1"/>
  <c r="Y397" i="1"/>
  <c r="X398" i="1"/>
  <c r="Y398" i="1"/>
  <c r="Z398" i="1" s="1"/>
  <c r="X399" i="1"/>
  <c r="Y399" i="1"/>
  <c r="X400" i="1"/>
  <c r="Y400" i="1"/>
  <c r="Y395" i="1"/>
  <c r="X395" i="1"/>
  <c r="X384" i="1"/>
  <c r="Y384" i="1"/>
  <c r="X385" i="1"/>
  <c r="Z385" i="1" s="1"/>
  <c r="Y385" i="1"/>
  <c r="X382" i="1"/>
  <c r="Y382" i="1"/>
  <c r="X383" i="1"/>
  <c r="Y383" i="1"/>
  <c r="X379" i="1"/>
  <c r="Y379" i="1"/>
  <c r="X228" i="1"/>
  <c r="Y228" i="1"/>
  <c r="Z228" i="1" s="1"/>
  <c r="X229" i="1"/>
  <c r="Y229" i="1"/>
  <c r="X226" i="1"/>
  <c r="Y226" i="1"/>
  <c r="X227" i="1"/>
  <c r="Y227" i="1"/>
  <c r="Y225" i="1"/>
  <c r="X225" i="1"/>
  <c r="Z225" i="1" s="1"/>
  <c r="X389" i="1"/>
  <c r="Y389" i="1"/>
  <c r="X388" i="1"/>
  <c r="Y388" i="1"/>
  <c r="X378" i="1"/>
  <c r="Z378" i="1"/>
  <c r="Y378" i="1"/>
  <c r="X387" i="1"/>
  <c r="Y387" i="1"/>
  <c r="X377" i="1"/>
  <c r="Z377" i="1"/>
  <c r="Y377" i="1"/>
  <c r="X375" i="1"/>
  <c r="Y375" i="1"/>
  <c r="X376" i="1"/>
  <c r="Y376" i="1"/>
  <c r="X371" i="1"/>
  <c r="Y371" i="1"/>
  <c r="X372" i="1"/>
  <c r="Y372" i="1"/>
  <c r="X373" i="1"/>
  <c r="Y373" i="1"/>
  <c r="X374" i="1"/>
  <c r="Y374" i="1"/>
  <c r="X367" i="1"/>
  <c r="Y367" i="1"/>
  <c r="X368" i="1"/>
  <c r="Y368" i="1"/>
  <c r="X369" i="1"/>
  <c r="Y369" i="1"/>
  <c r="X370" i="1"/>
  <c r="Y370" i="1"/>
  <c r="X364" i="1"/>
  <c r="Y364" i="1"/>
  <c r="X365" i="1"/>
  <c r="Z365" i="1"/>
  <c r="Y365" i="1"/>
  <c r="X366" i="1"/>
  <c r="Y366" i="1"/>
  <c r="X362" i="1"/>
  <c r="Y362" i="1"/>
  <c r="X363" i="1"/>
  <c r="Y363" i="1"/>
  <c r="Y361" i="1"/>
  <c r="Z361" i="1" s="1"/>
  <c r="X361" i="1"/>
  <c r="X353" i="1"/>
  <c r="Y353" i="1"/>
  <c r="X354" i="1"/>
  <c r="Y354" i="1"/>
  <c r="X351" i="1"/>
  <c r="Y351" i="1"/>
  <c r="X352" i="1"/>
  <c r="Z352" i="1" s="1"/>
  <c r="Y352" i="1"/>
  <c r="X350" i="1"/>
  <c r="Y350" i="1"/>
  <c r="Y349" i="1"/>
  <c r="X349" i="1"/>
  <c r="X342" i="1"/>
  <c r="Y342" i="1"/>
  <c r="X343" i="1"/>
  <c r="Y343" i="1"/>
  <c r="X344" i="1"/>
  <c r="Y344" i="1"/>
  <c r="X340" i="1"/>
  <c r="Z340" i="1" s="1"/>
  <c r="Y340" i="1"/>
  <c r="X341" i="1"/>
  <c r="Y341" i="1"/>
  <c r="Y339" i="1"/>
  <c r="X339" i="1"/>
  <c r="X331" i="1"/>
  <c r="Y331" i="1"/>
  <c r="X330" i="1"/>
  <c r="Y330" i="1"/>
  <c r="X328" i="1"/>
  <c r="Y328" i="1"/>
  <c r="X329" i="1"/>
  <c r="Y329" i="1"/>
  <c r="X327" i="1"/>
  <c r="Y327" i="1"/>
  <c r="Y326" i="1"/>
  <c r="Z326" i="1" s="1"/>
  <c r="X326" i="1"/>
  <c r="X321" i="1"/>
  <c r="Y321" i="1"/>
  <c r="X322" i="1"/>
  <c r="Z322" i="1"/>
  <c r="Y322" i="1"/>
  <c r="X319" i="1"/>
  <c r="Y319" i="1"/>
  <c r="X320" i="1"/>
  <c r="Y320" i="1"/>
  <c r="X316" i="1"/>
  <c r="Y316" i="1"/>
  <c r="X317" i="1"/>
  <c r="Z317" i="1" s="1"/>
  <c r="Y317" i="1"/>
  <c r="X318" i="1"/>
  <c r="Y318" i="1"/>
  <c r="X315" i="1"/>
  <c r="Y315" i="1"/>
  <c r="X313" i="1"/>
  <c r="Y313" i="1"/>
  <c r="X314" i="1"/>
  <c r="Y314" i="1"/>
  <c r="X311" i="1"/>
  <c r="Y311" i="1"/>
  <c r="X312" i="1"/>
  <c r="Z312" i="1" s="1"/>
  <c r="Y312" i="1"/>
  <c r="Y310" i="1"/>
  <c r="X310" i="1"/>
  <c r="X306" i="1"/>
  <c r="Y306" i="1"/>
  <c r="X304" i="1"/>
  <c r="Y304" i="1"/>
  <c r="X305" i="1"/>
  <c r="Y305" i="1"/>
  <c r="Z305" i="1" s="1"/>
  <c r="X303" i="1"/>
  <c r="Y303" i="1"/>
  <c r="X302" i="1"/>
  <c r="Y302" i="1"/>
  <c r="X301" i="1"/>
  <c r="Z301" i="1" s="1"/>
  <c r="Y301" i="1"/>
  <c r="X300" i="1"/>
  <c r="Y300" i="1"/>
  <c r="X298" i="1"/>
  <c r="Y298" i="1"/>
  <c r="X299" i="1"/>
  <c r="Y299" i="1"/>
  <c r="X295" i="1"/>
  <c r="Y295" i="1"/>
  <c r="X296" i="1"/>
  <c r="Y296" i="1"/>
  <c r="X297" i="1"/>
  <c r="Y297" i="1"/>
  <c r="Y294" i="1"/>
  <c r="X294" i="1"/>
  <c r="X289" i="1"/>
  <c r="Y289" i="1"/>
  <c r="X290" i="1"/>
  <c r="Z290" i="1"/>
  <c r="Y290" i="1"/>
  <c r="X288" i="1"/>
  <c r="Y288" i="1"/>
  <c r="X287" i="1"/>
  <c r="Y287" i="1"/>
  <c r="X286" i="1"/>
  <c r="Y286" i="1"/>
  <c r="Z286" i="1" s="1"/>
  <c r="X285" i="1"/>
  <c r="Z285" i="1" s="1"/>
  <c r="Y285" i="1"/>
  <c r="X284" i="1"/>
  <c r="Y284" i="1"/>
  <c r="Z284" i="1"/>
  <c r="X283" i="1"/>
  <c r="Y283" i="1"/>
  <c r="X282" i="1"/>
  <c r="Y282" i="1"/>
  <c r="X280" i="1"/>
  <c r="Z280" i="1"/>
  <c r="Y280" i="1"/>
  <c r="X281" i="1"/>
  <c r="Y281" i="1"/>
  <c r="X279" i="1"/>
  <c r="Y279" i="1"/>
  <c r="Y278" i="1"/>
  <c r="Z278" i="1" s="1"/>
  <c r="X278" i="1"/>
  <c r="Y273" i="1"/>
  <c r="Y274" i="1" s="1"/>
  <c r="X273" i="1"/>
  <c r="Y272" i="1"/>
  <c r="X272" i="1"/>
  <c r="Y268" i="1"/>
  <c r="X268" i="1"/>
  <c r="Y267" i="1"/>
  <c r="X267" i="1"/>
  <c r="Y266" i="1"/>
  <c r="X266" i="1"/>
  <c r="X269" i="1" s="1"/>
  <c r="X261" i="1"/>
  <c r="X263" i="1" s="1"/>
  <c r="Y261" i="1"/>
  <c r="X262" i="1"/>
  <c r="Z262" i="1"/>
  <c r="Y262" i="1"/>
  <c r="Y260" i="1"/>
  <c r="X260" i="1"/>
  <c r="X252" i="1"/>
  <c r="Y252" i="1"/>
  <c r="X255" i="1"/>
  <c r="Y255" i="1"/>
  <c r="Y251" i="1"/>
  <c r="Z251" i="1" s="1"/>
  <c r="X251" i="1"/>
  <c r="X247" i="1"/>
  <c r="Y247" i="1"/>
  <c r="Z247" i="1"/>
  <c r="X244" i="1"/>
  <c r="Z244" i="1" s="1"/>
  <c r="Y244" i="1"/>
  <c r="Y243" i="1"/>
  <c r="X243" i="1"/>
  <c r="X233" i="1"/>
  <c r="Y233" i="1"/>
  <c r="X234" i="1"/>
  <c r="Y234" i="1"/>
  <c r="X235" i="1"/>
  <c r="Y235" i="1"/>
  <c r="X236" i="1"/>
  <c r="Y236" i="1"/>
  <c r="X238" i="1"/>
  <c r="Y238" i="1"/>
  <c r="X237" i="1"/>
  <c r="Y237" i="1"/>
  <c r="Z237" i="1" s="1"/>
  <c r="Y232" i="1"/>
  <c r="X232" i="1"/>
  <c r="X222" i="1"/>
  <c r="Y222" i="1"/>
  <c r="Y221" i="1"/>
  <c r="X221" i="1"/>
  <c r="X218" i="1"/>
  <c r="Z218" i="1" s="1"/>
  <c r="Y218" i="1"/>
  <c r="Y217" i="1"/>
  <c r="X217" i="1"/>
  <c r="X209" i="1"/>
  <c r="Y209" i="1"/>
  <c r="X210" i="1"/>
  <c r="Y210" i="1"/>
  <c r="X211" i="1"/>
  <c r="Y211" i="1"/>
  <c r="X212" i="1"/>
  <c r="Y212" i="1"/>
  <c r="Y208" i="1"/>
  <c r="X208" i="1"/>
  <c r="X203" i="1"/>
  <c r="Y203" i="1"/>
  <c r="X204" i="1"/>
  <c r="Z204" i="1" s="1"/>
  <c r="Y204" i="1"/>
  <c r="X201" i="1"/>
  <c r="Y201" i="1"/>
  <c r="X202" i="1"/>
  <c r="Y202" i="1"/>
  <c r="Z202" i="1"/>
  <c r="Y200" i="1"/>
  <c r="Y205" i="1" s="1"/>
  <c r="X200" i="1"/>
  <c r="X195" i="1"/>
  <c r="Y195" i="1"/>
  <c r="X196" i="1"/>
  <c r="Y196" i="1"/>
  <c r="X193" i="1"/>
  <c r="Y193" i="1"/>
  <c r="X194" i="1"/>
  <c r="Y194" i="1"/>
  <c r="Y192" i="1"/>
  <c r="X192" i="1"/>
  <c r="X197" i="1" s="1"/>
  <c r="X186" i="1"/>
  <c r="Y186" i="1"/>
  <c r="Z186" i="1" s="1"/>
  <c r="X185" i="1"/>
  <c r="Y185" i="1"/>
  <c r="X184" i="1"/>
  <c r="Y184" i="1"/>
  <c r="X182" i="1"/>
  <c r="Y182" i="1"/>
  <c r="Z182" i="1" s="1"/>
  <c r="X183" i="1"/>
  <c r="Y183" i="1"/>
  <c r="X181" i="1"/>
  <c r="Y181" i="1"/>
  <c r="X180" i="1"/>
  <c r="X187" i="1" s="1"/>
  <c r="Y180" i="1"/>
  <c r="Y179" i="1"/>
  <c r="X179" i="1"/>
  <c r="X174" i="1"/>
  <c r="Y174" i="1"/>
  <c r="X175" i="1"/>
  <c r="Y175" i="1"/>
  <c r="X169" i="1"/>
  <c r="Y169" i="1"/>
  <c r="X170" i="1"/>
  <c r="Y170" i="1"/>
  <c r="X171" i="1"/>
  <c r="Y171" i="1"/>
  <c r="X172" i="1"/>
  <c r="Z172" i="1" s="1"/>
  <c r="Y172" i="1"/>
  <c r="X173" i="1"/>
  <c r="Z173" i="1"/>
  <c r="Y173" i="1"/>
  <c r="Y168" i="1"/>
  <c r="X168" i="1"/>
  <c r="X164" i="1"/>
  <c r="Z164" i="1"/>
  <c r="Y164" i="1"/>
  <c r="X163" i="1"/>
  <c r="Z163" i="1"/>
  <c r="Y163" i="1"/>
  <c r="X162" i="1"/>
  <c r="Y162" i="1"/>
  <c r="X160" i="1"/>
  <c r="Y160" i="1"/>
  <c r="X161" i="1"/>
  <c r="Y161" i="1"/>
  <c r="Z161" i="1" s="1"/>
  <c r="X158" i="1"/>
  <c r="Z158" i="1" s="1"/>
  <c r="Y158" i="1"/>
  <c r="X159" i="1"/>
  <c r="Y159" i="1"/>
  <c r="Y157" i="1"/>
  <c r="X157" i="1"/>
  <c r="X150" i="1"/>
  <c r="Y150" i="1"/>
  <c r="X151" i="1"/>
  <c r="Y151" i="1"/>
  <c r="X152" i="1"/>
  <c r="Y152" i="1"/>
  <c r="Z152" i="1" s="1"/>
  <c r="Y149" i="1"/>
  <c r="Y154" i="1" s="1"/>
  <c r="X149" i="1"/>
  <c r="X141" i="1"/>
  <c r="Y141" i="1"/>
  <c r="Z141" i="1" s="1"/>
  <c r="X142" i="1"/>
  <c r="Y142" i="1"/>
  <c r="X143" i="1"/>
  <c r="Y143" i="1"/>
  <c r="Y140" i="1"/>
  <c r="X140" i="1"/>
  <c r="X134" i="1"/>
  <c r="Y134" i="1"/>
  <c r="X135" i="1"/>
  <c r="Y135" i="1"/>
  <c r="Z135" i="1" s="1"/>
  <c r="X136" i="1"/>
  <c r="Z136" i="1" s="1"/>
  <c r="Y136" i="1"/>
  <c r="Y133" i="1"/>
  <c r="Y137" i="1" s="1"/>
  <c r="X133" i="1"/>
  <c r="X137" i="1" s="1"/>
  <c r="X127" i="1"/>
  <c r="Y127" i="1"/>
  <c r="X128" i="1"/>
  <c r="Y128" i="1"/>
  <c r="Z128" i="1" s="1"/>
  <c r="X129" i="1"/>
  <c r="Y129" i="1"/>
  <c r="Y126" i="1"/>
  <c r="Y130" i="1" s="1"/>
  <c r="X126" i="1"/>
  <c r="X120" i="1"/>
  <c r="Y120" i="1"/>
  <c r="X119" i="1"/>
  <c r="Z119" i="1"/>
  <c r="Y119" i="1"/>
  <c r="X117" i="1"/>
  <c r="Y117" i="1"/>
  <c r="Z117" i="1" s="1"/>
  <c r="X118" i="1"/>
  <c r="Y118" i="1"/>
  <c r="X116" i="1"/>
  <c r="Y116" i="1"/>
  <c r="X113" i="1"/>
  <c r="Y113" i="1"/>
  <c r="X114" i="1"/>
  <c r="Y114" i="1"/>
  <c r="X111" i="1"/>
  <c r="Y111" i="1"/>
  <c r="X112" i="1"/>
  <c r="Y112" i="1"/>
  <c r="X108" i="1"/>
  <c r="Y108" i="1"/>
  <c r="Z108" i="1" s="1"/>
  <c r="X109" i="1"/>
  <c r="Y109" i="1"/>
  <c r="X110" i="1"/>
  <c r="Y110" i="1"/>
  <c r="X107" i="1"/>
  <c r="Y107" i="1"/>
  <c r="X105" i="1"/>
  <c r="Z105" i="1"/>
  <c r="Y105" i="1"/>
  <c r="X106" i="1"/>
  <c r="Y106" i="1"/>
  <c r="X103" i="1"/>
  <c r="Y103" i="1"/>
  <c r="X104" i="1"/>
  <c r="Y104" i="1"/>
  <c r="X101" i="1"/>
  <c r="Z101" i="1" s="1"/>
  <c r="Y101" i="1"/>
  <c r="X102" i="1"/>
  <c r="Y102" i="1"/>
  <c r="X100" i="1"/>
  <c r="Y100" i="1"/>
  <c r="X99" i="1"/>
  <c r="Y99" i="1"/>
  <c r="X98" i="1"/>
  <c r="Z98" i="1" s="1"/>
  <c r="Y98" i="1"/>
  <c r="X97" i="1"/>
  <c r="Y97" i="1"/>
  <c r="X96" i="1"/>
  <c r="Y96" i="1"/>
  <c r="X95" i="1"/>
  <c r="Y95" i="1"/>
  <c r="X94" i="1"/>
  <c r="Y94" i="1"/>
  <c r="X93" i="1"/>
  <c r="Y93" i="1"/>
  <c r="X92" i="1"/>
  <c r="Y92" i="1"/>
  <c r="X91" i="1"/>
  <c r="Y91" i="1"/>
  <c r="X90" i="1"/>
  <c r="Y90" i="1"/>
  <c r="X89" i="1"/>
  <c r="Y89" i="1"/>
  <c r="Y122" i="1" s="1"/>
  <c r="X88" i="1"/>
  <c r="Y88" i="1"/>
  <c r="Y87" i="1"/>
  <c r="X87" i="1"/>
  <c r="X81" i="1"/>
  <c r="Z81" i="1" s="1"/>
  <c r="Y81" i="1"/>
  <c r="X82" i="1"/>
  <c r="Y82" i="1"/>
  <c r="X79" i="1"/>
  <c r="Z79" i="1"/>
  <c r="Y79" i="1"/>
  <c r="X80" i="1"/>
  <c r="Y80" i="1"/>
  <c r="Z80" i="1" s="1"/>
  <c r="X78" i="1"/>
  <c r="Y78" i="1"/>
  <c r="X75" i="1"/>
  <c r="Y75" i="1"/>
  <c r="X76" i="1"/>
  <c r="Z76" i="1" s="1"/>
  <c r="Y76" i="1"/>
  <c r="X71" i="1"/>
  <c r="Y71" i="1"/>
  <c r="X72" i="1"/>
  <c r="Y72" i="1"/>
  <c r="Z72" i="1" s="1"/>
  <c r="X73" i="1"/>
  <c r="Z73" i="1" s="1"/>
  <c r="Y73" i="1"/>
  <c r="X74" i="1"/>
  <c r="Y74" i="1"/>
  <c r="X69" i="1"/>
  <c r="Y69" i="1"/>
  <c r="X70" i="1"/>
  <c r="Y70" i="1"/>
  <c r="Y68" i="1"/>
  <c r="X68" i="1"/>
  <c r="Z68" i="1"/>
  <c r="Y67" i="1"/>
  <c r="X67" i="1"/>
  <c r="X63" i="1"/>
  <c r="Y63" i="1"/>
  <c r="X64" i="1"/>
  <c r="Z64" i="1" s="1"/>
  <c r="Y64" i="1"/>
  <c r="X65" i="1"/>
  <c r="Y65" i="1"/>
  <c r="X66" i="1"/>
  <c r="Y66" i="1"/>
  <c r="X62" i="1"/>
  <c r="Y62" i="1"/>
  <c r="Z62" i="1"/>
  <c r="X61" i="1"/>
  <c r="Y61" i="1"/>
  <c r="X58" i="1"/>
  <c r="Y58" i="1"/>
  <c r="X59" i="1"/>
  <c r="Y59" i="1"/>
  <c r="X60" i="1"/>
  <c r="Y60" i="1"/>
  <c r="X55" i="1"/>
  <c r="Y55" i="1"/>
  <c r="X56" i="1"/>
  <c r="Y56" i="1"/>
  <c r="X57" i="1"/>
  <c r="Y57" i="1"/>
  <c r="X52" i="1"/>
  <c r="Y52" i="1"/>
  <c r="X53" i="1"/>
  <c r="Y53" i="1"/>
  <c r="X54" i="1"/>
  <c r="Y54" i="1"/>
  <c r="X49" i="1"/>
  <c r="Y49" i="1"/>
  <c r="X50" i="1"/>
  <c r="Y50" i="1"/>
  <c r="X51" i="1"/>
  <c r="Y51" i="1"/>
  <c r="Y48" i="1"/>
  <c r="X48" i="1"/>
  <c r="X41" i="1"/>
  <c r="Y41" i="1"/>
  <c r="Z41" i="1" s="1"/>
  <c r="X42" i="1"/>
  <c r="Y42" i="1"/>
  <c r="X43" i="1"/>
  <c r="Y43" i="1"/>
  <c r="X37" i="1"/>
  <c r="Z37" i="1" s="1"/>
  <c r="Y37" i="1"/>
  <c r="X39" i="1"/>
  <c r="Y39" i="1"/>
  <c r="X40" i="1"/>
  <c r="Y40" i="1"/>
  <c r="X34" i="1"/>
  <c r="Z34" i="1" s="1"/>
  <c r="Y34" i="1"/>
  <c r="X35" i="1"/>
  <c r="Y35" i="1"/>
  <c r="X36" i="1"/>
  <c r="Y36" i="1"/>
  <c r="X31" i="1"/>
  <c r="Y31" i="1"/>
  <c r="Z31" i="1" s="1"/>
  <c r="X32" i="1"/>
  <c r="Y32" i="1"/>
  <c r="X33" i="1"/>
  <c r="Y33" i="1"/>
  <c r="X28" i="1"/>
  <c r="Y28" i="1"/>
  <c r="X29" i="1"/>
  <c r="Y29" i="1"/>
  <c r="Z29" i="1" s="1"/>
  <c r="X30" i="1"/>
  <c r="Z30" i="1"/>
  <c r="Y30" i="1"/>
  <c r="X27" i="1"/>
  <c r="Y27" i="1"/>
  <c r="X26" i="1"/>
  <c r="Y26" i="1"/>
  <c r="X24" i="1"/>
  <c r="Z24" i="1" s="1"/>
  <c r="Y24" i="1"/>
  <c r="X25" i="1"/>
  <c r="Z25" i="1" s="1"/>
  <c r="Y25" i="1"/>
  <c r="X23" i="1"/>
  <c r="Y23" i="1"/>
  <c r="X20" i="1"/>
  <c r="Y20" i="1"/>
  <c r="Z20" i="1" s="1"/>
  <c r="X21" i="1"/>
  <c r="Z21" i="1" s="1"/>
  <c r="Y21" i="1"/>
  <c r="X22" i="1"/>
  <c r="Z22" i="1"/>
  <c r="Y22" i="1"/>
  <c r="X16" i="1"/>
  <c r="Y16" i="1"/>
  <c r="X17" i="1"/>
  <c r="Y17" i="1"/>
  <c r="X18" i="1"/>
  <c r="Y18" i="1"/>
  <c r="X19" i="1"/>
  <c r="Y19" i="1"/>
  <c r="X11" i="1"/>
  <c r="Y11" i="1"/>
  <c r="X12" i="1"/>
  <c r="Y12" i="1"/>
  <c r="X13" i="1"/>
  <c r="Y13" i="1"/>
  <c r="X14" i="1"/>
  <c r="Y14" i="1"/>
  <c r="X15" i="1"/>
  <c r="Y15" i="1"/>
  <c r="Z15" i="1" s="1"/>
  <c r="Y10" i="1"/>
  <c r="Y45" i="1" s="1"/>
  <c r="X10" i="1"/>
  <c r="AB488" i="1"/>
  <c r="AA488" i="1"/>
  <c r="AC488" i="1" s="1"/>
  <c r="AB487" i="1"/>
  <c r="AC487" i="1" s="1"/>
  <c r="AA487" i="1"/>
  <c r="AB486" i="1"/>
  <c r="AA486" i="1"/>
  <c r="AC486" i="1"/>
  <c r="AB482" i="1"/>
  <c r="AC482" i="1" s="1"/>
  <c r="AA482" i="1"/>
  <c r="AB481" i="1"/>
  <c r="AA481" i="1"/>
  <c r="AB472" i="1"/>
  <c r="AA472" i="1"/>
  <c r="AB469" i="1"/>
  <c r="AA469" i="1"/>
  <c r="AC469" i="1" s="1"/>
  <c r="AB466" i="1"/>
  <c r="AA466" i="1"/>
  <c r="AC466" i="1" s="1"/>
  <c r="AB465" i="1"/>
  <c r="AA465" i="1"/>
  <c r="AB464" i="1"/>
  <c r="AA464" i="1"/>
  <c r="AC464" i="1" s="1"/>
  <c r="AB463" i="1"/>
  <c r="AA463" i="1"/>
  <c r="AB462" i="1"/>
  <c r="AA462" i="1"/>
  <c r="AC462" i="1" s="1"/>
  <c r="AB461" i="1"/>
  <c r="AA461" i="1"/>
  <c r="AB460" i="1"/>
  <c r="AA460" i="1"/>
  <c r="AC460" i="1" s="1"/>
  <c r="AB459" i="1"/>
  <c r="AC459" i="1" s="1"/>
  <c r="AA459" i="1"/>
  <c r="AB458" i="1"/>
  <c r="AC458" i="1" s="1"/>
  <c r="AA458" i="1"/>
  <c r="AB457" i="1"/>
  <c r="AA457" i="1"/>
  <c r="AB456" i="1"/>
  <c r="AA456" i="1"/>
  <c r="AB455" i="1"/>
  <c r="AA455" i="1"/>
  <c r="AB442" i="1"/>
  <c r="AA442" i="1"/>
  <c r="AB441" i="1"/>
  <c r="AA441" i="1"/>
  <c r="AC441" i="1"/>
  <c r="AB440" i="1"/>
  <c r="AA440" i="1"/>
  <c r="AC440" i="1" s="1"/>
  <c r="AB439" i="1"/>
  <c r="AA439" i="1"/>
  <c r="AC439" i="1" s="1"/>
  <c r="AB437" i="1"/>
  <c r="AC437" i="1" s="1"/>
  <c r="AA437" i="1"/>
  <c r="AB435" i="1"/>
  <c r="AA435" i="1"/>
  <c r="AB434" i="1"/>
  <c r="AB452" i="1" s="1"/>
  <c r="AA434" i="1"/>
  <c r="AC434" i="1" s="1"/>
  <c r="AB422" i="1"/>
  <c r="AA422" i="1"/>
  <c r="AC422" i="1" s="1"/>
  <c r="AB421" i="1"/>
  <c r="AA421" i="1"/>
  <c r="AB420" i="1"/>
  <c r="AA420" i="1"/>
  <c r="AB419" i="1"/>
  <c r="AA419" i="1"/>
  <c r="AC419" i="1" s="1"/>
  <c r="AB418" i="1"/>
  <c r="AA418" i="1"/>
  <c r="AC418" i="1" s="1"/>
  <c r="AB417" i="1"/>
  <c r="AA417" i="1"/>
  <c r="AC417" i="1" s="1"/>
  <c r="AB414" i="1"/>
  <c r="AA414" i="1"/>
  <c r="AB409" i="1"/>
  <c r="AA409" i="1"/>
  <c r="AB407" i="1"/>
  <c r="AC407" i="1" s="1"/>
  <c r="AA407" i="1"/>
  <c r="AB404" i="1"/>
  <c r="AA404" i="1"/>
  <c r="AC404" i="1"/>
  <c r="AB403" i="1"/>
  <c r="AB411" i="1" s="1"/>
  <c r="AA403" i="1"/>
  <c r="AC403" i="1" s="1"/>
  <c r="AB402" i="1"/>
  <c r="AA402" i="1"/>
  <c r="AC402" i="1" s="1"/>
  <c r="AB401" i="1"/>
  <c r="AC401" i="1" s="1"/>
  <c r="AA401" i="1"/>
  <c r="AB399" i="1"/>
  <c r="AA399" i="1"/>
  <c r="AC399" i="1" s="1"/>
  <c r="AB398" i="1"/>
  <c r="AA398" i="1"/>
  <c r="AB397" i="1"/>
  <c r="AA397" i="1"/>
  <c r="AB395" i="1"/>
  <c r="AA395" i="1"/>
  <c r="AC395" i="1" s="1"/>
  <c r="AB225" i="1"/>
  <c r="AA225" i="1"/>
  <c r="AC225" i="1" s="1"/>
  <c r="AB389" i="1"/>
  <c r="AA389" i="1"/>
  <c r="AB388" i="1"/>
  <c r="AA388" i="1"/>
  <c r="AB387" i="1"/>
  <c r="AA387" i="1"/>
  <c r="AB377" i="1"/>
  <c r="AA377" i="1"/>
  <c r="AC377" i="1" s="1"/>
  <c r="AB376" i="1"/>
  <c r="AA376" i="1"/>
  <c r="AB375" i="1"/>
  <c r="AA375" i="1"/>
  <c r="AC375" i="1" s="1"/>
  <c r="AB374" i="1"/>
  <c r="AC374" i="1" s="1"/>
  <c r="AA374" i="1"/>
  <c r="AB373" i="1"/>
  <c r="AC373" i="1" s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B392" i="1" s="1"/>
  <c r="AA366" i="1"/>
  <c r="AB364" i="1"/>
  <c r="AA364" i="1"/>
  <c r="AB363" i="1"/>
  <c r="AA363" i="1"/>
  <c r="AC363" i="1" s="1"/>
  <c r="AB362" i="1"/>
  <c r="AA362" i="1"/>
  <c r="AC362" i="1"/>
  <c r="AB361" i="1"/>
  <c r="AA361" i="1"/>
  <c r="AB353" i="1"/>
  <c r="AA353" i="1"/>
  <c r="AB352" i="1"/>
  <c r="AA352" i="1"/>
  <c r="AC352" i="1" s="1"/>
  <c r="AB351" i="1"/>
  <c r="AB356" i="1"/>
  <c r="AB357" i="1" s="1"/>
  <c r="AA351" i="1"/>
  <c r="AB350" i="1"/>
  <c r="AA350" i="1"/>
  <c r="AB349" i="1"/>
  <c r="AA349" i="1"/>
  <c r="AC349" i="1"/>
  <c r="AB344" i="1"/>
  <c r="AA344" i="1"/>
  <c r="AC344" i="1" s="1"/>
  <c r="AC346" i="1" s="1"/>
  <c r="AB343" i="1"/>
  <c r="AA343" i="1"/>
  <c r="AB342" i="1"/>
  <c r="AA342" i="1"/>
  <c r="AB341" i="1"/>
  <c r="AA341" i="1"/>
  <c r="AC341" i="1" s="1"/>
  <c r="AB340" i="1"/>
  <c r="AB346" i="1" s="1"/>
  <c r="AA340" i="1"/>
  <c r="AC340" i="1" s="1"/>
  <c r="AB339" i="1"/>
  <c r="AA339" i="1"/>
  <c r="AC339" i="1" s="1"/>
  <c r="AB331" i="1"/>
  <c r="AC331" i="1" s="1"/>
  <c r="AA331" i="1"/>
  <c r="AB330" i="1"/>
  <c r="AA330" i="1"/>
  <c r="AB329" i="1"/>
  <c r="AA329" i="1"/>
  <c r="AB328" i="1"/>
  <c r="AC328" i="1" s="1"/>
  <c r="AA328" i="1"/>
  <c r="AB327" i="1"/>
  <c r="AA327" i="1"/>
  <c r="AB326" i="1"/>
  <c r="AB335" i="1" s="1"/>
  <c r="AA326" i="1"/>
  <c r="AC326" i="1" s="1"/>
  <c r="AB322" i="1"/>
  <c r="AA322" i="1"/>
  <c r="AC322" i="1" s="1"/>
  <c r="AB321" i="1"/>
  <c r="AA321" i="1"/>
  <c r="AC321" i="1"/>
  <c r="AB320" i="1"/>
  <c r="AC320" i="1" s="1"/>
  <c r="AA320" i="1"/>
  <c r="AB319" i="1"/>
  <c r="AA319" i="1"/>
  <c r="AC319" i="1" s="1"/>
  <c r="AB318" i="1"/>
  <c r="AC318" i="1" s="1"/>
  <c r="AA318" i="1"/>
  <c r="AB317" i="1"/>
  <c r="AA317" i="1"/>
  <c r="AC317" i="1" s="1"/>
  <c r="AB315" i="1"/>
  <c r="AA315" i="1"/>
  <c r="AB314" i="1"/>
  <c r="AB323" i="1" s="1"/>
  <c r="AA314" i="1"/>
  <c r="AC314" i="1" s="1"/>
  <c r="AB313" i="1"/>
  <c r="AA313" i="1"/>
  <c r="AB311" i="1"/>
  <c r="AA311" i="1"/>
  <c r="AB310" i="1"/>
  <c r="AA310" i="1"/>
  <c r="AB306" i="1"/>
  <c r="AA306" i="1"/>
  <c r="AC306" i="1" s="1"/>
  <c r="AB305" i="1"/>
  <c r="AA305" i="1"/>
  <c r="AB304" i="1"/>
  <c r="AA304" i="1"/>
  <c r="AB303" i="1"/>
  <c r="AA303" i="1"/>
  <c r="AB302" i="1"/>
  <c r="AA302" i="1"/>
  <c r="AC302" i="1" s="1"/>
  <c r="AB301" i="1"/>
  <c r="AC301" i="1"/>
  <c r="AA301" i="1"/>
  <c r="AB299" i="1"/>
  <c r="AA299" i="1"/>
  <c r="AB297" i="1"/>
  <c r="AA297" i="1"/>
  <c r="AC297" i="1" s="1"/>
  <c r="AB294" i="1"/>
  <c r="AA294" i="1"/>
  <c r="AC294" i="1"/>
  <c r="AA280" i="1"/>
  <c r="AC280" i="1" s="1"/>
  <c r="AB280" i="1"/>
  <c r="AA281" i="1"/>
  <c r="AB281" i="1"/>
  <c r="AC281" i="1" s="1"/>
  <c r="AA279" i="1"/>
  <c r="AB279" i="1"/>
  <c r="AB278" i="1"/>
  <c r="AA278" i="1"/>
  <c r="AB273" i="1"/>
  <c r="AA273" i="1"/>
  <c r="AB272" i="1"/>
  <c r="AB274" i="1" s="1"/>
  <c r="AA272" i="1"/>
  <c r="AA274" i="1" s="1"/>
  <c r="AB267" i="1"/>
  <c r="AC267" i="1" s="1"/>
  <c r="AA267" i="1"/>
  <c r="AB266" i="1"/>
  <c r="AA266" i="1"/>
  <c r="AC266" i="1" s="1"/>
  <c r="AB262" i="1"/>
  <c r="AA262" i="1"/>
  <c r="AA261" i="1"/>
  <c r="AB261" i="1"/>
  <c r="AB263" i="1" s="1"/>
  <c r="AB260" i="1"/>
  <c r="AA260" i="1"/>
  <c r="AC260" i="1" s="1"/>
  <c r="AB255" i="1"/>
  <c r="AA255" i="1"/>
  <c r="AB251" i="1"/>
  <c r="AA251" i="1"/>
  <c r="AB247" i="1"/>
  <c r="AA247" i="1"/>
  <c r="AB243" i="1"/>
  <c r="AA243" i="1"/>
  <c r="AB232" i="1"/>
  <c r="AA232" i="1"/>
  <c r="AC232" i="1" s="1"/>
  <c r="AB221" i="1"/>
  <c r="AA221" i="1"/>
  <c r="AB217" i="1"/>
  <c r="AA217" i="1"/>
  <c r="AC217" i="1"/>
  <c r="AB210" i="1"/>
  <c r="AA210" i="1"/>
  <c r="AB209" i="1"/>
  <c r="AB213" i="1"/>
  <c r="AA209" i="1"/>
  <c r="AA211" i="1"/>
  <c r="AC211" i="1" s="1"/>
  <c r="AB211" i="1"/>
  <c r="AA212" i="1"/>
  <c r="AA213" i="1" s="1"/>
  <c r="AB212" i="1"/>
  <c r="AB208" i="1"/>
  <c r="AA208" i="1"/>
  <c r="AC208" i="1"/>
  <c r="AB202" i="1"/>
  <c r="AA202" i="1"/>
  <c r="AB200" i="1"/>
  <c r="AA200" i="1"/>
  <c r="AA205" i="1" s="1"/>
  <c r="AA201" i="1"/>
  <c r="AB201" i="1"/>
  <c r="AA203" i="1"/>
  <c r="AB203" i="1"/>
  <c r="AC203" i="1" s="1"/>
  <c r="AA204" i="1"/>
  <c r="AC204" i="1" s="1"/>
  <c r="AB204" i="1"/>
  <c r="AA193" i="1"/>
  <c r="AC193" i="1" s="1"/>
  <c r="AB193" i="1"/>
  <c r="AA194" i="1"/>
  <c r="AB194" i="1"/>
  <c r="AA195" i="1"/>
  <c r="AB195" i="1"/>
  <c r="AA196" i="1"/>
  <c r="AC196" i="1" s="1"/>
  <c r="AB196" i="1"/>
  <c r="AB192" i="1"/>
  <c r="AB197" i="1" s="1"/>
  <c r="AA192" i="1"/>
  <c r="AB186" i="1"/>
  <c r="AA186" i="1"/>
  <c r="AC186" i="1" s="1"/>
  <c r="AB184" i="1"/>
  <c r="AA184" i="1"/>
  <c r="AB180" i="1"/>
  <c r="AC180" i="1"/>
  <c r="AA180" i="1"/>
  <c r="AA185" i="1"/>
  <c r="AB185" i="1"/>
  <c r="AC185" i="1"/>
  <c r="AA183" i="1"/>
  <c r="AB183" i="1"/>
  <c r="AA182" i="1"/>
  <c r="AA187" i="1" s="1"/>
  <c r="AC182" i="1"/>
  <c r="AB182" i="1"/>
  <c r="AA181" i="1"/>
  <c r="AB181" i="1"/>
  <c r="AB179" i="1"/>
  <c r="AB187" i="1" s="1"/>
  <c r="AA179" i="1"/>
  <c r="AB175" i="1"/>
  <c r="AA175" i="1"/>
  <c r="AC175" i="1"/>
  <c r="AB171" i="1"/>
  <c r="AA171" i="1"/>
  <c r="AC171" i="1" s="1"/>
  <c r="AB170" i="1"/>
  <c r="AA170" i="1"/>
  <c r="AB169" i="1"/>
  <c r="AA169" i="1"/>
  <c r="AC169" i="1"/>
  <c r="AA172" i="1"/>
  <c r="AB172" i="1"/>
  <c r="AB176" i="1" s="1"/>
  <c r="AA173" i="1"/>
  <c r="AB173" i="1"/>
  <c r="AB168" i="1"/>
  <c r="AA168" i="1"/>
  <c r="AB162" i="1"/>
  <c r="AA162" i="1"/>
  <c r="AC162" i="1" s="1"/>
  <c r="AB161" i="1"/>
  <c r="AC161" i="1" s="1"/>
  <c r="AA161" i="1"/>
  <c r="AB157" i="1"/>
  <c r="AA157" i="1"/>
  <c r="AC157" i="1" s="1"/>
  <c r="AA163" i="1"/>
  <c r="AB163" i="1"/>
  <c r="AA164" i="1"/>
  <c r="AB164" i="1"/>
  <c r="AC164" i="1" s="1"/>
  <c r="AC165" i="1" s="1"/>
  <c r="AA158" i="1"/>
  <c r="AB158" i="1"/>
  <c r="AA159" i="1"/>
  <c r="AB159" i="1"/>
  <c r="AA160" i="1"/>
  <c r="AA165" i="1" s="1"/>
  <c r="AB160" i="1"/>
  <c r="AA151" i="1"/>
  <c r="AB151" i="1"/>
  <c r="AA152" i="1"/>
  <c r="AB152" i="1"/>
  <c r="AB150" i="1"/>
  <c r="AA150" i="1"/>
  <c r="AC150" i="1" s="1"/>
  <c r="AA119" i="1"/>
  <c r="AC119" i="1" s="1"/>
  <c r="AB119" i="1"/>
  <c r="AA120" i="1"/>
  <c r="AB120" i="1"/>
  <c r="AA116" i="1"/>
  <c r="AB116" i="1"/>
  <c r="AC116" i="1"/>
  <c r="AA117" i="1"/>
  <c r="AC117" i="1" s="1"/>
  <c r="AB117" i="1"/>
  <c r="AA118" i="1"/>
  <c r="AB118" i="1"/>
  <c r="AA113" i="1"/>
  <c r="AC113" i="1" s="1"/>
  <c r="AB113" i="1"/>
  <c r="AA114" i="1"/>
  <c r="AC114" i="1" s="1"/>
  <c r="AB114" i="1"/>
  <c r="AB112" i="1"/>
  <c r="AC112" i="1" s="1"/>
  <c r="AA112" i="1"/>
  <c r="AA111" i="1"/>
  <c r="AB111" i="1"/>
  <c r="AB110" i="1"/>
  <c r="AA110" i="1"/>
  <c r="AA109" i="1"/>
  <c r="AB109" i="1"/>
  <c r="AC109" i="1"/>
  <c r="AA108" i="1"/>
  <c r="AB108" i="1"/>
  <c r="AC108" i="1" s="1"/>
  <c r="AA106" i="1"/>
  <c r="AB106" i="1"/>
  <c r="AA107" i="1"/>
  <c r="AC107" i="1"/>
  <c r="AB107" i="1"/>
  <c r="AB105" i="1"/>
  <c r="AA105" i="1"/>
  <c r="AA104" i="1"/>
  <c r="AC104" i="1" s="1"/>
  <c r="AB104" i="1"/>
  <c r="AB103" i="1"/>
  <c r="AC103" i="1"/>
  <c r="AA103" i="1"/>
  <c r="AA101" i="1"/>
  <c r="AC101" i="1" s="1"/>
  <c r="AB101" i="1"/>
  <c r="AA102" i="1"/>
  <c r="AC102" i="1"/>
  <c r="AB102" i="1"/>
  <c r="AA100" i="1"/>
  <c r="AB100" i="1"/>
  <c r="AA99" i="1"/>
  <c r="AC99" i="1" s="1"/>
  <c r="AB99" i="1"/>
  <c r="AA96" i="1"/>
  <c r="AC96" i="1" s="1"/>
  <c r="AB96" i="1"/>
  <c r="AA97" i="1"/>
  <c r="AB97" i="1"/>
  <c r="AA98" i="1"/>
  <c r="AC98" i="1" s="1"/>
  <c r="AB98" i="1"/>
  <c r="AA93" i="1"/>
  <c r="AC93" i="1"/>
  <c r="AB93" i="1"/>
  <c r="AA94" i="1"/>
  <c r="AB94" i="1"/>
  <c r="AA95" i="1"/>
  <c r="AC95" i="1"/>
  <c r="AB95" i="1"/>
  <c r="AA88" i="1"/>
  <c r="AB88" i="1"/>
  <c r="AA89" i="1"/>
  <c r="AB89" i="1"/>
  <c r="AA90" i="1"/>
  <c r="AB90" i="1"/>
  <c r="AA91" i="1"/>
  <c r="AC91" i="1" s="1"/>
  <c r="AB91" i="1"/>
  <c r="AA92" i="1"/>
  <c r="AC92" i="1" s="1"/>
  <c r="AB92" i="1"/>
  <c r="AB87" i="1"/>
  <c r="AA87" i="1"/>
  <c r="AA78" i="1"/>
  <c r="AB78" i="1"/>
  <c r="AA79" i="1"/>
  <c r="AB79" i="1"/>
  <c r="AA80" i="1"/>
  <c r="AB80" i="1"/>
  <c r="AA81" i="1"/>
  <c r="AB81" i="1"/>
  <c r="AA82" i="1"/>
  <c r="AB82" i="1"/>
  <c r="AC82" i="1" s="1"/>
  <c r="AA72" i="1"/>
  <c r="AB72" i="1"/>
  <c r="AC72" i="1" s="1"/>
  <c r="AA74" i="1"/>
  <c r="AB74" i="1"/>
  <c r="AA76" i="1"/>
  <c r="AC76" i="1"/>
  <c r="AB76" i="1"/>
  <c r="AB68" i="1"/>
  <c r="AB69" i="1"/>
  <c r="AB70" i="1"/>
  <c r="AB71" i="1"/>
  <c r="AA68" i="1"/>
  <c r="AA69" i="1"/>
  <c r="AA70" i="1"/>
  <c r="AA71" i="1"/>
  <c r="AC71" i="1" s="1"/>
  <c r="AB67" i="1"/>
  <c r="AA67" i="1"/>
  <c r="AA65" i="1"/>
  <c r="AC65" i="1" s="1"/>
  <c r="AB65" i="1"/>
  <c r="AA66" i="1"/>
  <c r="AB66" i="1"/>
  <c r="AA62" i="1"/>
  <c r="AC62" i="1" s="1"/>
  <c r="AB62" i="1"/>
  <c r="AA63" i="1"/>
  <c r="AB63" i="1"/>
  <c r="AC63" i="1" s="1"/>
  <c r="AA64" i="1"/>
  <c r="AB64" i="1"/>
  <c r="AC64" i="1" s="1"/>
  <c r="AB59" i="1"/>
  <c r="AB60" i="1"/>
  <c r="AB61" i="1"/>
  <c r="AA59" i="1"/>
  <c r="AA60" i="1"/>
  <c r="AA61" i="1"/>
  <c r="AC61" i="1"/>
  <c r="AB56" i="1"/>
  <c r="AC56" i="1" s="1"/>
  <c r="AB57" i="1"/>
  <c r="AB58" i="1"/>
  <c r="AA56" i="1"/>
  <c r="AA57" i="1"/>
  <c r="AA58" i="1"/>
  <c r="AB51" i="1"/>
  <c r="AB52" i="1"/>
  <c r="AC52" i="1" s="1"/>
  <c r="AB53" i="1"/>
  <c r="AB54" i="1"/>
  <c r="AB55" i="1"/>
  <c r="AC55" i="1"/>
  <c r="AA51" i="1"/>
  <c r="AA52" i="1"/>
  <c r="AA53" i="1"/>
  <c r="AC53" i="1"/>
  <c r="AA54" i="1"/>
  <c r="AC54" i="1"/>
  <c r="AA55" i="1"/>
  <c r="AB48" i="1"/>
  <c r="AC48" i="1" s="1"/>
  <c r="AA48" i="1"/>
  <c r="AB40" i="1"/>
  <c r="AB41" i="1"/>
  <c r="AB42" i="1"/>
  <c r="AB43" i="1"/>
  <c r="AA40" i="1"/>
  <c r="AC40" i="1" s="1"/>
  <c r="AA41" i="1"/>
  <c r="AC41" i="1" s="1"/>
  <c r="AA42" i="1"/>
  <c r="AA43" i="1"/>
  <c r="AB34" i="1"/>
  <c r="AB35" i="1"/>
  <c r="AC35" i="1"/>
  <c r="AB36" i="1"/>
  <c r="AB37" i="1"/>
  <c r="AB39" i="1"/>
  <c r="AA34" i="1"/>
  <c r="AA35" i="1"/>
  <c r="AA36" i="1"/>
  <c r="AA37" i="1"/>
  <c r="AC37" i="1" s="1"/>
  <c r="AA39" i="1"/>
  <c r="AB29" i="1"/>
  <c r="AB30" i="1"/>
  <c r="AB31" i="1"/>
  <c r="AC31" i="1" s="1"/>
  <c r="AB32" i="1"/>
  <c r="AB33" i="1"/>
  <c r="AA29" i="1"/>
  <c r="AC29" i="1" s="1"/>
  <c r="AA30" i="1"/>
  <c r="AC30" i="1" s="1"/>
  <c r="AA31" i="1"/>
  <c r="AA32" i="1"/>
  <c r="AA33" i="1"/>
  <c r="AC33" i="1" s="1"/>
  <c r="AB24" i="1"/>
  <c r="AB25" i="1"/>
  <c r="AB26" i="1"/>
  <c r="AB27" i="1"/>
  <c r="AC27" i="1" s="1"/>
  <c r="AB28" i="1"/>
  <c r="AA24" i="1"/>
  <c r="AA25" i="1"/>
  <c r="AA26" i="1"/>
  <c r="AA27" i="1"/>
  <c r="AA28" i="1"/>
  <c r="AC28" i="1" s="1"/>
  <c r="AB23" i="1"/>
  <c r="AA23" i="1"/>
  <c r="AC23" i="1" s="1"/>
  <c r="AA16" i="1"/>
  <c r="AA17" i="1"/>
  <c r="AA18" i="1"/>
  <c r="AA19" i="1"/>
  <c r="AC19" i="1"/>
  <c r="AA20" i="1"/>
  <c r="AA21" i="1"/>
  <c r="AC21" i="1" s="1"/>
  <c r="AA22" i="1"/>
  <c r="AB16" i="1"/>
  <c r="AC16" i="1" s="1"/>
  <c r="AB17" i="1"/>
  <c r="AB18" i="1"/>
  <c r="AB19" i="1"/>
  <c r="AB20" i="1"/>
  <c r="AB21" i="1"/>
  <c r="AB22" i="1"/>
  <c r="AC22" i="1" s="1"/>
  <c r="AB11" i="1"/>
  <c r="AB12" i="1"/>
  <c r="AB13" i="1"/>
  <c r="AB14" i="1"/>
  <c r="AB15" i="1"/>
  <c r="AA12" i="1"/>
  <c r="AA13" i="1"/>
  <c r="AA14" i="1"/>
  <c r="AC14" i="1" s="1"/>
  <c r="AA15" i="1"/>
  <c r="AC15" i="1"/>
  <c r="AA11" i="1"/>
  <c r="AC11" i="1" s="1"/>
  <c r="AB10" i="1"/>
  <c r="AA10" i="1"/>
  <c r="AB149" i="1"/>
  <c r="AA149" i="1"/>
  <c r="AA355" i="1"/>
  <c r="AC355" i="1" s="1"/>
  <c r="AE345" i="1"/>
  <c r="AF345" i="1"/>
  <c r="Y355" i="1"/>
  <c r="AD345" i="1"/>
  <c r="Y345" i="1"/>
  <c r="AF355" i="1"/>
  <c r="AD355" i="1"/>
  <c r="AA140" i="1"/>
  <c r="AA134" i="1"/>
  <c r="AA137" i="1"/>
  <c r="AA143" i="1"/>
  <c r="AC143" i="1" s="1"/>
  <c r="AA141" i="1"/>
  <c r="AB142" i="1"/>
  <c r="AB144" i="1" s="1"/>
  <c r="AA142" i="1"/>
  <c r="AB380" i="1"/>
  <c r="AC380" i="1" s="1"/>
  <c r="AA380" i="1"/>
  <c r="AB135" i="1"/>
  <c r="AC135" i="1" s="1"/>
  <c r="AC126" i="1"/>
  <c r="AC130" i="1" s="1"/>
  <c r="AC396" i="1"/>
  <c r="AC424" i="1"/>
  <c r="X470" i="1"/>
  <c r="Y470" i="1"/>
  <c r="O470" i="1"/>
  <c r="R332" i="1"/>
  <c r="AC227" i="1"/>
  <c r="AC25" i="1"/>
  <c r="Z107" i="1"/>
  <c r="Z455" i="1"/>
  <c r="Z402" i="1"/>
  <c r="AC201" i="1"/>
  <c r="Z48" i="1"/>
  <c r="AC194" i="1"/>
  <c r="Z311" i="1"/>
  <c r="AC456" i="1"/>
  <c r="AD137" i="1"/>
  <c r="Z55" i="1"/>
  <c r="AC327" i="1"/>
  <c r="X213" i="1"/>
  <c r="AC226" i="1"/>
  <c r="AC222" i="1"/>
  <c r="AC279" i="1"/>
  <c r="AC296" i="1"/>
  <c r="Z133" i="1"/>
  <c r="Z137" i="1" s="1"/>
  <c r="Z159" i="1"/>
  <c r="Z210" i="1"/>
  <c r="W248" i="1"/>
  <c r="Z295" i="1"/>
  <c r="Z374" i="1"/>
  <c r="Z463" i="1"/>
  <c r="Z16" i="1"/>
  <c r="AE381" i="1"/>
  <c r="AC134" i="1"/>
  <c r="AC243" i="1"/>
  <c r="AD263" i="1"/>
  <c r="AD274" i="1"/>
  <c r="AC247" i="1"/>
  <c r="AE323" i="1"/>
  <c r="Z28" i="1"/>
  <c r="W130" i="1"/>
  <c r="AC448" i="1"/>
  <c r="AF187" i="1"/>
  <c r="Z74" i="1"/>
  <c r="Z82" i="1"/>
  <c r="Z355" i="1"/>
  <c r="Z376" i="1"/>
  <c r="AC66" i="1"/>
  <c r="AC388" i="1"/>
  <c r="AC295" i="1"/>
  <c r="Z94" i="1"/>
  <c r="AC74" i="1"/>
  <c r="AC34" i="1"/>
  <c r="AC69" i="1"/>
  <c r="AC106" i="1"/>
  <c r="Z382" i="1"/>
  <c r="AC221" i="1"/>
  <c r="AC251" i="1"/>
  <c r="AC273" i="1"/>
  <c r="AC313" i="1"/>
  <c r="AC351" i="1"/>
  <c r="Z36" i="1"/>
  <c r="Z116" i="1"/>
  <c r="Z127" i="1"/>
  <c r="Z351" i="1"/>
  <c r="Z364" i="1"/>
  <c r="Z437" i="1"/>
  <c r="Z440" i="1"/>
  <c r="Z442" i="1"/>
  <c r="Z445" i="1"/>
  <c r="AC129" i="1"/>
  <c r="AC268" i="1"/>
  <c r="AC474" i="1"/>
  <c r="AD130" i="1"/>
  <c r="AE137" i="1"/>
  <c r="AE146" i="1" s="1"/>
  <c r="AF137" i="1"/>
  <c r="AC83" i="1"/>
  <c r="AC471" i="1"/>
  <c r="AE248" i="1"/>
  <c r="AF269" i="1"/>
  <c r="AC94" i="1"/>
  <c r="AC455" i="1"/>
  <c r="Y144" i="1"/>
  <c r="Z168" i="1"/>
  <c r="Z192" i="1"/>
  <c r="Z327" i="1"/>
  <c r="Z331" i="1"/>
  <c r="Y356" i="1"/>
  <c r="Z373" i="1"/>
  <c r="Z226" i="1"/>
  <c r="Z466" i="1"/>
  <c r="AC128" i="1"/>
  <c r="AC410" i="1"/>
  <c r="Z219" i="1"/>
  <c r="AC75" i="1"/>
  <c r="AC470" i="1"/>
  <c r="Z126" i="1"/>
  <c r="AC12" i="1"/>
  <c r="AC43" i="1"/>
  <c r="AC32" i="1"/>
  <c r="AC158" i="1"/>
  <c r="AC409" i="1"/>
  <c r="Z319" i="1"/>
  <c r="Z488" i="1"/>
  <c r="AC237" i="1"/>
  <c r="Z386" i="1"/>
  <c r="Z18" i="1"/>
  <c r="Z42" i="1"/>
  <c r="Z53" i="1"/>
  <c r="Z96" i="1"/>
  <c r="AC479" i="1"/>
  <c r="AF214" i="1"/>
  <c r="AC425" i="1"/>
  <c r="AA144" i="1"/>
  <c r="AC17" i="1"/>
  <c r="AC24" i="1"/>
  <c r="AC51" i="1"/>
  <c r="AC342" i="1"/>
  <c r="AC364" i="1"/>
  <c r="AC369" i="1"/>
  <c r="Z221" i="1"/>
  <c r="Z268" i="1"/>
  <c r="Z279" i="1"/>
  <c r="Z287" i="1"/>
  <c r="Z294" i="1"/>
  <c r="AC77" i="1"/>
  <c r="AC121" i="1"/>
  <c r="Z153" i="1"/>
  <c r="AC415" i="1"/>
  <c r="Z475" i="1"/>
  <c r="AF307" i="1"/>
  <c r="AF358" i="1" s="1"/>
  <c r="AD323" i="1"/>
  <c r="AA411" i="1"/>
  <c r="X130" i="1"/>
  <c r="Y291" i="1"/>
  <c r="Z134" i="1"/>
  <c r="AA490" i="1"/>
  <c r="AE205" i="1"/>
  <c r="Z345" i="1"/>
  <c r="Z419" i="1"/>
  <c r="Z120" i="1"/>
  <c r="AC269" i="1"/>
  <c r="X291" i="1"/>
  <c r="W137" i="1"/>
  <c r="W146" i="1" s="1"/>
  <c r="AC10" i="1"/>
  <c r="AC303" i="1"/>
  <c r="Z61" i="1"/>
  <c r="Y197" i="1"/>
  <c r="X205" i="1"/>
  <c r="Y213" i="1"/>
  <c r="Y214" i="1" s="1"/>
  <c r="O425" i="1"/>
  <c r="Y425" i="1"/>
  <c r="Z425" i="1"/>
  <c r="Z304" i="1"/>
  <c r="Z315" i="1"/>
  <c r="Z401" i="1"/>
  <c r="X307" i="1"/>
  <c r="AC58" i="1"/>
  <c r="AC59" i="1"/>
  <c r="AC160" i="1"/>
  <c r="Z113" i="1"/>
  <c r="AE263" i="1"/>
  <c r="Z63" i="1"/>
  <c r="W144" i="1"/>
  <c r="AC39" i="1"/>
  <c r="AC100" i="1"/>
  <c r="Z69" i="1"/>
  <c r="Z71" i="1"/>
  <c r="Z220" i="1"/>
  <c r="Z464" i="1"/>
  <c r="Z487" i="1"/>
  <c r="AC367" i="1"/>
  <c r="AC371" i="1"/>
  <c r="AC442" i="1"/>
  <c r="Z217" i="1"/>
  <c r="Y323" i="1"/>
  <c r="Y346" i="1"/>
  <c r="Z372" i="1"/>
  <c r="AC141" i="1"/>
  <c r="AC60" i="1"/>
  <c r="AC90" i="1"/>
  <c r="AC163" i="1"/>
  <c r="AC311" i="1"/>
  <c r="AC368" i="1"/>
  <c r="AC372" i="1"/>
  <c r="AC376" i="1"/>
  <c r="AC389" i="1"/>
  <c r="AC398" i="1"/>
  <c r="Z49" i="1"/>
  <c r="Z57" i="1"/>
  <c r="Z59" i="1"/>
  <c r="Z66" i="1"/>
  <c r="Z399" i="1"/>
  <c r="Z407" i="1"/>
  <c r="AC436" i="1"/>
  <c r="AC478" i="1"/>
  <c r="AC239" i="1"/>
  <c r="Z230" i="1"/>
  <c r="W197" i="1"/>
  <c r="Z227" i="1"/>
  <c r="Z235" i="1"/>
  <c r="Z246" i="1"/>
  <c r="Z395" i="1"/>
  <c r="AC57" i="1"/>
  <c r="AA263" i="1"/>
  <c r="AC463" i="1"/>
  <c r="Z27" i="1"/>
  <c r="Z103" i="1"/>
  <c r="Z306" i="1"/>
  <c r="Z344" i="1"/>
  <c r="Z366" i="1"/>
  <c r="Z369" i="1"/>
  <c r="Y490" i="1"/>
  <c r="AC467" i="1"/>
  <c r="AF144" i="1"/>
  <c r="AF146" i="1" s="1"/>
  <c r="AC230" i="1"/>
  <c r="Z229" i="1"/>
  <c r="Z444" i="1"/>
  <c r="AC334" i="1"/>
  <c r="Z391" i="1"/>
  <c r="AC68" i="1"/>
  <c r="AC81" i="1"/>
  <c r="AC87" i="1"/>
  <c r="AC89" i="1"/>
  <c r="AC110" i="1"/>
  <c r="AC152" i="1"/>
  <c r="AC209" i="1"/>
  <c r="AC305" i="1"/>
  <c r="AC329" i="1"/>
  <c r="AC343" i="1"/>
  <c r="AC350" i="1"/>
  <c r="AC361" i="1"/>
  <c r="AC420" i="1"/>
  <c r="AC435" i="1"/>
  <c r="Z14" i="1"/>
  <c r="Z56" i="1"/>
  <c r="Z65" i="1"/>
  <c r="Z118" i="1"/>
  <c r="Z261" i="1"/>
  <c r="Z263" i="1" s="1"/>
  <c r="Y307" i="1"/>
  <c r="Z298" i="1"/>
  <c r="Z303" i="1"/>
  <c r="AC174" i="1"/>
  <c r="AC428" i="1"/>
  <c r="AC238" i="1"/>
  <c r="AC229" i="1"/>
  <c r="AC384" i="1"/>
  <c r="AC287" i="1"/>
  <c r="AD381" i="1"/>
  <c r="AC246" i="1"/>
  <c r="Z60" i="1"/>
  <c r="Z196" i="1"/>
  <c r="Z222" i="1"/>
  <c r="Z320" i="1"/>
  <c r="Z334" i="1"/>
  <c r="AC118" i="1"/>
  <c r="AC120" i="1"/>
  <c r="AC151" i="1"/>
  <c r="AC183" i="1"/>
  <c r="AC210" i="1"/>
  <c r="AC255" i="1"/>
  <c r="AC457" i="1"/>
  <c r="AC465" i="1"/>
  <c r="AC481" i="1"/>
  <c r="Z40" i="1"/>
  <c r="Z90" i="1"/>
  <c r="Z195" i="1"/>
  <c r="AC427" i="1"/>
  <c r="AF154" i="1"/>
  <c r="AC379" i="1"/>
  <c r="AC385" i="1"/>
  <c r="AC288" i="1"/>
  <c r="Z350" i="1"/>
  <c r="Z363" i="1"/>
  <c r="Z371" i="1"/>
  <c r="Z379" i="1"/>
  <c r="Z409" i="1"/>
  <c r="Z447" i="1"/>
  <c r="AC450" i="1"/>
  <c r="Z83" i="1"/>
  <c r="W263" i="1"/>
  <c r="Z462" i="1"/>
  <c r="AD214" i="1"/>
  <c r="X256" i="1"/>
  <c r="AA256" i="1"/>
  <c r="Y263" i="1"/>
  <c r="Z297" i="1"/>
  <c r="Z420" i="1"/>
  <c r="AC111" i="1"/>
  <c r="AC195" i="1"/>
  <c r="Z193" i="1"/>
  <c r="X122" i="1"/>
  <c r="AF84" i="1"/>
  <c r="AD483" i="1"/>
  <c r="Z13" i="1"/>
  <c r="Z91" i="1"/>
  <c r="Z99" i="1"/>
  <c r="X356" i="1"/>
  <c r="AC181" i="1"/>
  <c r="Z88" i="1"/>
  <c r="Z441" i="1"/>
  <c r="W154" i="1"/>
  <c r="AA240" i="1"/>
  <c r="AC272" i="1"/>
  <c r="AC274" i="1"/>
  <c r="X323" i="1"/>
  <c r="Z129" i="1"/>
  <c r="Z130" i="1"/>
  <c r="Z143" i="1"/>
  <c r="Z145" i="1"/>
  <c r="AC140" i="1"/>
  <c r="AB248" i="1"/>
  <c r="AC310" i="1"/>
  <c r="AC421" i="1"/>
  <c r="Y483" i="1"/>
  <c r="AD45" i="1"/>
  <c r="Z67" i="1"/>
  <c r="Z416" i="1"/>
  <c r="AC299" i="1"/>
  <c r="AB307" i="1"/>
  <c r="Z243" i="1"/>
  <c r="Z255" i="1"/>
  <c r="AC447" i="1"/>
  <c r="AA483" i="1"/>
  <c r="Y411" i="1"/>
  <c r="AC262" i="1"/>
  <c r="Z330" i="1"/>
  <c r="X248" i="1"/>
  <c r="X257" i="1" s="1"/>
  <c r="AB205" i="1"/>
  <c r="AC202" i="1"/>
  <c r="Z151" i="1"/>
  <c r="Z333" i="1"/>
  <c r="Z106" i="1"/>
  <c r="W274" i="1"/>
  <c r="Z296" i="1"/>
  <c r="AC97" i="1"/>
  <c r="AC315" i="1"/>
  <c r="AC244" i="1"/>
  <c r="AC248" i="1" s="1"/>
  <c r="AC446" i="1"/>
  <c r="Z471" i="1"/>
  <c r="O381" i="1"/>
  <c r="Y381" i="1"/>
  <c r="Z17" i="1"/>
  <c r="Z33" i="1"/>
  <c r="Z314" i="1"/>
  <c r="Z370" i="1"/>
  <c r="Z458" i="1"/>
  <c r="Z486" i="1"/>
  <c r="W483" i="1"/>
  <c r="Z194" i="1"/>
  <c r="Z203" i="1"/>
  <c r="Z234" i="1"/>
  <c r="AF240" i="1"/>
  <c r="AD430" i="1"/>
  <c r="AD490" i="1"/>
  <c r="Z43" i="1"/>
  <c r="Z236" i="1"/>
  <c r="Z468" i="1"/>
  <c r="AC13" i="1"/>
  <c r="AC20" i="1"/>
  <c r="AC36" i="1"/>
  <c r="AC67" i="1"/>
  <c r="AC170" i="1"/>
  <c r="X335" i="1"/>
  <c r="Z341" i="1"/>
  <c r="Z342" i="1"/>
  <c r="Z104" i="1"/>
  <c r="Z209" i="1"/>
  <c r="Z480" i="1"/>
  <c r="AC18" i="1"/>
  <c r="AC79" i="1"/>
  <c r="AC472" i="1"/>
  <c r="X240" i="1"/>
  <c r="AD154" i="1"/>
  <c r="AC234" i="1"/>
  <c r="Z121" i="1"/>
  <c r="Z354" i="1"/>
  <c r="Z375" i="1"/>
  <c r="Z481" i="1"/>
  <c r="Z92" i="1"/>
  <c r="Z233" i="1"/>
  <c r="Z321" i="1"/>
  <c r="Z465" i="1"/>
  <c r="Z451" i="1"/>
  <c r="AE275" i="1"/>
  <c r="Y430" i="1"/>
  <c r="AC159" i="1"/>
  <c r="AC168" i="1"/>
  <c r="Z181" i="1"/>
  <c r="Z183" i="1"/>
  <c r="Z174" i="1"/>
  <c r="Y187" i="1"/>
  <c r="W357" i="1" l="1"/>
  <c r="AD257" i="1"/>
  <c r="AC381" i="1"/>
  <c r="AA392" i="1"/>
  <c r="AC240" i="1"/>
  <c r="W123" i="1"/>
  <c r="Z411" i="1"/>
  <c r="W189" i="1"/>
  <c r="AB214" i="1"/>
  <c r="Y123" i="1"/>
  <c r="AC392" i="1"/>
  <c r="Z197" i="1"/>
  <c r="AC80" i="1"/>
  <c r="AD336" i="1"/>
  <c r="X336" i="1"/>
  <c r="AB84" i="1"/>
  <c r="W430" i="1"/>
  <c r="X154" i="1"/>
  <c r="Z469" i="1"/>
  <c r="AA84" i="1"/>
  <c r="W205" i="1"/>
  <c r="Z200" i="1"/>
  <c r="Z205" i="1" s="1"/>
  <c r="W213" i="1"/>
  <c r="Z211" i="1"/>
  <c r="AC490" i="1"/>
  <c r="Z70" i="1"/>
  <c r="AC145" i="1"/>
  <c r="AC146" i="1" s="1"/>
  <c r="Z424" i="1"/>
  <c r="Z430" i="1" s="1"/>
  <c r="W240" i="1"/>
  <c r="AC200" i="1"/>
  <c r="AC205" i="1" s="1"/>
  <c r="AC172" i="1"/>
  <c r="AC261" i="1"/>
  <c r="AC263" i="1" s="1"/>
  <c r="AC275" i="1" s="1"/>
  <c r="AB275" i="1"/>
  <c r="AB483" i="1"/>
  <c r="Z11" i="1"/>
  <c r="Z114" i="1"/>
  <c r="X392" i="1"/>
  <c r="Y392" i="1"/>
  <c r="Y431" i="1" s="1"/>
  <c r="X430" i="1"/>
  <c r="Z439" i="1"/>
  <c r="Z452" i="1" s="1"/>
  <c r="AE187" i="1"/>
  <c r="AD291" i="1"/>
  <c r="AD358" i="1" s="1"/>
  <c r="AE357" i="1"/>
  <c r="AD411" i="1"/>
  <c r="AE411" i="1"/>
  <c r="AE431" i="1" s="1"/>
  <c r="AF430" i="1"/>
  <c r="AF431" i="1" s="1"/>
  <c r="AF452" i="1"/>
  <c r="AD452" i="1"/>
  <c r="AD492" i="1" s="1"/>
  <c r="AF483" i="1"/>
  <c r="Z362" i="1"/>
  <c r="Z400" i="1"/>
  <c r="Z429" i="1"/>
  <c r="Z449" i="1"/>
  <c r="Z482" i="1"/>
  <c r="AB146" i="1"/>
  <c r="AD189" i="1"/>
  <c r="Z310" i="1"/>
  <c r="W323" i="1"/>
  <c r="AB291" i="1"/>
  <c r="Z140" i="1"/>
  <c r="X144" i="1"/>
  <c r="X146" i="1" s="1"/>
  <c r="X165" i="1"/>
  <c r="X189" i="1" s="1"/>
  <c r="Z157" i="1"/>
  <c r="Z460" i="1"/>
  <c r="AC253" i="1"/>
  <c r="AB256" i="1"/>
  <c r="Z184" i="1"/>
  <c r="AB240" i="1"/>
  <c r="Z307" i="1"/>
  <c r="Z12" i="1"/>
  <c r="X45" i="1"/>
  <c r="AE483" i="1"/>
  <c r="Z254" i="1"/>
  <c r="Z256" i="1" s="1"/>
  <c r="Z257" i="1" s="1"/>
  <c r="Y256" i="1"/>
  <c r="X452" i="1"/>
  <c r="Z10" i="1"/>
  <c r="AA45" i="1"/>
  <c r="Z180" i="1"/>
  <c r="AA323" i="1"/>
  <c r="W346" i="1"/>
  <c r="AA452" i="1"/>
  <c r="AC212" i="1"/>
  <c r="Y357" i="1"/>
  <c r="Y358" i="1" s="1"/>
  <c r="AC256" i="1"/>
  <c r="AC257" i="1" s="1"/>
  <c r="AA154" i="1"/>
  <c r="AC149" i="1"/>
  <c r="AC154" i="1" s="1"/>
  <c r="AB45" i="1"/>
  <c r="X274" i="1"/>
  <c r="X275" i="1" s="1"/>
  <c r="Z272" i="1"/>
  <c r="Z274" i="1" s="1"/>
  <c r="AF122" i="1"/>
  <c r="AF123" i="1" s="1"/>
  <c r="AF165" i="1"/>
  <c r="AF189" i="1" s="1"/>
  <c r="AE240" i="1"/>
  <c r="AF256" i="1"/>
  <c r="AF257" i="1" s="1"/>
  <c r="AE291" i="1"/>
  <c r="AE358" i="1" s="1"/>
  <c r="Z169" i="1"/>
  <c r="W176" i="1"/>
  <c r="AC88" i="1"/>
  <c r="AB122" i="1"/>
  <c r="Z266" i="1"/>
  <c r="Z269" i="1" s="1"/>
  <c r="W269" i="1"/>
  <c r="W275" i="1" s="1"/>
  <c r="Z273" i="1"/>
  <c r="AA307" i="1"/>
  <c r="Y146" i="1"/>
  <c r="W392" i="1"/>
  <c r="AA335" i="1"/>
  <c r="AA336" i="1" s="1"/>
  <c r="AC330" i="1"/>
  <c r="AC335" i="1" s="1"/>
  <c r="X483" i="1"/>
  <c r="Y165" i="1"/>
  <c r="AE336" i="1"/>
  <c r="AD392" i="1"/>
  <c r="AD431" i="1" s="1"/>
  <c r="Z175" i="1"/>
  <c r="Z457" i="1"/>
  <c r="AC213" i="1"/>
  <c r="AC214" i="1" s="1"/>
  <c r="Z329" i="1"/>
  <c r="Z54" i="1"/>
  <c r="AC188" i="1"/>
  <c r="W452" i="1"/>
  <c r="Z89" i="1"/>
  <c r="AB269" i="1"/>
  <c r="Z397" i="1"/>
  <c r="AC105" i="1"/>
  <c r="AC414" i="1"/>
  <c r="AC430" i="1" s="1"/>
  <c r="AA430" i="1"/>
  <c r="Z353" i="1"/>
  <c r="Z356" i="1" s="1"/>
  <c r="X411" i="1"/>
  <c r="AC133" i="1"/>
  <c r="AC137" i="1" s="1"/>
  <c r="AB137" i="1"/>
  <c r="AB430" i="1"/>
  <c r="AB431" i="1" s="1"/>
  <c r="AC477" i="1"/>
  <c r="AF45" i="1"/>
  <c r="AE84" i="1"/>
  <c r="AE122" i="1"/>
  <c r="AE123" i="1" s="1"/>
  <c r="AD146" i="1"/>
  <c r="AA356" i="1"/>
  <c r="AF336" i="1"/>
  <c r="W307" i="1"/>
  <c r="W336" i="1" s="1"/>
  <c r="Z149" i="1"/>
  <c r="Z154" i="1" s="1"/>
  <c r="AA122" i="1"/>
  <c r="AA176" i="1"/>
  <c r="AA189" i="1" s="1"/>
  <c r="AC366" i="1"/>
  <c r="AC370" i="1"/>
  <c r="AC387" i="1"/>
  <c r="Y335" i="1"/>
  <c r="Y336" i="1" s="1"/>
  <c r="X346" i="1"/>
  <c r="X357" i="1" s="1"/>
  <c r="X358" i="1" s="1"/>
  <c r="Z339" i="1"/>
  <c r="Z346" i="1" s="1"/>
  <c r="AA269" i="1"/>
  <c r="AA275" i="1" s="1"/>
  <c r="AA346" i="1"/>
  <c r="AD275" i="1"/>
  <c r="AC142" i="1"/>
  <c r="AC144" i="1" s="1"/>
  <c r="AB154" i="1"/>
  <c r="AC184" i="1"/>
  <c r="AC304" i="1"/>
  <c r="AC307" i="1" s="1"/>
  <c r="AC397" i="1"/>
  <c r="AC411" i="1" s="1"/>
  <c r="Z87" i="1"/>
  <c r="Y269" i="1"/>
  <c r="Y275" i="1" s="1"/>
  <c r="AF263" i="1"/>
  <c r="AC233" i="1"/>
  <c r="Z93" i="1"/>
  <c r="AC26" i="1"/>
  <c r="AC45" i="1" s="1"/>
  <c r="AC42" i="1"/>
  <c r="AB165" i="1"/>
  <c r="AB189" i="1" s="1"/>
  <c r="AC179" i="1"/>
  <c r="X84" i="1"/>
  <c r="X123" i="1" s="1"/>
  <c r="Y248" i="1"/>
  <c r="Z32" i="1"/>
  <c r="Z51" i="1"/>
  <c r="Z75" i="1"/>
  <c r="Z110" i="1"/>
  <c r="X214" i="1"/>
  <c r="AC70" i="1"/>
  <c r="AC84" i="1" s="1"/>
  <c r="AC278" i="1"/>
  <c r="AC291" i="1" s="1"/>
  <c r="AA291" i="1"/>
  <c r="Y84" i="1"/>
  <c r="Y176" i="1"/>
  <c r="Y189" i="1" s="1"/>
  <c r="Z282" i="1"/>
  <c r="Z291" i="1" s="1"/>
  <c r="Z476" i="1"/>
  <c r="AA248" i="1"/>
  <c r="AA257" i="1" s="1"/>
  <c r="AF275" i="1"/>
  <c r="Z95" i="1"/>
  <c r="Z150" i="1"/>
  <c r="Z112" i="1"/>
  <c r="X176" i="1"/>
  <c r="Y240" i="1"/>
  <c r="AE165" i="1"/>
  <c r="Z142" i="1"/>
  <c r="Z283" i="1"/>
  <c r="Z368" i="1"/>
  <c r="AD122" i="1"/>
  <c r="AD123" i="1" s="1"/>
  <c r="AE213" i="1"/>
  <c r="AE214" i="1" s="1"/>
  <c r="AC406" i="1"/>
  <c r="AC312" i="1"/>
  <c r="AC323" i="1" s="1"/>
  <c r="AA130" i="1"/>
  <c r="AA146" i="1" s="1"/>
  <c r="Z97" i="1"/>
  <c r="Z388" i="1"/>
  <c r="W490" i="1"/>
  <c r="AC78" i="1"/>
  <c r="Z52" i="1"/>
  <c r="Z171" i="1"/>
  <c r="AC449" i="1"/>
  <c r="AC452" i="1" s="1"/>
  <c r="Z208" i="1"/>
  <c r="Z213" i="1" s="1"/>
  <c r="AC173" i="1"/>
  <c r="AC192" i="1"/>
  <c r="AC197" i="1" s="1"/>
  <c r="AA197" i="1"/>
  <c r="AA214" i="1" s="1"/>
  <c r="AC353" i="1"/>
  <c r="AC356" i="1" s="1"/>
  <c r="AC357" i="1" s="1"/>
  <c r="AC461" i="1"/>
  <c r="AC483" i="1" s="1"/>
  <c r="Z162" i="1"/>
  <c r="Z389" i="1"/>
  <c r="AC386" i="1"/>
  <c r="AE425" i="1"/>
  <c r="AE430" i="1" s="1"/>
  <c r="Z316" i="1"/>
  <c r="Z188" i="1"/>
  <c r="AC451" i="1"/>
  <c r="Z489" i="1"/>
  <c r="Z490" i="1" s="1"/>
  <c r="AE256" i="1"/>
  <c r="Z406" i="1"/>
  <c r="Z23" i="1"/>
  <c r="Z39" i="1"/>
  <c r="Z50" i="1"/>
  <c r="Z58" i="1"/>
  <c r="Z100" i="1"/>
  <c r="W256" i="1"/>
  <c r="W257" i="1" s="1"/>
  <c r="W291" i="1"/>
  <c r="Z328" i="1"/>
  <c r="Z383" i="1"/>
  <c r="AC336" i="1" l="1"/>
  <c r="Y492" i="1"/>
  <c r="Z335" i="1"/>
  <c r="Z336" i="1" s="1"/>
  <c r="Z483" i="1"/>
  <c r="AB123" i="1"/>
  <c r="AC176" i="1"/>
  <c r="AE257" i="1"/>
  <c r="Z275" i="1"/>
  <c r="X431" i="1"/>
  <c r="X492" i="1" s="1"/>
  <c r="AB257" i="1"/>
  <c r="AB492" i="1" s="1"/>
  <c r="AC122" i="1"/>
  <c r="AC123" i="1" s="1"/>
  <c r="AB336" i="1"/>
  <c r="AB358" i="1"/>
  <c r="Z176" i="1"/>
  <c r="Z323" i="1"/>
  <c r="Z392" i="1"/>
  <c r="Z431" i="1" s="1"/>
  <c r="AA431" i="1"/>
  <c r="AC431" i="1"/>
  <c r="AC492" i="1" s="1"/>
  <c r="Z214" i="1"/>
  <c r="Z144" i="1"/>
  <c r="Z146" i="1" s="1"/>
  <c r="W358" i="1"/>
  <c r="AA357" i="1"/>
  <c r="AA358" i="1" s="1"/>
  <c r="AA492" i="1" s="1"/>
  <c r="W431" i="1"/>
  <c r="W492" i="1" s="1"/>
  <c r="Y257" i="1"/>
  <c r="AC358" i="1"/>
  <c r="Z45" i="1"/>
  <c r="Z84" i="1"/>
  <c r="AC187" i="1"/>
  <c r="AC189" i="1" s="1"/>
  <c r="Z122" i="1"/>
  <c r="AA123" i="1"/>
  <c r="Z187" i="1"/>
  <c r="Z189" i="1" s="1"/>
  <c r="Z165" i="1"/>
  <c r="AF492" i="1"/>
  <c r="AE189" i="1"/>
  <c r="AE492" i="1" s="1"/>
  <c r="W214" i="1"/>
  <c r="Z123" i="1" l="1"/>
  <c r="Z357" i="1"/>
  <c r="Z358" i="1" s="1"/>
  <c r="Z492" i="1" s="1"/>
</calcChain>
</file>

<file path=xl/sharedStrings.xml><?xml version="1.0" encoding="utf-8"?>
<sst xmlns="http://schemas.openxmlformats.org/spreadsheetml/2006/main" count="746" uniqueCount="297">
  <si>
    <t>10/1/12-</t>
  </si>
  <si>
    <t>10/1/13-</t>
  </si>
  <si>
    <t>1/1/14-</t>
  </si>
  <si>
    <t>Restructure</t>
  </si>
  <si>
    <t>9/30/13</t>
  </si>
  <si>
    <t>Aggregate</t>
  </si>
  <si>
    <t>12/31/13</t>
  </si>
  <si>
    <t>9/30/14</t>
  </si>
  <si>
    <t>Fee</t>
  </si>
  <si>
    <t>FY 2013</t>
  </si>
  <si>
    <t>FY 2014</t>
  </si>
  <si>
    <t>FY 2015</t>
  </si>
  <si>
    <t>Code</t>
  </si>
  <si>
    <t xml:space="preserve"> </t>
  </si>
  <si>
    <t>Fee Rates</t>
  </si>
  <si>
    <t>Workload</t>
  </si>
  <si>
    <t>Collections</t>
  </si>
  <si>
    <t>_</t>
  </si>
  <si>
    <t>Patent Filing Fees (Large Entity)</t>
  </si>
  <si>
    <t>Filing of Utility Patent Application</t>
  </si>
  <si>
    <t>Search of Utility Patent Application</t>
  </si>
  <si>
    <t>Examination of Utility Patent Application</t>
  </si>
  <si>
    <t>Filing of Design Patent Application</t>
  </si>
  <si>
    <t>Search of Design Patent Application</t>
  </si>
  <si>
    <t>Examination of Design Patent Application</t>
  </si>
  <si>
    <t>Filing of Plant Patent Application</t>
  </si>
  <si>
    <t>Search of Plant Patent Application</t>
  </si>
  <si>
    <t>Examination of Plant Patent Application</t>
  </si>
  <si>
    <t>Filing of Reissue Patent Application</t>
  </si>
  <si>
    <t>Search of Reissue Patent Application</t>
  </si>
  <si>
    <t>Examination of Reissue Patent Application</t>
  </si>
  <si>
    <t>Provisional Application Filing</t>
  </si>
  <si>
    <t>CPA - Design Filing</t>
  </si>
  <si>
    <t>CPA - Reissue Filing</t>
  </si>
  <si>
    <t>Surcharge - Late Filing, Search or Examination Fee, Oath or Declaration</t>
  </si>
  <si>
    <t>Surcharge - Late Provisional Filing Fee or Cover Sheet</t>
  </si>
  <si>
    <t>Utility Application Size Fee</t>
  </si>
  <si>
    <t>Design Application Size Fee</t>
  </si>
  <si>
    <t>Plant Application Size Fee</t>
  </si>
  <si>
    <t>Reissue Application Size Fee</t>
  </si>
  <si>
    <t>Provisional Application Size Fee</t>
  </si>
  <si>
    <t>Independent Claims in Excess of Three</t>
  </si>
  <si>
    <t>Total Claims in Excess of Twenty</t>
  </si>
  <si>
    <t>Multiple Dependent Claims</t>
  </si>
  <si>
    <t>Reissue Independent Claims in Excess of Three</t>
  </si>
  <si>
    <t>Reissue Total Claims in Excess of Twenty</t>
  </si>
  <si>
    <t>Request for Continued Examination</t>
  </si>
  <si>
    <t>Filing a Submission after Final Rejection</t>
  </si>
  <si>
    <t>Each Additional Invention to be Examined</t>
  </si>
  <si>
    <t>Reexamination Independent Claims in Excess of Three</t>
  </si>
  <si>
    <t>Reexamination Total Claims in Excess of Twenty</t>
  </si>
  <si>
    <t>Request for Prioritized Examination</t>
  </si>
  <si>
    <t>Patent Filing Fees (Small Entity)</t>
  </si>
  <si>
    <t>Electronic Filing of Utility Patent Application</t>
  </si>
  <si>
    <t>Patent Filing Fees (Micro Entity)</t>
  </si>
  <si>
    <t xml:space="preserve">Total Patent Filing Fees </t>
  </si>
  <si>
    <t>Patent Issue Fees (Large Entity)</t>
  </si>
  <si>
    <t>Utility or Reissue Issue</t>
  </si>
  <si>
    <t>Design Issue</t>
  </si>
  <si>
    <t>Plant Issue</t>
  </si>
  <si>
    <t>Reissue Issue</t>
  </si>
  <si>
    <t>Patent Issue Fees (Small Entity)</t>
  </si>
  <si>
    <t>Patent Issue Fees (Micro Entity)</t>
  </si>
  <si>
    <t xml:space="preserve">Total Patent Issue Fees </t>
  </si>
  <si>
    <t xml:space="preserve">Pre-Grant Publication Fees </t>
  </si>
  <si>
    <t>Publication Fee for Early, Voluntary or Normal Publication</t>
  </si>
  <si>
    <t>Publication Fee for Republication</t>
  </si>
  <si>
    <t>Request for Voluntary Publication or Republication</t>
  </si>
  <si>
    <t xml:space="preserve">Total Pre-Grant Publication Fees </t>
  </si>
  <si>
    <t>Patent Maintenance Fees (Large Entity)</t>
  </si>
  <si>
    <t>First Stage Maintenance</t>
  </si>
  <si>
    <t>Second Stage Maintenance</t>
  </si>
  <si>
    <t>Third Stage Maintenance</t>
  </si>
  <si>
    <t>First Stage Surcharge in Grace Period</t>
  </si>
  <si>
    <t>Second Stage Surcharge in Grace Period</t>
  </si>
  <si>
    <t>Third Stage Surcharge in Grace Period</t>
  </si>
  <si>
    <t>Surcharge After Expiration - Unavoidable Late Payment</t>
  </si>
  <si>
    <t>Surcharge After Expiration - Unintentional Late Payment</t>
  </si>
  <si>
    <t>Patent Maintenance Fees (Small Entity)</t>
  </si>
  <si>
    <t xml:space="preserve">Third Stage Maintenance </t>
  </si>
  <si>
    <t>Patent Maintenance Fees (Micro Entity)</t>
  </si>
  <si>
    <t>Total Patent Maintenance Fees</t>
  </si>
  <si>
    <t>Patent Extension Fees (Large Entity)</t>
  </si>
  <si>
    <t>Extension for Response within First Month</t>
  </si>
  <si>
    <t>Extension for Response within Second Month</t>
  </si>
  <si>
    <t>Extension for Response within Third Month</t>
  </si>
  <si>
    <t>Extension for Response within Fourth Month</t>
  </si>
  <si>
    <t>Extension for Response within Fifth Month</t>
  </si>
  <si>
    <t>Patent Extension Fees (Small Entity)</t>
  </si>
  <si>
    <t>Patent Extension Fees (Micro Entity)</t>
  </si>
  <si>
    <t>Total Patent Extension Fees</t>
  </si>
  <si>
    <t>Notice of Appeal to Board of Appeals</t>
  </si>
  <si>
    <t>Filing a Brief in Support of an Appeal</t>
  </si>
  <si>
    <t>Request for an Oral Hearing</t>
  </si>
  <si>
    <t>Petitions to the Chief Administrative Patent Judge</t>
  </si>
  <si>
    <t>Patent Revival Fees (Large Entity)</t>
  </si>
  <si>
    <t>Petition to Revive Unavoidably Abandoned Application</t>
  </si>
  <si>
    <t>Petition to Revive Unintentionally Abandoned Application</t>
  </si>
  <si>
    <t>Statutory Disclaimer</t>
  </si>
  <si>
    <t>Patent Revival Fees (Small Entity)</t>
  </si>
  <si>
    <t>Patent Revival Fees (Micro Entity)</t>
  </si>
  <si>
    <t xml:space="preserve">Total Patent Revival Fees </t>
  </si>
  <si>
    <t>PCT Application Fees (Large Entity)</t>
  </si>
  <si>
    <t>Filing of PCT National Stage Application</t>
  </si>
  <si>
    <t>PCT National Stage Search - All Other Situations</t>
  </si>
  <si>
    <t>PCT National Stage Search - USPTO is ISA or IPEA and All Claims Satisfy PCT Article</t>
  </si>
  <si>
    <t>PCT National Stage Search - USPTO is ISA</t>
  </si>
  <si>
    <t>PCT National Stage Search - Search Report Prepared and Provided to USPTO</t>
  </si>
  <si>
    <t>PCT National Stage Examination - All Other Situations</t>
  </si>
  <si>
    <t>PCT National Stage Examination - USPTO is IPEA and All Claims Satisfy PCT Article</t>
  </si>
  <si>
    <t>Search or Examination Fee, Oath or Declaration After 30 Months from Priority Date</t>
  </si>
  <si>
    <t>English Translation After 30 Months from Priority Date</t>
  </si>
  <si>
    <t>PCT National Stage Application Size Fee</t>
  </si>
  <si>
    <t>PCT Application Fees (Small Entity)</t>
  </si>
  <si>
    <t>PCT Application Fees (Micro Entity)</t>
  </si>
  <si>
    <t>PCT Processing Fees (Large Entity)</t>
  </si>
  <si>
    <t>PCT Transmittal Fee</t>
  </si>
  <si>
    <t>PCT Search Fee - No Prior US Application</t>
  </si>
  <si>
    <t>Supplemental Search per Additional Invention</t>
  </si>
  <si>
    <t>PCT - Preliminary Examination (USPTO is ISA)</t>
  </si>
  <si>
    <t>PCT - Preliminary Examination (USPTO is not ISA)</t>
  </si>
  <si>
    <t>Supplemental Examination per Additional Invention</t>
  </si>
  <si>
    <t>PCT - Late Payment</t>
  </si>
  <si>
    <t>PCT Processing Fees (Small Entity)</t>
  </si>
  <si>
    <t>PCT Processing Fees (Micro Entity)</t>
  </si>
  <si>
    <t>Total PCT Processing Fees</t>
  </si>
  <si>
    <t>Total PCT Fees</t>
  </si>
  <si>
    <t>Other Patent Processing Fees (Large Entity)</t>
  </si>
  <si>
    <t>Non-English Specification</t>
  </si>
  <si>
    <t>Acceptance of an Unintentionally Delayed Claim for Priority</t>
  </si>
  <si>
    <t>Filing an Application for Patent Term Adjustment</t>
  </si>
  <si>
    <t>Request for Reinstatement of Term Reduced</t>
  </si>
  <si>
    <t>Extension of Patent Term</t>
  </si>
  <si>
    <t>Initial Application for Interim Extension</t>
  </si>
  <si>
    <t>Subsequent Application for Interim Extension</t>
  </si>
  <si>
    <t>Petitions to the Director (Group I)</t>
  </si>
  <si>
    <t>Petitions to the Director (Group II)</t>
  </si>
  <si>
    <t>Petitions to the Director (Group III)</t>
  </si>
  <si>
    <t>Expedited Examination of Design Application</t>
  </si>
  <si>
    <t>Submission of Information Disclosure Statement</t>
  </si>
  <si>
    <t>Processing Fee for Provisional Applications</t>
  </si>
  <si>
    <t>Certificate of Correction</t>
  </si>
  <si>
    <t>Request for Ex Partes Reexamination</t>
  </si>
  <si>
    <t>Status of Maintenance Fee Payment (Uncertified Statement)</t>
  </si>
  <si>
    <t>Publication in Official Gazette</t>
  </si>
  <si>
    <t>Handling Fee for Incomplete or Improper Application</t>
  </si>
  <si>
    <t>Reexamination Petition</t>
  </si>
  <si>
    <t>Supplemental Examination Request</t>
  </si>
  <si>
    <t>Supplemental Examination Reexamination</t>
  </si>
  <si>
    <t>Other Patent Processing Fees (Small Entity)</t>
  </si>
  <si>
    <t>Other Patent Processing Fees (Micro Entity)</t>
  </si>
  <si>
    <t>Total Other Patent Processing Fees</t>
  </si>
  <si>
    <t>Patent Attorney Enrollment Fees</t>
  </si>
  <si>
    <t>Application Fee</t>
  </si>
  <si>
    <t>For Test Administration by Commercial Entity</t>
  </si>
  <si>
    <t>For Test Administration by the USPTO</t>
  </si>
  <si>
    <t>Attorney Fee - Registration to Practice or Grant of Limited Recognition under 11.9(b) or (c)</t>
  </si>
  <si>
    <t>Attorney Fee - Reinstatement to Practice</t>
  </si>
  <si>
    <t>Attorney Fee - Certificate of Good Standing as an Attorney or Agent</t>
  </si>
  <si>
    <t>Attorney Fee - Certificate of Good Standing as an Attorney or Agent, Suitable for Framing</t>
  </si>
  <si>
    <t>Review of Decision by the OED Director under 11.2(c)</t>
  </si>
  <si>
    <t>Review of Decision of the OED Director under 11.2(d)</t>
  </si>
  <si>
    <t>Annual Fee for Registered Attorney or Agent, Active Status</t>
  </si>
  <si>
    <t>Annual Fee for Registered Attorney or Agent in Voluntary Inactive Status</t>
  </si>
  <si>
    <t>Requesting Restoration to Active Status from Voluntary Inactive Status</t>
  </si>
  <si>
    <t>Balance of Annual Fee Due Upon Restoration to active Status from Voluntary Inactive Status</t>
  </si>
  <si>
    <t>Annual Fee for Individual Granted Limited Recognition</t>
  </si>
  <si>
    <t>Delinquency</t>
  </si>
  <si>
    <t>Application Fee for Person Disciplined, Convicted of a Felony or Certain Misdemeanors under 11.2(h)</t>
  </si>
  <si>
    <t>Unspecified other services, excluding labor</t>
  </si>
  <si>
    <t>Patent Service Fees</t>
  </si>
  <si>
    <t>Printed Copy of Patent without Color</t>
  </si>
  <si>
    <t>Printed Copy of Patent in Color</t>
  </si>
  <si>
    <t>Color Copy of Patent (Other than Plant) or SIR with Color</t>
  </si>
  <si>
    <t>Patent Application Publication</t>
  </si>
  <si>
    <t>Copy of Patent Application as Filed, if Provided on Paper</t>
  </si>
  <si>
    <t>Copy of Patent Related File Wrapper and Paper Contents of 400 or Fewer Pages, if Provided on Paper</t>
  </si>
  <si>
    <t>Additional Fee for Each Additional 100 Pages or Portion of Patent Related File Wrapper and Contents</t>
  </si>
  <si>
    <t>Certification of Patent-Related File Wrapper and Paper Contents</t>
  </si>
  <si>
    <t>Copy of Patent Related File Wrapper and Contents if Provided Electronically or on a Physical Electronic Medium as Specified</t>
  </si>
  <si>
    <t>Additional Fee for Each Continuing Physical Electronic Medium in Single Order</t>
  </si>
  <si>
    <t>Copy of Office Records, Except Copies of Applications as Filed</t>
  </si>
  <si>
    <t>Assignment Records, Abstract of Title and Certification, per Patent</t>
  </si>
  <si>
    <t>List of US Patents and SIRs in Subclass</t>
  </si>
  <si>
    <t>Copy of Non-US Document</t>
  </si>
  <si>
    <t>International Type Search Report</t>
  </si>
  <si>
    <t>Recording Each Patent Assignment, Agreement or Other Paper, Per Property</t>
  </si>
  <si>
    <t>Labor Charge for Services</t>
  </si>
  <si>
    <t>Unspecified Other Services, Excluding Labor</t>
  </si>
  <si>
    <t>Handling Fee for Withdrawal of SIR</t>
  </si>
  <si>
    <t>Copy of Patent-Related File Wrapper Contents that Were Submitted and Are Stored on Compact Disk or Other Electronic Form, Other Than as Available; First Physical Electronic Medium in a Single Order</t>
  </si>
  <si>
    <t>Additional Fee for Each Continuing Copy of Patent-Related File Wrapper Contents as Specified</t>
  </si>
  <si>
    <t>Copy of Patent Related File Wrapper Contents that Were Submitted and Are Stored on Compact Disk, or other Electronic Form, other than as available, if Provided Electronically Other than on a Physical Electronic Medium, per Order</t>
  </si>
  <si>
    <t>Petitions for Documents in Form Other Than that Provided by this Part, or in a Form Other Than that Generally Provided by Director, to be Decided in Accordance with Merits</t>
  </si>
  <si>
    <t>REPS</t>
  </si>
  <si>
    <t>Self Service Copy Charge, per Page</t>
  </si>
  <si>
    <t>Annual Library Subscription</t>
  </si>
  <si>
    <t>Corporate Fees</t>
  </si>
  <si>
    <t>Total Corporate Fees</t>
  </si>
  <si>
    <t>Total Patent Fees</t>
  </si>
  <si>
    <t>FY 2016</t>
  </si>
  <si>
    <t>FY 2017</t>
  </si>
  <si>
    <t xml:space="preserve">Transmitting Application to International Bureau </t>
  </si>
  <si>
    <t>XXXX</t>
  </si>
  <si>
    <t>Refused Request for Ex Parte Reexamination</t>
  </si>
  <si>
    <t>Derivation Proceeding</t>
  </si>
  <si>
    <t>Request to Make Settlement Agreement Available</t>
  </si>
  <si>
    <t>Petition to Institute a Derivation</t>
  </si>
  <si>
    <t>Request for Inter Partes Review up to 20 Claims</t>
  </si>
  <si>
    <t>Inter Partes Post Institution Fee  up to 15 Claims</t>
  </si>
  <si>
    <t>Supplemental Examination Document Size Fees; Each Additional 50</t>
  </si>
  <si>
    <t>Supplemental Examination Document Size Fees; 21-50</t>
  </si>
  <si>
    <t>Recording Each Patent Assignment, Agreement or Other Paper, Per Property, Electronic Submission</t>
  </si>
  <si>
    <t>Patent Trial and Appeal Board Fees (Large Entity)</t>
  </si>
  <si>
    <t>Patent Trial and Appeal Board Fees (Small Entity)</t>
  </si>
  <si>
    <t>Patent Trial and Appeal Board Fees (Micro Entity)</t>
  </si>
  <si>
    <t>Total Patent Trial and Appeal Board Fees</t>
  </si>
  <si>
    <t>Correct Inventorship after First Action on the Merits</t>
  </si>
  <si>
    <t>Processing Each Payment Refused or Charged Back*</t>
  </si>
  <si>
    <t>Establish or Reinstate Deposit Account*</t>
  </si>
  <si>
    <t>Service Charge for Below Minimum Balance on Deposit Account*</t>
  </si>
  <si>
    <t>Partial Service Charge for Closing a Deposit Account*</t>
  </si>
  <si>
    <t>Suspense Account for Partial Issue Payments*</t>
  </si>
  <si>
    <t>Suspense Account for Partial Publication Payments*</t>
  </si>
  <si>
    <t>Suspense Account for PCT Payments*</t>
  </si>
  <si>
    <t>Suspense Account for Other Patent Processing Fees*</t>
  </si>
  <si>
    <t>Patent Unassigned Fees*</t>
  </si>
  <si>
    <t>Unassigned Maintenance Fee Payments*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</si>
  <si>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</si>
  <si>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</si>
  <si>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</si>
  <si>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</si>
  <si>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</si>
  <si>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</si>
  <si>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</si>
  <si>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</si>
  <si>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</si>
  <si>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</si>
  <si>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</si>
  <si>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</si>
  <si>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</si>
  <si>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</si>
  <si>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</si>
  <si>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</si>
  <si>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</si>
  <si>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</si>
  <si>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</si>
  <si>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</si>
  <si>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</si>
  <si>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</si>
  <si>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</si>
  <si>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</si>
  <si>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</si>
  <si>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</si>
  <si>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Refunded Request for Ex Parte Reexamination</t>
  </si>
  <si>
    <t>Forwarding an Appeal in an Application or Ex Parte Reexamination Proceeding to the Board</t>
  </si>
  <si>
    <t>Filing a Brief in Support of an Appeal in an Inter Partes Reexamination Proceeding</t>
  </si>
  <si>
    <t>Petition for Inter Partes Review, 20 or Fewer Claims</t>
  </si>
  <si>
    <t>Inter Partes Review Refunds</t>
  </si>
  <si>
    <t>Processing Fee for Correcting Inventorship in a Patent</t>
  </si>
  <si>
    <t>Post Grant Review Refunds</t>
  </si>
  <si>
    <t>Post Grant Review and Covered Business Method Post Institution Per Claim Fee Greater than 15</t>
  </si>
  <si>
    <t>Post Grant Review and Covered Business Method Post Institution Fee ‐ up to 15 Claims</t>
  </si>
  <si>
    <t>Post Grant Review and Covered Business Methods</t>
  </si>
  <si>
    <t>Post Grant Review and Covered Business Method Request Per Claim Fee Greater than 20</t>
  </si>
  <si>
    <t>Inter Partes Review Request Per Claim Fee Greater than 20</t>
  </si>
  <si>
    <t>Inter Partes Review Post Institution Per Claim Fee Greater than 15 Claims</t>
  </si>
  <si>
    <t xml:space="preserve"> Second and Subsequent Request for Continued Examination</t>
  </si>
  <si>
    <t>variable</t>
  </si>
  <si>
    <t>Petition for Inter Partes Review, Each Additional Claim in Excess of 20</t>
  </si>
  <si>
    <t>Post Grant or Covered Business Method Patent Review, 20 or Fewer Claims</t>
  </si>
  <si>
    <t>Post Grant or Covered Business Method Patent Review, Each Additional Claim in Excess of 20</t>
  </si>
  <si>
    <t>10/5/12-</t>
  </si>
  <si>
    <t>10/4/12</t>
  </si>
  <si>
    <t>3/31/13</t>
  </si>
  <si>
    <t>4/1/13-</t>
  </si>
  <si>
    <t>1.7% CPI</t>
  </si>
  <si>
    <t>=(I+J+K)</t>
  </si>
  <si>
    <t>=(M+N)</t>
  </si>
  <si>
    <t>AA</t>
  </si>
  <si>
    <t>AB</t>
  </si>
  <si>
    <t>=(H*R)</t>
  </si>
  <si>
    <t>=(G*Q)</t>
  </si>
  <si>
    <t>=(F*P)</t>
  </si>
  <si>
    <t>=(A*I)</t>
  </si>
  <si>
    <t>=(B*J)</t>
  </si>
  <si>
    <t>=(C*K)</t>
  </si>
  <si>
    <t>=(S+T+U)</t>
  </si>
  <si>
    <t>=(D*M)</t>
  </si>
  <si>
    <t>=(E*N)</t>
  </si>
  <si>
    <t>=(W+X)</t>
  </si>
  <si>
    <t>* The Aggregate Revenue Estimate Contains Information for the Patent Business Line in It's Entirety.  Certain Limited Fees, Marked With an Asterisk (*), Are Not  Set Or Adjusted Under The Section 10 of the America Invents Act Final Rule.  However, To Prepare A Complete Aggregate Revenue Calculation For The Patent Business Line These Select Fees, Including Corporate/Finance Fees and Holding Fees Are Included in the Aggregate Revenue Estimate.</t>
  </si>
  <si>
    <t>Petition to Institute a Public Use Proceeding*</t>
  </si>
  <si>
    <t>Request for Publication of SIR - Prior to Examiner Action*</t>
  </si>
  <si>
    <t>Request for Publication of SIR - After Examiner Action*</t>
  </si>
  <si>
    <t>Computer Records, At Cost*</t>
  </si>
  <si>
    <t>Other Publication Processing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</si>
</sst>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164" formatCode="#,##0.000_);[Red]\(#,##0.000\)"/>
    <numFmt numFmtId="165" formatCode="0_);[Red]\(0\)"/>
    <numFmt numFmtId="166" formatCode="\$#,##0.00_);[Red]&quot;($&quot;#,##0.00\)"/>
    <numFmt numFmtId="167" formatCode="0.000"/>
    <numFmt numFmtId="168" formatCode="0_);\(0\)"/>
    <numFmt numFmtId="169" formatCode="\$#,##0_);&quot;($&quot;#,##0\)"/>
    <numFmt numFmtId="170" formatCode="&quot;$&quot;#,##0.00"/>
  </numFmts>
  <fonts count="12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0099"/>
      <name val="Calibri"/>
      <family val="2"/>
      <scheme val="minor"/>
    </font>
    <font>
      <sz val="9"/>
      <color rgb="FF990099"/>
      <name val="Calibri"/>
      <family val="2"/>
      <scheme val="minor"/>
    </font>
    <font>
      <sz val="9"/>
      <color indexed="20"/>
      <name val="Calibri"/>
      <family val="2"/>
      <scheme val="minor"/>
    </font>
    <font>
      <sz val="9"/>
      <color indexed="1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7030A0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color theme="4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8"/>
        <bgColor indexed="63"/>
      </patternFill>
    </fill>
    <fill>
      <patternFill patternType="solid">
        <fgColor theme="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34998626667073579"/>
      </right>
      <top style="medium">
        <color indexed="64"/>
      </top>
      <bottom/>
      <diagonal/>
    </border>
    <border>
      <left/>
      <right style="hair">
        <color theme="0" tint="-0.34998626667073579"/>
      </right>
      <top style="medium">
        <color indexed="64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indexed="64"/>
      </top>
      <bottom/>
      <diagonal/>
    </border>
    <border>
      <left style="medium">
        <color indexed="64"/>
      </left>
      <right style="hair">
        <color theme="0" tint="-0.34998626667073579"/>
      </right>
      <top/>
      <bottom/>
      <diagonal/>
    </border>
    <border>
      <left/>
      <right style="hair">
        <color theme="0" tint="-0.34998626667073579"/>
      </right>
      <top/>
      <bottom/>
      <diagonal/>
    </border>
    <border>
      <left style="hair">
        <color theme="0" tint="-0.34998626667073579"/>
      </left>
      <right style="hair">
        <color theme="0" tint="-0.34998626667073579"/>
      </right>
      <top/>
      <bottom/>
      <diagonal/>
    </border>
    <border>
      <left style="medium">
        <color indexed="64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 style="hair">
        <color indexed="64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hair">
        <color theme="0" tint="-0.34998626667073579"/>
      </bottom>
      <diagonal/>
    </border>
    <border>
      <left style="medium">
        <color indexed="64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 style="hair">
        <color theme="0" tint="-0.34998626667073579"/>
      </top>
      <bottom style="medium">
        <color indexed="64"/>
      </bottom>
      <diagonal/>
    </border>
    <border>
      <left/>
      <right style="hair">
        <color theme="0" tint="-0.34998626667073579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/>
      <top/>
      <bottom/>
      <diagonal/>
    </border>
    <border>
      <left style="hair">
        <color theme="0" tint="-0.34998626667073579"/>
      </left>
      <right/>
      <top/>
      <bottom style="hair">
        <color theme="0" tint="-0.34998626667073579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 style="hair">
        <color theme="0" tint="-0.34998626667073579"/>
      </top>
      <bottom style="medium">
        <color indexed="64"/>
      </bottom>
      <diagonal/>
    </border>
    <border>
      <left style="hair">
        <color theme="0" tint="-0.34998626667073579"/>
      </left>
      <right style="medium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/>
      <diagonal/>
    </border>
    <border>
      <left style="hair">
        <color theme="0" tint="-0.34998626667073579"/>
      </left>
      <right style="medium">
        <color indexed="64"/>
      </right>
      <top/>
      <bottom/>
      <diagonal/>
    </border>
    <border>
      <left style="hair">
        <color theme="0" tint="-0.34998626667073579"/>
      </left>
      <right style="medium">
        <color indexed="64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/>
      <bottom style="medium">
        <color indexed="64"/>
      </bottom>
      <diagonal/>
    </border>
    <border>
      <left style="medium">
        <color indexed="64"/>
      </left>
      <right/>
      <top/>
      <bottom style="hair">
        <color theme="0" tint="-0.34998626667073579"/>
      </bottom>
      <diagonal/>
    </border>
    <border>
      <left/>
      <right style="hair">
        <color theme="0" tint="-0.34998626667073579"/>
      </right>
      <top/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theme="0" tint="-0.34998626667073579"/>
      </right>
      <top style="hair">
        <color indexed="64"/>
      </top>
      <bottom style="medium">
        <color indexed="64"/>
      </bottom>
      <diagonal/>
    </border>
    <border>
      <left style="hair">
        <color theme="0" tint="-0.34998626667073579"/>
      </left>
      <right/>
      <top style="hair">
        <color theme="0" tint="-0.34998626667073579"/>
      </top>
      <bottom style="medium">
        <color indexed="64"/>
      </bottom>
      <diagonal/>
    </border>
    <border>
      <left style="hair">
        <color indexed="64"/>
      </left>
      <right style="hair">
        <color theme="0" tint="-0.34998626667073579"/>
      </right>
      <top style="medium">
        <color indexed="64"/>
      </top>
      <bottom/>
      <diagonal/>
    </border>
    <border>
      <left style="hair">
        <color theme="0" tint="-0.34998626667073579"/>
      </left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/>
      <top style="medium">
        <color indexed="64"/>
      </top>
      <bottom style="hair">
        <color theme="0" tint="-0.34998626667073579"/>
      </bottom>
      <diagonal/>
    </border>
    <border>
      <left style="hair">
        <color theme="0" tint="-0.34998626667073579"/>
      </left>
      <right style="medium">
        <color indexed="64"/>
      </right>
      <top style="medium">
        <color indexed="64"/>
      </top>
      <bottom style="hair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hair">
        <color theme="0" tint="-0.34998626667073579"/>
      </bottom>
      <diagonal/>
    </border>
    <border>
      <left/>
      <right style="hair">
        <color theme="0" tint="-0.34998626667073579"/>
      </right>
      <top style="medium">
        <color indexed="64"/>
      </top>
      <bottom style="hair">
        <color theme="0" tint="-0.34998626667073579"/>
      </bottom>
      <diagonal/>
    </border>
  </borders>
  <cellStyleXfs count="1">
    <xf numFmtId="0" fontId="0" fillId="0" borderId="0"/>
  </cellStyleXfs>
  <cellXfs count="217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164" fontId="2" fillId="0" borderId="6" xfId="0" applyNumberFormat="1" applyFont="1" applyBorder="1" applyAlignment="1">
      <alignment horizontal="center"/>
    </xf>
    <xf numFmtId="164" fontId="2" fillId="0" borderId="6" xfId="0" quotePrefix="1" applyNumberFormat="1" applyFont="1" applyBorder="1" applyAlignment="1">
      <alignment horizontal="center"/>
    </xf>
    <xf numFmtId="0" fontId="2" fillId="2" borderId="6" xfId="0" applyFont="1" applyFill="1" applyBorder="1"/>
    <xf numFmtId="0" fontId="2" fillId="0" borderId="6" xfId="0" quotePrefix="1" applyFont="1" applyFill="1" applyBorder="1" applyAlignment="1">
      <alignment horizontal="center"/>
    </xf>
    <xf numFmtId="0" fontId="2" fillId="0" borderId="6" xfId="0" quotePrefix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" fontId="2" fillId="0" borderId="9" xfId="0" applyNumberFormat="1" applyFont="1" applyBorder="1" applyAlignment="1">
      <alignment horizontal="center"/>
    </xf>
    <xf numFmtId="1" fontId="2" fillId="2" borderId="9" xfId="0" applyNumberFormat="1" applyFont="1" applyFill="1" applyBorder="1" applyAlignment="1">
      <alignment horizontal="center"/>
    </xf>
    <xf numFmtId="165" fontId="2" fillId="0" borderId="9" xfId="0" quotePrefix="1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68" fontId="2" fillId="0" borderId="13" xfId="0" applyNumberFormat="1" applyFont="1" applyBorder="1" applyAlignment="1">
      <alignment horizontal="center"/>
    </xf>
    <xf numFmtId="0" fontId="2" fillId="0" borderId="14" xfId="0" applyFont="1" applyFill="1" applyBorder="1"/>
    <xf numFmtId="166" fontId="3" fillId="0" borderId="14" xfId="0" applyNumberFormat="1" applyFont="1" applyBorder="1" applyProtection="1">
      <protection locked="0"/>
    </xf>
    <xf numFmtId="166" fontId="3" fillId="0" borderId="14" xfId="0" applyNumberFormat="1" applyFont="1" applyFill="1" applyBorder="1" applyProtection="1">
      <protection locked="0"/>
    </xf>
    <xf numFmtId="0" fontId="4" fillId="0" borderId="14" xfId="0" applyFont="1" applyBorder="1"/>
    <xf numFmtId="37" fontId="4" fillId="0" borderId="14" xfId="0" applyNumberFormat="1" applyFont="1" applyFill="1" applyBorder="1"/>
    <xf numFmtId="37" fontId="4" fillId="0" borderId="14" xfId="0" applyNumberFormat="1" applyFont="1" applyFill="1" applyBorder="1" applyProtection="1">
      <protection locked="0"/>
    </xf>
    <xf numFmtId="5" fontId="3" fillId="0" borderId="14" xfId="0" applyNumberFormat="1" applyFont="1" applyBorder="1"/>
    <xf numFmtId="168" fontId="2" fillId="0" borderId="13" xfId="0" applyNumberFormat="1" applyFont="1" applyFill="1" applyBorder="1" applyAlignment="1">
      <alignment horizontal="center"/>
    </xf>
    <xf numFmtId="0" fontId="2" fillId="0" borderId="14" xfId="0" applyFont="1" applyFill="1" applyBorder="1" applyAlignment="1">
      <alignment horizontal="left"/>
    </xf>
    <xf numFmtId="5" fontId="2" fillId="0" borderId="14" xfId="0" applyNumberFormat="1" applyFont="1" applyFill="1" applyBorder="1"/>
    <xf numFmtId="0" fontId="2" fillId="0" borderId="15" xfId="0" applyFont="1" applyBorder="1" applyAlignment="1">
      <alignment horizontal="left"/>
    </xf>
    <xf numFmtId="0" fontId="2" fillId="0" borderId="16" xfId="0" applyFont="1" applyFill="1" applyBorder="1"/>
    <xf numFmtId="167" fontId="3" fillId="0" borderId="14" xfId="0" applyNumberFormat="1" applyFont="1" applyBorder="1"/>
    <xf numFmtId="169" fontId="3" fillId="0" borderId="14" xfId="0" applyNumberFormat="1" applyFont="1" applyFill="1" applyBorder="1"/>
    <xf numFmtId="166" fontId="3" fillId="0" borderId="14" xfId="0" applyNumberFormat="1" applyFont="1" applyBorder="1"/>
    <xf numFmtId="166" fontId="3" fillId="0" borderId="14" xfId="0" applyNumberFormat="1" applyFont="1" applyFill="1" applyBorder="1"/>
    <xf numFmtId="166" fontId="3" fillId="0" borderId="17" xfId="0" applyNumberFormat="1" applyFont="1" applyBorder="1" applyProtection="1">
      <protection locked="0"/>
    </xf>
    <xf numFmtId="0" fontId="4" fillId="0" borderId="17" xfId="0" applyFont="1" applyBorder="1"/>
    <xf numFmtId="37" fontId="4" fillId="0" borderId="17" xfId="0" applyNumberFormat="1" applyFont="1" applyFill="1" applyBorder="1"/>
    <xf numFmtId="37" fontId="5" fillId="0" borderId="14" xfId="0" applyNumberFormat="1" applyFont="1" applyFill="1" applyBorder="1" applyProtection="1">
      <protection locked="0"/>
    </xf>
    <xf numFmtId="170" fontId="3" fillId="0" borderId="14" xfId="0" applyNumberFormat="1" applyFont="1" applyFill="1" applyBorder="1"/>
    <xf numFmtId="0" fontId="2" fillId="0" borderId="15" xfId="0" applyFont="1" applyBorder="1" applyAlignment="1">
      <alignment horizontal="center"/>
    </xf>
    <xf numFmtId="0" fontId="4" fillId="0" borderId="17" xfId="0" applyFont="1" applyFill="1" applyBorder="1" applyProtection="1">
      <protection locked="0"/>
    </xf>
    <xf numFmtId="0" fontId="2" fillId="0" borderId="1" xfId="0" applyFont="1" applyBorder="1" applyAlignment="1">
      <alignment horizontal="left"/>
    </xf>
    <xf numFmtId="0" fontId="2" fillId="0" borderId="0" xfId="0" applyFont="1" applyFill="1" applyBorder="1"/>
    <xf numFmtId="166" fontId="6" fillId="0" borderId="14" xfId="0" applyNumberFormat="1" applyFont="1" applyBorder="1"/>
    <xf numFmtId="0" fontId="2" fillId="0" borderId="14" xfId="0" applyFont="1" applyBorder="1"/>
    <xf numFmtId="0" fontId="4" fillId="0" borderId="14" xfId="0" applyFont="1" applyFill="1" applyBorder="1"/>
    <xf numFmtId="37" fontId="5" fillId="0" borderId="14" xfId="0" applyNumberFormat="1" applyFont="1" applyFill="1" applyBorder="1"/>
    <xf numFmtId="0" fontId="3" fillId="0" borderId="14" xfId="0" applyFont="1" applyBorder="1"/>
    <xf numFmtId="169" fontId="3" fillId="0" borderId="14" xfId="0" applyNumberFormat="1" applyFont="1" applyBorder="1"/>
    <xf numFmtId="0" fontId="5" fillId="0" borderId="14" xfId="0" applyFont="1" applyFill="1" applyBorder="1" applyProtection="1">
      <protection locked="0"/>
    </xf>
    <xf numFmtId="0" fontId="4" fillId="0" borderId="14" xfId="0" applyFont="1" applyFill="1" applyBorder="1" applyProtection="1">
      <protection locked="0"/>
    </xf>
    <xf numFmtId="168" fontId="2" fillId="0" borderId="15" xfId="0" applyNumberFormat="1" applyFont="1" applyBorder="1" applyAlignment="1">
      <alignment horizontal="left"/>
    </xf>
    <xf numFmtId="0" fontId="3" fillId="0" borderId="14" xfId="0" applyFont="1" applyFill="1" applyBorder="1"/>
    <xf numFmtId="5" fontId="4" fillId="0" borderId="14" xfId="0" applyNumberFormat="1" applyFont="1" applyBorder="1"/>
    <xf numFmtId="0" fontId="2" fillId="0" borderId="14" xfId="0" applyFont="1" applyBorder="1" applyAlignment="1">
      <alignment horizontal="left"/>
    </xf>
    <xf numFmtId="168" fontId="2" fillId="0" borderId="14" xfId="0" applyNumberFormat="1" applyFont="1" applyFill="1" applyBorder="1" applyAlignment="1">
      <alignment horizontal="left"/>
    </xf>
    <xf numFmtId="170" fontId="3" fillId="0" borderId="14" xfId="0" applyNumberFormat="1" applyFont="1" applyFill="1" applyBorder="1" applyAlignment="1">
      <alignment horizontal="right"/>
    </xf>
    <xf numFmtId="0" fontId="2" fillId="0" borderId="14" xfId="0" applyFont="1" applyFill="1" applyBorder="1" applyProtection="1">
      <protection locked="0"/>
    </xf>
    <xf numFmtId="0" fontId="2" fillId="0" borderId="16" xfId="0" applyFont="1" applyFill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Fill="1" applyBorder="1" applyAlignment="1">
      <alignment horizontal="left"/>
    </xf>
    <xf numFmtId="0" fontId="5" fillId="0" borderId="17" xfId="0" applyFont="1" applyFill="1" applyBorder="1" applyProtection="1">
      <protection locked="0"/>
    </xf>
    <xf numFmtId="169" fontId="3" fillId="0" borderId="17" xfId="0" applyNumberFormat="1" applyFont="1" applyFill="1" applyBorder="1"/>
    <xf numFmtId="0" fontId="3" fillId="3" borderId="14" xfId="0" applyFont="1" applyFill="1" applyBorder="1"/>
    <xf numFmtId="37" fontId="4" fillId="3" borderId="14" xfId="0" applyNumberFormat="1" applyFont="1" applyFill="1" applyBorder="1"/>
    <xf numFmtId="168" fontId="2" fillId="3" borderId="13" xfId="0" applyNumberFormat="1" applyFont="1" applyFill="1" applyBorder="1" applyAlignment="1">
      <alignment horizontal="center"/>
    </xf>
    <xf numFmtId="0" fontId="2" fillId="3" borderId="14" xfId="0" applyFont="1" applyFill="1" applyBorder="1"/>
    <xf numFmtId="166" fontId="3" fillId="3" borderId="14" xfId="0" applyNumberFormat="1" applyFont="1" applyFill="1" applyBorder="1" applyProtection="1">
      <protection locked="0"/>
    </xf>
    <xf numFmtId="168" fontId="2" fillId="3" borderId="14" xfId="0" applyNumberFormat="1" applyFont="1" applyFill="1" applyBorder="1" applyAlignment="1">
      <alignment horizontal="left"/>
    </xf>
    <xf numFmtId="170" fontId="3" fillId="3" borderId="14" xfId="0" applyNumberFormat="1" applyFont="1" applyFill="1" applyBorder="1" applyAlignment="1">
      <alignment horizontal="right"/>
    </xf>
    <xf numFmtId="166" fontId="3" fillId="3" borderId="14" xfId="0" applyNumberFormat="1" applyFont="1" applyFill="1" applyBorder="1"/>
    <xf numFmtId="1" fontId="2" fillId="0" borderId="20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5" fontId="3" fillId="0" borderId="22" xfId="0" applyNumberFormat="1" applyFont="1" applyBorder="1"/>
    <xf numFmtId="5" fontId="3" fillId="0" borderId="22" xfId="0" applyNumberFormat="1" applyFont="1" applyFill="1" applyBorder="1"/>
    <xf numFmtId="0" fontId="2" fillId="0" borderId="22" xfId="0" applyFont="1" applyBorder="1"/>
    <xf numFmtId="5" fontId="4" fillId="0" borderId="22" xfId="0" applyNumberFormat="1" applyFont="1" applyBorder="1"/>
    <xf numFmtId="0" fontId="0" fillId="0" borderId="0" xfId="0" applyBorder="1"/>
    <xf numFmtId="169" fontId="3" fillId="0" borderId="23" xfId="0" applyNumberFormat="1" applyFont="1" applyFill="1" applyBorder="1"/>
    <xf numFmtId="169" fontId="3" fillId="3" borderId="14" xfId="0" applyNumberFormat="1" applyFont="1" applyFill="1" applyBorder="1"/>
    <xf numFmtId="37" fontId="4" fillId="0" borderId="14" xfId="0" applyNumberFormat="1" applyFont="1" applyBorder="1"/>
    <xf numFmtId="169" fontId="3" fillId="3" borderId="24" xfId="0" applyNumberFormat="1" applyFont="1" applyFill="1" applyBorder="1"/>
    <xf numFmtId="0" fontId="2" fillId="0" borderId="12" xfId="0" applyFont="1" applyFill="1" applyBorder="1"/>
    <xf numFmtId="166" fontId="3" fillId="0" borderId="12" xfId="0" applyNumberFormat="1" applyFont="1" applyFill="1" applyBorder="1" applyProtection="1">
      <protection locked="0"/>
    </xf>
    <xf numFmtId="168" fontId="2" fillId="3" borderId="25" xfId="0" applyNumberFormat="1" applyFont="1" applyFill="1" applyBorder="1" applyAlignment="1">
      <alignment horizontal="center"/>
    </xf>
    <xf numFmtId="168" fontId="2" fillId="3" borderId="26" xfId="0" applyNumberFormat="1" applyFont="1" applyFill="1" applyBorder="1" applyAlignment="1">
      <alignment horizontal="left"/>
    </xf>
    <xf numFmtId="168" fontId="3" fillId="3" borderId="26" xfId="0" applyNumberFormat="1" applyFont="1" applyFill="1" applyBorder="1" applyAlignment="1">
      <alignment horizontal="center"/>
    </xf>
    <xf numFmtId="170" fontId="3" fillId="3" borderId="26" xfId="0" applyNumberFormat="1" applyFont="1" applyFill="1" applyBorder="1" applyAlignment="1">
      <alignment horizontal="right"/>
    </xf>
    <xf numFmtId="5" fontId="3" fillId="0" borderId="26" xfId="0" applyNumberFormat="1" applyFont="1" applyBorder="1"/>
    <xf numFmtId="0" fontId="7" fillId="0" borderId="0" xfId="0" applyFont="1"/>
    <xf numFmtId="37" fontId="8" fillId="0" borderId="0" xfId="0" applyNumberFormat="1" applyFont="1"/>
    <xf numFmtId="37" fontId="9" fillId="0" borderId="0" xfId="0" applyNumberFormat="1" applyFont="1"/>
    <xf numFmtId="37" fontId="7" fillId="0" borderId="0" xfId="0" applyNumberFormat="1" applyFont="1"/>
    <xf numFmtId="37" fontId="10" fillId="0" borderId="0" xfId="0" applyNumberFormat="1" applyFont="1"/>
    <xf numFmtId="166" fontId="3" fillId="0" borderId="16" xfId="0" applyNumberFormat="1" applyFont="1" applyBorder="1" applyProtection="1">
      <protection locked="0"/>
    </xf>
    <xf numFmtId="5" fontId="3" fillId="0" borderId="24" xfId="0" applyNumberFormat="1" applyFont="1" applyBorder="1"/>
    <xf numFmtId="0" fontId="7" fillId="0" borderId="14" xfId="0" applyFont="1" applyBorder="1"/>
    <xf numFmtId="7" fontId="3" fillId="3" borderId="14" xfId="0" applyNumberFormat="1" applyFont="1" applyFill="1" applyBorder="1" applyProtection="1">
      <protection locked="0"/>
    </xf>
    <xf numFmtId="1" fontId="2" fillId="0" borderId="27" xfId="0" applyNumberFormat="1" applyFont="1" applyBorder="1" applyAlignment="1">
      <alignment horizontal="center"/>
    </xf>
    <xf numFmtId="165" fontId="2" fillId="0" borderId="27" xfId="0" applyNumberFormat="1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7" fillId="0" borderId="0" xfId="0" applyFont="1" applyBorder="1"/>
    <xf numFmtId="169" fontId="3" fillId="0" borderId="24" xfId="0" applyNumberFormat="1" applyFont="1" applyFill="1" applyBorder="1"/>
    <xf numFmtId="0" fontId="2" fillId="0" borderId="24" xfId="0" applyFont="1" applyBorder="1"/>
    <xf numFmtId="5" fontId="4" fillId="0" borderId="24" xfId="0" applyNumberFormat="1" applyFont="1" applyBorder="1"/>
    <xf numFmtId="0" fontId="2" fillId="2" borderId="29" xfId="0" applyFont="1" applyFill="1" applyBorder="1" applyAlignment="1">
      <alignment horizontal="center"/>
    </xf>
    <xf numFmtId="37" fontId="4" fillId="0" borderId="12" xfId="0" applyNumberFormat="1" applyFont="1" applyFill="1" applyBorder="1"/>
    <xf numFmtId="5" fontId="3" fillId="0" borderId="12" xfId="0" applyNumberFormat="1" applyFont="1" applyBorder="1"/>
    <xf numFmtId="5" fontId="3" fillId="0" borderId="21" xfId="0" applyNumberFormat="1" applyFont="1" applyBorder="1"/>
    <xf numFmtId="5" fontId="3" fillId="0" borderId="28" xfId="0" applyNumberFormat="1" applyFont="1" applyBorder="1"/>
    <xf numFmtId="0" fontId="2" fillId="0" borderId="30" xfId="0" applyFont="1" applyBorder="1" applyAlignment="1">
      <alignment horizontal="left"/>
    </xf>
    <xf numFmtId="0" fontId="2" fillId="0" borderId="31" xfId="0" applyFont="1" applyFill="1" applyBorder="1"/>
    <xf numFmtId="0" fontId="1" fillId="0" borderId="8" xfId="0" applyFont="1" applyBorder="1"/>
    <xf numFmtId="164" fontId="2" fillId="0" borderId="9" xfId="0" applyNumberFormat="1" applyFont="1" applyBorder="1" applyAlignment="1">
      <alignment horizontal="center"/>
    </xf>
    <xf numFmtId="164" fontId="2" fillId="0" borderId="9" xfId="0" quotePrefix="1" applyNumberFormat="1" applyFont="1" applyBorder="1" applyAlignment="1">
      <alignment horizontal="center"/>
    </xf>
    <xf numFmtId="0" fontId="2" fillId="2" borderId="9" xfId="0" applyFont="1" applyFill="1" applyBorder="1"/>
    <xf numFmtId="0" fontId="2" fillId="0" borderId="9" xfId="0" quotePrefix="1" applyFont="1" applyFill="1" applyBorder="1" applyAlignment="1">
      <alignment horizontal="center"/>
    </xf>
    <xf numFmtId="0" fontId="2" fillId="0" borderId="9" xfId="0" quotePrefix="1" applyFont="1" applyBorder="1" applyAlignment="1">
      <alignment horizontal="center"/>
    </xf>
    <xf numFmtId="0" fontId="2" fillId="0" borderId="9" xfId="0" applyFont="1" applyBorder="1"/>
    <xf numFmtId="0" fontId="2" fillId="0" borderId="20" xfId="0" applyFont="1" applyBorder="1"/>
    <xf numFmtId="0" fontId="2" fillId="0" borderId="27" xfId="0" applyFont="1" applyBorder="1"/>
    <xf numFmtId="0" fontId="2" fillId="0" borderId="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4" fillId="0" borderId="12" xfId="0" applyFont="1" applyBorder="1"/>
    <xf numFmtId="1" fontId="4" fillId="0" borderId="14" xfId="0" applyNumberFormat="1" applyFont="1" applyBorder="1"/>
    <xf numFmtId="0" fontId="2" fillId="0" borderId="30" xfId="0" applyFont="1" applyBorder="1" applyAlignment="1">
      <alignment horizontal="center"/>
    </xf>
    <xf numFmtId="0" fontId="3" fillId="0" borderId="12" xfId="0" applyFont="1" applyBorder="1"/>
    <xf numFmtId="37" fontId="5" fillId="0" borderId="12" xfId="0" applyNumberFormat="1" applyFont="1" applyFill="1" applyBorder="1"/>
    <xf numFmtId="3" fontId="4" fillId="0" borderId="14" xfId="0" applyNumberFormat="1" applyFont="1" applyBorder="1" applyAlignment="1">
      <alignment horizontal="right"/>
    </xf>
    <xf numFmtId="168" fontId="2" fillId="0" borderId="10" xfId="0" applyNumberFormat="1" applyFont="1" applyFill="1" applyBorder="1" applyAlignment="1">
      <alignment horizontal="center"/>
    </xf>
    <xf numFmtId="5" fontId="3" fillId="0" borderId="14" xfId="0" applyNumberFormat="1" applyFont="1" applyFill="1" applyBorder="1"/>
    <xf numFmtId="5" fontId="3" fillId="0" borderId="24" xfId="0" applyNumberFormat="1" applyFont="1" applyFill="1" applyBorder="1"/>
    <xf numFmtId="0" fontId="0" fillId="0" borderId="0" xfId="0" applyFill="1"/>
    <xf numFmtId="168" fontId="2" fillId="0" borderId="15" xfId="0" applyNumberFormat="1" applyFont="1" applyFill="1" applyBorder="1" applyAlignment="1">
      <alignment horizontal="left"/>
    </xf>
    <xf numFmtId="0" fontId="2" fillId="0" borderId="15" xfId="0" applyFont="1" applyFill="1" applyBorder="1" applyAlignment="1">
      <alignment horizontal="left"/>
    </xf>
    <xf numFmtId="37" fontId="4" fillId="0" borderId="14" xfId="0" applyNumberFormat="1" applyFont="1" applyBorder="1" applyAlignment="1"/>
    <xf numFmtId="37" fontId="4" fillId="0" borderId="14" xfId="0" applyNumberFormat="1" applyFont="1" applyFill="1" applyBorder="1" applyAlignment="1"/>
    <xf numFmtId="37" fontId="4" fillId="0" borderId="14" xfId="0" applyNumberFormat="1" applyFont="1" applyBorder="1" applyAlignment="1">
      <alignment horizontal="right"/>
    </xf>
    <xf numFmtId="37" fontId="4" fillId="0" borderId="14" xfId="0" applyNumberFormat="1" applyFont="1" applyFill="1" applyBorder="1" applyAlignment="1">
      <alignment horizontal="right"/>
    </xf>
    <xf numFmtId="168" fontId="2" fillId="3" borderId="7" xfId="0" applyNumberFormat="1" applyFont="1" applyFill="1" applyBorder="1" applyAlignment="1">
      <alignment horizontal="center"/>
    </xf>
    <xf numFmtId="170" fontId="3" fillId="0" borderId="12" xfId="0" applyNumberFormat="1" applyFont="1" applyFill="1" applyBorder="1" applyAlignment="1">
      <alignment horizontal="right"/>
    </xf>
    <xf numFmtId="8" fontId="3" fillId="0" borderId="14" xfId="0" applyNumberFormat="1" applyFont="1" applyBorder="1"/>
    <xf numFmtId="7" fontId="3" fillId="0" borderId="14" xfId="0" applyNumberFormat="1" applyFont="1" applyBorder="1"/>
    <xf numFmtId="0" fontId="7" fillId="0" borderId="13" xfId="0" applyFont="1" applyBorder="1" applyAlignment="1">
      <alignment horizontal="center"/>
    </xf>
    <xf numFmtId="0" fontId="2" fillId="0" borderId="20" xfId="0" quotePrefix="1" applyFont="1" applyBorder="1" applyAlignment="1">
      <alignment horizontal="center"/>
    </xf>
    <xf numFmtId="0" fontId="2" fillId="0" borderId="27" xfId="0" quotePrefix="1" applyFont="1" applyBorder="1" applyAlignment="1">
      <alignment horizontal="center"/>
    </xf>
    <xf numFmtId="166" fontId="6" fillId="0" borderId="14" xfId="0" applyNumberFormat="1" applyFont="1" applyBorder="1" applyAlignment="1">
      <alignment horizontal="right"/>
    </xf>
    <xf numFmtId="166" fontId="3" fillId="0" borderId="14" xfId="0" applyNumberFormat="1" applyFont="1" applyBorder="1" applyAlignment="1">
      <alignment horizontal="right"/>
    </xf>
    <xf numFmtId="166" fontId="3" fillId="0" borderId="14" xfId="0" applyNumberFormat="1" applyFont="1" applyBorder="1" applyAlignment="1" applyProtection="1">
      <alignment horizontal="right"/>
      <protection locked="0"/>
    </xf>
    <xf numFmtId="166" fontId="3" fillId="0" borderId="14" xfId="0" applyNumberFormat="1" applyFont="1" applyFill="1" applyBorder="1" applyAlignment="1" applyProtection="1">
      <alignment horizontal="right"/>
      <protection locked="0"/>
    </xf>
    <xf numFmtId="7" fontId="3" fillId="0" borderId="14" xfId="0" applyNumberFormat="1" applyFont="1" applyFill="1" applyBorder="1" applyAlignment="1">
      <alignment horizontal="right"/>
    </xf>
    <xf numFmtId="0" fontId="11" fillId="0" borderId="2" xfId="0" applyFont="1" applyBorder="1" applyAlignment="1">
      <alignment horizontal="fill"/>
    </xf>
    <xf numFmtId="0" fontId="11" fillId="0" borderId="33" xfId="0" applyFont="1" applyBorder="1" applyAlignment="1">
      <alignment horizontal="fill"/>
    </xf>
    <xf numFmtId="0" fontId="11" fillId="0" borderId="17" xfId="0" applyFont="1" applyBorder="1" applyAlignment="1">
      <alignment horizontal="fill"/>
    </xf>
    <xf numFmtId="0" fontId="11" fillId="0" borderId="34" xfId="0" applyFont="1" applyBorder="1" applyAlignment="1">
      <alignment horizontal="fill"/>
    </xf>
    <xf numFmtId="0" fontId="11" fillId="0" borderId="23" xfId="0" applyFont="1" applyBorder="1" applyAlignment="1">
      <alignment horizontal="fill"/>
    </xf>
    <xf numFmtId="0" fontId="2" fillId="0" borderId="3" xfId="0" applyFont="1" applyBorder="1" applyAlignment="1">
      <alignment horizontal="left"/>
    </xf>
    <xf numFmtId="0" fontId="2" fillId="0" borderId="35" xfId="0" applyFont="1" applyBorder="1"/>
    <xf numFmtId="167" fontId="1" fillId="0" borderId="36" xfId="0" applyNumberFormat="1" applyFont="1" applyBorder="1"/>
    <xf numFmtId="0" fontId="2" fillId="2" borderId="6" xfId="0" applyFont="1" applyFill="1" applyBorder="1" applyAlignment="1">
      <alignment horizontal="center"/>
    </xf>
    <xf numFmtId="0" fontId="1" fillId="0" borderId="36" xfId="0" applyFont="1" applyBorder="1"/>
    <xf numFmtId="167" fontId="1" fillId="0" borderId="36" xfId="0" applyNumberFormat="1" applyFont="1" applyFill="1" applyBorder="1"/>
    <xf numFmtId="0" fontId="1" fillId="0" borderId="37" xfId="0" applyFont="1" applyBorder="1"/>
    <xf numFmtId="0" fontId="1" fillId="0" borderId="38" xfId="0" applyFont="1" applyBorder="1"/>
    <xf numFmtId="0" fontId="2" fillId="0" borderId="19" xfId="0" applyFont="1" applyFill="1" applyBorder="1"/>
    <xf numFmtId="167" fontId="3" fillId="0" borderId="17" xfId="0" applyNumberFormat="1" applyFont="1" applyBorder="1"/>
    <xf numFmtId="37" fontId="5" fillId="0" borderId="17" xfId="0" applyNumberFormat="1" applyFont="1" applyFill="1" applyBorder="1" applyProtection="1">
      <protection locked="0"/>
    </xf>
    <xf numFmtId="37" fontId="4" fillId="0" borderId="17" xfId="0" applyNumberFormat="1" applyFont="1" applyFill="1" applyBorder="1" applyProtection="1">
      <protection locked="0"/>
    </xf>
    <xf numFmtId="5" fontId="3" fillId="0" borderId="23" xfId="0" applyNumberFormat="1" applyFont="1" applyBorder="1"/>
    <xf numFmtId="0" fontId="2" fillId="0" borderId="39" xfId="0" applyFont="1" applyBorder="1" applyAlignment="1">
      <alignment horizontal="left"/>
    </xf>
    <xf numFmtId="0" fontId="2" fillId="0" borderId="40" xfId="0" applyFont="1" applyFill="1" applyBorder="1"/>
    <xf numFmtId="167" fontId="3" fillId="0" borderId="36" xfId="0" applyNumberFormat="1" applyFont="1" applyBorder="1"/>
    <xf numFmtId="0" fontId="4" fillId="0" borderId="36" xfId="0" applyFont="1" applyBorder="1"/>
    <xf numFmtId="37" fontId="4" fillId="0" borderId="36" xfId="0" applyNumberFormat="1" applyFont="1" applyFill="1" applyBorder="1"/>
    <xf numFmtId="37" fontId="5" fillId="0" borderId="36" xfId="0" applyNumberFormat="1" applyFont="1" applyFill="1" applyBorder="1" applyProtection="1">
      <protection locked="0"/>
    </xf>
    <xf numFmtId="37" fontId="4" fillId="0" borderId="36" xfId="0" applyNumberFormat="1" applyFont="1" applyFill="1" applyBorder="1" applyProtection="1">
      <protection locked="0"/>
    </xf>
    <xf numFmtId="5" fontId="3" fillId="0" borderId="36" xfId="0" applyNumberFormat="1" applyFont="1" applyBorder="1"/>
    <xf numFmtId="5" fontId="3" fillId="0" borderId="37" xfId="0" applyNumberFormat="1" applyFont="1" applyBorder="1"/>
    <xf numFmtId="5" fontId="3" fillId="0" borderId="38" xfId="0" applyNumberFormat="1" applyFont="1" applyBorder="1"/>
    <xf numFmtId="0" fontId="3" fillId="0" borderId="17" xfId="0" applyFont="1" applyBorder="1"/>
    <xf numFmtId="37" fontId="5" fillId="0" borderId="17" xfId="0" applyNumberFormat="1" applyFont="1" applyFill="1" applyBorder="1"/>
    <xf numFmtId="169" fontId="3" fillId="0" borderId="17" xfId="0" applyNumberFormat="1" applyFont="1" applyBorder="1"/>
    <xf numFmtId="5" fontId="3" fillId="0" borderId="17" xfId="0" applyNumberFormat="1" applyFont="1" applyBorder="1"/>
    <xf numFmtId="0" fontId="2" fillId="0" borderId="39" xfId="0" applyFont="1" applyBorder="1" applyAlignment="1">
      <alignment horizontal="center"/>
    </xf>
    <xf numFmtId="166" fontId="3" fillId="0" borderId="36" xfId="0" applyNumberFormat="1" applyFont="1" applyBorder="1"/>
    <xf numFmtId="5" fontId="3" fillId="0" borderId="36" xfId="0" applyNumberFormat="1" applyFont="1" applyFill="1" applyBorder="1"/>
    <xf numFmtId="5" fontId="3" fillId="0" borderId="38" xfId="0" applyNumberFormat="1" applyFont="1" applyFill="1" applyBorder="1"/>
    <xf numFmtId="168" fontId="2" fillId="0" borderId="18" xfId="0" applyNumberFormat="1" applyFont="1" applyBorder="1" applyAlignment="1">
      <alignment horizontal="left"/>
    </xf>
    <xf numFmtId="166" fontId="3" fillId="0" borderId="17" xfId="0" applyNumberFormat="1" applyFont="1" applyBorder="1"/>
    <xf numFmtId="0" fontId="2" fillId="0" borderId="17" xfId="0" applyFont="1" applyBorder="1"/>
    <xf numFmtId="168" fontId="2" fillId="0" borderId="39" xfId="0" applyNumberFormat="1" applyFont="1" applyBorder="1" applyAlignment="1">
      <alignment horizontal="left"/>
    </xf>
    <xf numFmtId="168" fontId="2" fillId="0" borderId="18" xfId="0" applyNumberFormat="1" applyFont="1" applyFill="1" applyBorder="1" applyAlignment="1">
      <alignment horizontal="left"/>
    </xf>
    <xf numFmtId="166" fontId="3" fillId="0" borderId="17" xfId="0" applyNumberFormat="1" applyFont="1" applyFill="1" applyBorder="1" applyProtection="1">
      <protection locked="0"/>
    </xf>
    <xf numFmtId="5" fontId="3" fillId="0" borderId="23" xfId="0" applyNumberFormat="1" applyFont="1" applyFill="1" applyBorder="1"/>
    <xf numFmtId="0" fontId="2" fillId="0" borderId="39" xfId="0" applyFont="1" applyFill="1" applyBorder="1" applyAlignment="1">
      <alignment horizontal="left"/>
    </xf>
    <xf numFmtId="166" fontId="3" fillId="0" borderId="36" xfId="0" applyNumberFormat="1" applyFont="1" applyFill="1" applyBorder="1"/>
    <xf numFmtId="5" fontId="3" fillId="0" borderId="37" xfId="0" applyNumberFormat="1" applyFont="1" applyFill="1" applyBorder="1"/>
    <xf numFmtId="164" fontId="4" fillId="0" borderId="17" xfId="0" applyNumberFormat="1" applyFont="1" applyFill="1" applyBorder="1" applyProtection="1">
      <protection locked="0"/>
    </xf>
    <xf numFmtId="0" fontId="5" fillId="0" borderId="36" xfId="0" applyFont="1" applyFill="1" applyBorder="1" applyProtection="1">
      <protection locked="0"/>
    </xf>
    <xf numFmtId="0" fontId="4" fillId="0" borderId="36" xfId="0" applyFont="1" applyFill="1" applyBorder="1" applyProtection="1">
      <protection locked="0"/>
    </xf>
    <xf numFmtId="5" fontId="4" fillId="0" borderId="36" xfId="0" applyNumberFormat="1" applyFont="1" applyBorder="1"/>
    <xf numFmtId="5" fontId="4" fillId="0" borderId="37" xfId="0" applyNumberFormat="1" applyFont="1" applyBorder="1"/>
    <xf numFmtId="5" fontId="4" fillId="0" borderId="38" xfId="0" applyNumberFormat="1" applyFont="1" applyBorder="1"/>
    <xf numFmtId="0" fontId="3" fillId="0" borderId="36" xfId="0" applyFont="1" applyBorder="1"/>
    <xf numFmtId="37" fontId="5" fillId="0" borderId="36" xfId="0" applyNumberFormat="1" applyFont="1" applyFill="1" applyBorder="1"/>
    <xf numFmtId="168" fontId="2" fillId="0" borderId="25" xfId="0" applyNumberFormat="1" applyFont="1" applyFill="1" applyBorder="1" applyAlignment="1">
      <alignment horizontal="center"/>
    </xf>
    <xf numFmtId="168" fontId="2" fillId="0" borderId="26" xfId="0" applyNumberFormat="1" applyFont="1" applyFill="1" applyBorder="1" applyAlignment="1">
      <alignment horizontal="left"/>
    </xf>
    <xf numFmtId="170" fontId="3" fillId="0" borderId="26" xfId="0" applyNumberFormat="1" applyFont="1" applyFill="1" applyBorder="1" applyAlignment="1">
      <alignment horizontal="right"/>
    </xf>
    <xf numFmtId="7" fontId="3" fillId="0" borderId="26" xfId="0" applyNumberFormat="1" applyFont="1" applyFill="1" applyBorder="1" applyAlignment="1">
      <alignment horizontal="right"/>
    </xf>
    <xf numFmtId="167" fontId="3" fillId="0" borderId="14" xfId="0" applyNumberFormat="1" applyFont="1" applyFill="1" applyBorder="1"/>
    <xf numFmtId="166" fontId="3" fillId="0" borderId="26" xfId="0" applyNumberFormat="1" applyFont="1" applyFill="1" applyBorder="1"/>
    <xf numFmtId="0" fontId="7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96"/>
  <sheetViews>
    <sheetView tabSelected="1" zoomScale="84" zoomScaleNormal="84" zoomScaleSheetLayoutView="55" zoomScalePageLayoutView="5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defaultRowHeight="14.4" x14ac:dyDescent="0.3"/>
  <cols>
    <col min="1" max="1" width="8.33203125" customWidth="1"/>
    <col min="2" max="2" width="39.77734375" customWidth="1"/>
    <col min="3" max="10" width="10.6640625" customWidth="1"/>
    <col min="11" max="11" width="0.6640625" customWidth="1"/>
    <col min="12" max="21" width="10.6640625" customWidth="1"/>
    <col min="22" max="22" width="0.6640625" customWidth="1"/>
    <col min="23" max="24" width="11.88671875" customWidth="1"/>
    <col min="25" max="25" width="12" customWidth="1"/>
    <col min="26" max="28" width="11.88671875" customWidth="1"/>
    <col min="29" max="29" width="12.109375" customWidth="1"/>
    <col min="30" max="30" width="12" style="81" customWidth="1"/>
    <col min="31" max="32" width="11.88671875" customWidth="1"/>
  </cols>
  <sheetData>
    <row r="1" spans="1:32" x14ac:dyDescent="0.3">
      <c r="A1" s="1"/>
      <c r="B1" s="2"/>
      <c r="C1" s="3" t="s">
        <v>228</v>
      </c>
      <c r="D1" s="4" t="s">
        <v>229</v>
      </c>
      <c r="E1" s="4" t="s">
        <v>230</v>
      </c>
      <c r="F1" s="3" t="s">
        <v>231</v>
      </c>
      <c r="G1" s="4" t="s">
        <v>232</v>
      </c>
      <c r="H1" s="3" t="s">
        <v>233</v>
      </c>
      <c r="I1" s="3" t="s">
        <v>234</v>
      </c>
      <c r="J1" s="3" t="s">
        <v>235</v>
      </c>
      <c r="K1" s="5"/>
      <c r="L1" s="6" t="s">
        <v>236</v>
      </c>
      <c r="M1" s="6" t="s">
        <v>237</v>
      </c>
      <c r="N1" s="7" t="s">
        <v>238</v>
      </c>
      <c r="O1" s="125" t="s">
        <v>239</v>
      </c>
      <c r="P1" s="6" t="s">
        <v>240</v>
      </c>
      <c r="Q1" s="7" t="s">
        <v>241</v>
      </c>
      <c r="R1" s="125" t="s">
        <v>242</v>
      </c>
      <c r="S1" s="125" t="s">
        <v>243</v>
      </c>
      <c r="T1" s="125" t="s">
        <v>244</v>
      </c>
      <c r="U1" s="125" t="s">
        <v>245</v>
      </c>
      <c r="V1" s="5"/>
      <c r="W1" s="6" t="s">
        <v>246</v>
      </c>
      <c r="X1" s="6" t="s">
        <v>247</v>
      </c>
      <c r="Y1" s="7" t="s">
        <v>248</v>
      </c>
      <c r="Z1" s="125" t="s">
        <v>249</v>
      </c>
      <c r="AA1" s="6" t="s">
        <v>250</v>
      </c>
      <c r="AB1" s="7" t="s">
        <v>251</v>
      </c>
      <c r="AC1" s="125" t="s">
        <v>252</v>
      </c>
      <c r="AD1" s="125" t="s">
        <v>253</v>
      </c>
      <c r="AE1" s="125" t="s">
        <v>279</v>
      </c>
      <c r="AF1" s="126" t="s">
        <v>280</v>
      </c>
    </row>
    <row r="2" spans="1:32" x14ac:dyDescent="0.3">
      <c r="A2" s="8"/>
      <c r="B2" s="116"/>
      <c r="C2" s="117"/>
      <c r="D2" s="118"/>
      <c r="E2" s="118"/>
      <c r="F2" s="117"/>
      <c r="G2" s="118"/>
      <c r="H2" s="117"/>
      <c r="I2" s="117"/>
      <c r="J2" s="117"/>
      <c r="K2" s="119"/>
      <c r="L2" s="120"/>
      <c r="M2" s="120"/>
      <c r="N2" s="121"/>
      <c r="O2" s="121" t="s">
        <v>277</v>
      </c>
      <c r="P2" s="120"/>
      <c r="Q2" s="121"/>
      <c r="R2" s="121" t="s">
        <v>278</v>
      </c>
      <c r="S2" s="20"/>
      <c r="T2" s="20"/>
      <c r="U2" s="20"/>
      <c r="V2" s="119"/>
      <c r="W2" s="120" t="s">
        <v>284</v>
      </c>
      <c r="X2" s="120" t="s">
        <v>285</v>
      </c>
      <c r="Y2" s="121" t="s">
        <v>286</v>
      </c>
      <c r="Z2" s="121" t="s">
        <v>287</v>
      </c>
      <c r="AA2" s="120" t="s">
        <v>288</v>
      </c>
      <c r="AB2" s="121" t="s">
        <v>289</v>
      </c>
      <c r="AC2" s="121" t="s">
        <v>290</v>
      </c>
      <c r="AD2" s="148" t="s">
        <v>283</v>
      </c>
      <c r="AE2" s="121" t="s">
        <v>282</v>
      </c>
      <c r="AF2" s="149" t="s">
        <v>281</v>
      </c>
    </row>
    <row r="3" spans="1:32" x14ac:dyDescent="0.3">
      <c r="A3" s="8"/>
      <c r="B3" s="116"/>
      <c r="C3" s="117"/>
      <c r="D3" s="118" t="s">
        <v>272</v>
      </c>
      <c r="E3" s="118" t="s">
        <v>275</v>
      </c>
      <c r="F3" s="117"/>
      <c r="G3" s="118" t="s">
        <v>2</v>
      </c>
      <c r="H3" s="117"/>
      <c r="I3" s="117"/>
      <c r="J3" s="117"/>
      <c r="K3" s="119"/>
      <c r="L3" s="120"/>
      <c r="M3" s="120"/>
      <c r="N3" s="121"/>
      <c r="O3" s="122"/>
      <c r="P3" s="120"/>
      <c r="Q3" s="121"/>
      <c r="R3" s="122"/>
      <c r="S3" s="122"/>
      <c r="T3" s="122"/>
      <c r="U3" s="122"/>
      <c r="V3" s="119"/>
      <c r="W3" s="120"/>
      <c r="X3" s="120"/>
      <c r="Y3" s="121"/>
      <c r="Z3" s="122"/>
      <c r="AA3" s="120"/>
      <c r="AB3" s="121"/>
      <c r="AC3" s="122"/>
      <c r="AD3" s="123"/>
      <c r="AE3" s="122"/>
      <c r="AF3" s="124"/>
    </row>
    <row r="4" spans="1:32" x14ac:dyDescent="0.3">
      <c r="A4" s="8"/>
      <c r="B4" s="116"/>
      <c r="C4" s="118" t="s">
        <v>0</v>
      </c>
      <c r="D4" s="118" t="s">
        <v>274</v>
      </c>
      <c r="E4" s="118" t="s">
        <v>4</v>
      </c>
      <c r="F4" s="120" t="s">
        <v>1</v>
      </c>
      <c r="G4" s="118" t="s">
        <v>7</v>
      </c>
      <c r="H4" s="117"/>
      <c r="I4" s="117"/>
      <c r="J4" s="117"/>
      <c r="K4" s="119"/>
      <c r="L4" s="120" t="s">
        <v>0</v>
      </c>
      <c r="M4" s="120" t="s">
        <v>272</v>
      </c>
      <c r="N4" s="121" t="s">
        <v>275</v>
      </c>
      <c r="O4" s="122"/>
      <c r="P4" s="120" t="s">
        <v>1</v>
      </c>
      <c r="Q4" s="121" t="s">
        <v>2</v>
      </c>
      <c r="R4" s="122"/>
      <c r="S4" s="122"/>
      <c r="T4" s="122"/>
      <c r="U4" s="122"/>
      <c r="V4" s="119"/>
      <c r="W4" s="120" t="s">
        <v>0</v>
      </c>
      <c r="X4" s="120" t="s">
        <v>272</v>
      </c>
      <c r="Y4" s="121" t="s">
        <v>275</v>
      </c>
      <c r="Z4" s="122"/>
      <c r="AA4" s="120" t="s">
        <v>1</v>
      </c>
      <c r="AB4" s="121" t="s">
        <v>2</v>
      </c>
      <c r="AC4" s="122"/>
      <c r="AD4" s="123"/>
      <c r="AE4" s="122"/>
      <c r="AF4" s="124"/>
    </row>
    <row r="5" spans="1:32" x14ac:dyDescent="0.3">
      <c r="A5" s="8"/>
      <c r="B5" s="9"/>
      <c r="C5" s="118" t="s">
        <v>273</v>
      </c>
      <c r="D5" s="10" t="s">
        <v>276</v>
      </c>
      <c r="E5" s="10" t="s">
        <v>3</v>
      </c>
      <c r="F5" s="12" t="s">
        <v>6</v>
      </c>
      <c r="G5" s="10" t="s">
        <v>3</v>
      </c>
      <c r="H5" s="10"/>
      <c r="I5" s="10"/>
      <c r="J5" s="10"/>
      <c r="K5" s="11"/>
      <c r="L5" s="12" t="s">
        <v>273</v>
      </c>
      <c r="M5" s="12" t="s">
        <v>274</v>
      </c>
      <c r="N5" s="12" t="s">
        <v>4</v>
      </c>
      <c r="O5" s="10" t="s">
        <v>5</v>
      </c>
      <c r="P5" s="12" t="s">
        <v>6</v>
      </c>
      <c r="Q5" s="12" t="s">
        <v>7</v>
      </c>
      <c r="R5" s="10" t="s">
        <v>5</v>
      </c>
      <c r="S5" s="10" t="s">
        <v>5</v>
      </c>
      <c r="T5" s="10" t="s">
        <v>5</v>
      </c>
      <c r="U5" s="10" t="s">
        <v>5</v>
      </c>
      <c r="V5" s="11"/>
      <c r="W5" s="12" t="s">
        <v>273</v>
      </c>
      <c r="X5" s="12" t="s">
        <v>274</v>
      </c>
      <c r="Y5" s="12" t="s">
        <v>4</v>
      </c>
      <c r="Z5" s="10" t="s">
        <v>5</v>
      </c>
      <c r="AA5" s="12" t="s">
        <v>6</v>
      </c>
      <c r="AB5" s="12" t="s">
        <v>7</v>
      </c>
      <c r="AC5" s="10" t="s">
        <v>5</v>
      </c>
      <c r="AD5" s="75" t="s">
        <v>5</v>
      </c>
      <c r="AE5" s="10" t="s">
        <v>5</v>
      </c>
      <c r="AF5" s="102" t="s">
        <v>5</v>
      </c>
    </row>
    <row r="6" spans="1:32" x14ac:dyDescent="0.3">
      <c r="A6" s="13" t="s">
        <v>8</v>
      </c>
      <c r="B6" s="14"/>
      <c r="C6" s="10" t="s">
        <v>9</v>
      </c>
      <c r="D6" s="10" t="s">
        <v>9</v>
      </c>
      <c r="E6" s="10" t="s">
        <v>9</v>
      </c>
      <c r="F6" s="15" t="s">
        <v>10</v>
      </c>
      <c r="G6" s="15" t="s">
        <v>10</v>
      </c>
      <c r="H6" s="10" t="s">
        <v>11</v>
      </c>
      <c r="I6" s="10" t="s">
        <v>200</v>
      </c>
      <c r="J6" s="10" t="s">
        <v>201</v>
      </c>
      <c r="K6" s="11"/>
      <c r="L6" s="10" t="s">
        <v>9</v>
      </c>
      <c r="M6" s="10" t="s">
        <v>9</v>
      </c>
      <c r="N6" s="10" t="s">
        <v>9</v>
      </c>
      <c r="O6" s="10" t="s">
        <v>9</v>
      </c>
      <c r="P6" s="15" t="s">
        <v>10</v>
      </c>
      <c r="Q6" s="15" t="s">
        <v>10</v>
      </c>
      <c r="R6" s="15" t="s">
        <v>10</v>
      </c>
      <c r="S6" s="10" t="s">
        <v>11</v>
      </c>
      <c r="T6" s="15" t="s">
        <v>200</v>
      </c>
      <c r="U6" s="10" t="s">
        <v>201</v>
      </c>
      <c r="V6" s="16"/>
      <c r="W6" s="10" t="s">
        <v>9</v>
      </c>
      <c r="X6" s="10" t="s">
        <v>9</v>
      </c>
      <c r="Y6" s="10" t="s">
        <v>9</v>
      </c>
      <c r="Z6" s="10" t="s">
        <v>9</v>
      </c>
      <c r="AA6" s="15" t="s">
        <v>10</v>
      </c>
      <c r="AB6" s="15" t="s">
        <v>10</v>
      </c>
      <c r="AC6" s="15" t="s">
        <v>10</v>
      </c>
      <c r="AD6" s="75" t="s">
        <v>11</v>
      </c>
      <c r="AE6" s="15" t="s">
        <v>200</v>
      </c>
      <c r="AF6" s="103" t="s">
        <v>201</v>
      </c>
    </row>
    <row r="7" spans="1:32" x14ac:dyDescent="0.3">
      <c r="A7" s="17" t="s">
        <v>12</v>
      </c>
      <c r="B7" s="18" t="s">
        <v>13</v>
      </c>
      <c r="C7" s="19" t="s">
        <v>14</v>
      </c>
      <c r="D7" s="19" t="s">
        <v>14</v>
      </c>
      <c r="E7" s="19" t="s">
        <v>14</v>
      </c>
      <c r="F7" s="19" t="s">
        <v>14</v>
      </c>
      <c r="G7" s="19" t="s">
        <v>14</v>
      </c>
      <c r="H7" s="19" t="s">
        <v>14</v>
      </c>
      <c r="I7" s="19" t="s">
        <v>14</v>
      </c>
      <c r="J7" s="19" t="s">
        <v>14</v>
      </c>
      <c r="K7" s="16"/>
      <c r="L7" s="20" t="s">
        <v>15</v>
      </c>
      <c r="M7" s="20" t="s">
        <v>15</v>
      </c>
      <c r="N7" s="20" t="s">
        <v>15</v>
      </c>
      <c r="O7" s="20" t="s">
        <v>15</v>
      </c>
      <c r="P7" s="20" t="s">
        <v>15</v>
      </c>
      <c r="Q7" s="20" t="s">
        <v>15</v>
      </c>
      <c r="R7" s="20" t="s">
        <v>15</v>
      </c>
      <c r="S7" s="20" t="s">
        <v>15</v>
      </c>
      <c r="T7" s="20" t="s">
        <v>15</v>
      </c>
      <c r="U7" s="20" t="s">
        <v>15</v>
      </c>
      <c r="V7" s="16"/>
      <c r="W7" s="19" t="s">
        <v>16</v>
      </c>
      <c r="X7" s="19" t="s">
        <v>16</v>
      </c>
      <c r="Y7" s="19" t="s">
        <v>16</v>
      </c>
      <c r="Z7" s="19" t="s">
        <v>16</v>
      </c>
      <c r="AA7" s="19" t="s">
        <v>16</v>
      </c>
      <c r="AB7" s="19" t="s">
        <v>16</v>
      </c>
      <c r="AC7" s="19" t="s">
        <v>16</v>
      </c>
      <c r="AD7" s="76" t="s">
        <v>16</v>
      </c>
      <c r="AE7" s="19" t="s">
        <v>16</v>
      </c>
      <c r="AF7" s="104" t="s">
        <v>16</v>
      </c>
    </row>
    <row r="8" spans="1:32" ht="3" customHeight="1" thickBot="1" x14ac:dyDescent="0.35">
      <c r="A8" s="155" t="s">
        <v>17</v>
      </c>
      <c r="B8" s="156" t="s">
        <v>17</v>
      </c>
      <c r="C8" s="157" t="s">
        <v>17</v>
      </c>
      <c r="D8" s="157" t="s">
        <v>17</v>
      </c>
      <c r="E8" s="157" t="s">
        <v>17</v>
      </c>
      <c r="F8" s="157"/>
      <c r="G8" s="157" t="s">
        <v>17</v>
      </c>
      <c r="H8" s="157" t="s">
        <v>17</v>
      </c>
      <c r="I8" s="157"/>
      <c r="J8" s="157"/>
      <c r="K8" s="109"/>
      <c r="L8" s="157" t="s">
        <v>17</v>
      </c>
      <c r="M8" s="157" t="s">
        <v>17</v>
      </c>
      <c r="N8" s="157"/>
      <c r="O8" s="157" t="s">
        <v>17</v>
      </c>
      <c r="P8" s="157" t="s">
        <v>17</v>
      </c>
      <c r="Q8" s="157" t="s">
        <v>17</v>
      </c>
      <c r="R8" s="157" t="s">
        <v>17</v>
      </c>
      <c r="S8" s="157" t="s">
        <v>17</v>
      </c>
      <c r="T8" s="157"/>
      <c r="U8" s="157"/>
      <c r="V8" s="109"/>
      <c r="W8" s="157" t="s">
        <v>17</v>
      </c>
      <c r="X8" s="157" t="s">
        <v>17</v>
      </c>
      <c r="Y8" s="157" t="s">
        <v>17</v>
      </c>
      <c r="Z8" s="157" t="s">
        <v>17</v>
      </c>
      <c r="AA8" s="157" t="s">
        <v>17</v>
      </c>
      <c r="AB8" s="157" t="s">
        <v>17</v>
      </c>
      <c r="AC8" s="157" t="s">
        <v>17</v>
      </c>
      <c r="AD8" s="158" t="s">
        <v>17</v>
      </c>
      <c r="AE8" s="157"/>
      <c r="AF8" s="159"/>
    </row>
    <row r="9" spans="1:32" x14ac:dyDescent="0.3">
      <c r="A9" s="160" t="s">
        <v>18</v>
      </c>
      <c r="B9" s="161"/>
      <c r="C9" s="162"/>
      <c r="D9" s="162"/>
      <c r="E9" s="162"/>
      <c r="F9" s="162"/>
      <c r="G9" s="162"/>
      <c r="H9" s="162"/>
      <c r="I9" s="162"/>
      <c r="J9" s="162"/>
      <c r="K9" s="163"/>
      <c r="L9" s="164"/>
      <c r="M9" s="164"/>
      <c r="N9" s="164"/>
      <c r="O9" s="164"/>
      <c r="P9" s="165"/>
      <c r="Q9" s="165"/>
      <c r="R9" s="164"/>
      <c r="S9" s="164"/>
      <c r="T9" s="164"/>
      <c r="U9" s="164"/>
      <c r="V9" s="163"/>
      <c r="W9" s="164"/>
      <c r="X9" s="164"/>
      <c r="Y9" s="164"/>
      <c r="Z9" s="164"/>
      <c r="AA9" s="164"/>
      <c r="AB9" s="164"/>
      <c r="AC9" s="164"/>
      <c r="AD9" s="166"/>
      <c r="AE9" s="164"/>
      <c r="AF9" s="167"/>
    </row>
    <row r="10" spans="1:32" x14ac:dyDescent="0.3">
      <c r="A10" s="21">
        <v>1011</v>
      </c>
      <c r="B10" s="22" t="s">
        <v>19</v>
      </c>
      <c r="C10" s="23">
        <v>380</v>
      </c>
      <c r="D10" s="23">
        <v>390</v>
      </c>
      <c r="E10" s="24">
        <v>280</v>
      </c>
      <c r="F10" s="24">
        <v>280</v>
      </c>
      <c r="G10" s="24">
        <v>280</v>
      </c>
      <c r="H10" s="24">
        <v>280</v>
      </c>
      <c r="I10" s="24">
        <v>280</v>
      </c>
      <c r="J10" s="24">
        <v>280</v>
      </c>
      <c r="K10" s="16"/>
      <c r="L10" s="84">
        <v>8084</v>
      </c>
      <c r="M10" s="84">
        <v>158087</v>
      </c>
      <c r="N10" s="84">
        <v>58384</v>
      </c>
      <c r="O10" s="84">
        <f>SUM(L10:N10)</f>
        <v>224555</v>
      </c>
      <c r="P10" s="26">
        <v>56295</v>
      </c>
      <c r="Q10" s="26">
        <v>178268</v>
      </c>
      <c r="R10" s="84">
        <f>SUM(P10:Q10)</f>
        <v>234563</v>
      </c>
      <c r="S10" s="84">
        <v>246594</v>
      </c>
      <c r="T10" s="84">
        <v>258963</v>
      </c>
      <c r="U10" s="84">
        <v>271952</v>
      </c>
      <c r="V10" s="16"/>
      <c r="W10" s="28">
        <f t="shared" ref="W10:W44" si="0">L10*C10</f>
        <v>3071920</v>
      </c>
      <c r="X10" s="28">
        <f t="shared" ref="X10:X44" si="1">M10*D10</f>
        <v>61653930</v>
      </c>
      <c r="Y10" s="28">
        <f t="shared" ref="Y10:Y44" si="2">N10*E10</f>
        <v>16347520</v>
      </c>
      <c r="Z10" s="28">
        <f>W10+X10+Y10</f>
        <v>81073370</v>
      </c>
      <c r="AA10" s="28">
        <f t="shared" ref="AA10:AA44" si="3">P10*F10</f>
        <v>15762600</v>
      </c>
      <c r="AB10" s="28">
        <f t="shared" ref="AB10:AB44" si="4">Q10*G10</f>
        <v>49915040</v>
      </c>
      <c r="AC10" s="28">
        <f t="shared" ref="AC10:AC43" si="5">SUM(AA10:AB10)</f>
        <v>65677640</v>
      </c>
      <c r="AD10" s="77">
        <f t="shared" ref="AD10:AD44" si="6">H10*S10</f>
        <v>69046320</v>
      </c>
      <c r="AE10" s="77">
        <f t="shared" ref="AE10:AE44" si="7">I10*T10</f>
        <v>72509640</v>
      </c>
      <c r="AF10" s="99">
        <f t="shared" ref="AF10:AF44" si="8">J10*U10</f>
        <v>76146560</v>
      </c>
    </row>
    <row r="11" spans="1:32" x14ac:dyDescent="0.3">
      <c r="A11" s="21">
        <v>1111</v>
      </c>
      <c r="B11" s="22" t="s">
        <v>20</v>
      </c>
      <c r="C11" s="23">
        <v>620</v>
      </c>
      <c r="D11" s="23">
        <v>620</v>
      </c>
      <c r="E11" s="24">
        <v>600</v>
      </c>
      <c r="F11" s="24">
        <v>600</v>
      </c>
      <c r="G11" s="24">
        <v>600</v>
      </c>
      <c r="H11" s="24">
        <v>600</v>
      </c>
      <c r="I11" s="24">
        <v>600</v>
      </c>
      <c r="J11" s="24">
        <v>600</v>
      </c>
      <c r="K11" s="16"/>
      <c r="L11" s="84">
        <v>8028</v>
      </c>
      <c r="M11" s="84">
        <v>156985</v>
      </c>
      <c r="N11" s="84">
        <v>57977</v>
      </c>
      <c r="O11" s="84">
        <f t="shared" ref="O11:O44" si="9">SUM(L11:N11)</f>
        <v>222990</v>
      </c>
      <c r="P11" s="26">
        <v>55903</v>
      </c>
      <c r="Q11" s="26">
        <v>177025</v>
      </c>
      <c r="R11" s="84">
        <f t="shared" ref="R11:R44" si="10">SUM(P11:Q11)</f>
        <v>232928</v>
      </c>
      <c r="S11" s="84">
        <v>244875</v>
      </c>
      <c r="T11" s="84">
        <v>257158</v>
      </c>
      <c r="U11" s="84">
        <v>270056</v>
      </c>
      <c r="V11" s="16"/>
      <c r="W11" s="28">
        <f t="shared" si="0"/>
        <v>4977360</v>
      </c>
      <c r="X11" s="28">
        <f t="shared" si="1"/>
        <v>97330700</v>
      </c>
      <c r="Y11" s="28">
        <f t="shared" si="2"/>
        <v>34786200</v>
      </c>
      <c r="Z11" s="28">
        <f t="shared" ref="Z11:Z44" si="11">W11+X11+Y11</f>
        <v>137094260</v>
      </c>
      <c r="AA11" s="28">
        <f t="shared" si="3"/>
        <v>33541800</v>
      </c>
      <c r="AB11" s="28">
        <f t="shared" si="4"/>
        <v>106215000</v>
      </c>
      <c r="AC11" s="28">
        <f t="shared" si="5"/>
        <v>139756800</v>
      </c>
      <c r="AD11" s="77">
        <f t="shared" si="6"/>
        <v>146925000</v>
      </c>
      <c r="AE11" s="77">
        <f t="shared" si="7"/>
        <v>154294800</v>
      </c>
      <c r="AF11" s="99">
        <f t="shared" si="8"/>
        <v>162033600</v>
      </c>
    </row>
    <row r="12" spans="1:32" x14ac:dyDescent="0.3">
      <c r="A12" s="21">
        <v>1311</v>
      </c>
      <c r="B12" s="22" t="s">
        <v>21</v>
      </c>
      <c r="C12" s="23">
        <v>250</v>
      </c>
      <c r="D12" s="23">
        <v>250</v>
      </c>
      <c r="E12" s="24">
        <v>720</v>
      </c>
      <c r="F12" s="24">
        <v>720</v>
      </c>
      <c r="G12" s="24">
        <v>720</v>
      </c>
      <c r="H12" s="24">
        <v>720</v>
      </c>
      <c r="I12" s="24">
        <v>720</v>
      </c>
      <c r="J12" s="24">
        <v>720</v>
      </c>
      <c r="K12" s="16"/>
      <c r="L12" s="84">
        <v>8080</v>
      </c>
      <c r="M12" s="84">
        <v>158007</v>
      </c>
      <c r="N12" s="84">
        <v>58355</v>
      </c>
      <c r="O12" s="84">
        <f t="shared" si="9"/>
        <v>224442</v>
      </c>
      <c r="P12" s="26">
        <v>56267</v>
      </c>
      <c r="Q12" s="26">
        <v>178179</v>
      </c>
      <c r="R12" s="84">
        <f t="shared" si="10"/>
        <v>234446</v>
      </c>
      <c r="S12" s="84">
        <v>246470</v>
      </c>
      <c r="T12" s="84">
        <v>258833</v>
      </c>
      <c r="U12" s="84">
        <v>271816</v>
      </c>
      <c r="V12" s="16"/>
      <c r="W12" s="28">
        <f t="shared" si="0"/>
        <v>2020000</v>
      </c>
      <c r="X12" s="28">
        <f t="shared" si="1"/>
        <v>39501750</v>
      </c>
      <c r="Y12" s="28">
        <f t="shared" si="2"/>
        <v>42015600</v>
      </c>
      <c r="Z12" s="28">
        <f t="shared" si="11"/>
        <v>83537350</v>
      </c>
      <c r="AA12" s="28">
        <f t="shared" si="3"/>
        <v>40512240</v>
      </c>
      <c r="AB12" s="28">
        <f t="shared" si="4"/>
        <v>128288880</v>
      </c>
      <c r="AC12" s="28">
        <f t="shared" si="5"/>
        <v>168801120</v>
      </c>
      <c r="AD12" s="77">
        <f t="shared" si="6"/>
        <v>177458400</v>
      </c>
      <c r="AE12" s="77">
        <f t="shared" si="7"/>
        <v>186359760</v>
      </c>
      <c r="AF12" s="99">
        <f t="shared" si="8"/>
        <v>195707520</v>
      </c>
    </row>
    <row r="13" spans="1:32" x14ac:dyDescent="0.3">
      <c r="A13" s="21">
        <v>1012</v>
      </c>
      <c r="B13" s="22" t="s">
        <v>22</v>
      </c>
      <c r="C13" s="23">
        <v>250</v>
      </c>
      <c r="D13" s="23">
        <v>250</v>
      </c>
      <c r="E13" s="24">
        <v>180</v>
      </c>
      <c r="F13" s="24">
        <v>180</v>
      </c>
      <c r="G13" s="24">
        <v>180</v>
      </c>
      <c r="H13" s="24">
        <v>180</v>
      </c>
      <c r="I13" s="24">
        <v>180</v>
      </c>
      <c r="J13" s="24">
        <v>180</v>
      </c>
      <c r="K13" s="16"/>
      <c r="L13" s="84">
        <v>559</v>
      </c>
      <c r="M13" s="84">
        <v>10924</v>
      </c>
      <c r="N13" s="84">
        <v>4034</v>
      </c>
      <c r="O13" s="84">
        <f t="shared" si="9"/>
        <v>15517</v>
      </c>
      <c r="P13" s="26">
        <v>3714</v>
      </c>
      <c r="Q13" s="26">
        <v>11762</v>
      </c>
      <c r="R13" s="84">
        <f t="shared" si="10"/>
        <v>15476</v>
      </c>
      <c r="S13" s="84">
        <v>15428</v>
      </c>
      <c r="T13" s="84">
        <v>15736</v>
      </c>
      <c r="U13" s="84">
        <v>16051</v>
      </c>
      <c r="V13" s="16"/>
      <c r="W13" s="28">
        <f t="shared" si="0"/>
        <v>139750</v>
      </c>
      <c r="X13" s="28">
        <f t="shared" si="1"/>
        <v>2731000</v>
      </c>
      <c r="Y13" s="28">
        <f t="shared" si="2"/>
        <v>726120</v>
      </c>
      <c r="Z13" s="28">
        <f t="shared" si="11"/>
        <v>3596870</v>
      </c>
      <c r="AA13" s="28">
        <f t="shared" si="3"/>
        <v>668520</v>
      </c>
      <c r="AB13" s="28">
        <f t="shared" si="4"/>
        <v>2117160</v>
      </c>
      <c r="AC13" s="28">
        <f t="shared" si="5"/>
        <v>2785680</v>
      </c>
      <c r="AD13" s="77">
        <f t="shared" si="6"/>
        <v>2777040</v>
      </c>
      <c r="AE13" s="77">
        <f t="shared" si="7"/>
        <v>2832480</v>
      </c>
      <c r="AF13" s="99">
        <f t="shared" si="8"/>
        <v>2889180</v>
      </c>
    </row>
    <row r="14" spans="1:32" x14ac:dyDescent="0.3">
      <c r="A14" s="21">
        <v>1112</v>
      </c>
      <c r="B14" s="22" t="s">
        <v>23</v>
      </c>
      <c r="C14" s="23">
        <v>120</v>
      </c>
      <c r="D14" s="23">
        <v>120</v>
      </c>
      <c r="E14" s="24">
        <v>120</v>
      </c>
      <c r="F14" s="24">
        <v>120</v>
      </c>
      <c r="G14" s="24">
        <v>120</v>
      </c>
      <c r="H14" s="24">
        <v>120</v>
      </c>
      <c r="I14" s="24">
        <v>120</v>
      </c>
      <c r="J14" s="24">
        <v>120</v>
      </c>
      <c r="K14" s="16"/>
      <c r="L14" s="84">
        <v>559</v>
      </c>
      <c r="M14" s="84">
        <v>10924</v>
      </c>
      <c r="N14" s="84">
        <v>4034</v>
      </c>
      <c r="O14" s="84">
        <f t="shared" si="9"/>
        <v>15517</v>
      </c>
      <c r="P14" s="26">
        <v>3714</v>
      </c>
      <c r="Q14" s="26">
        <v>11762</v>
      </c>
      <c r="R14" s="84">
        <f t="shared" si="10"/>
        <v>15476</v>
      </c>
      <c r="S14" s="84">
        <v>15428</v>
      </c>
      <c r="T14" s="84">
        <v>15736</v>
      </c>
      <c r="U14" s="84">
        <v>16051</v>
      </c>
      <c r="V14" s="16"/>
      <c r="W14" s="28">
        <f t="shared" si="0"/>
        <v>67080</v>
      </c>
      <c r="X14" s="28">
        <f t="shared" si="1"/>
        <v>1310880</v>
      </c>
      <c r="Y14" s="28">
        <f t="shared" si="2"/>
        <v>484080</v>
      </c>
      <c r="Z14" s="28">
        <f t="shared" si="11"/>
        <v>1862040</v>
      </c>
      <c r="AA14" s="28">
        <f t="shared" si="3"/>
        <v>445680</v>
      </c>
      <c r="AB14" s="28">
        <f t="shared" si="4"/>
        <v>1411440</v>
      </c>
      <c r="AC14" s="28">
        <f t="shared" si="5"/>
        <v>1857120</v>
      </c>
      <c r="AD14" s="77">
        <f t="shared" si="6"/>
        <v>1851360</v>
      </c>
      <c r="AE14" s="77">
        <f t="shared" si="7"/>
        <v>1888320</v>
      </c>
      <c r="AF14" s="99">
        <f t="shared" si="8"/>
        <v>1926120</v>
      </c>
    </row>
    <row r="15" spans="1:32" x14ac:dyDescent="0.3">
      <c r="A15" s="21">
        <v>1312</v>
      </c>
      <c r="B15" s="22" t="s">
        <v>24</v>
      </c>
      <c r="C15" s="23">
        <v>160</v>
      </c>
      <c r="D15" s="23">
        <v>160</v>
      </c>
      <c r="E15" s="24">
        <v>460</v>
      </c>
      <c r="F15" s="24">
        <v>460</v>
      </c>
      <c r="G15" s="24">
        <v>460</v>
      </c>
      <c r="H15" s="24">
        <v>460</v>
      </c>
      <c r="I15" s="24">
        <v>460</v>
      </c>
      <c r="J15" s="24">
        <v>460</v>
      </c>
      <c r="K15" s="16"/>
      <c r="L15" s="84">
        <v>559</v>
      </c>
      <c r="M15" s="84">
        <v>10924</v>
      </c>
      <c r="N15" s="84">
        <v>4034</v>
      </c>
      <c r="O15" s="84">
        <f t="shared" si="9"/>
        <v>15517</v>
      </c>
      <c r="P15" s="26">
        <v>3714</v>
      </c>
      <c r="Q15" s="26">
        <v>11762</v>
      </c>
      <c r="R15" s="84">
        <f t="shared" si="10"/>
        <v>15476</v>
      </c>
      <c r="S15" s="84">
        <v>15428</v>
      </c>
      <c r="T15" s="84">
        <v>15736</v>
      </c>
      <c r="U15" s="84">
        <v>16051</v>
      </c>
      <c r="V15" s="16"/>
      <c r="W15" s="28">
        <f t="shared" si="0"/>
        <v>89440</v>
      </c>
      <c r="X15" s="28">
        <f t="shared" si="1"/>
        <v>1747840</v>
      </c>
      <c r="Y15" s="28">
        <f t="shared" si="2"/>
        <v>1855640</v>
      </c>
      <c r="Z15" s="28">
        <f t="shared" si="11"/>
        <v>3692920</v>
      </c>
      <c r="AA15" s="28">
        <f t="shared" si="3"/>
        <v>1708440</v>
      </c>
      <c r="AB15" s="28">
        <f t="shared" si="4"/>
        <v>5410520</v>
      </c>
      <c r="AC15" s="28">
        <f t="shared" si="5"/>
        <v>7118960</v>
      </c>
      <c r="AD15" s="77">
        <f t="shared" si="6"/>
        <v>7096880</v>
      </c>
      <c r="AE15" s="77">
        <f t="shared" si="7"/>
        <v>7238560</v>
      </c>
      <c r="AF15" s="99">
        <f t="shared" si="8"/>
        <v>7383460</v>
      </c>
    </row>
    <row r="16" spans="1:32" x14ac:dyDescent="0.3">
      <c r="A16" s="21">
        <v>1013</v>
      </c>
      <c r="B16" s="22" t="s">
        <v>25</v>
      </c>
      <c r="C16" s="23">
        <v>250</v>
      </c>
      <c r="D16" s="23">
        <v>250</v>
      </c>
      <c r="E16" s="24">
        <v>180</v>
      </c>
      <c r="F16" s="24">
        <v>180</v>
      </c>
      <c r="G16" s="24">
        <v>180</v>
      </c>
      <c r="H16" s="24">
        <v>180</v>
      </c>
      <c r="I16" s="24">
        <v>180</v>
      </c>
      <c r="J16" s="24">
        <v>180</v>
      </c>
      <c r="K16" s="16"/>
      <c r="L16" s="84">
        <v>18</v>
      </c>
      <c r="M16" s="84">
        <v>349</v>
      </c>
      <c r="N16" s="84">
        <v>129</v>
      </c>
      <c r="O16" s="84">
        <f t="shared" si="9"/>
        <v>496</v>
      </c>
      <c r="P16" s="26">
        <v>118</v>
      </c>
      <c r="Q16" s="26">
        <v>374</v>
      </c>
      <c r="R16" s="84">
        <f t="shared" si="10"/>
        <v>492</v>
      </c>
      <c r="S16" s="84">
        <v>487</v>
      </c>
      <c r="T16" s="84">
        <v>492</v>
      </c>
      <c r="U16" s="84">
        <v>497</v>
      </c>
      <c r="V16" s="16"/>
      <c r="W16" s="28">
        <f t="shared" si="0"/>
        <v>4500</v>
      </c>
      <c r="X16" s="28">
        <f t="shared" si="1"/>
        <v>87250</v>
      </c>
      <c r="Y16" s="28">
        <f t="shared" si="2"/>
        <v>23220</v>
      </c>
      <c r="Z16" s="28">
        <f t="shared" si="11"/>
        <v>114970</v>
      </c>
      <c r="AA16" s="28">
        <f t="shared" si="3"/>
        <v>21240</v>
      </c>
      <c r="AB16" s="28">
        <f t="shared" si="4"/>
        <v>67320</v>
      </c>
      <c r="AC16" s="28">
        <f t="shared" si="5"/>
        <v>88560</v>
      </c>
      <c r="AD16" s="77">
        <f t="shared" si="6"/>
        <v>87660</v>
      </c>
      <c r="AE16" s="77">
        <f t="shared" si="7"/>
        <v>88560</v>
      </c>
      <c r="AF16" s="99">
        <f t="shared" si="8"/>
        <v>89460</v>
      </c>
    </row>
    <row r="17" spans="1:32" x14ac:dyDescent="0.3">
      <c r="A17" s="21">
        <v>1113</v>
      </c>
      <c r="B17" s="22" t="s">
        <v>26</v>
      </c>
      <c r="C17" s="23">
        <v>380</v>
      </c>
      <c r="D17" s="23">
        <v>380</v>
      </c>
      <c r="E17" s="24">
        <v>380</v>
      </c>
      <c r="F17" s="24">
        <v>380</v>
      </c>
      <c r="G17" s="24">
        <v>380</v>
      </c>
      <c r="H17" s="24">
        <v>380</v>
      </c>
      <c r="I17" s="24">
        <v>380</v>
      </c>
      <c r="J17" s="24">
        <v>380</v>
      </c>
      <c r="K17" s="16"/>
      <c r="L17" s="84">
        <v>18</v>
      </c>
      <c r="M17" s="84">
        <v>349</v>
      </c>
      <c r="N17" s="84">
        <v>129</v>
      </c>
      <c r="O17" s="84">
        <f t="shared" si="9"/>
        <v>496</v>
      </c>
      <c r="P17" s="26">
        <v>118</v>
      </c>
      <c r="Q17" s="26">
        <v>374</v>
      </c>
      <c r="R17" s="84">
        <f t="shared" si="10"/>
        <v>492</v>
      </c>
      <c r="S17" s="84">
        <v>487</v>
      </c>
      <c r="T17" s="84">
        <v>492</v>
      </c>
      <c r="U17" s="84">
        <v>497</v>
      </c>
      <c r="V17" s="16"/>
      <c r="W17" s="28">
        <f t="shared" si="0"/>
        <v>6840</v>
      </c>
      <c r="X17" s="28">
        <f t="shared" si="1"/>
        <v>132620</v>
      </c>
      <c r="Y17" s="28">
        <f t="shared" si="2"/>
        <v>49020</v>
      </c>
      <c r="Z17" s="28">
        <f t="shared" si="11"/>
        <v>188480</v>
      </c>
      <c r="AA17" s="28">
        <f t="shared" si="3"/>
        <v>44840</v>
      </c>
      <c r="AB17" s="28">
        <f t="shared" si="4"/>
        <v>142120</v>
      </c>
      <c r="AC17" s="28">
        <f t="shared" si="5"/>
        <v>186960</v>
      </c>
      <c r="AD17" s="77">
        <f t="shared" si="6"/>
        <v>185060</v>
      </c>
      <c r="AE17" s="77">
        <f t="shared" si="7"/>
        <v>186960</v>
      </c>
      <c r="AF17" s="99">
        <f t="shared" si="8"/>
        <v>188860</v>
      </c>
    </row>
    <row r="18" spans="1:32" x14ac:dyDescent="0.3">
      <c r="A18" s="21">
        <v>1313</v>
      </c>
      <c r="B18" s="22" t="s">
        <v>27</v>
      </c>
      <c r="C18" s="23">
        <v>200</v>
      </c>
      <c r="D18" s="23">
        <v>200</v>
      </c>
      <c r="E18" s="24">
        <v>580</v>
      </c>
      <c r="F18" s="24">
        <v>580</v>
      </c>
      <c r="G18" s="24">
        <v>580</v>
      </c>
      <c r="H18" s="24">
        <v>580</v>
      </c>
      <c r="I18" s="24">
        <v>580</v>
      </c>
      <c r="J18" s="24">
        <v>580</v>
      </c>
      <c r="K18" s="16"/>
      <c r="L18" s="84">
        <v>18</v>
      </c>
      <c r="M18" s="84">
        <v>349</v>
      </c>
      <c r="N18" s="84">
        <v>129</v>
      </c>
      <c r="O18" s="84">
        <f t="shared" si="9"/>
        <v>496</v>
      </c>
      <c r="P18" s="26">
        <v>118</v>
      </c>
      <c r="Q18" s="26">
        <v>374</v>
      </c>
      <c r="R18" s="84">
        <f t="shared" si="10"/>
        <v>492</v>
      </c>
      <c r="S18" s="84">
        <v>487</v>
      </c>
      <c r="T18" s="84">
        <v>492</v>
      </c>
      <c r="U18" s="84">
        <v>497</v>
      </c>
      <c r="V18" s="16"/>
      <c r="W18" s="28">
        <f t="shared" si="0"/>
        <v>3600</v>
      </c>
      <c r="X18" s="28">
        <f t="shared" si="1"/>
        <v>69800</v>
      </c>
      <c r="Y18" s="28">
        <f t="shared" si="2"/>
        <v>74820</v>
      </c>
      <c r="Z18" s="28">
        <f t="shared" si="11"/>
        <v>148220</v>
      </c>
      <c r="AA18" s="28">
        <f t="shared" si="3"/>
        <v>68440</v>
      </c>
      <c r="AB18" s="28">
        <f t="shared" si="4"/>
        <v>216920</v>
      </c>
      <c r="AC18" s="28">
        <f t="shared" si="5"/>
        <v>285360</v>
      </c>
      <c r="AD18" s="77">
        <f t="shared" si="6"/>
        <v>282460</v>
      </c>
      <c r="AE18" s="77">
        <f t="shared" si="7"/>
        <v>285360</v>
      </c>
      <c r="AF18" s="99">
        <f t="shared" si="8"/>
        <v>288260</v>
      </c>
    </row>
    <row r="19" spans="1:32" x14ac:dyDescent="0.3">
      <c r="A19" s="21">
        <v>1014</v>
      </c>
      <c r="B19" s="22" t="s">
        <v>28</v>
      </c>
      <c r="C19" s="23">
        <v>380</v>
      </c>
      <c r="D19" s="23">
        <v>390</v>
      </c>
      <c r="E19" s="24">
        <v>280</v>
      </c>
      <c r="F19" s="24">
        <v>280</v>
      </c>
      <c r="G19" s="24">
        <v>280</v>
      </c>
      <c r="H19" s="24">
        <v>280</v>
      </c>
      <c r="I19" s="24">
        <v>280</v>
      </c>
      <c r="J19" s="24">
        <v>280</v>
      </c>
      <c r="K19" s="16"/>
      <c r="L19" s="84">
        <v>19</v>
      </c>
      <c r="M19" s="84">
        <v>372</v>
      </c>
      <c r="N19" s="84">
        <v>137</v>
      </c>
      <c r="O19" s="84">
        <f t="shared" si="9"/>
        <v>528</v>
      </c>
      <c r="P19" s="26">
        <v>126</v>
      </c>
      <c r="Q19" s="26">
        <v>397</v>
      </c>
      <c r="R19" s="84">
        <f t="shared" si="10"/>
        <v>523</v>
      </c>
      <c r="S19" s="84">
        <v>518</v>
      </c>
      <c r="T19" s="84">
        <v>534</v>
      </c>
      <c r="U19" s="84">
        <v>550</v>
      </c>
      <c r="V19" s="16"/>
      <c r="W19" s="28">
        <f t="shared" si="0"/>
        <v>7220</v>
      </c>
      <c r="X19" s="28">
        <f t="shared" si="1"/>
        <v>145080</v>
      </c>
      <c r="Y19" s="28">
        <f t="shared" si="2"/>
        <v>38360</v>
      </c>
      <c r="Z19" s="28">
        <f t="shared" si="11"/>
        <v>190660</v>
      </c>
      <c r="AA19" s="28">
        <f t="shared" si="3"/>
        <v>35280</v>
      </c>
      <c r="AB19" s="28">
        <f t="shared" si="4"/>
        <v>111160</v>
      </c>
      <c r="AC19" s="28">
        <f t="shared" si="5"/>
        <v>146440</v>
      </c>
      <c r="AD19" s="77">
        <f t="shared" si="6"/>
        <v>145040</v>
      </c>
      <c r="AE19" s="77">
        <f t="shared" si="7"/>
        <v>149520</v>
      </c>
      <c r="AF19" s="99">
        <f t="shared" si="8"/>
        <v>154000</v>
      </c>
    </row>
    <row r="20" spans="1:32" x14ac:dyDescent="0.3">
      <c r="A20" s="21">
        <v>1114</v>
      </c>
      <c r="B20" s="22" t="s">
        <v>29</v>
      </c>
      <c r="C20" s="23">
        <v>620</v>
      </c>
      <c r="D20" s="23">
        <v>620</v>
      </c>
      <c r="E20" s="24">
        <v>600</v>
      </c>
      <c r="F20" s="24">
        <v>600</v>
      </c>
      <c r="G20" s="24">
        <v>600</v>
      </c>
      <c r="H20" s="24">
        <v>600</v>
      </c>
      <c r="I20" s="24">
        <v>600</v>
      </c>
      <c r="J20" s="24">
        <v>600</v>
      </c>
      <c r="K20" s="16"/>
      <c r="L20" s="84">
        <v>19</v>
      </c>
      <c r="M20" s="84">
        <v>372</v>
      </c>
      <c r="N20" s="84">
        <v>137</v>
      </c>
      <c r="O20" s="84">
        <f t="shared" si="9"/>
        <v>528</v>
      </c>
      <c r="P20" s="26">
        <v>126</v>
      </c>
      <c r="Q20" s="26">
        <v>397</v>
      </c>
      <c r="R20" s="84">
        <f t="shared" si="10"/>
        <v>523</v>
      </c>
      <c r="S20" s="84">
        <v>518</v>
      </c>
      <c r="T20" s="84">
        <v>534</v>
      </c>
      <c r="U20" s="84">
        <v>550</v>
      </c>
      <c r="V20" s="16"/>
      <c r="W20" s="28">
        <f t="shared" si="0"/>
        <v>11780</v>
      </c>
      <c r="X20" s="28">
        <f t="shared" si="1"/>
        <v>230640</v>
      </c>
      <c r="Y20" s="28">
        <f t="shared" si="2"/>
        <v>82200</v>
      </c>
      <c r="Z20" s="28">
        <f t="shared" si="11"/>
        <v>324620</v>
      </c>
      <c r="AA20" s="28">
        <f t="shared" si="3"/>
        <v>75600</v>
      </c>
      <c r="AB20" s="28">
        <f t="shared" si="4"/>
        <v>238200</v>
      </c>
      <c r="AC20" s="28">
        <f t="shared" si="5"/>
        <v>313800</v>
      </c>
      <c r="AD20" s="77">
        <f t="shared" si="6"/>
        <v>310800</v>
      </c>
      <c r="AE20" s="77">
        <f t="shared" si="7"/>
        <v>320400</v>
      </c>
      <c r="AF20" s="99">
        <f t="shared" si="8"/>
        <v>330000</v>
      </c>
    </row>
    <row r="21" spans="1:32" x14ac:dyDescent="0.3">
      <c r="A21" s="21">
        <v>1314</v>
      </c>
      <c r="B21" s="22" t="s">
        <v>30</v>
      </c>
      <c r="C21" s="23">
        <v>750</v>
      </c>
      <c r="D21" s="23">
        <v>760</v>
      </c>
      <c r="E21" s="24">
        <v>2160</v>
      </c>
      <c r="F21" s="24">
        <v>2160</v>
      </c>
      <c r="G21" s="24">
        <v>2160</v>
      </c>
      <c r="H21" s="24">
        <v>2160</v>
      </c>
      <c r="I21" s="24">
        <v>2160</v>
      </c>
      <c r="J21" s="24">
        <v>2160</v>
      </c>
      <c r="K21" s="16"/>
      <c r="L21" s="84">
        <v>19</v>
      </c>
      <c r="M21" s="84">
        <v>372</v>
      </c>
      <c r="N21" s="84">
        <v>137</v>
      </c>
      <c r="O21" s="84">
        <f t="shared" si="9"/>
        <v>528</v>
      </c>
      <c r="P21" s="26">
        <v>126</v>
      </c>
      <c r="Q21" s="26">
        <v>397</v>
      </c>
      <c r="R21" s="84">
        <f t="shared" si="10"/>
        <v>523</v>
      </c>
      <c r="S21" s="84">
        <v>518</v>
      </c>
      <c r="T21" s="84">
        <v>534</v>
      </c>
      <c r="U21" s="84">
        <v>550</v>
      </c>
      <c r="V21" s="16"/>
      <c r="W21" s="28">
        <f t="shared" si="0"/>
        <v>14250</v>
      </c>
      <c r="X21" s="28">
        <f t="shared" si="1"/>
        <v>282720</v>
      </c>
      <c r="Y21" s="28">
        <f t="shared" si="2"/>
        <v>295920</v>
      </c>
      <c r="Z21" s="28">
        <f t="shared" si="11"/>
        <v>592890</v>
      </c>
      <c r="AA21" s="28">
        <f t="shared" si="3"/>
        <v>272160</v>
      </c>
      <c r="AB21" s="28">
        <f t="shared" si="4"/>
        <v>857520</v>
      </c>
      <c r="AC21" s="28">
        <f t="shared" si="5"/>
        <v>1129680</v>
      </c>
      <c r="AD21" s="77">
        <f t="shared" si="6"/>
        <v>1118880</v>
      </c>
      <c r="AE21" s="77">
        <f t="shared" si="7"/>
        <v>1153440</v>
      </c>
      <c r="AF21" s="99">
        <f t="shared" si="8"/>
        <v>1188000</v>
      </c>
    </row>
    <row r="22" spans="1:32" x14ac:dyDescent="0.3">
      <c r="A22" s="21">
        <v>1005</v>
      </c>
      <c r="B22" s="22" t="s">
        <v>31</v>
      </c>
      <c r="C22" s="23">
        <v>250</v>
      </c>
      <c r="D22" s="23">
        <v>250</v>
      </c>
      <c r="E22" s="24">
        <v>260</v>
      </c>
      <c r="F22" s="24">
        <v>260</v>
      </c>
      <c r="G22" s="24">
        <v>260</v>
      </c>
      <c r="H22" s="24">
        <v>260</v>
      </c>
      <c r="I22" s="24">
        <v>260</v>
      </c>
      <c r="J22" s="24">
        <v>260</v>
      </c>
      <c r="K22" s="16"/>
      <c r="L22" s="84">
        <v>2176</v>
      </c>
      <c r="M22" s="84">
        <v>42546</v>
      </c>
      <c r="N22" s="84">
        <v>15713</v>
      </c>
      <c r="O22" s="84">
        <f t="shared" si="9"/>
        <v>60435</v>
      </c>
      <c r="P22" s="26">
        <v>15343</v>
      </c>
      <c r="Q22" s="26">
        <v>48588</v>
      </c>
      <c r="R22" s="84">
        <f t="shared" si="10"/>
        <v>63931</v>
      </c>
      <c r="S22" s="84">
        <v>67631</v>
      </c>
      <c r="T22" s="84">
        <v>71689</v>
      </c>
      <c r="U22" s="84">
        <v>75990</v>
      </c>
      <c r="V22" s="16"/>
      <c r="W22" s="28">
        <f t="shared" si="0"/>
        <v>544000</v>
      </c>
      <c r="X22" s="28">
        <f t="shared" si="1"/>
        <v>10636500</v>
      </c>
      <c r="Y22" s="28">
        <f t="shared" si="2"/>
        <v>4085380</v>
      </c>
      <c r="Z22" s="28">
        <f t="shared" si="11"/>
        <v>15265880</v>
      </c>
      <c r="AA22" s="28">
        <f t="shared" si="3"/>
        <v>3989180</v>
      </c>
      <c r="AB22" s="28">
        <f t="shared" si="4"/>
        <v>12632880</v>
      </c>
      <c r="AC22" s="28">
        <f t="shared" si="5"/>
        <v>16622060</v>
      </c>
      <c r="AD22" s="77">
        <f t="shared" si="6"/>
        <v>17584060</v>
      </c>
      <c r="AE22" s="77">
        <f t="shared" si="7"/>
        <v>18639140</v>
      </c>
      <c r="AF22" s="99">
        <f t="shared" si="8"/>
        <v>19757400</v>
      </c>
    </row>
    <row r="23" spans="1:32" x14ac:dyDescent="0.3">
      <c r="A23" s="21">
        <v>1017</v>
      </c>
      <c r="B23" s="22" t="s">
        <v>32</v>
      </c>
      <c r="C23" s="23">
        <v>250</v>
      </c>
      <c r="D23" s="23">
        <v>250</v>
      </c>
      <c r="E23" s="24">
        <v>180</v>
      </c>
      <c r="F23" s="24">
        <v>180</v>
      </c>
      <c r="G23" s="24">
        <v>180</v>
      </c>
      <c r="H23" s="24">
        <v>180</v>
      </c>
      <c r="I23" s="24">
        <v>180</v>
      </c>
      <c r="J23" s="24">
        <v>180</v>
      </c>
      <c r="K23" s="16"/>
      <c r="L23" s="26">
        <v>17</v>
      </c>
      <c r="M23" s="26">
        <v>338</v>
      </c>
      <c r="N23" s="26">
        <v>125</v>
      </c>
      <c r="O23" s="84">
        <f t="shared" si="9"/>
        <v>480</v>
      </c>
      <c r="P23" s="26">
        <v>115</v>
      </c>
      <c r="Q23" s="26">
        <v>364</v>
      </c>
      <c r="R23" s="84">
        <f t="shared" si="10"/>
        <v>479</v>
      </c>
      <c r="S23" s="26">
        <v>477</v>
      </c>
      <c r="T23" s="26">
        <v>487</v>
      </c>
      <c r="U23" s="26">
        <v>496</v>
      </c>
      <c r="V23" s="16"/>
      <c r="W23" s="28">
        <f t="shared" si="0"/>
        <v>4250</v>
      </c>
      <c r="X23" s="28">
        <f t="shared" si="1"/>
        <v>84500</v>
      </c>
      <c r="Y23" s="28">
        <f t="shared" si="2"/>
        <v>22500</v>
      </c>
      <c r="Z23" s="28">
        <f t="shared" si="11"/>
        <v>111250</v>
      </c>
      <c r="AA23" s="28">
        <f t="shared" si="3"/>
        <v>20700</v>
      </c>
      <c r="AB23" s="28">
        <f t="shared" si="4"/>
        <v>65520</v>
      </c>
      <c r="AC23" s="28">
        <f t="shared" si="5"/>
        <v>86220</v>
      </c>
      <c r="AD23" s="77">
        <f t="shared" si="6"/>
        <v>85860</v>
      </c>
      <c r="AE23" s="77">
        <f t="shared" si="7"/>
        <v>87660</v>
      </c>
      <c r="AF23" s="99">
        <f t="shared" si="8"/>
        <v>89280</v>
      </c>
    </row>
    <row r="24" spans="1:32" x14ac:dyDescent="0.3">
      <c r="A24" s="21">
        <v>1019</v>
      </c>
      <c r="B24" s="22" t="s">
        <v>33</v>
      </c>
      <c r="C24" s="23">
        <v>380</v>
      </c>
      <c r="D24" s="23">
        <v>390</v>
      </c>
      <c r="E24" s="24">
        <v>280</v>
      </c>
      <c r="F24" s="24">
        <v>280</v>
      </c>
      <c r="G24" s="24">
        <v>280</v>
      </c>
      <c r="H24" s="24">
        <v>280</v>
      </c>
      <c r="I24" s="24">
        <v>280</v>
      </c>
      <c r="J24" s="24">
        <v>280</v>
      </c>
      <c r="K24" s="16"/>
      <c r="L24" s="84">
        <v>0</v>
      </c>
      <c r="M24" s="84">
        <v>0</v>
      </c>
      <c r="N24" s="84">
        <v>0</v>
      </c>
      <c r="O24" s="84">
        <f t="shared" si="9"/>
        <v>0</v>
      </c>
      <c r="P24" s="26">
        <v>0</v>
      </c>
      <c r="Q24" s="26">
        <v>0</v>
      </c>
      <c r="R24" s="84">
        <f t="shared" si="10"/>
        <v>0</v>
      </c>
      <c r="S24" s="84">
        <v>0</v>
      </c>
      <c r="T24" s="84">
        <v>0</v>
      </c>
      <c r="U24" s="84">
        <v>0</v>
      </c>
      <c r="V24" s="16"/>
      <c r="W24" s="28">
        <f t="shared" si="0"/>
        <v>0</v>
      </c>
      <c r="X24" s="28">
        <f t="shared" si="1"/>
        <v>0</v>
      </c>
      <c r="Y24" s="28">
        <f t="shared" si="2"/>
        <v>0</v>
      </c>
      <c r="Z24" s="28">
        <f t="shared" si="11"/>
        <v>0</v>
      </c>
      <c r="AA24" s="28">
        <f t="shared" si="3"/>
        <v>0</v>
      </c>
      <c r="AB24" s="28">
        <f t="shared" si="4"/>
        <v>0</v>
      </c>
      <c r="AC24" s="28">
        <f t="shared" si="5"/>
        <v>0</v>
      </c>
      <c r="AD24" s="77">
        <f t="shared" si="6"/>
        <v>0</v>
      </c>
      <c r="AE24" s="77">
        <f t="shared" si="7"/>
        <v>0</v>
      </c>
      <c r="AF24" s="99">
        <f t="shared" si="8"/>
        <v>0</v>
      </c>
    </row>
    <row r="25" spans="1:32" x14ac:dyDescent="0.3">
      <c r="A25" s="21">
        <v>1051</v>
      </c>
      <c r="B25" s="22" t="s">
        <v>34</v>
      </c>
      <c r="C25" s="23">
        <v>130</v>
      </c>
      <c r="D25" s="23">
        <v>130</v>
      </c>
      <c r="E25" s="24">
        <v>140</v>
      </c>
      <c r="F25" s="24">
        <v>140</v>
      </c>
      <c r="G25" s="24">
        <v>140</v>
      </c>
      <c r="H25" s="24">
        <v>140</v>
      </c>
      <c r="I25" s="24">
        <v>140</v>
      </c>
      <c r="J25" s="24">
        <v>140</v>
      </c>
      <c r="K25" s="16"/>
      <c r="L25" s="84">
        <v>2307</v>
      </c>
      <c r="M25" s="84">
        <v>45112</v>
      </c>
      <c r="N25" s="84">
        <v>16661</v>
      </c>
      <c r="O25" s="84">
        <f t="shared" si="9"/>
        <v>64080</v>
      </c>
      <c r="P25" s="26">
        <v>16061</v>
      </c>
      <c r="Q25" s="26">
        <v>50859</v>
      </c>
      <c r="R25" s="84">
        <f t="shared" si="10"/>
        <v>66920</v>
      </c>
      <c r="S25" s="84">
        <v>70335</v>
      </c>
      <c r="T25" s="84">
        <v>73855</v>
      </c>
      <c r="U25" s="84">
        <v>77550</v>
      </c>
      <c r="V25" s="16"/>
      <c r="W25" s="28">
        <f t="shared" si="0"/>
        <v>299910</v>
      </c>
      <c r="X25" s="28">
        <f t="shared" si="1"/>
        <v>5864560</v>
      </c>
      <c r="Y25" s="28">
        <f t="shared" si="2"/>
        <v>2332540</v>
      </c>
      <c r="Z25" s="28">
        <f t="shared" si="11"/>
        <v>8497010</v>
      </c>
      <c r="AA25" s="28">
        <f t="shared" si="3"/>
        <v>2248540</v>
      </c>
      <c r="AB25" s="28">
        <f t="shared" si="4"/>
        <v>7120260</v>
      </c>
      <c r="AC25" s="28">
        <f t="shared" si="5"/>
        <v>9368800</v>
      </c>
      <c r="AD25" s="77">
        <f t="shared" si="6"/>
        <v>9846900</v>
      </c>
      <c r="AE25" s="77">
        <f t="shared" si="7"/>
        <v>10339700</v>
      </c>
      <c r="AF25" s="99">
        <f t="shared" si="8"/>
        <v>10857000</v>
      </c>
    </row>
    <row r="26" spans="1:32" x14ac:dyDescent="0.3">
      <c r="A26" s="29">
        <v>1052</v>
      </c>
      <c r="B26" s="30" t="s">
        <v>35</v>
      </c>
      <c r="C26" s="23">
        <v>50</v>
      </c>
      <c r="D26" s="23">
        <v>50</v>
      </c>
      <c r="E26" s="24">
        <v>60</v>
      </c>
      <c r="F26" s="24">
        <v>60</v>
      </c>
      <c r="G26" s="24">
        <v>60</v>
      </c>
      <c r="H26" s="24">
        <v>60</v>
      </c>
      <c r="I26" s="24">
        <v>60</v>
      </c>
      <c r="J26" s="24">
        <v>60</v>
      </c>
      <c r="K26" s="16"/>
      <c r="L26" s="84">
        <v>96</v>
      </c>
      <c r="M26" s="84">
        <v>1876</v>
      </c>
      <c r="N26" s="84">
        <v>693</v>
      </c>
      <c r="O26" s="84">
        <f t="shared" si="9"/>
        <v>2665</v>
      </c>
      <c r="P26" s="26">
        <v>677</v>
      </c>
      <c r="Q26" s="26">
        <v>2143</v>
      </c>
      <c r="R26" s="84">
        <f t="shared" si="10"/>
        <v>2820</v>
      </c>
      <c r="S26" s="84">
        <v>2983</v>
      </c>
      <c r="T26" s="84">
        <v>3162</v>
      </c>
      <c r="U26" s="84">
        <v>3352</v>
      </c>
      <c r="V26" s="16"/>
      <c r="W26" s="28">
        <f t="shared" si="0"/>
        <v>4800</v>
      </c>
      <c r="X26" s="28">
        <f t="shared" si="1"/>
        <v>93800</v>
      </c>
      <c r="Y26" s="28">
        <f t="shared" si="2"/>
        <v>41580</v>
      </c>
      <c r="Z26" s="28">
        <f t="shared" si="11"/>
        <v>140180</v>
      </c>
      <c r="AA26" s="28">
        <f t="shared" si="3"/>
        <v>40620</v>
      </c>
      <c r="AB26" s="28">
        <f t="shared" si="4"/>
        <v>128580</v>
      </c>
      <c r="AC26" s="28">
        <f t="shared" si="5"/>
        <v>169200</v>
      </c>
      <c r="AD26" s="77">
        <f t="shared" si="6"/>
        <v>178980</v>
      </c>
      <c r="AE26" s="77">
        <f t="shared" si="7"/>
        <v>189720</v>
      </c>
      <c r="AF26" s="99">
        <f t="shared" si="8"/>
        <v>201120</v>
      </c>
    </row>
    <row r="27" spans="1:32" x14ac:dyDescent="0.3">
      <c r="A27" s="29">
        <v>1081</v>
      </c>
      <c r="B27" s="22" t="s">
        <v>36</v>
      </c>
      <c r="C27" s="23">
        <v>310</v>
      </c>
      <c r="D27" s="23">
        <v>320</v>
      </c>
      <c r="E27" s="24">
        <v>400</v>
      </c>
      <c r="F27" s="24">
        <v>400</v>
      </c>
      <c r="G27" s="24">
        <v>400</v>
      </c>
      <c r="H27" s="24">
        <v>400</v>
      </c>
      <c r="I27" s="24">
        <v>400</v>
      </c>
      <c r="J27" s="24">
        <v>400</v>
      </c>
      <c r="K27" s="16"/>
      <c r="L27" s="84">
        <v>399</v>
      </c>
      <c r="M27" s="84">
        <v>7807</v>
      </c>
      <c r="N27" s="84">
        <v>2883</v>
      </c>
      <c r="O27" s="84">
        <f t="shared" si="9"/>
        <v>11089</v>
      </c>
      <c r="P27" s="26">
        <v>2742</v>
      </c>
      <c r="Q27" s="26">
        <v>8684</v>
      </c>
      <c r="R27" s="84">
        <f t="shared" si="10"/>
        <v>11426</v>
      </c>
      <c r="S27" s="84">
        <v>11845</v>
      </c>
      <c r="T27" s="84">
        <v>12439</v>
      </c>
      <c r="U27" s="84">
        <v>13063</v>
      </c>
      <c r="V27" s="16"/>
      <c r="W27" s="28">
        <f t="shared" si="0"/>
        <v>123690</v>
      </c>
      <c r="X27" s="28">
        <f t="shared" si="1"/>
        <v>2498240</v>
      </c>
      <c r="Y27" s="28">
        <f t="shared" si="2"/>
        <v>1153200</v>
      </c>
      <c r="Z27" s="28">
        <f t="shared" si="11"/>
        <v>3775130</v>
      </c>
      <c r="AA27" s="28">
        <f t="shared" si="3"/>
        <v>1096800</v>
      </c>
      <c r="AB27" s="28">
        <f t="shared" si="4"/>
        <v>3473600</v>
      </c>
      <c r="AC27" s="28">
        <f t="shared" si="5"/>
        <v>4570400</v>
      </c>
      <c r="AD27" s="77">
        <f t="shared" si="6"/>
        <v>4738000</v>
      </c>
      <c r="AE27" s="77">
        <f t="shared" si="7"/>
        <v>4975600</v>
      </c>
      <c r="AF27" s="99">
        <f t="shared" si="8"/>
        <v>5225200</v>
      </c>
    </row>
    <row r="28" spans="1:32" x14ac:dyDescent="0.3">
      <c r="A28" s="29">
        <v>1082</v>
      </c>
      <c r="B28" s="22" t="s">
        <v>37</v>
      </c>
      <c r="C28" s="23">
        <v>310</v>
      </c>
      <c r="D28" s="23">
        <v>320</v>
      </c>
      <c r="E28" s="24">
        <v>400</v>
      </c>
      <c r="F28" s="24">
        <v>400</v>
      </c>
      <c r="G28" s="24">
        <v>400</v>
      </c>
      <c r="H28" s="24">
        <v>400</v>
      </c>
      <c r="I28" s="24">
        <v>400</v>
      </c>
      <c r="J28" s="24">
        <v>400</v>
      </c>
      <c r="K28" s="16"/>
      <c r="L28" s="84">
        <v>4</v>
      </c>
      <c r="M28" s="84">
        <v>75</v>
      </c>
      <c r="N28" s="84">
        <v>28</v>
      </c>
      <c r="O28" s="84">
        <f t="shared" si="9"/>
        <v>107</v>
      </c>
      <c r="P28" s="26">
        <v>25</v>
      </c>
      <c r="Q28" s="26">
        <v>79</v>
      </c>
      <c r="R28" s="84">
        <f t="shared" si="10"/>
        <v>104</v>
      </c>
      <c r="S28" s="84">
        <v>102</v>
      </c>
      <c r="T28" s="84">
        <v>104</v>
      </c>
      <c r="U28" s="84">
        <v>106</v>
      </c>
      <c r="V28" s="16"/>
      <c r="W28" s="28">
        <f t="shared" si="0"/>
        <v>1240</v>
      </c>
      <c r="X28" s="28">
        <f t="shared" si="1"/>
        <v>24000</v>
      </c>
      <c r="Y28" s="28">
        <f t="shared" si="2"/>
        <v>11200</v>
      </c>
      <c r="Z28" s="28">
        <f t="shared" si="11"/>
        <v>36440</v>
      </c>
      <c r="AA28" s="28">
        <f t="shared" si="3"/>
        <v>10000</v>
      </c>
      <c r="AB28" s="28">
        <f t="shared" si="4"/>
        <v>31600</v>
      </c>
      <c r="AC28" s="28">
        <f t="shared" si="5"/>
        <v>41600</v>
      </c>
      <c r="AD28" s="77">
        <f t="shared" si="6"/>
        <v>40800</v>
      </c>
      <c r="AE28" s="77">
        <f t="shared" si="7"/>
        <v>41600</v>
      </c>
      <c r="AF28" s="99">
        <f t="shared" si="8"/>
        <v>42400</v>
      </c>
    </row>
    <row r="29" spans="1:32" x14ac:dyDescent="0.3">
      <c r="A29" s="29">
        <v>1083</v>
      </c>
      <c r="B29" s="22" t="s">
        <v>38</v>
      </c>
      <c r="C29" s="23">
        <v>310</v>
      </c>
      <c r="D29" s="23">
        <v>320</v>
      </c>
      <c r="E29" s="24">
        <v>400</v>
      </c>
      <c r="F29" s="24">
        <v>400</v>
      </c>
      <c r="G29" s="24">
        <v>400</v>
      </c>
      <c r="H29" s="24">
        <v>400</v>
      </c>
      <c r="I29" s="24">
        <v>400</v>
      </c>
      <c r="J29" s="24">
        <v>400</v>
      </c>
      <c r="K29" s="16"/>
      <c r="L29" s="84">
        <v>0</v>
      </c>
      <c r="M29" s="84">
        <v>1</v>
      </c>
      <c r="N29" s="84">
        <v>0</v>
      </c>
      <c r="O29" s="84">
        <f t="shared" si="9"/>
        <v>1</v>
      </c>
      <c r="P29" s="26">
        <v>0</v>
      </c>
      <c r="Q29" s="26">
        <v>1</v>
      </c>
      <c r="R29" s="84">
        <f t="shared" si="10"/>
        <v>1</v>
      </c>
      <c r="S29" s="84">
        <v>1</v>
      </c>
      <c r="T29" s="84">
        <v>1</v>
      </c>
      <c r="U29" s="84">
        <v>1</v>
      </c>
      <c r="V29" s="16"/>
      <c r="W29" s="28">
        <f t="shared" si="0"/>
        <v>0</v>
      </c>
      <c r="X29" s="28">
        <f t="shared" si="1"/>
        <v>320</v>
      </c>
      <c r="Y29" s="28">
        <f t="shared" si="2"/>
        <v>0</v>
      </c>
      <c r="Z29" s="28">
        <f t="shared" si="11"/>
        <v>320</v>
      </c>
      <c r="AA29" s="28">
        <f t="shared" si="3"/>
        <v>0</v>
      </c>
      <c r="AB29" s="28">
        <f t="shared" si="4"/>
        <v>400</v>
      </c>
      <c r="AC29" s="28">
        <f t="shared" si="5"/>
        <v>400</v>
      </c>
      <c r="AD29" s="77">
        <f t="shared" si="6"/>
        <v>400</v>
      </c>
      <c r="AE29" s="77">
        <f t="shared" si="7"/>
        <v>400</v>
      </c>
      <c r="AF29" s="99">
        <f t="shared" si="8"/>
        <v>400</v>
      </c>
    </row>
    <row r="30" spans="1:32" x14ac:dyDescent="0.3">
      <c r="A30" s="29">
        <v>1084</v>
      </c>
      <c r="B30" s="22" t="s">
        <v>39</v>
      </c>
      <c r="C30" s="23">
        <v>310</v>
      </c>
      <c r="D30" s="23">
        <v>320</v>
      </c>
      <c r="E30" s="24">
        <v>400</v>
      </c>
      <c r="F30" s="24">
        <v>400</v>
      </c>
      <c r="G30" s="24">
        <v>400</v>
      </c>
      <c r="H30" s="24">
        <v>400</v>
      </c>
      <c r="I30" s="24">
        <v>400</v>
      </c>
      <c r="J30" s="24">
        <v>400</v>
      </c>
      <c r="K30" s="16"/>
      <c r="L30" s="84">
        <v>1</v>
      </c>
      <c r="M30" s="84">
        <v>18</v>
      </c>
      <c r="N30" s="84">
        <v>7</v>
      </c>
      <c r="O30" s="84">
        <f t="shared" si="9"/>
        <v>26</v>
      </c>
      <c r="P30" s="26">
        <v>6</v>
      </c>
      <c r="Q30" s="26">
        <v>18</v>
      </c>
      <c r="R30" s="84">
        <f t="shared" si="10"/>
        <v>24</v>
      </c>
      <c r="S30" s="84">
        <v>24</v>
      </c>
      <c r="T30" s="84">
        <v>24</v>
      </c>
      <c r="U30" s="84">
        <v>25</v>
      </c>
      <c r="V30" s="16"/>
      <c r="W30" s="28">
        <f t="shared" si="0"/>
        <v>310</v>
      </c>
      <c r="X30" s="28">
        <f t="shared" si="1"/>
        <v>5760</v>
      </c>
      <c r="Y30" s="28">
        <f t="shared" si="2"/>
        <v>2800</v>
      </c>
      <c r="Z30" s="28">
        <f t="shared" si="11"/>
        <v>8870</v>
      </c>
      <c r="AA30" s="28">
        <f t="shared" si="3"/>
        <v>2400</v>
      </c>
      <c r="AB30" s="28">
        <f t="shared" si="4"/>
        <v>7200</v>
      </c>
      <c r="AC30" s="28">
        <f t="shared" si="5"/>
        <v>9600</v>
      </c>
      <c r="AD30" s="77">
        <f t="shared" si="6"/>
        <v>9600</v>
      </c>
      <c r="AE30" s="77">
        <f t="shared" si="7"/>
        <v>9600</v>
      </c>
      <c r="AF30" s="99">
        <f t="shared" si="8"/>
        <v>10000</v>
      </c>
    </row>
    <row r="31" spans="1:32" x14ac:dyDescent="0.3">
      <c r="A31" s="29">
        <v>1085</v>
      </c>
      <c r="B31" s="22" t="s">
        <v>40</v>
      </c>
      <c r="C31" s="23">
        <v>310</v>
      </c>
      <c r="D31" s="23">
        <v>320</v>
      </c>
      <c r="E31" s="24">
        <v>400</v>
      </c>
      <c r="F31" s="24">
        <v>400</v>
      </c>
      <c r="G31" s="24">
        <v>400</v>
      </c>
      <c r="H31" s="24">
        <v>400</v>
      </c>
      <c r="I31" s="24">
        <v>400</v>
      </c>
      <c r="J31" s="24">
        <v>400</v>
      </c>
      <c r="K31" s="16"/>
      <c r="L31" s="84">
        <v>149</v>
      </c>
      <c r="M31" s="84">
        <v>2910</v>
      </c>
      <c r="N31" s="84">
        <v>1075</v>
      </c>
      <c r="O31" s="84">
        <f t="shared" si="9"/>
        <v>4134</v>
      </c>
      <c r="P31" s="26">
        <v>1035</v>
      </c>
      <c r="Q31" s="26">
        <v>3277</v>
      </c>
      <c r="R31" s="84">
        <f t="shared" si="10"/>
        <v>4312</v>
      </c>
      <c r="S31" s="84">
        <v>4498</v>
      </c>
      <c r="T31" s="84">
        <v>4768</v>
      </c>
      <c r="U31" s="84">
        <v>5054</v>
      </c>
      <c r="V31" s="16"/>
      <c r="W31" s="28">
        <f t="shared" si="0"/>
        <v>46190</v>
      </c>
      <c r="X31" s="28">
        <f t="shared" si="1"/>
        <v>931200</v>
      </c>
      <c r="Y31" s="28">
        <f t="shared" si="2"/>
        <v>430000</v>
      </c>
      <c r="Z31" s="28">
        <f t="shared" si="11"/>
        <v>1407390</v>
      </c>
      <c r="AA31" s="28">
        <f t="shared" si="3"/>
        <v>414000</v>
      </c>
      <c r="AB31" s="28">
        <f t="shared" si="4"/>
        <v>1310800</v>
      </c>
      <c r="AC31" s="28">
        <f t="shared" si="5"/>
        <v>1724800</v>
      </c>
      <c r="AD31" s="77">
        <f t="shared" si="6"/>
        <v>1799200</v>
      </c>
      <c r="AE31" s="77">
        <f t="shared" si="7"/>
        <v>1907200</v>
      </c>
      <c r="AF31" s="99">
        <f t="shared" si="8"/>
        <v>2021600</v>
      </c>
    </row>
    <row r="32" spans="1:32" x14ac:dyDescent="0.3">
      <c r="A32" s="21">
        <v>1201</v>
      </c>
      <c r="B32" s="22" t="s">
        <v>41</v>
      </c>
      <c r="C32" s="23">
        <v>250</v>
      </c>
      <c r="D32" s="23">
        <v>250</v>
      </c>
      <c r="E32" s="24">
        <v>420</v>
      </c>
      <c r="F32" s="24">
        <v>420</v>
      </c>
      <c r="G32" s="24">
        <v>420</v>
      </c>
      <c r="H32" s="24">
        <v>420</v>
      </c>
      <c r="I32" s="24">
        <v>420</v>
      </c>
      <c r="J32" s="24">
        <v>420</v>
      </c>
      <c r="K32" s="16"/>
      <c r="L32" s="84">
        <v>4126</v>
      </c>
      <c r="M32" s="84">
        <v>80694</v>
      </c>
      <c r="N32" s="84">
        <v>29802</v>
      </c>
      <c r="O32" s="84">
        <f t="shared" si="9"/>
        <v>114622</v>
      </c>
      <c r="P32" s="26">
        <v>26623</v>
      </c>
      <c r="Q32" s="26">
        <v>84305</v>
      </c>
      <c r="R32" s="84">
        <f t="shared" si="10"/>
        <v>110928</v>
      </c>
      <c r="S32" s="84">
        <v>103561</v>
      </c>
      <c r="T32" s="84">
        <v>94443</v>
      </c>
      <c r="U32" s="84">
        <v>86127</v>
      </c>
      <c r="V32" s="16"/>
      <c r="W32" s="28">
        <f t="shared" si="0"/>
        <v>1031500</v>
      </c>
      <c r="X32" s="28">
        <f t="shared" si="1"/>
        <v>20173500</v>
      </c>
      <c r="Y32" s="28">
        <f t="shared" si="2"/>
        <v>12516840</v>
      </c>
      <c r="Z32" s="28">
        <f t="shared" si="11"/>
        <v>33721840</v>
      </c>
      <c r="AA32" s="28">
        <f t="shared" si="3"/>
        <v>11181660</v>
      </c>
      <c r="AB32" s="28">
        <f t="shared" si="4"/>
        <v>35408100</v>
      </c>
      <c r="AC32" s="28">
        <f t="shared" si="5"/>
        <v>46589760</v>
      </c>
      <c r="AD32" s="77">
        <f t="shared" si="6"/>
        <v>43495620</v>
      </c>
      <c r="AE32" s="77">
        <f t="shared" si="7"/>
        <v>39666060</v>
      </c>
      <c r="AF32" s="99">
        <f t="shared" si="8"/>
        <v>36173340</v>
      </c>
    </row>
    <row r="33" spans="1:32" x14ac:dyDescent="0.3">
      <c r="A33" s="21">
        <v>1202</v>
      </c>
      <c r="B33" s="22" t="s">
        <v>42</v>
      </c>
      <c r="C33" s="23">
        <v>60</v>
      </c>
      <c r="D33" s="23">
        <v>62</v>
      </c>
      <c r="E33" s="24">
        <v>80</v>
      </c>
      <c r="F33" s="24">
        <v>80</v>
      </c>
      <c r="G33" s="24">
        <v>80</v>
      </c>
      <c r="H33" s="24">
        <v>80</v>
      </c>
      <c r="I33" s="24">
        <v>80</v>
      </c>
      <c r="J33" s="24">
        <v>80</v>
      </c>
      <c r="K33" s="16"/>
      <c r="L33" s="84">
        <v>25404</v>
      </c>
      <c r="M33" s="84">
        <v>496787</v>
      </c>
      <c r="N33" s="84">
        <v>183472</v>
      </c>
      <c r="O33" s="84">
        <f t="shared" si="9"/>
        <v>705663</v>
      </c>
      <c r="P33" s="26">
        <v>170956</v>
      </c>
      <c r="Q33" s="26">
        <v>541362</v>
      </c>
      <c r="R33" s="84">
        <f t="shared" si="10"/>
        <v>712318</v>
      </c>
      <c r="S33" s="84">
        <v>665015</v>
      </c>
      <c r="T33" s="84">
        <v>606462</v>
      </c>
      <c r="U33" s="84">
        <v>553063</v>
      </c>
      <c r="V33" s="16"/>
      <c r="W33" s="28">
        <f t="shared" si="0"/>
        <v>1524240</v>
      </c>
      <c r="X33" s="28">
        <f t="shared" si="1"/>
        <v>30800794</v>
      </c>
      <c r="Y33" s="28">
        <f t="shared" si="2"/>
        <v>14677760</v>
      </c>
      <c r="Z33" s="28">
        <f t="shared" si="11"/>
        <v>47002794</v>
      </c>
      <c r="AA33" s="28">
        <f t="shared" si="3"/>
        <v>13676480</v>
      </c>
      <c r="AB33" s="28">
        <f t="shared" si="4"/>
        <v>43308960</v>
      </c>
      <c r="AC33" s="28">
        <f t="shared" si="5"/>
        <v>56985440</v>
      </c>
      <c r="AD33" s="77">
        <f t="shared" si="6"/>
        <v>53201200</v>
      </c>
      <c r="AE33" s="77">
        <f t="shared" si="7"/>
        <v>48516960</v>
      </c>
      <c r="AF33" s="99">
        <f t="shared" si="8"/>
        <v>44245040</v>
      </c>
    </row>
    <row r="34" spans="1:32" x14ac:dyDescent="0.3">
      <c r="A34" s="21">
        <v>1203</v>
      </c>
      <c r="B34" s="22" t="s">
        <v>43</v>
      </c>
      <c r="C34" s="23">
        <v>450</v>
      </c>
      <c r="D34" s="23">
        <v>460</v>
      </c>
      <c r="E34" s="24">
        <v>780</v>
      </c>
      <c r="F34" s="24">
        <v>780</v>
      </c>
      <c r="G34" s="24">
        <v>780</v>
      </c>
      <c r="H34" s="24">
        <v>780</v>
      </c>
      <c r="I34" s="24">
        <v>780</v>
      </c>
      <c r="J34" s="24">
        <v>780</v>
      </c>
      <c r="K34" s="16"/>
      <c r="L34" s="84">
        <v>131</v>
      </c>
      <c r="M34" s="84">
        <v>2567</v>
      </c>
      <c r="N34" s="84">
        <v>948</v>
      </c>
      <c r="O34" s="84">
        <f t="shared" si="9"/>
        <v>3646</v>
      </c>
      <c r="P34" s="26">
        <v>847</v>
      </c>
      <c r="Q34" s="26">
        <v>2682</v>
      </c>
      <c r="R34" s="84">
        <f t="shared" si="10"/>
        <v>3529</v>
      </c>
      <c r="S34" s="84">
        <v>3295</v>
      </c>
      <c r="T34" s="84">
        <v>3005</v>
      </c>
      <c r="U34" s="84">
        <v>2740</v>
      </c>
      <c r="V34" s="16"/>
      <c r="W34" s="28">
        <f t="shared" si="0"/>
        <v>58950</v>
      </c>
      <c r="X34" s="28">
        <f t="shared" si="1"/>
        <v>1180820</v>
      </c>
      <c r="Y34" s="28">
        <f t="shared" si="2"/>
        <v>739440</v>
      </c>
      <c r="Z34" s="28">
        <f t="shared" si="11"/>
        <v>1979210</v>
      </c>
      <c r="AA34" s="28">
        <f t="shared" si="3"/>
        <v>660660</v>
      </c>
      <c r="AB34" s="28">
        <f t="shared" si="4"/>
        <v>2091960</v>
      </c>
      <c r="AC34" s="28">
        <f t="shared" si="5"/>
        <v>2752620</v>
      </c>
      <c r="AD34" s="77">
        <f t="shared" si="6"/>
        <v>2570100</v>
      </c>
      <c r="AE34" s="77">
        <f t="shared" si="7"/>
        <v>2343900</v>
      </c>
      <c r="AF34" s="99">
        <f t="shared" si="8"/>
        <v>2137200</v>
      </c>
    </row>
    <row r="35" spans="1:32" x14ac:dyDescent="0.3">
      <c r="A35" s="21">
        <v>1204</v>
      </c>
      <c r="B35" s="22" t="s">
        <v>44</v>
      </c>
      <c r="C35" s="23">
        <v>250</v>
      </c>
      <c r="D35" s="23">
        <v>250</v>
      </c>
      <c r="E35" s="24">
        <v>420</v>
      </c>
      <c r="F35" s="24">
        <v>420</v>
      </c>
      <c r="G35" s="24">
        <v>420</v>
      </c>
      <c r="H35" s="24">
        <v>420</v>
      </c>
      <c r="I35" s="24">
        <v>420</v>
      </c>
      <c r="J35" s="24">
        <v>420</v>
      </c>
      <c r="K35" s="16"/>
      <c r="L35" s="84">
        <v>34</v>
      </c>
      <c r="M35" s="84">
        <v>671</v>
      </c>
      <c r="N35" s="84">
        <v>248</v>
      </c>
      <c r="O35" s="84">
        <f t="shared" si="9"/>
        <v>953</v>
      </c>
      <c r="P35" s="26">
        <v>213</v>
      </c>
      <c r="Q35" s="26">
        <v>674</v>
      </c>
      <c r="R35" s="84">
        <f t="shared" si="10"/>
        <v>887</v>
      </c>
      <c r="S35" s="84">
        <v>799</v>
      </c>
      <c r="T35" s="84">
        <v>725</v>
      </c>
      <c r="U35" s="84">
        <v>656</v>
      </c>
      <c r="V35" s="16"/>
      <c r="W35" s="28">
        <f t="shared" si="0"/>
        <v>8500</v>
      </c>
      <c r="X35" s="28">
        <f t="shared" si="1"/>
        <v>167750</v>
      </c>
      <c r="Y35" s="28">
        <f t="shared" si="2"/>
        <v>104160</v>
      </c>
      <c r="Z35" s="28">
        <f t="shared" si="11"/>
        <v>280410</v>
      </c>
      <c r="AA35" s="28">
        <f t="shared" si="3"/>
        <v>89460</v>
      </c>
      <c r="AB35" s="28">
        <f t="shared" si="4"/>
        <v>283080</v>
      </c>
      <c r="AC35" s="28">
        <f t="shared" si="5"/>
        <v>372540</v>
      </c>
      <c r="AD35" s="77">
        <f t="shared" si="6"/>
        <v>335580</v>
      </c>
      <c r="AE35" s="77">
        <f t="shared" si="7"/>
        <v>304500</v>
      </c>
      <c r="AF35" s="99">
        <f t="shared" si="8"/>
        <v>275520</v>
      </c>
    </row>
    <row r="36" spans="1:32" x14ac:dyDescent="0.3">
      <c r="A36" s="21">
        <v>1205</v>
      </c>
      <c r="B36" s="22" t="s">
        <v>45</v>
      </c>
      <c r="C36" s="23">
        <v>60</v>
      </c>
      <c r="D36" s="23">
        <v>62</v>
      </c>
      <c r="E36" s="24">
        <v>80</v>
      </c>
      <c r="F36" s="24">
        <v>80</v>
      </c>
      <c r="G36" s="24">
        <v>80</v>
      </c>
      <c r="H36" s="24">
        <v>80</v>
      </c>
      <c r="I36" s="24">
        <v>80</v>
      </c>
      <c r="J36" s="24">
        <v>80</v>
      </c>
      <c r="K36" s="16"/>
      <c r="L36" s="84">
        <v>198</v>
      </c>
      <c r="M36" s="84">
        <v>3864</v>
      </c>
      <c r="N36" s="84">
        <v>1427</v>
      </c>
      <c r="O36" s="84">
        <f t="shared" si="9"/>
        <v>5489</v>
      </c>
      <c r="P36" s="26">
        <v>1226</v>
      </c>
      <c r="Q36" s="26">
        <v>3883</v>
      </c>
      <c r="R36" s="84">
        <f t="shared" si="10"/>
        <v>5109</v>
      </c>
      <c r="S36" s="84">
        <v>4603</v>
      </c>
      <c r="T36" s="84">
        <v>4173</v>
      </c>
      <c r="U36" s="84">
        <v>3780</v>
      </c>
      <c r="V36" s="16"/>
      <c r="W36" s="28">
        <f t="shared" si="0"/>
        <v>11880</v>
      </c>
      <c r="X36" s="28">
        <f t="shared" si="1"/>
        <v>239568</v>
      </c>
      <c r="Y36" s="28">
        <f t="shared" si="2"/>
        <v>114160</v>
      </c>
      <c r="Z36" s="28">
        <f t="shared" si="11"/>
        <v>365608</v>
      </c>
      <c r="AA36" s="28">
        <f t="shared" si="3"/>
        <v>98080</v>
      </c>
      <c r="AB36" s="28">
        <f t="shared" si="4"/>
        <v>310640</v>
      </c>
      <c r="AC36" s="28">
        <f t="shared" si="5"/>
        <v>408720</v>
      </c>
      <c r="AD36" s="77">
        <f t="shared" si="6"/>
        <v>368240</v>
      </c>
      <c r="AE36" s="77">
        <f t="shared" si="7"/>
        <v>333840</v>
      </c>
      <c r="AF36" s="99">
        <f t="shared" si="8"/>
        <v>302400</v>
      </c>
    </row>
    <row r="37" spans="1:32" x14ac:dyDescent="0.3">
      <c r="A37" s="21">
        <v>1801</v>
      </c>
      <c r="B37" s="22" t="s">
        <v>46</v>
      </c>
      <c r="C37" s="23">
        <v>930</v>
      </c>
      <c r="D37" s="23">
        <v>930</v>
      </c>
      <c r="E37" s="24">
        <v>1200</v>
      </c>
      <c r="F37" s="24">
        <v>1200</v>
      </c>
      <c r="G37" s="24">
        <v>1200</v>
      </c>
      <c r="H37" s="24">
        <v>1200</v>
      </c>
      <c r="I37" s="24">
        <v>1200</v>
      </c>
      <c r="J37" s="24">
        <v>1200</v>
      </c>
      <c r="K37" s="16"/>
      <c r="L37" s="84">
        <v>3303</v>
      </c>
      <c r="M37" s="84">
        <v>64593</v>
      </c>
      <c r="N37" s="84">
        <v>23855</v>
      </c>
      <c r="O37" s="84">
        <f t="shared" si="9"/>
        <v>91751</v>
      </c>
      <c r="P37" s="26">
        <v>22781</v>
      </c>
      <c r="Q37" s="26">
        <v>72138</v>
      </c>
      <c r="R37" s="84">
        <f t="shared" si="10"/>
        <v>94919</v>
      </c>
      <c r="S37" s="84">
        <v>98175</v>
      </c>
      <c r="T37" s="84">
        <v>103084</v>
      </c>
      <c r="U37" s="84">
        <v>108238</v>
      </c>
      <c r="V37" s="16"/>
      <c r="W37" s="28">
        <f t="shared" si="0"/>
        <v>3071790</v>
      </c>
      <c r="X37" s="28">
        <f t="shared" si="1"/>
        <v>60071490</v>
      </c>
      <c r="Y37" s="28">
        <f t="shared" si="2"/>
        <v>28626000</v>
      </c>
      <c r="Z37" s="28">
        <f t="shared" si="11"/>
        <v>91769280</v>
      </c>
      <c r="AA37" s="28">
        <f t="shared" si="3"/>
        <v>27337200</v>
      </c>
      <c r="AB37" s="28">
        <f t="shared" si="4"/>
        <v>86565600</v>
      </c>
      <c r="AC37" s="28">
        <f t="shared" si="5"/>
        <v>113902800</v>
      </c>
      <c r="AD37" s="77">
        <f t="shared" si="6"/>
        <v>117810000</v>
      </c>
      <c r="AE37" s="77">
        <f t="shared" si="7"/>
        <v>123700800</v>
      </c>
      <c r="AF37" s="99">
        <f t="shared" si="8"/>
        <v>129885600</v>
      </c>
    </row>
    <row r="38" spans="1:32" x14ac:dyDescent="0.3">
      <c r="A38" s="21" t="s">
        <v>203</v>
      </c>
      <c r="B38" s="105" t="s">
        <v>267</v>
      </c>
      <c r="C38" s="23">
        <v>930</v>
      </c>
      <c r="D38" s="23">
        <v>930</v>
      </c>
      <c r="E38" s="24">
        <v>1700</v>
      </c>
      <c r="F38" s="24">
        <v>1700</v>
      </c>
      <c r="G38" s="24">
        <v>1700</v>
      </c>
      <c r="H38" s="24">
        <v>1700</v>
      </c>
      <c r="I38" s="24">
        <v>1700</v>
      </c>
      <c r="J38" s="24">
        <v>1700</v>
      </c>
      <c r="K38" s="16"/>
      <c r="L38" s="84">
        <v>1188</v>
      </c>
      <c r="M38" s="84">
        <v>23239</v>
      </c>
      <c r="N38" s="84">
        <v>8583</v>
      </c>
      <c r="O38" s="84">
        <f t="shared" si="9"/>
        <v>33010</v>
      </c>
      <c r="P38" s="26">
        <v>7959</v>
      </c>
      <c r="Q38" s="26">
        <v>25204</v>
      </c>
      <c r="R38" s="84">
        <f t="shared" si="10"/>
        <v>33163</v>
      </c>
      <c r="S38" s="84">
        <v>33249</v>
      </c>
      <c r="T38" s="84">
        <v>34913</v>
      </c>
      <c r="U38" s="84">
        <v>36658</v>
      </c>
      <c r="V38" s="16"/>
      <c r="W38" s="28">
        <f t="shared" si="0"/>
        <v>1104840</v>
      </c>
      <c r="X38" s="28">
        <f t="shared" si="1"/>
        <v>21612270</v>
      </c>
      <c r="Y38" s="28">
        <f t="shared" si="2"/>
        <v>14591100</v>
      </c>
      <c r="Z38" s="28">
        <f t="shared" si="11"/>
        <v>37308210</v>
      </c>
      <c r="AA38" s="28">
        <f t="shared" si="3"/>
        <v>13530300</v>
      </c>
      <c r="AB38" s="28">
        <f t="shared" si="4"/>
        <v>42846800</v>
      </c>
      <c r="AC38" s="28">
        <f>SUM(AA38:AB38)</f>
        <v>56377100</v>
      </c>
      <c r="AD38" s="77">
        <f t="shared" si="6"/>
        <v>56523300</v>
      </c>
      <c r="AE38" s="77">
        <f t="shared" si="7"/>
        <v>59352100</v>
      </c>
      <c r="AF38" s="99">
        <f t="shared" si="8"/>
        <v>62318600</v>
      </c>
    </row>
    <row r="39" spans="1:32" x14ac:dyDescent="0.3">
      <c r="A39" s="29">
        <v>1809</v>
      </c>
      <c r="B39" s="22" t="s">
        <v>47</v>
      </c>
      <c r="C39" s="23">
        <v>810</v>
      </c>
      <c r="D39" s="23">
        <v>810</v>
      </c>
      <c r="E39" s="24">
        <v>840</v>
      </c>
      <c r="F39" s="24">
        <v>840</v>
      </c>
      <c r="G39" s="24">
        <v>840</v>
      </c>
      <c r="H39" s="24">
        <v>840</v>
      </c>
      <c r="I39" s="24">
        <v>840</v>
      </c>
      <c r="J39" s="24">
        <v>840</v>
      </c>
      <c r="K39" s="16"/>
      <c r="L39" s="84">
        <v>3</v>
      </c>
      <c r="M39" s="84">
        <v>52</v>
      </c>
      <c r="N39" s="84">
        <v>19</v>
      </c>
      <c r="O39" s="84">
        <f t="shared" si="9"/>
        <v>74</v>
      </c>
      <c r="P39" s="26">
        <v>18</v>
      </c>
      <c r="Q39" s="26">
        <v>56</v>
      </c>
      <c r="R39" s="84">
        <f t="shared" si="10"/>
        <v>74</v>
      </c>
      <c r="S39" s="84">
        <v>74</v>
      </c>
      <c r="T39" s="84">
        <v>74</v>
      </c>
      <c r="U39" s="84">
        <v>74</v>
      </c>
      <c r="V39" s="16"/>
      <c r="W39" s="28">
        <f t="shared" si="0"/>
        <v>2430</v>
      </c>
      <c r="X39" s="28">
        <f t="shared" si="1"/>
        <v>42120</v>
      </c>
      <c r="Y39" s="28">
        <f t="shared" si="2"/>
        <v>15960</v>
      </c>
      <c r="Z39" s="28">
        <f t="shared" si="11"/>
        <v>60510</v>
      </c>
      <c r="AA39" s="28">
        <f t="shared" si="3"/>
        <v>15120</v>
      </c>
      <c r="AB39" s="28">
        <f t="shared" si="4"/>
        <v>47040</v>
      </c>
      <c r="AC39" s="28">
        <f t="shared" si="5"/>
        <v>62160</v>
      </c>
      <c r="AD39" s="77">
        <f t="shared" si="6"/>
        <v>62160</v>
      </c>
      <c r="AE39" s="77">
        <f t="shared" si="7"/>
        <v>62160</v>
      </c>
      <c r="AF39" s="99">
        <f t="shared" si="8"/>
        <v>62160</v>
      </c>
    </row>
    <row r="40" spans="1:32" x14ac:dyDescent="0.3">
      <c r="A40" s="29">
        <v>1810</v>
      </c>
      <c r="B40" s="22" t="s">
        <v>48</v>
      </c>
      <c r="C40" s="23">
        <v>810</v>
      </c>
      <c r="D40" s="24">
        <v>810</v>
      </c>
      <c r="E40" s="24">
        <v>840</v>
      </c>
      <c r="F40" s="24">
        <v>840</v>
      </c>
      <c r="G40" s="24">
        <v>840</v>
      </c>
      <c r="H40" s="24">
        <v>840</v>
      </c>
      <c r="I40" s="24">
        <v>840</v>
      </c>
      <c r="J40" s="24">
        <v>840</v>
      </c>
      <c r="K40" s="16"/>
      <c r="L40" s="84">
        <v>0</v>
      </c>
      <c r="M40" s="84">
        <v>4</v>
      </c>
      <c r="N40" s="84">
        <v>1</v>
      </c>
      <c r="O40" s="84">
        <f t="shared" si="9"/>
        <v>5</v>
      </c>
      <c r="P40" s="26">
        <v>1</v>
      </c>
      <c r="Q40" s="26">
        <v>4</v>
      </c>
      <c r="R40" s="84">
        <f t="shared" si="10"/>
        <v>5</v>
      </c>
      <c r="S40" s="84">
        <v>5</v>
      </c>
      <c r="T40" s="84">
        <v>5</v>
      </c>
      <c r="U40" s="84">
        <v>5</v>
      </c>
      <c r="V40" s="16"/>
      <c r="W40" s="28">
        <f t="shared" si="0"/>
        <v>0</v>
      </c>
      <c r="X40" s="28">
        <f t="shared" si="1"/>
        <v>3240</v>
      </c>
      <c r="Y40" s="28">
        <f t="shared" si="2"/>
        <v>840</v>
      </c>
      <c r="Z40" s="28">
        <f t="shared" si="11"/>
        <v>4080</v>
      </c>
      <c r="AA40" s="28">
        <f t="shared" si="3"/>
        <v>840</v>
      </c>
      <c r="AB40" s="28">
        <f t="shared" si="4"/>
        <v>3360</v>
      </c>
      <c r="AC40" s="28">
        <f t="shared" si="5"/>
        <v>4200</v>
      </c>
      <c r="AD40" s="77">
        <f t="shared" si="6"/>
        <v>4200</v>
      </c>
      <c r="AE40" s="77">
        <f t="shared" si="7"/>
        <v>4200</v>
      </c>
      <c r="AF40" s="99">
        <f t="shared" si="8"/>
        <v>4200</v>
      </c>
    </row>
    <row r="41" spans="1:32" x14ac:dyDescent="0.3">
      <c r="A41" s="29">
        <v>1821</v>
      </c>
      <c r="B41" s="22" t="s">
        <v>49</v>
      </c>
      <c r="C41" s="23">
        <v>250</v>
      </c>
      <c r="D41" s="24">
        <v>250</v>
      </c>
      <c r="E41" s="24">
        <v>420</v>
      </c>
      <c r="F41" s="24">
        <v>420</v>
      </c>
      <c r="G41" s="24">
        <v>420</v>
      </c>
      <c r="H41" s="24">
        <v>420</v>
      </c>
      <c r="I41" s="24">
        <v>420</v>
      </c>
      <c r="J41" s="24">
        <v>420</v>
      </c>
      <c r="K41" s="16"/>
      <c r="L41" s="84">
        <v>15</v>
      </c>
      <c r="M41" s="84">
        <v>300</v>
      </c>
      <c r="N41" s="84">
        <v>111</v>
      </c>
      <c r="O41" s="84">
        <f t="shared" si="9"/>
        <v>426</v>
      </c>
      <c r="P41" s="26">
        <v>106</v>
      </c>
      <c r="Q41" s="26">
        <v>335</v>
      </c>
      <c r="R41" s="84">
        <f t="shared" si="10"/>
        <v>441</v>
      </c>
      <c r="S41" s="84">
        <v>456</v>
      </c>
      <c r="T41" s="84">
        <v>479</v>
      </c>
      <c r="U41" s="84">
        <v>503</v>
      </c>
      <c r="V41" s="16"/>
      <c r="W41" s="28">
        <f t="shared" si="0"/>
        <v>3750</v>
      </c>
      <c r="X41" s="28">
        <f t="shared" si="1"/>
        <v>75000</v>
      </c>
      <c r="Y41" s="28">
        <f t="shared" si="2"/>
        <v>46620</v>
      </c>
      <c r="Z41" s="28">
        <f t="shared" si="11"/>
        <v>125370</v>
      </c>
      <c r="AA41" s="28">
        <f t="shared" si="3"/>
        <v>44520</v>
      </c>
      <c r="AB41" s="28">
        <f t="shared" si="4"/>
        <v>140700</v>
      </c>
      <c r="AC41" s="28">
        <f t="shared" si="5"/>
        <v>185220</v>
      </c>
      <c r="AD41" s="77">
        <f t="shared" si="6"/>
        <v>191520</v>
      </c>
      <c r="AE41" s="77">
        <f t="shared" si="7"/>
        <v>201180</v>
      </c>
      <c r="AF41" s="99">
        <f t="shared" si="8"/>
        <v>211260</v>
      </c>
    </row>
    <row r="42" spans="1:32" x14ac:dyDescent="0.3">
      <c r="A42" s="29">
        <v>1822</v>
      </c>
      <c r="B42" s="22" t="s">
        <v>50</v>
      </c>
      <c r="C42" s="23">
        <v>60</v>
      </c>
      <c r="D42" s="24">
        <v>62</v>
      </c>
      <c r="E42" s="24">
        <v>80</v>
      </c>
      <c r="F42" s="24">
        <v>80</v>
      </c>
      <c r="G42" s="24">
        <v>80</v>
      </c>
      <c r="H42" s="24">
        <v>80</v>
      </c>
      <c r="I42" s="24">
        <v>80</v>
      </c>
      <c r="J42" s="24">
        <v>80</v>
      </c>
      <c r="K42" s="16"/>
      <c r="L42" s="84">
        <v>135</v>
      </c>
      <c r="M42" s="84">
        <v>2638</v>
      </c>
      <c r="N42" s="84">
        <v>974</v>
      </c>
      <c r="O42" s="84">
        <f t="shared" si="9"/>
        <v>3747</v>
      </c>
      <c r="P42" s="26">
        <v>930</v>
      </c>
      <c r="Q42" s="26">
        <v>2947</v>
      </c>
      <c r="R42" s="84">
        <f t="shared" si="10"/>
        <v>3877</v>
      </c>
      <c r="S42" s="84">
        <v>4010</v>
      </c>
      <c r="T42" s="84">
        <v>4210</v>
      </c>
      <c r="U42" s="84">
        <v>4421</v>
      </c>
      <c r="V42" s="16"/>
      <c r="W42" s="28">
        <f t="shared" si="0"/>
        <v>8100</v>
      </c>
      <c r="X42" s="28">
        <f t="shared" si="1"/>
        <v>163556</v>
      </c>
      <c r="Y42" s="28">
        <f t="shared" si="2"/>
        <v>77920</v>
      </c>
      <c r="Z42" s="28">
        <f t="shared" si="11"/>
        <v>249576</v>
      </c>
      <c r="AA42" s="28">
        <f t="shared" si="3"/>
        <v>74400</v>
      </c>
      <c r="AB42" s="28">
        <f t="shared" si="4"/>
        <v>235760</v>
      </c>
      <c r="AC42" s="28">
        <f t="shared" si="5"/>
        <v>310160</v>
      </c>
      <c r="AD42" s="77">
        <f t="shared" si="6"/>
        <v>320800</v>
      </c>
      <c r="AE42" s="77">
        <f t="shared" si="7"/>
        <v>336800</v>
      </c>
      <c r="AF42" s="99">
        <f t="shared" si="8"/>
        <v>353680</v>
      </c>
    </row>
    <row r="43" spans="1:32" x14ac:dyDescent="0.3">
      <c r="A43" s="29">
        <v>1817</v>
      </c>
      <c r="B43" s="22" t="s">
        <v>51</v>
      </c>
      <c r="C43" s="23">
        <v>4800</v>
      </c>
      <c r="D43" s="24">
        <v>4800</v>
      </c>
      <c r="E43" s="24">
        <v>4000</v>
      </c>
      <c r="F43" s="24">
        <v>4000</v>
      </c>
      <c r="G43" s="24">
        <v>4000</v>
      </c>
      <c r="H43" s="24">
        <v>4000</v>
      </c>
      <c r="I43" s="24">
        <v>4000</v>
      </c>
      <c r="J43" s="24">
        <v>4000</v>
      </c>
      <c r="K43" s="16"/>
      <c r="L43" s="84">
        <v>189</v>
      </c>
      <c r="M43" s="84">
        <v>3696</v>
      </c>
      <c r="N43" s="84">
        <v>1365</v>
      </c>
      <c r="O43" s="84">
        <f t="shared" si="9"/>
        <v>5250</v>
      </c>
      <c r="P43" s="26">
        <v>840</v>
      </c>
      <c r="Q43" s="26">
        <v>2660</v>
      </c>
      <c r="R43" s="84">
        <f t="shared" si="10"/>
        <v>3500</v>
      </c>
      <c r="S43" s="84">
        <v>0</v>
      </c>
      <c r="T43" s="84">
        <v>0</v>
      </c>
      <c r="U43" s="84">
        <v>0</v>
      </c>
      <c r="V43" s="16"/>
      <c r="W43" s="28">
        <f t="shared" si="0"/>
        <v>907200</v>
      </c>
      <c r="X43" s="28">
        <f t="shared" si="1"/>
        <v>17740800</v>
      </c>
      <c r="Y43" s="28">
        <f t="shared" si="2"/>
        <v>5460000</v>
      </c>
      <c r="Z43" s="28">
        <f t="shared" si="11"/>
        <v>24108000</v>
      </c>
      <c r="AA43" s="28">
        <f t="shared" si="3"/>
        <v>3360000</v>
      </c>
      <c r="AB43" s="28">
        <f t="shared" si="4"/>
        <v>10640000</v>
      </c>
      <c r="AC43" s="28">
        <f t="shared" si="5"/>
        <v>14000000</v>
      </c>
      <c r="AD43" s="77">
        <f t="shared" si="6"/>
        <v>0</v>
      </c>
      <c r="AE43" s="77">
        <f t="shared" si="7"/>
        <v>0</v>
      </c>
      <c r="AF43" s="99">
        <f t="shared" si="8"/>
        <v>0</v>
      </c>
    </row>
    <row r="44" spans="1:32" x14ac:dyDescent="0.3">
      <c r="A44" s="29" t="s">
        <v>203</v>
      </c>
      <c r="B44" s="105" t="s">
        <v>217</v>
      </c>
      <c r="C44" s="98"/>
      <c r="D44" s="24"/>
      <c r="E44" s="24">
        <v>600</v>
      </c>
      <c r="F44" s="24">
        <v>600</v>
      </c>
      <c r="G44" s="24">
        <v>600</v>
      </c>
      <c r="H44" s="24">
        <v>600</v>
      </c>
      <c r="I44" s="24">
        <v>600</v>
      </c>
      <c r="J44" s="24">
        <v>600</v>
      </c>
      <c r="K44" s="16"/>
      <c r="L44" s="84">
        <v>7</v>
      </c>
      <c r="M44" s="84">
        <v>132</v>
      </c>
      <c r="N44" s="84">
        <v>49</v>
      </c>
      <c r="O44" s="84">
        <f t="shared" si="9"/>
        <v>188</v>
      </c>
      <c r="P44" s="26">
        <v>45</v>
      </c>
      <c r="Q44" s="26">
        <v>143</v>
      </c>
      <c r="R44" s="84">
        <f t="shared" si="10"/>
        <v>188</v>
      </c>
      <c r="S44" s="84">
        <v>188</v>
      </c>
      <c r="T44" s="84">
        <v>188</v>
      </c>
      <c r="U44" s="84">
        <v>188</v>
      </c>
      <c r="V44" s="16"/>
      <c r="W44" s="28">
        <f t="shared" si="0"/>
        <v>0</v>
      </c>
      <c r="X44" s="28">
        <f t="shared" si="1"/>
        <v>0</v>
      </c>
      <c r="Y44" s="28">
        <f t="shared" si="2"/>
        <v>29400</v>
      </c>
      <c r="Z44" s="28">
        <f t="shared" si="11"/>
        <v>29400</v>
      </c>
      <c r="AA44" s="28">
        <f t="shared" si="3"/>
        <v>27000</v>
      </c>
      <c r="AB44" s="28">
        <f t="shared" si="4"/>
        <v>85800</v>
      </c>
      <c r="AC44" s="28">
        <f>SUM(AA44:AB44)</f>
        <v>112800</v>
      </c>
      <c r="AD44" s="77">
        <f t="shared" si="6"/>
        <v>112800</v>
      </c>
      <c r="AE44" s="77">
        <f t="shared" si="7"/>
        <v>112800</v>
      </c>
      <c r="AF44" s="99">
        <f t="shared" si="8"/>
        <v>112800</v>
      </c>
    </row>
    <row r="45" spans="1:32" x14ac:dyDescent="0.3">
      <c r="A45" s="32" t="s">
        <v>18</v>
      </c>
      <c r="B45" s="33"/>
      <c r="C45" s="34"/>
      <c r="D45" s="34"/>
      <c r="E45" s="34"/>
      <c r="F45" s="34"/>
      <c r="G45" s="34"/>
      <c r="H45" s="34"/>
      <c r="I45" s="34"/>
      <c r="J45" s="34"/>
      <c r="K45" s="16"/>
      <c r="L45" s="25"/>
      <c r="M45" s="25"/>
      <c r="N45" s="25"/>
      <c r="O45" s="25"/>
      <c r="P45" s="26"/>
      <c r="Q45" s="26"/>
      <c r="R45" s="25"/>
      <c r="S45" s="26"/>
      <c r="T45" s="26"/>
      <c r="U45" s="26"/>
      <c r="V45" s="16"/>
      <c r="W45" s="28">
        <f>SUM(W10:W44)</f>
        <v>19171310</v>
      </c>
      <c r="X45" s="28">
        <f t="shared" ref="X45:AF45" si="12">SUM(X10:X44)</f>
        <v>377633998</v>
      </c>
      <c r="Y45" s="28">
        <f t="shared" si="12"/>
        <v>181858100</v>
      </c>
      <c r="Z45" s="28">
        <f t="shared" si="12"/>
        <v>578663408</v>
      </c>
      <c r="AA45" s="28">
        <f t="shared" si="12"/>
        <v>171074800</v>
      </c>
      <c r="AB45" s="28">
        <f t="shared" si="12"/>
        <v>541729920</v>
      </c>
      <c r="AC45" s="28">
        <f t="shared" si="12"/>
        <v>712804720</v>
      </c>
      <c r="AD45" s="28">
        <f t="shared" si="12"/>
        <v>716564220</v>
      </c>
      <c r="AE45" s="28">
        <f t="shared" si="12"/>
        <v>738433720</v>
      </c>
      <c r="AF45" s="99">
        <f t="shared" si="12"/>
        <v>762611220</v>
      </c>
    </row>
    <row r="46" spans="1:32" x14ac:dyDescent="0.3">
      <c r="A46" s="32"/>
      <c r="B46" s="33"/>
      <c r="C46" s="34"/>
      <c r="D46" s="34"/>
      <c r="E46" s="34"/>
      <c r="F46" s="34"/>
      <c r="G46" s="34"/>
      <c r="H46" s="34"/>
      <c r="I46" s="34"/>
      <c r="J46" s="34"/>
      <c r="K46" s="16"/>
      <c r="L46" s="25"/>
      <c r="M46" s="25"/>
      <c r="N46" s="25"/>
      <c r="O46" s="25"/>
      <c r="P46" s="26"/>
      <c r="Q46" s="26"/>
      <c r="R46" s="25"/>
      <c r="S46" s="26"/>
      <c r="T46" s="26"/>
      <c r="U46" s="26"/>
      <c r="V46" s="16"/>
      <c r="W46" s="28"/>
      <c r="X46" s="28"/>
      <c r="Y46" s="28"/>
      <c r="Z46" s="28"/>
      <c r="AA46" s="28"/>
      <c r="AB46" s="28"/>
      <c r="AC46" s="28"/>
      <c r="AD46" s="77"/>
      <c r="AE46" s="28"/>
      <c r="AF46" s="99"/>
    </row>
    <row r="47" spans="1:32" x14ac:dyDescent="0.3">
      <c r="A47" s="32" t="s">
        <v>52</v>
      </c>
      <c r="B47" s="33"/>
      <c r="C47" s="34"/>
      <c r="D47" s="34"/>
      <c r="E47" s="34"/>
      <c r="F47" s="34"/>
      <c r="G47" s="34"/>
      <c r="H47" s="34"/>
      <c r="I47" s="34"/>
      <c r="J47" s="34"/>
      <c r="K47" s="16"/>
      <c r="L47" s="25"/>
      <c r="M47" s="25"/>
      <c r="N47" s="25"/>
      <c r="O47" s="25"/>
      <c r="P47" s="26"/>
      <c r="Q47" s="26"/>
      <c r="R47" s="25"/>
      <c r="S47" s="26"/>
      <c r="T47" s="26"/>
      <c r="U47" s="26"/>
      <c r="V47" s="16"/>
      <c r="W47" s="28"/>
      <c r="X47" s="28"/>
      <c r="Y47" s="28"/>
      <c r="Z47" s="28"/>
      <c r="AA47" s="28"/>
      <c r="AB47" s="28"/>
      <c r="AC47" s="28"/>
      <c r="AD47" s="77"/>
      <c r="AE47" s="28"/>
      <c r="AF47" s="99"/>
    </row>
    <row r="48" spans="1:32" x14ac:dyDescent="0.3">
      <c r="A48" s="21">
        <v>2011</v>
      </c>
      <c r="B48" s="22" t="s">
        <v>19</v>
      </c>
      <c r="C48" s="23">
        <v>190</v>
      </c>
      <c r="D48" s="23">
        <v>195</v>
      </c>
      <c r="E48" s="24">
        <v>140</v>
      </c>
      <c r="F48" s="24">
        <v>140</v>
      </c>
      <c r="G48" s="24">
        <v>140</v>
      </c>
      <c r="H48" s="24">
        <v>140</v>
      </c>
      <c r="I48" s="24">
        <v>140</v>
      </c>
      <c r="J48" s="24">
        <v>140</v>
      </c>
      <c r="K48" s="16"/>
      <c r="L48" s="84">
        <v>273</v>
      </c>
      <c r="M48" s="84">
        <v>5334</v>
      </c>
      <c r="N48" s="84">
        <v>1970</v>
      </c>
      <c r="O48" s="84">
        <f t="shared" ref="O48:O83" si="13">SUM(L48:N48)</f>
        <v>7577</v>
      </c>
      <c r="P48" s="26">
        <v>1899</v>
      </c>
      <c r="Q48" s="26">
        <v>6015</v>
      </c>
      <c r="R48" s="84">
        <f t="shared" ref="R48:R83" si="14">SUM(P48:Q48)</f>
        <v>7914</v>
      </c>
      <c r="S48" s="84">
        <v>8319</v>
      </c>
      <c r="T48" s="84">
        <v>8737</v>
      </c>
      <c r="U48" s="84">
        <v>9175</v>
      </c>
      <c r="V48" s="16"/>
      <c r="W48" s="28">
        <f t="shared" ref="W48:W83" si="15">L48*C48</f>
        <v>51870</v>
      </c>
      <c r="X48" s="28">
        <f t="shared" ref="X48:X83" si="16">M48*D48</f>
        <v>1040130</v>
      </c>
      <c r="Y48" s="28">
        <f t="shared" ref="Y48:Y83" si="17">N48*E48</f>
        <v>275800</v>
      </c>
      <c r="Z48" s="28">
        <f t="shared" ref="Z48:Z83" si="18">W48+X48+Y48</f>
        <v>1367800</v>
      </c>
      <c r="AA48" s="28">
        <f t="shared" ref="AA48:AA83" si="19">P48*F48</f>
        <v>265860</v>
      </c>
      <c r="AB48" s="28">
        <f t="shared" ref="AB48:AB83" si="20">Q48*G48</f>
        <v>842100</v>
      </c>
      <c r="AC48" s="28">
        <f>SUM(AA48:AB48)</f>
        <v>1107960</v>
      </c>
      <c r="AD48" s="77">
        <f t="shared" ref="AD48:AD83" si="21">H48*S48</f>
        <v>1164660</v>
      </c>
      <c r="AE48" s="77">
        <f t="shared" ref="AE48:AE83" si="22">I48*T48</f>
        <v>1223180</v>
      </c>
      <c r="AF48" s="99">
        <f t="shared" ref="AF48:AF83" si="23">J48*U48</f>
        <v>1284500</v>
      </c>
    </row>
    <row r="49" spans="1:32" x14ac:dyDescent="0.3">
      <c r="A49" s="21">
        <v>4011</v>
      </c>
      <c r="B49" s="22" t="s">
        <v>53</v>
      </c>
      <c r="C49" s="23">
        <v>95</v>
      </c>
      <c r="D49" s="23">
        <v>98</v>
      </c>
      <c r="E49" s="24">
        <v>70</v>
      </c>
      <c r="F49" s="24">
        <v>70</v>
      </c>
      <c r="G49" s="24">
        <v>70</v>
      </c>
      <c r="H49" s="24">
        <v>70</v>
      </c>
      <c r="I49" s="24">
        <v>70</v>
      </c>
      <c r="J49" s="24">
        <v>70</v>
      </c>
      <c r="K49" s="16"/>
      <c r="L49" s="84">
        <v>2000</v>
      </c>
      <c r="M49" s="84">
        <v>39112</v>
      </c>
      <c r="N49" s="84">
        <v>14445</v>
      </c>
      <c r="O49" s="84">
        <f t="shared" si="13"/>
        <v>55557</v>
      </c>
      <c r="P49" s="26">
        <v>13928</v>
      </c>
      <c r="Q49" s="26">
        <v>44105</v>
      </c>
      <c r="R49" s="84">
        <f t="shared" si="14"/>
        <v>58033</v>
      </c>
      <c r="S49" s="84">
        <v>61010</v>
      </c>
      <c r="T49" s="84">
        <v>64070</v>
      </c>
      <c r="U49" s="84">
        <v>67283</v>
      </c>
      <c r="V49" s="16"/>
      <c r="W49" s="28">
        <f t="shared" si="15"/>
        <v>190000</v>
      </c>
      <c r="X49" s="28">
        <f t="shared" si="16"/>
        <v>3832976</v>
      </c>
      <c r="Y49" s="28">
        <f t="shared" si="17"/>
        <v>1011150</v>
      </c>
      <c r="Z49" s="28">
        <f t="shared" si="18"/>
        <v>5034126</v>
      </c>
      <c r="AA49" s="28">
        <f t="shared" si="19"/>
        <v>974960</v>
      </c>
      <c r="AB49" s="28">
        <f t="shared" si="20"/>
        <v>3087350</v>
      </c>
      <c r="AC49" s="28">
        <f>SUM(AA49:AB49)</f>
        <v>4062310</v>
      </c>
      <c r="AD49" s="77">
        <f t="shared" si="21"/>
        <v>4270700</v>
      </c>
      <c r="AE49" s="77">
        <f t="shared" si="22"/>
        <v>4484900</v>
      </c>
      <c r="AF49" s="99">
        <f t="shared" si="23"/>
        <v>4709810</v>
      </c>
    </row>
    <row r="50" spans="1:32" x14ac:dyDescent="0.3">
      <c r="A50" s="21">
        <v>2111</v>
      </c>
      <c r="B50" s="22" t="s">
        <v>20</v>
      </c>
      <c r="C50" s="23">
        <v>310</v>
      </c>
      <c r="D50" s="23">
        <v>310</v>
      </c>
      <c r="E50" s="24">
        <v>300</v>
      </c>
      <c r="F50" s="24">
        <v>300</v>
      </c>
      <c r="G50" s="24">
        <v>300</v>
      </c>
      <c r="H50" s="24">
        <v>300</v>
      </c>
      <c r="I50" s="24">
        <v>300</v>
      </c>
      <c r="J50" s="24">
        <v>300</v>
      </c>
      <c r="K50" s="16"/>
      <c r="L50" s="84">
        <v>2249</v>
      </c>
      <c r="M50" s="84">
        <v>43978</v>
      </c>
      <c r="N50" s="84">
        <v>16242</v>
      </c>
      <c r="O50" s="84">
        <f t="shared" si="13"/>
        <v>62469</v>
      </c>
      <c r="P50" s="26">
        <v>15661</v>
      </c>
      <c r="Q50" s="26">
        <v>49592</v>
      </c>
      <c r="R50" s="84">
        <f t="shared" si="14"/>
        <v>65253</v>
      </c>
      <c r="S50" s="84">
        <v>68600</v>
      </c>
      <c r="T50" s="84">
        <v>72041</v>
      </c>
      <c r="U50" s="84">
        <v>75654</v>
      </c>
      <c r="V50" s="16"/>
      <c r="W50" s="28">
        <f t="shared" si="15"/>
        <v>697190</v>
      </c>
      <c r="X50" s="28">
        <f t="shared" si="16"/>
        <v>13633180</v>
      </c>
      <c r="Y50" s="28">
        <f t="shared" si="17"/>
        <v>4872600</v>
      </c>
      <c r="Z50" s="28">
        <f t="shared" si="18"/>
        <v>19202970</v>
      </c>
      <c r="AA50" s="28">
        <f t="shared" si="19"/>
        <v>4698300</v>
      </c>
      <c r="AB50" s="28">
        <f t="shared" si="20"/>
        <v>14877600</v>
      </c>
      <c r="AC50" s="28">
        <f>SUM(AA50:AB50)</f>
        <v>19575900</v>
      </c>
      <c r="AD50" s="77">
        <f t="shared" si="21"/>
        <v>20580000</v>
      </c>
      <c r="AE50" s="77">
        <f t="shared" si="22"/>
        <v>21612300</v>
      </c>
      <c r="AF50" s="99">
        <f t="shared" si="23"/>
        <v>22696200</v>
      </c>
    </row>
    <row r="51" spans="1:32" x14ac:dyDescent="0.3">
      <c r="A51" s="21">
        <v>2311</v>
      </c>
      <c r="B51" s="22" t="s">
        <v>21</v>
      </c>
      <c r="C51" s="23">
        <v>125</v>
      </c>
      <c r="D51" s="23">
        <v>125</v>
      </c>
      <c r="E51" s="24">
        <v>360</v>
      </c>
      <c r="F51" s="24">
        <v>360</v>
      </c>
      <c r="G51" s="24">
        <v>360</v>
      </c>
      <c r="H51" s="24">
        <v>360</v>
      </c>
      <c r="I51" s="24">
        <v>360</v>
      </c>
      <c r="J51" s="24">
        <v>360</v>
      </c>
      <c r="K51" s="16"/>
      <c r="L51" s="84">
        <v>2256</v>
      </c>
      <c r="M51" s="84">
        <v>44117</v>
      </c>
      <c r="N51" s="84">
        <v>16293</v>
      </c>
      <c r="O51" s="84">
        <f t="shared" si="13"/>
        <v>62666</v>
      </c>
      <c r="P51" s="26">
        <v>15710</v>
      </c>
      <c r="Q51" s="26">
        <v>49749</v>
      </c>
      <c r="R51" s="84">
        <f t="shared" si="14"/>
        <v>65459</v>
      </c>
      <c r="S51" s="84">
        <v>68816</v>
      </c>
      <c r="T51" s="84">
        <v>72268</v>
      </c>
      <c r="U51" s="84">
        <v>75893</v>
      </c>
      <c r="V51" s="16"/>
      <c r="W51" s="28">
        <f t="shared" si="15"/>
        <v>282000</v>
      </c>
      <c r="X51" s="28">
        <f t="shared" si="16"/>
        <v>5514625</v>
      </c>
      <c r="Y51" s="28">
        <f t="shared" si="17"/>
        <v>5865480</v>
      </c>
      <c r="Z51" s="28">
        <f t="shared" si="18"/>
        <v>11662105</v>
      </c>
      <c r="AA51" s="28">
        <f t="shared" si="19"/>
        <v>5655600</v>
      </c>
      <c r="AB51" s="28">
        <f t="shared" si="20"/>
        <v>17909640</v>
      </c>
      <c r="AC51" s="28">
        <f>SUM(AA51:AB51)</f>
        <v>23565240</v>
      </c>
      <c r="AD51" s="77">
        <f t="shared" si="21"/>
        <v>24773760</v>
      </c>
      <c r="AE51" s="77">
        <f t="shared" si="22"/>
        <v>26016480</v>
      </c>
      <c r="AF51" s="99">
        <f t="shared" si="23"/>
        <v>27321480</v>
      </c>
    </row>
    <row r="52" spans="1:32" x14ac:dyDescent="0.3">
      <c r="A52" s="21">
        <v>2012</v>
      </c>
      <c r="B52" s="22" t="s">
        <v>22</v>
      </c>
      <c r="C52" s="23">
        <v>125</v>
      </c>
      <c r="D52" s="23">
        <v>125</v>
      </c>
      <c r="E52" s="24">
        <v>90</v>
      </c>
      <c r="F52" s="24">
        <v>90</v>
      </c>
      <c r="G52" s="24">
        <v>90</v>
      </c>
      <c r="H52" s="24">
        <v>90</v>
      </c>
      <c r="I52" s="24">
        <v>90</v>
      </c>
      <c r="J52" s="24">
        <v>90</v>
      </c>
      <c r="K52" s="16"/>
      <c r="L52" s="84">
        <v>385</v>
      </c>
      <c r="M52" s="84">
        <v>7538</v>
      </c>
      <c r="N52" s="84">
        <v>2784</v>
      </c>
      <c r="O52" s="84">
        <f t="shared" si="13"/>
        <v>10707</v>
      </c>
      <c r="P52" s="26">
        <v>2563</v>
      </c>
      <c r="Q52" s="26">
        <v>8116</v>
      </c>
      <c r="R52" s="84">
        <f t="shared" si="14"/>
        <v>10679</v>
      </c>
      <c r="S52" s="84">
        <v>10645</v>
      </c>
      <c r="T52" s="84">
        <v>10858</v>
      </c>
      <c r="U52" s="84">
        <v>11075</v>
      </c>
      <c r="V52" s="16"/>
      <c r="W52" s="28">
        <f t="shared" si="15"/>
        <v>48125</v>
      </c>
      <c r="X52" s="28">
        <f t="shared" si="16"/>
        <v>942250</v>
      </c>
      <c r="Y52" s="28">
        <f t="shared" si="17"/>
        <v>250560</v>
      </c>
      <c r="Z52" s="28">
        <f t="shared" si="18"/>
        <v>1240935</v>
      </c>
      <c r="AA52" s="28">
        <f t="shared" si="19"/>
        <v>230670</v>
      </c>
      <c r="AB52" s="28">
        <f t="shared" si="20"/>
        <v>730440</v>
      </c>
      <c r="AC52" s="28">
        <f>SUM(AA52:AB52)</f>
        <v>961110</v>
      </c>
      <c r="AD52" s="77">
        <f t="shared" si="21"/>
        <v>958050</v>
      </c>
      <c r="AE52" s="77">
        <f t="shared" si="22"/>
        <v>977220</v>
      </c>
      <c r="AF52" s="99">
        <f t="shared" si="23"/>
        <v>996750</v>
      </c>
    </row>
    <row r="53" spans="1:32" x14ac:dyDescent="0.3">
      <c r="A53" s="21">
        <v>2112</v>
      </c>
      <c r="B53" s="22" t="s">
        <v>23</v>
      </c>
      <c r="C53" s="23">
        <v>60</v>
      </c>
      <c r="D53" s="23">
        <v>60</v>
      </c>
      <c r="E53" s="24">
        <v>60</v>
      </c>
      <c r="F53" s="24">
        <v>60</v>
      </c>
      <c r="G53" s="24">
        <v>60</v>
      </c>
      <c r="H53" s="24">
        <v>60</v>
      </c>
      <c r="I53" s="24">
        <v>60</v>
      </c>
      <c r="J53" s="24">
        <v>60</v>
      </c>
      <c r="K53" s="16"/>
      <c r="L53" s="84">
        <v>385</v>
      </c>
      <c r="M53" s="84">
        <v>7538</v>
      </c>
      <c r="N53" s="84">
        <v>2784</v>
      </c>
      <c r="O53" s="84">
        <f t="shared" si="13"/>
        <v>10707</v>
      </c>
      <c r="P53" s="26">
        <v>2563</v>
      </c>
      <c r="Q53" s="26">
        <v>8116</v>
      </c>
      <c r="R53" s="84">
        <f t="shared" si="14"/>
        <v>10679</v>
      </c>
      <c r="S53" s="84">
        <v>10645</v>
      </c>
      <c r="T53" s="84">
        <v>10858</v>
      </c>
      <c r="U53" s="84">
        <v>11075</v>
      </c>
      <c r="V53" s="16"/>
      <c r="W53" s="28">
        <f t="shared" si="15"/>
        <v>23100</v>
      </c>
      <c r="X53" s="28">
        <f t="shared" si="16"/>
        <v>452280</v>
      </c>
      <c r="Y53" s="28">
        <f t="shared" si="17"/>
        <v>167040</v>
      </c>
      <c r="Z53" s="28">
        <f t="shared" si="18"/>
        <v>642420</v>
      </c>
      <c r="AA53" s="28">
        <f t="shared" si="19"/>
        <v>153780</v>
      </c>
      <c r="AB53" s="28">
        <f t="shared" si="20"/>
        <v>486960</v>
      </c>
      <c r="AC53" s="28">
        <f t="shared" ref="AC53:AC67" si="24">SUM(AA53:AB53)</f>
        <v>640740</v>
      </c>
      <c r="AD53" s="77">
        <f t="shared" si="21"/>
        <v>638700</v>
      </c>
      <c r="AE53" s="77">
        <f t="shared" si="22"/>
        <v>651480</v>
      </c>
      <c r="AF53" s="99">
        <f t="shared" si="23"/>
        <v>664500</v>
      </c>
    </row>
    <row r="54" spans="1:32" x14ac:dyDescent="0.3">
      <c r="A54" s="21">
        <v>2312</v>
      </c>
      <c r="B54" s="22" t="s">
        <v>24</v>
      </c>
      <c r="C54" s="23">
        <v>80</v>
      </c>
      <c r="D54" s="23">
        <v>80</v>
      </c>
      <c r="E54" s="24">
        <v>230</v>
      </c>
      <c r="F54" s="24">
        <v>230</v>
      </c>
      <c r="G54" s="24">
        <v>230</v>
      </c>
      <c r="H54" s="24">
        <v>230</v>
      </c>
      <c r="I54" s="24">
        <v>230</v>
      </c>
      <c r="J54" s="24">
        <v>230</v>
      </c>
      <c r="K54" s="16"/>
      <c r="L54" s="84">
        <v>385</v>
      </c>
      <c r="M54" s="84">
        <v>7538</v>
      </c>
      <c r="N54" s="84">
        <v>2784</v>
      </c>
      <c r="O54" s="84">
        <f t="shared" si="13"/>
        <v>10707</v>
      </c>
      <c r="P54" s="26">
        <v>2563</v>
      </c>
      <c r="Q54" s="26">
        <v>8116</v>
      </c>
      <c r="R54" s="84">
        <f t="shared" si="14"/>
        <v>10679</v>
      </c>
      <c r="S54" s="84">
        <v>10645</v>
      </c>
      <c r="T54" s="84">
        <v>10858</v>
      </c>
      <c r="U54" s="84">
        <v>11075</v>
      </c>
      <c r="V54" s="16"/>
      <c r="W54" s="28">
        <f t="shared" si="15"/>
        <v>30800</v>
      </c>
      <c r="X54" s="28">
        <f t="shared" si="16"/>
        <v>603040</v>
      </c>
      <c r="Y54" s="28">
        <f t="shared" si="17"/>
        <v>640320</v>
      </c>
      <c r="Z54" s="28">
        <f t="shared" si="18"/>
        <v>1274160</v>
      </c>
      <c r="AA54" s="28">
        <f t="shared" si="19"/>
        <v>589490</v>
      </c>
      <c r="AB54" s="28">
        <f t="shared" si="20"/>
        <v>1866680</v>
      </c>
      <c r="AC54" s="28">
        <f t="shared" si="24"/>
        <v>2456170</v>
      </c>
      <c r="AD54" s="77">
        <f t="shared" si="21"/>
        <v>2448350</v>
      </c>
      <c r="AE54" s="77">
        <f t="shared" si="22"/>
        <v>2497340</v>
      </c>
      <c r="AF54" s="99">
        <f t="shared" si="23"/>
        <v>2547250</v>
      </c>
    </row>
    <row r="55" spans="1:32" x14ac:dyDescent="0.3">
      <c r="A55" s="21">
        <v>2013</v>
      </c>
      <c r="B55" s="22" t="s">
        <v>25</v>
      </c>
      <c r="C55" s="23">
        <v>125</v>
      </c>
      <c r="D55" s="23">
        <v>125</v>
      </c>
      <c r="E55" s="24">
        <v>90</v>
      </c>
      <c r="F55" s="24">
        <v>90</v>
      </c>
      <c r="G55" s="24">
        <v>90</v>
      </c>
      <c r="H55" s="24">
        <v>90</v>
      </c>
      <c r="I55" s="24">
        <v>90</v>
      </c>
      <c r="J55" s="24">
        <v>90</v>
      </c>
      <c r="K55" s="16"/>
      <c r="L55" s="84">
        <v>13</v>
      </c>
      <c r="M55" s="84">
        <v>261</v>
      </c>
      <c r="N55" s="84">
        <v>96</v>
      </c>
      <c r="O55" s="84">
        <f t="shared" si="13"/>
        <v>370</v>
      </c>
      <c r="P55" s="26">
        <v>88</v>
      </c>
      <c r="Q55" s="26">
        <v>280</v>
      </c>
      <c r="R55" s="84">
        <f t="shared" si="14"/>
        <v>368</v>
      </c>
      <c r="S55" s="84">
        <v>364</v>
      </c>
      <c r="T55" s="84">
        <v>368</v>
      </c>
      <c r="U55" s="84">
        <v>371</v>
      </c>
      <c r="V55" s="16"/>
      <c r="W55" s="28">
        <f t="shared" si="15"/>
        <v>1625</v>
      </c>
      <c r="X55" s="28">
        <f t="shared" si="16"/>
        <v>32625</v>
      </c>
      <c r="Y55" s="28">
        <f t="shared" si="17"/>
        <v>8640</v>
      </c>
      <c r="Z55" s="28">
        <f t="shared" si="18"/>
        <v>42890</v>
      </c>
      <c r="AA55" s="28">
        <f t="shared" si="19"/>
        <v>7920</v>
      </c>
      <c r="AB55" s="28">
        <f t="shared" si="20"/>
        <v>25200</v>
      </c>
      <c r="AC55" s="28">
        <f t="shared" si="24"/>
        <v>33120</v>
      </c>
      <c r="AD55" s="77">
        <f t="shared" si="21"/>
        <v>32760</v>
      </c>
      <c r="AE55" s="77">
        <f t="shared" si="22"/>
        <v>33120</v>
      </c>
      <c r="AF55" s="99">
        <f t="shared" si="23"/>
        <v>33390</v>
      </c>
    </row>
    <row r="56" spans="1:32" x14ac:dyDescent="0.3">
      <c r="A56" s="21">
        <v>2113</v>
      </c>
      <c r="B56" s="22" t="s">
        <v>26</v>
      </c>
      <c r="C56" s="23">
        <v>190</v>
      </c>
      <c r="D56" s="23">
        <v>190</v>
      </c>
      <c r="E56" s="24">
        <v>190</v>
      </c>
      <c r="F56" s="24">
        <v>190</v>
      </c>
      <c r="G56" s="24">
        <v>190</v>
      </c>
      <c r="H56" s="24">
        <v>190</v>
      </c>
      <c r="I56" s="24">
        <v>190</v>
      </c>
      <c r="J56" s="24">
        <v>190</v>
      </c>
      <c r="K56" s="16"/>
      <c r="L56" s="84">
        <v>13</v>
      </c>
      <c r="M56" s="84">
        <v>261</v>
      </c>
      <c r="N56" s="84">
        <v>96</v>
      </c>
      <c r="O56" s="84">
        <f t="shared" si="13"/>
        <v>370</v>
      </c>
      <c r="P56" s="26">
        <v>88</v>
      </c>
      <c r="Q56" s="26">
        <v>280</v>
      </c>
      <c r="R56" s="84">
        <f t="shared" si="14"/>
        <v>368</v>
      </c>
      <c r="S56" s="84">
        <v>364</v>
      </c>
      <c r="T56" s="84">
        <v>368</v>
      </c>
      <c r="U56" s="84">
        <v>371</v>
      </c>
      <c r="V56" s="16"/>
      <c r="W56" s="28">
        <f t="shared" si="15"/>
        <v>2470</v>
      </c>
      <c r="X56" s="28">
        <f t="shared" si="16"/>
        <v>49590</v>
      </c>
      <c r="Y56" s="28">
        <f t="shared" si="17"/>
        <v>18240</v>
      </c>
      <c r="Z56" s="28">
        <f t="shared" si="18"/>
        <v>70300</v>
      </c>
      <c r="AA56" s="28">
        <f t="shared" si="19"/>
        <v>16720</v>
      </c>
      <c r="AB56" s="28">
        <f t="shared" si="20"/>
        <v>53200</v>
      </c>
      <c r="AC56" s="28">
        <f t="shared" si="24"/>
        <v>69920</v>
      </c>
      <c r="AD56" s="77">
        <f t="shared" si="21"/>
        <v>69160</v>
      </c>
      <c r="AE56" s="77">
        <f t="shared" si="22"/>
        <v>69920</v>
      </c>
      <c r="AF56" s="99">
        <f t="shared" si="23"/>
        <v>70490</v>
      </c>
    </row>
    <row r="57" spans="1:32" x14ac:dyDescent="0.3">
      <c r="A57" s="21">
        <v>2313</v>
      </c>
      <c r="B57" s="22" t="s">
        <v>27</v>
      </c>
      <c r="C57" s="23">
        <v>100</v>
      </c>
      <c r="D57" s="23">
        <v>100</v>
      </c>
      <c r="E57" s="24">
        <v>290</v>
      </c>
      <c r="F57" s="24">
        <v>290</v>
      </c>
      <c r="G57" s="24">
        <v>290</v>
      </c>
      <c r="H57" s="24">
        <v>290</v>
      </c>
      <c r="I57" s="24">
        <v>290</v>
      </c>
      <c r="J57" s="24">
        <v>290</v>
      </c>
      <c r="K57" s="16"/>
      <c r="L57" s="84">
        <v>13</v>
      </c>
      <c r="M57" s="84">
        <v>261</v>
      </c>
      <c r="N57" s="84">
        <v>96</v>
      </c>
      <c r="O57" s="84">
        <f t="shared" si="13"/>
        <v>370</v>
      </c>
      <c r="P57" s="26">
        <v>88</v>
      </c>
      <c r="Q57" s="26">
        <v>280</v>
      </c>
      <c r="R57" s="84">
        <f t="shared" si="14"/>
        <v>368</v>
      </c>
      <c r="S57" s="84">
        <v>364</v>
      </c>
      <c r="T57" s="84">
        <v>368</v>
      </c>
      <c r="U57" s="84">
        <v>371</v>
      </c>
      <c r="V57" s="16"/>
      <c r="W57" s="28">
        <f t="shared" si="15"/>
        <v>1300</v>
      </c>
      <c r="X57" s="28">
        <f t="shared" si="16"/>
        <v>26100</v>
      </c>
      <c r="Y57" s="28">
        <f t="shared" si="17"/>
        <v>27840</v>
      </c>
      <c r="Z57" s="28">
        <f t="shared" si="18"/>
        <v>55240</v>
      </c>
      <c r="AA57" s="28">
        <f t="shared" si="19"/>
        <v>25520</v>
      </c>
      <c r="AB57" s="28">
        <f t="shared" si="20"/>
        <v>81200</v>
      </c>
      <c r="AC57" s="28">
        <f t="shared" si="24"/>
        <v>106720</v>
      </c>
      <c r="AD57" s="77">
        <f t="shared" si="21"/>
        <v>105560</v>
      </c>
      <c r="AE57" s="77">
        <f t="shared" si="22"/>
        <v>106720</v>
      </c>
      <c r="AF57" s="99">
        <f t="shared" si="23"/>
        <v>107590</v>
      </c>
    </row>
    <row r="58" spans="1:32" x14ac:dyDescent="0.3">
      <c r="A58" s="21">
        <v>2014</v>
      </c>
      <c r="B58" s="22" t="s">
        <v>28</v>
      </c>
      <c r="C58" s="23">
        <v>190</v>
      </c>
      <c r="D58" s="23">
        <v>195</v>
      </c>
      <c r="E58" s="24">
        <v>140</v>
      </c>
      <c r="F58" s="24">
        <v>140</v>
      </c>
      <c r="G58" s="24">
        <v>140</v>
      </c>
      <c r="H58" s="24">
        <v>140</v>
      </c>
      <c r="I58" s="24">
        <v>140</v>
      </c>
      <c r="J58" s="24">
        <v>140</v>
      </c>
      <c r="K58" s="16"/>
      <c r="L58" s="84">
        <v>4</v>
      </c>
      <c r="M58" s="84">
        <v>77</v>
      </c>
      <c r="N58" s="84">
        <v>28</v>
      </c>
      <c r="O58" s="84">
        <f t="shared" si="13"/>
        <v>109</v>
      </c>
      <c r="P58" s="26">
        <v>26</v>
      </c>
      <c r="Q58" s="26">
        <v>82</v>
      </c>
      <c r="R58" s="84">
        <f t="shared" si="14"/>
        <v>108</v>
      </c>
      <c r="S58" s="84">
        <v>107</v>
      </c>
      <c r="T58" s="84">
        <v>110</v>
      </c>
      <c r="U58" s="84">
        <v>113</v>
      </c>
      <c r="V58" s="16"/>
      <c r="W58" s="28">
        <f t="shared" si="15"/>
        <v>760</v>
      </c>
      <c r="X58" s="28">
        <f t="shared" si="16"/>
        <v>15015</v>
      </c>
      <c r="Y58" s="28">
        <f t="shared" si="17"/>
        <v>3920</v>
      </c>
      <c r="Z58" s="28">
        <f t="shared" si="18"/>
        <v>19695</v>
      </c>
      <c r="AA58" s="28">
        <f t="shared" si="19"/>
        <v>3640</v>
      </c>
      <c r="AB58" s="28">
        <f t="shared" si="20"/>
        <v>11480</v>
      </c>
      <c r="AC58" s="28">
        <f t="shared" si="24"/>
        <v>15120</v>
      </c>
      <c r="AD58" s="77">
        <f t="shared" si="21"/>
        <v>14980</v>
      </c>
      <c r="AE58" s="77">
        <f t="shared" si="22"/>
        <v>15400</v>
      </c>
      <c r="AF58" s="99">
        <f t="shared" si="23"/>
        <v>15820</v>
      </c>
    </row>
    <row r="59" spans="1:32" x14ac:dyDescent="0.3">
      <c r="A59" s="21">
        <v>2114</v>
      </c>
      <c r="B59" s="22" t="s">
        <v>29</v>
      </c>
      <c r="C59" s="23">
        <v>310</v>
      </c>
      <c r="D59" s="23">
        <v>310</v>
      </c>
      <c r="E59" s="24">
        <v>300</v>
      </c>
      <c r="F59" s="24">
        <v>300</v>
      </c>
      <c r="G59" s="24">
        <v>300</v>
      </c>
      <c r="H59" s="24">
        <v>300</v>
      </c>
      <c r="I59" s="24">
        <v>300</v>
      </c>
      <c r="J59" s="24">
        <v>300</v>
      </c>
      <c r="K59" s="16"/>
      <c r="L59" s="84">
        <v>4</v>
      </c>
      <c r="M59" s="84">
        <v>77</v>
      </c>
      <c r="N59" s="84">
        <v>28</v>
      </c>
      <c r="O59" s="84">
        <f t="shared" si="13"/>
        <v>109</v>
      </c>
      <c r="P59" s="26">
        <v>26</v>
      </c>
      <c r="Q59" s="26">
        <v>82</v>
      </c>
      <c r="R59" s="84">
        <f t="shared" si="14"/>
        <v>108</v>
      </c>
      <c r="S59" s="84">
        <v>107</v>
      </c>
      <c r="T59" s="84">
        <v>110</v>
      </c>
      <c r="U59" s="84">
        <v>113</v>
      </c>
      <c r="V59" s="16"/>
      <c r="W59" s="28">
        <f t="shared" si="15"/>
        <v>1240</v>
      </c>
      <c r="X59" s="28">
        <f t="shared" si="16"/>
        <v>23870</v>
      </c>
      <c r="Y59" s="28">
        <f t="shared" si="17"/>
        <v>8400</v>
      </c>
      <c r="Z59" s="28">
        <f t="shared" si="18"/>
        <v>33510</v>
      </c>
      <c r="AA59" s="28">
        <f t="shared" si="19"/>
        <v>7800</v>
      </c>
      <c r="AB59" s="28">
        <f t="shared" si="20"/>
        <v>24600</v>
      </c>
      <c r="AC59" s="28">
        <f t="shared" si="24"/>
        <v>32400</v>
      </c>
      <c r="AD59" s="77">
        <f t="shared" si="21"/>
        <v>32100</v>
      </c>
      <c r="AE59" s="77">
        <f t="shared" si="22"/>
        <v>33000</v>
      </c>
      <c r="AF59" s="99">
        <f t="shared" si="23"/>
        <v>33900</v>
      </c>
    </row>
    <row r="60" spans="1:32" x14ac:dyDescent="0.3">
      <c r="A60" s="21">
        <v>2314</v>
      </c>
      <c r="B60" s="22" t="s">
        <v>30</v>
      </c>
      <c r="C60" s="23">
        <v>375</v>
      </c>
      <c r="D60" s="23">
        <v>380</v>
      </c>
      <c r="E60" s="24">
        <v>1080</v>
      </c>
      <c r="F60" s="24">
        <v>1080</v>
      </c>
      <c r="G60" s="24">
        <v>1080</v>
      </c>
      <c r="H60" s="24">
        <v>1080</v>
      </c>
      <c r="I60" s="24">
        <v>1080</v>
      </c>
      <c r="J60" s="24">
        <v>1080</v>
      </c>
      <c r="K60" s="16"/>
      <c r="L60" s="84">
        <v>4</v>
      </c>
      <c r="M60" s="84">
        <v>77</v>
      </c>
      <c r="N60" s="84">
        <v>28</v>
      </c>
      <c r="O60" s="84">
        <f t="shared" si="13"/>
        <v>109</v>
      </c>
      <c r="P60" s="26">
        <v>26</v>
      </c>
      <c r="Q60" s="26">
        <v>82</v>
      </c>
      <c r="R60" s="84">
        <f t="shared" si="14"/>
        <v>108</v>
      </c>
      <c r="S60" s="84">
        <v>107</v>
      </c>
      <c r="T60" s="84">
        <v>110</v>
      </c>
      <c r="U60" s="84">
        <v>113</v>
      </c>
      <c r="V60" s="16"/>
      <c r="W60" s="28">
        <f t="shared" si="15"/>
        <v>1500</v>
      </c>
      <c r="X60" s="28">
        <f t="shared" si="16"/>
        <v>29260</v>
      </c>
      <c r="Y60" s="28">
        <f t="shared" si="17"/>
        <v>30240</v>
      </c>
      <c r="Z60" s="28">
        <f t="shared" si="18"/>
        <v>61000</v>
      </c>
      <c r="AA60" s="28">
        <f t="shared" si="19"/>
        <v>28080</v>
      </c>
      <c r="AB60" s="28">
        <f t="shared" si="20"/>
        <v>88560</v>
      </c>
      <c r="AC60" s="28">
        <f t="shared" si="24"/>
        <v>116640</v>
      </c>
      <c r="AD60" s="77">
        <f t="shared" si="21"/>
        <v>115560</v>
      </c>
      <c r="AE60" s="77">
        <f t="shared" si="22"/>
        <v>118800</v>
      </c>
      <c r="AF60" s="99">
        <f t="shared" si="23"/>
        <v>122040</v>
      </c>
    </row>
    <row r="61" spans="1:32" x14ac:dyDescent="0.3">
      <c r="A61" s="29">
        <v>2005</v>
      </c>
      <c r="B61" s="22" t="s">
        <v>31</v>
      </c>
      <c r="C61" s="36">
        <v>125</v>
      </c>
      <c r="D61" s="23">
        <v>125</v>
      </c>
      <c r="E61" s="37">
        <v>130</v>
      </c>
      <c r="F61" s="37">
        <v>130</v>
      </c>
      <c r="G61" s="37">
        <v>130</v>
      </c>
      <c r="H61" s="37">
        <v>130</v>
      </c>
      <c r="I61" s="37">
        <v>130</v>
      </c>
      <c r="J61" s="37">
        <v>130</v>
      </c>
      <c r="K61" s="16"/>
      <c r="L61" s="84">
        <v>2556</v>
      </c>
      <c r="M61" s="84">
        <v>49985</v>
      </c>
      <c r="N61" s="84">
        <v>18461</v>
      </c>
      <c r="O61" s="84">
        <f t="shared" si="13"/>
        <v>71002</v>
      </c>
      <c r="P61" s="26">
        <v>18027</v>
      </c>
      <c r="Q61" s="26">
        <v>57084</v>
      </c>
      <c r="R61" s="84">
        <f t="shared" si="14"/>
        <v>75111</v>
      </c>
      <c r="S61" s="84">
        <v>79458</v>
      </c>
      <c r="T61" s="84">
        <v>84225</v>
      </c>
      <c r="U61" s="84">
        <v>89279</v>
      </c>
      <c r="V61" s="16"/>
      <c r="W61" s="28">
        <f t="shared" si="15"/>
        <v>319500</v>
      </c>
      <c r="X61" s="28">
        <f t="shared" si="16"/>
        <v>6248125</v>
      </c>
      <c r="Y61" s="28">
        <f t="shared" si="17"/>
        <v>2399930</v>
      </c>
      <c r="Z61" s="28">
        <f t="shared" si="18"/>
        <v>8967555</v>
      </c>
      <c r="AA61" s="28">
        <f t="shared" si="19"/>
        <v>2343510</v>
      </c>
      <c r="AB61" s="28">
        <f t="shared" si="20"/>
        <v>7420920</v>
      </c>
      <c r="AC61" s="28">
        <f t="shared" si="24"/>
        <v>9764430</v>
      </c>
      <c r="AD61" s="77">
        <f t="shared" si="21"/>
        <v>10329540</v>
      </c>
      <c r="AE61" s="77">
        <f t="shared" si="22"/>
        <v>10949250</v>
      </c>
      <c r="AF61" s="99">
        <f t="shared" si="23"/>
        <v>11606270</v>
      </c>
    </row>
    <row r="62" spans="1:32" x14ac:dyDescent="0.3">
      <c r="A62" s="21">
        <v>2017</v>
      </c>
      <c r="B62" s="22" t="s">
        <v>32</v>
      </c>
      <c r="C62" s="23">
        <v>125</v>
      </c>
      <c r="D62" s="23">
        <v>125</v>
      </c>
      <c r="E62" s="24">
        <v>90</v>
      </c>
      <c r="F62" s="24">
        <v>90</v>
      </c>
      <c r="G62" s="24">
        <v>90</v>
      </c>
      <c r="H62" s="24">
        <v>90</v>
      </c>
      <c r="I62" s="24">
        <v>90</v>
      </c>
      <c r="J62" s="24">
        <v>90</v>
      </c>
      <c r="K62" s="16"/>
      <c r="L62" s="84">
        <v>12</v>
      </c>
      <c r="M62" s="84">
        <v>233</v>
      </c>
      <c r="N62" s="84">
        <v>86</v>
      </c>
      <c r="O62" s="84">
        <f t="shared" si="13"/>
        <v>331</v>
      </c>
      <c r="P62" s="26">
        <v>79</v>
      </c>
      <c r="Q62" s="26">
        <v>251</v>
      </c>
      <c r="R62" s="84">
        <f t="shared" si="14"/>
        <v>330</v>
      </c>
      <c r="S62" s="84">
        <v>329</v>
      </c>
      <c r="T62" s="84">
        <v>336</v>
      </c>
      <c r="U62" s="84">
        <v>343</v>
      </c>
      <c r="V62" s="16"/>
      <c r="W62" s="28">
        <f t="shared" si="15"/>
        <v>1500</v>
      </c>
      <c r="X62" s="28">
        <f t="shared" si="16"/>
        <v>29125</v>
      </c>
      <c r="Y62" s="28">
        <f t="shared" si="17"/>
        <v>7740</v>
      </c>
      <c r="Z62" s="28">
        <f t="shared" si="18"/>
        <v>38365</v>
      </c>
      <c r="AA62" s="28">
        <f t="shared" si="19"/>
        <v>7110</v>
      </c>
      <c r="AB62" s="28">
        <f t="shared" si="20"/>
        <v>22590</v>
      </c>
      <c r="AC62" s="28">
        <f t="shared" si="24"/>
        <v>29700</v>
      </c>
      <c r="AD62" s="77">
        <f t="shared" si="21"/>
        <v>29610</v>
      </c>
      <c r="AE62" s="77">
        <f t="shared" si="22"/>
        <v>30240</v>
      </c>
      <c r="AF62" s="99">
        <f t="shared" si="23"/>
        <v>30870</v>
      </c>
    </row>
    <row r="63" spans="1:32" x14ac:dyDescent="0.3">
      <c r="A63" s="21">
        <v>2019</v>
      </c>
      <c r="B63" s="22" t="s">
        <v>33</v>
      </c>
      <c r="C63" s="23">
        <v>190</v>
      </c>
      <c r="D63" s="23">
        <v>195</v>
      </c>
      <c r="E63" s="24">
        <v>140</v>
      </c>
      <c r="F63" s="24">
        <v>140</v>
      </c>
      <c r="G63" s="24">
        <v>140</v>
      </c>
      <c r="H63" s="24">
        <v>140</v>
      </c>
      <c r="I63" s="24">
        <v>140</v>
      </c>
      <c r="J63" s="24">
        <v>140</v>
      </c>
      <c r="K63" s="16"/>
      <c r="L63" s="84">
        <v>0</v>
      </c>
      <c r="M63" s="84">
        <v>0</v>
      </c>
      <c r="N63" s="84">
        <v>0</v>
      </c>
      <c r="O63" s="84">
        <f t="shared" si="13"/>
        <v>0</v>
      </c>
      <c r="P63" s="26">
        <v>0</v>
      </c>
      <c r="Q63" s="26">
        <v>0</v>
      </c>
      <c r="R63" s="84">
        <f t="shared" si="14"/>
        <v>0</v>
      </c>
      <c r="S63" s="84">
        <v>0</v>
      </c>
      <c r="T63" s="84">
        <v>0</v>
      </c>
      <c r="U63" s="84">
        <v>0</v>
      </c>
      <c r="V63" s="16"/>
      <c r="W63" s="28">
        <f t="shared" si="15"/>
        <v>0</v>
      </c>
      <c r="X63" s="28">
        <f t="shared" si="16"/>
        <v>0</v>
      </c>
      <c r="Y63" s="28">
        <f t="shared" si="17"/>
        <v>0</v>
      </c>
      <c r="Z63" s="28">
        <f t="shared" si="18"/>
        <v>0</v>
      </c>
      <c r="AA63" s="28">
        <f t="shared" si="19"/>
        <v>0</v>
      </c>
      <c r="AB63" s="28">
        <f t="shared" si="20"/>
        <v>0</v>
      </c>
      <c r="AC63" s="28">
        <f t="shared" si="24"/>
        <v>0</v>
      </c>
      <c r="AD63" s="77">
        <f t="shared" si="21"/>
        <v>0</v>
      </c>
      <c r="AE63" s="77">
        <f t="shared" si="22"/>
        <v>0</v>
      </c>
      <c r="AF63" s="99">
        <f t="shared" si="23"/>
        <v>0</v>
      </c>
    </row>
    <row r="64" spans="1:32" x14ac:dyDescent="0.3">
      <c r="A64" s="21">
        <v>2051</v>
      </c>
      <c r="B64" s="22" t="s">
        <v>34</v>
      </c>
      <c r="C64" s="23">
        <v>65</v>
      </c>
      <c r="D64" s="23">
        <v>65</v>
      </c>
      <c r="E64" s="37">
        <v>70</v>
      </c>
      <c r="F64" s="37">
        <v>70</v>
      </c>
      <c r="G64" s="37">
        <v>70</v>
      </c>
      <c r="H64" s="37">
        <v>70</v>
      </c>
      <c r="I64" s="37">
        <v>70</v>
      </c>
      <c r="J64" s="37">
        <v>70</v>
      </c>
      <c r="K64" s="16"/>
      <c r="L64" s="84">
        <v>563</v>
      </c>
      <c r="M64" s="84">
        <v>11001</v>
      </c>
      <c r="N64" s="84">
        <v>4063</v>
      </c>
      <c r="O64" s="84">
        <f t="shared" si="13"/>
        <v>15627</v>
      </c>
      <c r="P64" s="26">
        <v>3916</v>
      </c>
      <c r="Q64" s="26">
        <v>12402</v>
      </c>
      <c r="R64" s="84">
        <f t="shared" si="14"/>
        <v>16318</v>
      </c>
      <c r="S64" s="84">
        <v>17147</v>
      </c>
      <c r="T64" s="84">
        <v>18004</v>
      </c>
      <c r="U64" s="84">
        <v>18902</v>
      </c>
      <c r="V64" s="16"/>
      <c r="W64" s="28">
        <f t="shared" si="15"/>
        <v>36595</v>
      </c>
      <c r="X64" s="28">
        <f t="shared" si="16"/>
        <v>715065</v>
      </c>
      <c r="Y64" s="28">
        <f t="shared" si="17"/>
        <v>284410</v>
      </c>
      <c r="Z64" s="28">
        <f t="shared" si="18"/>
        <v>1036070</v>
      </c>
      <c r="AA64" s="28">
        <f t="shared" si="19"/>
        <v>274120</v>
      </c>
      <c r="AB64" s="28">
        <f t="shared" si="20"/>
        <v>868140</v>
      </c>
      <c r="AC64" s="28">
        <f t="shared" si="24"/>
        <v>1142260</v>
      </c>
      <c r="AD64" s="77">
        <f t="shared" si="21"/>
        <v>1200290</v>
      </c>
      <c r="AE64" s="77">
        <f t="shared" si="22"/>
        <v>1260280</v>
      </c>
      <c r="AF64" s="99">
        <f t="shared" si="23"/>
        <v>1323140</v>
      </c>
    </row>
    <row r="65" spans="1:32" x14ac:dyDescent="0.3">
      <c r="A65" s="29">
        <v>2052</v>
      </c>
      <c r="B65" s="30" t="s">
        <v>35</v>
      </c>
      <c r="C65" s="23">
        <v>25</v>
      </c>
      <c r="D65" s="23">
        <v>25</v>
      </c>
      <c r="E65" s="37">
        <v>30</v>
      </c>
      <c r="F65" s="37">
        <v>30</v>
      </c>
      <c r="G65" s="37">
        <v>30</v>
      </c>
      <c r="H65" s="37">
        <v>30</v>
      </c>
      <c r="I65" s="37">
        <v>30</v>
      </c>
      <c r="J65" s="37">
        <v>30</v>
      </c>
      <c r="K65" s="16"/>
      <c r="L65" s="84">
        <v>74</v>
      </c>
      <c r="M65" s="84">
        <v>1447</v>
      </c>
      <c r="N65" s="84">
        <v>535</v>
      </c>
      <c r="O65" s="84">
        <f t="shared" si="13"/>
        <v>2056</v>
      </c>
      <c r="P65" s="26">
        <v>522</v>
      </c>
      <c r="Q65" s="26">
        <v>1653</v>
      </c>
      <c r="R65" s="84">
        <f t="shared" si="14"/>
        <v>2175</v>
      </c>
      <c r="S65" s="84">
        <v>2300</v>
      </c>
      <c r="T65" s="84">
        <v>2438</v>
      </c>
      <c r="U65" s="84">
        <v>2585</v>
      </c>
      <c r="V65" s="16"/>
      <c r="W65" s="28">
        <f t="shared" si="15"/>
        <v>1850</v>
      </c>
      <c r="X65" s="28">
        <f t="shared" si="16"/>
        <v>36175</v>
      </c>
      <c r="Y65" s="28">
        <f t="shared" si="17"/>
        <v>16050</v>
      </c>
      <c r="Z65" s="28">
        <f t="shared" si="18"/>
        <v>54075</v>
      </c>
      <c r="AA65" s="28">
        <f t="shared" si="19"/>
        <v>15660</v>
      </c>
      <c r="AB65" s="28">
        <f t="shared" si="20"/>
        <v>49590</v>
      </c>
      <c r="AC65" s="28">
        <f t="shared" si="24"/>
        <v>65250</v>
      </c>
      <c r="AD65" s="77">
        <f t="shared" si="21"/>
        <v>69000</v>
      </c>
      <c r="AE65" s="77">
        <f t="shared" si="22"/>
        <v>73140</v>
      </c>
      <c r="AF65" s="99">
        <f t="shared" si="23"/>
        <v>77550</v>
      </c>
    </row>
    <row r="66" spans="1:32" x14ac:dyDescent="0.3">
      <c r="A66" s="29">
        <v>2081</v>
      </c>
      <c r="B66" s="22" t="s">
        <v>36</v>
      </c>
      <c r="C66" s="36">
        <v>155</v>
      </c>
      <c r="D66" s="23">
        <v>160</v>
      </c>
      <c r="E66" s="37">
        <v>200</v>
      </c>
      <c r="F66" s="37">
        <v>200</v>
      </c>
      <c r="G66" s="37">
        <v>200</v>
      </c>
      <c r="H66" s="37">
        <v>200</v>
      </c>
      <c r="I66" s="37">
        <v>200</v>
      </c>
      <c r="J66" s="37">
        <v>200</v>
      </c>
      <c r="K66" s="16"/>
      <c r="L66" s="84">
        <v>133</v>
      </c>
      <c r="M66" s="84">
        <v>2603</v>
      </c>
      <c r="N66" s="84">
        <v>961</v>
      </c>
      <c r="O66" s="84">
        <f t="shared" si="13"/>
        <v>3697</v>
      </c>
      <c r="P66" s="128">
        <v>914</v>
      </c>
      <c r="Q66" s="84">
        <v>2895</v>
      </c>
      <c r="R66" s="84">
        <f t="shared" si="14"/>
        <v>3809</v>
      </c>
      <c r="S66" s="84">
        <v>3949</v>
      </c>
      <c r="T66" s="84">
        <v>4147</v>
      </c>
      <c r="U66" s="84">
        <v>4355</v>
      </c>
      <c r="V66" s="16"/>
      <c r="W66" s="28">
        <f t="shared" si="15"/>
        <v>20615</v>
      </c>
      <c r="X66" s="28">
        <f t="shared" si="16"/>
        <v>416480</v>
      </c>
      <c r="Y66" s="28">
        <f t="shared" si="17"/>
        <v>192200</v>
      </c>
      <c r="Z66" s="28">
        <f t="shared" si="18"/>
        <v>629295</v>
      </c>
      <c r="AA66" s="28">
        <f t="shared" si="19"/>
        <v>182800</v>
      </c>
      <c r="AB66" s="28">
        <f t="shared" si="20"/>
        <v>579000</v>
      </c>
      <c r="AC66" s="28">
        <f t="shared" si="24"/>
        <v>761800</v>
      </c>
      <c r="AD66" s="28">
        <f t="shared" si="21"/>
        <v>789800</v>
      </c>
      <c r="AE66" s="28">
        <f t="shared" si="22"/>
        <v>829400</v>
      </c>
      <c r="AF66" s="99">
        <f t="shared" si="23"/>
        <v>871000</v>
      </c>
    </row>
    <row r="67" spans="1:32" x14ac:dyDescent="0.3">
      <c r="A67" s="29">
        <v>2082</v>
      </c>
      <c r="B67" s="22" t="s">
        <v>37</v>
      </c>
      <c r="C67" s="36">
        <v>155</v>
      </c>
      <c r="D67" s="23">
        <v>160</v>
      </c>
      <c r="E67" s="37">
        <v>200</v>
      </c>
      <c r="F67" s="37">
        <v>200</v>
      </c>
      <c r="G67" s="37">
        <v>200</v>
      </c>
      <c r="H67" s="37">
        <v>200</v>
      </c>
      <c r="I67" s="37">
        <v>200</v>
      </c>
      <c r="J67" s="37">
        <v>200</v>
      </c>
      <c r="K67" s="16"/>
      <c r="L67" s="84">
        <v>0</v>
      </c>
      <c r="M67" s="84">
        <v>8</v>
      </c>
      <c r="N67" s="84">
        <v>3</v>
      </c>
      <c r="O67" s="84">
        <f t="shared" si="13"/>
        <v>11</v>
      </c>
      <c r="P67" s="26">
        <v>3</v>
      </c>
      <c r="Q67" s="26">
        <v>9</v>
      </c>
      <c r="R67" s="84">
        <f t="shared" si="14"/>
        <v>12</v>
      </c>
      <c r="S67" s="84">
        <v>12</v>
      </c>
      <c r="T67" s="84">
        <v>12</v>
      </c>
      <c r="U67" s="84">
        <v>13</v>
      </c>
      <c r="V67" s="16"/>
      <c r="W67" s="28">
        <f t="shared" si="15"/>
        <v>0</v>
      </c>
      <c r="X67" s="28">
        <f t="shared" si="16"/>
        <v>1280</v>
      </c>
      <c r="Y67" s="28">
        <f t="shared" si="17"/>
        <v>600</v>
      </c>
      <c r="Z67" s="28">
        <f t="shared" si="18"/>
        <v>1880</v>
      </c>
      <c r="AA67" s="28">
        <f t="shared" si="19"/>
        <v>600</v>
      </c>
      <c r="AB67" s="28">
        <f t="shared" si="20"/>
        <v>1800</v>
      </c>
      <c r="AC67" s="28">
        <f t="shared" si="24"/>
        <v>2400</v>
      </c>
      <c r="AD67" s="77">
        <f t="shared" si="21"/>
        <v>2400</v>
      </c>
      <c r="AE67" s="77">
        <f t="shared" si="22"/>
        <v>2400</v>
      </c>
      <c r="AF67" s="99">
        <f t="shared" si="23"/>
        <v>2600</v>
      </c>
    </row>
    <row r="68" spans="1:32" x14ac:dyDescent="0.3">
      <c r="A68" s="29">
        <v>2083</v>
      </c>
      <c r="B68" s="22" t="s">
        <v>38</v>
      </c>
      <c r="C68" s="36">
        <v>155</v>
      </c>
      <c r="D68" s="23">
        <v>160</v>
      </c>
      <c r="E68" s="37">
        <v>200</v>
      </c>
      <c r="F68" s="37">
        <v>200</v>
      </c>
      <c r="G68" s="37">
        <v>200</v>
      </c>
      <c r="H68" s="37">
        <v>200</v>
      </c>
      <c r="I68" s="37">
        <v>200</v>
      </c>
      <c r="J68" s="37">
        <v>200</v>
      </c>
      <c r="K68" s="16"/>
      <c r="L68" s="84">
        <v>0</v>
      </c>
      <c r="M68" s="84">
        <v>0</v>
      </c>
      <c r="N68" s="84">
        <v>0</v>
      </c>
      <c r="O68" s="84">
        <f t="shared" si="13"/>
        <v>0</v>
      </c>
      <c r="P68" s="26">
        <v>0</v>
      </c>
      <c r="Q68" s="26">
        <v>0</v>
      </c>
      <c r="R68" s="84">
        <f t="shared" si="14"/>
        <v>0</v>
      </c>
      <c r="S68" s="84">
        <v>0</v>
      </c>
      <c r="T68" s="84">
        <v>0</v>
      </c>
      <c r="U68" s="84">
        <v>0</v>
      </c>
      <c r="V68" s="16"/>
      <c r="W68" s="28">
        <f t="shared" si="15"/>
        <v>0</v>
      </c>
      <c r="X68" s="28">
        <f t="shared" si="16"/>
        <v>0</v>
      </c>
      <c r="Y68" s="28">
        <f t="shared" si="17"/>
        <v>0</v>
      </c>
      <c r="Z68" s="28">
        <f t="shared" si="18"/>
        <v>0</v>
      </c>
      <c r="AA68" s="28">
        <f t="shared" si="19"/>
        <v>0</v>
      </c>
      <c r="AB68" s="28">
        <f t="shared" si="20"/>
        <v>0</v>
      </c>
      <c r="AC68" s="28">
        <f t="shared" ref="AC68:AC74" si="25">SUM(AA68:AB68)</f>
        <v>0</v>
      </c>
      <c r="AD68" s="77">
        <f t="shared" si="21"/>
        <v>0</v>
      </c>
      <c r="AE68" s="77">
        <f t="shared" si="22"/>
        <v>0</v>
      </c>
      <c r="AF68" s="99">
        <f t="shared" si="23"/>
        <v>0</v>
      </c>
    </row>
    <row r="69" spans="1:32" x14ac:dyDescent="0.3">
      <c r="A69" s="29">
        <v>2084</v>
      </c>
      <c r="B69" s="22" t="s">
        <v>39</v>
      </c>
      <c r="C69" s="36">
        <v>155</v>
      </c>
      <c r="D69" s="23">
        <v>160</v>
      </c>
      <c r="E69" s="37">
        <v>200</v>
      </c>
      <c r="F69" s="37">
        <v>200</v>
      </c>
      <c r="G69" s="37">
        <v>200</v>
      </c>
      <c r="H69" s="37">
        <v>200</v>
      </c>
      <c r="I69" s="37">
        <v>200</v>
      </c>
      <c r="J69" s="37">
        <v>200</v>
      </c>
      <c r="K69" s="16"/>
      <c r="L69" s="84">
        <v>0</v>
      </c>
      <c r="M69" s="84">
        <v>1</v>
      </c>
      <c r="N69" s="84">
        <v>0</v>
      </c>
      <c r="O69" s="84">
        <f t="shared" si="13"/>
        <v>1</v>
      </c>
      <c r="P69" s="26">
        <v>0</v>
      </c>
      <c r="Q69" s="26">
        <v>1</v>
      </c>
      <c r="R69" s="84">
        <f t="shared" si="14"/>
        <v>1</v>
      </c>
      <c r="S69" s="84">
        <v>1</v>
      </c>
      <c r="T69" s="84">
        <v>1</v>
      </c>
      <c r="U69" s="84">
        <v>1</v>
      </c>
      <c r="V69" s="16"/>
      <c r="W69" s="28">
        <f t="shared" si="15"/>
        <v>0</v>
      </c>
      <c r="X69" s="28">
        <f t="shared" si="16"/>
        <v>160</v>
      </c>
      <c r="Y69" s="28">
        <f t="shared" si="17"/>
        <v>0</v>
      </c>
      <c r="Z69" s="28">
        <f t="shared" si="18"/>
        <v>160</v>
      </c>
      <c r="AA69" s="28">
        <f t="shared" si="19"/>
        <v>0</v>
      </c>
      <c r="AB69" s="28">
        <f t="shared" si="20"/>
        <v>200</v>
      </c>
      <c r="AC69" s="28">
        <f t="shared" si="25"/>
        <v>200</v>
      </c>
      <c r="AD69" s="77">
        <f t="shared" si="21"/>
        <v>200</v>
      </c>
      <c r="AE69" s="77">
        <f t="shared" si="22"/>
        <v>200</v>
      </c>
      <c r="AF69" s="99">
        <f t="shared" si="23"/>
        <v>200</v>
      </c>
    </row>
    <row r="70" spans="1:32" x14ac:dyDescent="0.3">
      <c r="A70" s="29">
        <v>2085</v>
      </c>
      <c r="B70" s="22" t="s">
        <v>40</v>
      </c>
      <c r="C70" s="36">
        <v>155</v>
      </c>
      <c r="D70" s="23">
        <v>160</v>
      </c>
      <c r="E70" s="37">
        <v>200</v>
      </c>
      <c r="F70" s="37">
        <v>200</v>
      </c>
      <c r="G70" s="37">
        <v>200</v>
      </c>
      <c r="H70" s="37">
        <v>200</v>
      </c>
      <c r="I70" s="37">
        <v>200</v>
      </c>
      <c r="J70" s="37">
        <v>200</v>
      </c>
      <c r="K70" s="16"/>
      <c r="L70" s="84">
        <v>99</v>
      </c>
      <c r="M70" s="84">
        <v>1930</v>
      </c>
      <c r="N70" s="84">
        <v>713</v>
      </c>
      <c r="O70" s="84">
        <f t="shared" si="13"/>
        <v>2742</v>
      </c>
      <c r="P70" s="26">
        <v>687</v>
      </c>
      <c r="Q70" s="26">
        <v>2174</v>
      </c>
      <c r="R70" s="84">
        <f t="shared" si="14"/>
        <v>2861</v>
      </c>
      <c r="S70" s="84">
        <v>2985</v>
      </c>
      <c r="T70" s="84">
        <v>3164</v>
      </c>
      <c r="U70" s="84">
        <v>3354</v>
      </c>
      <c r="V70" s="16"/>
      <c r="W70" s="28">
        <f t="shared" si="15"/>
        <v>15345</v>
      </c>
      <c r="X70" s="28">
        <f t="shared" si="16"/>
        <v>308800</v>
      </c>
      <c r="Y70" s="28">
        <f t="shared" si="17"/>
        <v>142600</v>
      </c>
      <c r="Z70" s="28">
        <f t="shared" si="18"/>
        <v>466745</v>
      </c>
      <c r="AA70" s="28">
        <f t="shared" si="19"/>
        <v>137400</v>
      </c>
      <c r="AB70" s="28">
        <f t="shared" si="20"/>
        <v>434800</v>
      </c>
      <c r="AC70" s="28">
        <f t="shared" si="25"/>
        <v>572200</v>
      </c>
      <c r="AD70" s="77">
        <f t="shared" si="21"/>
        <v>597000</v>
      </c>
      <c r="AE70" s="77">
        <f t="shared" si="22"/>
        <v>632800</v>
      </c>
      <c r="AF70" s="99">
        <f t="shared" si="23"/>
        <v>670800</v>
      </c>
    </row>
    <row r="71" spans="1:32" x14ac:dyDescent="0.3">
      <c r="A71" s="21">
        <v>2201</v>
      </c>
      <c r="B71" s="22" t="s">
        <v>41</v>
      </c>
      <c r="C71" s="36">
        <v>125</v>
      </c>
      <c r="D71" s="23">
        <v>125</v>
      </c>
      <c r="E71" s="37">
        <v>210</v>
      </c>
      <c r="F71" s="37">
        <v>210</v>
      </c>
      <c r="G71" s="37">
        <v>210</v>
      </c>
      <c r="H71" s="37">
        <v>210</v>
      </c>
      <c r="I71" s="37">
        <v>210</v>
      </c>
      <c r="J71" s="37">
        <v>210</v>
      </c>
      <c r="K71" s="16"/>
      <c r="L71" s="84">
        <v>726</v>
      </c>
      <c r="M71" s="84">
        <v>14203</v>
      </c>
      <c r="N71" s="84">
        <v>5246</v>
      </c>
      <c r="O71" s="84">
        <f t="shared" si="13"/>
        <v>20175</v>
      </c>
      <c r="P71" s="26">
        <v>4684</v>
      </c>
      <c r="Q71" s="26">
        <v>14832</v>
      </c>
      <c r="R71" s="84">
        <f t="shared" si="14"/>
        <v>19516</v>
      </c>
      <c r="S71" s="84">
        <v>18206</v>
      </c>
      <c r="T71" s="84">
        <v>16603</v>
      </c>
      <c r="U71" s="84">
        <v>15141</v>
      </c>
      <c r="V71" s="16"/>
      <c r="W71" s="28">
        <f t="shared" si="15"/>
        <v>90750</v>
      </c>
      <c r="X71" s="28">
        <f t="shared" si="16"/>
        <v>1775375</v>
      </c>
      <c r="Y71" s="28">
        <f t="shared" si="17"/>
        <v>1101660</v>
      </c>
      <c r="Z71" s="28">
        <f t="shared" si="18"/>
        <v>2967785</v>
      </c>
      <c r="AA71" s="28">
        <f t="shared" si="19"/>
        <v>983640</v>
      </c>
      <c r="AB71" s="28">
        <f t="shared" si="20"/>
        <v>3114720</v>
      </c>
      <c r="AC71" s="28">
        <f t="shared" si="25"/>
        <v>4098360</v>
      </c>
      <c r="AD71" s="77">
        <f t="shared" si="21"/>
        <v>3823260</v>
      </c>
      <c r="AE71" s="77">
        <f t="shared" si="22"/>
        <v>3486630</v>
      </c>
      <c r="AF71" s="99">
        <f t="shared" si="23"/>
        <v>3179610</v>
      </c>
    </row>
    <row r="72" spans="1:32" x14ac:dyDescent="0.3">
      <c r="A72" s="21">
        <v>2202</v>
      </c>
      <c r="B72" s="22" t="s">
        <v>42</v>
      </c>
      <c r="C72" s="36">
        <v>30</v>
      </c>
      <c r="D72" s="23">
        <v>31</v>
      </c>
      <c r="E72" s="37">
        <v>40</v>
      </c>
      <c r="F72" s="37">
        <v>40</v>
      </c>
      <c r="G72" s="37">
        <v>40</v>
      </c>
      <c r="H72" s="37">
        <v>40</v>
      </c>
      <c r="I72" s="37">
        <v>40</v>
      </c>
      <c r="J72" s="37">
        <v>40</v>
      </c>
      <c r="K72" s="16"/>
      <c r="L72" s="84">
        <v>5980</v>
      </c>
      <c r="M72" s="84">
        <v>116948</v>
      </c>
      <c r="N72" s="84">
        <v>43191</v>
      </c>
      <c r="O72" s="84">
        <f t="shared" si="13"/>
        <v>166119</v>
      </c>
      <c r="P72" s="26">
        <v>38567</v>
      </c>
      <c r="Q72" s="26">
        <v>122130</v>
      </c>
      <c r="R72" s="84">
        <f t="shared" si="14"/>
        <v>160697</v>
      </c>
      <c r="S72" s="84">
        <v>149910</v>
      </c>
      <c r="T72" s="84">
        <v>136712</v>
      </c>
      <c r="U72" s="84">
        <v>124673</v>
      </c>
      <c r="V72" s="16"/>
      <c r="W72" s="28">
        <f t="shared" si="15"/>
        <v>179400</v>
      </c>
      <c r="X72" s="28">
        <f t="shared" si="16"/>
        <v>3625388</v>
      </c>
      <c r="Y72" s="28">
        <f t="shared" si="17"/>
        <v>1727640</v>
      </c>
      <c r="Z72" s="28">
        <f t="shared" si="18"/>
        <v>5532428</v>
      </c>
      <c r="AA72" s="28">
        <f t="shared" si="19"/>
        <v>1542680</v>
      </c>
      <c r="AB72" s="28">
        <f t="shared" si="20"/>
        <v>4885200</v>
      </c>
      <c r="AC72" s="28">
        <f t="shared" si="25"/>
        <v>6427880</v>
      </c>
      <c r="AD72" s="77">
        <f t="shared" si="21"/>
        <v>5996400</v>
      </c>
      <c r="AE72" s="77">
        <f t="shared" si="22"/>
        <v>5468480</v>
      </c>
      <c r="AF72" s="99">
        <f t="shared" si="23"/>
        <v>4986920</v>
      </c>
    </row>
    <row r="73" spans="1:32" x14ac:dyDescent="0.3">
      <c r="A73" s="21">
        <v>2203</v>
      </c>
      <c r="B73" s="22" t="s">
        <v>43</v>
      </c>
      <c r="C73" s="36">
        <v>225</v>
      </c>
      <c r="D73" s="23">
        <v>230</v>
      </c>
      <c r="E73" s="37">
        <v>390</v>
      </c>
      <c r="F73" s="37">
        <v>390</v>
      </c>
      <c r="G73" s="37">
        <v>390</v>
      </c>
      <c r="H73" s="37">
        <v>390</v>
      </c>
      <c r="I73" s="37">
        <v>390</v>
      </c>
      <c r="J73" s="37">
        <v>390</v>
      </c>
      <c r="K73" s="16"/>
      <c r="L73" s="84">
        <v>30</v>
      </c>
      <c r="M73" s="84">
        <v>584</v>
      </c>
      <c r="N73" s="84">
        <v>216</v>
      </c>
      <c r="O73" s="84">
        <f t="shared" si="13"/>
        <v>830</v>
      </c>
      <c r="P73" s="26">
        <v>192</v>
      </c>
      <c r="Q73" s="26">
        <v>610</v>
      </c>
      <c r="R73" s="84">
        <f t="shared" si="14"/>
        <v>802</v>
      </c>
      <c r="S73" s="84">
        <v>748</v>
      </c>
      <c r="T73" s="84">
        <v>682</v>
      </c>
      <c r="U73" s="84">
        <v>622</v>
      </c>
      <c r="V73" s="16"/>
      <c r="W73" s="28">
        <f t="shared" si="15"/>
        <v>6750</v>
      </c>
      <c r="X73" s="28">
        <f t="shared" si="16"/>
        <v>134320</v>
      </c>
      <c r="Y73" s="28">
        <f t="shared" si="17"/>
        <v>84240</v>
      </c>
      <c r="Z73" s="28">
        <f t="shared" si="18"/>
        <v>225310</v>
      </c>
      <c r="AA73" s="28">
        <f t="shared" si="19"/>
        <v>74880</v>
      </c>
      <c r="AB73" s="28">
        <f t="shared" si="20"/>
        <v>237900</v>
      </c>
      <c r="AC73" s="28">
        <f t="shared" si="25"/>
        <v>312780</v>
      </c>
      <c r="AD73" s="77">
        <f t="shared" si="21"/>
        <v>291720</v>
      </c>
      <c r="AE73" s="77">
        <f t="shared" si="22"/>
        <v>265980</v>
      </c>
      <c r="AF73" s="99">
        <f t="shared" si="23"/>
        <v>242580</v>
      </c>
    </row>
    <row r="74" spans="1:32" x14ac:dyDescent="0.3">
      <c r="A74" s="21">
        <v>2204</v>
      </c>
      <c r="B74" s="22" t="s">
        <v>44</v>
      </c>
      <c r="C74" s="36">
        <v>125</v>
      </c>
      <c r="D74" s="23">
        <v>125</v>
      </c>
      <c r="E74" s="37">
        <v>210</v>
      </c>
      <c r="F74" s="37">
        <v>210</v>
      </c>
      <c r="G74" s="37">
        <v>210</v>
      </c>
      <c r="H74" s="37">
        <v>210</v>
      </c>
      <c r="I74" s="37">
        <v>210</v>
      </c>
      <c r="J74" s="37">
        <v>210</v>
      </c>
      <c r="K74" s="16"/>
      <c r="L74" s="84">
        <v>5</v>
      </c>
      <c r="M74" s="84">
        <v>99</v>
      </c>
      <c r="N74" s="84">
        <v>36</v>
      </c>
      <c r="O74" s="84">
        <f t="shared" si="13"/>
        <v>140</v>
      </c>
      <c r="P74" s="26">
        <v>31</v>
      </c>
      <c r="Q74" s="26">
        <v>99</v>
      </c>
      <c r="R74" s="84">
        <f t="shared" si="14"/>
        <v>130</v>
      </c>
      <c r="S74" s="84">
        <v>118</v>
      </c>
      <c r="T74" s="84">
        <v>106</v>
      </c>
      <c r="U74" s="84">
        <v>96</v>
      </c>
      <c r="V74" s="16"/>
      <c r="W74" s="28">
        <f t="shared" si="15"/>
        <v>625</v>
      </c>
      <c r="X74" s="28">
        <f t="shared" si="16"/>
        <v>12375</v>
      </c>
      <c r="Y74" s="28">
        <f t="shared" si="17"/>
        <v>7560</v>
      </c>
      <c r="Z74" s="28">
        <f t="shared" si="18"/>
        <v>20560</v>
      </c>
      <c r="AA74" s="28">
        <f t="shared" si="19"/>
        <v>6510</v>
      </c>
      <c r="AB74" s="28">
        <f t="shared" si="20"/>
        <v>20790</v>
      </c>
      <c r="AC74" s="28">
        <f t="shared" si="25"/>
        <v>27300</v>
      </c>
      <c r="AD74" s="77">
        <f t="shared" si="21"/>
        <v>24780</v>
      </c>
      <c r="AE74" s="77">
        <f t="shared" si="22"/>
        <v>22260</v>
      </c>
      <c r="AF74" s="99">
        <f t="shared" si="23"/>
        <v>20160</v>
      </c>
    </row>
    <row r="75" spans="1:32" x14ac:dyDescent="0.3">
      <c r="A75" s="21">
        <v>2205</v>
      </c>
      <c r="B75" s="22" t="s">
        <v>45</v>
      </c>
      <c r="C75" s="36">
        <v>30</v>
      </c>
      <c r="D75" s="23">
        <v>31</v>
      </c>
      <c r="E75" s="37">
        <v>40</v>
      </c>
      <c r="F75" s="37">
        <v>40</v>
      </c>
      <c r="G75" s="37">
        <v>40</v>
      </c>
      <c r="H75" s="37">
        <v>40</v>
      </c>
      <c r="I75" s="37">
        <v>40</v>
      </c>
      <c r="J75" s="37">
        <v>40</v>
      </c>
      <c r="K75" s="16"/>
      <c r="L75" s="84">
        <v>45</v>
      </c>
      <c r="M75" s="84">
        <v>878</v>
      </c>
      <c r="N75" s="84">
        <v>324</v>
      </c>
      <c r="O75" s="84">
        <f t="shared" si="13"/>
        <v>1247</v>
      </c>
      <c r="P75" s="26">
        <v>279</v>
      </c>
      <c r="Q75" s="26">
        <v>882</v>
      </c>
      <c r="R75" s="84">
        <f t="shared" si="14"/>
        <v>1161</v>
      </c>
      <c r="S75" s="84">
        <v>1047</v>
      </c>
      <c r="T75" s="84">
        <v>946</v>
      </c>
      <c r="U75" s="84">
        <v>855</v>
      </c>
      <c r="V75" s="16"/>
      <c r="W75" s="28">
        <f t="shared" si="15"/>
        <v>1350</v>
      </c>
      <c r="X75" s="28">
        <f t="shared" si="16"/>
        <v>27218</v>
      </c>
      <c r="Y75" s="28">
        <f t="shared" si="17"/>
        <v>12960</v>
      </c>
      <c r="Z75" s="28">
        <f t="shared" si="18"/>
        <v>41528</v>
      </c>
      <c r="AA75" s="28">
        <f t="shared" si="19"/>
        <v>11160</v>
      </c>
      <c r="AB75" s="28">
        <f t="shared" si="20"/>
        <v>35280</v>
      </c>
      <c r="AC75" s="28">
        <f t="shared" ref="AC75:AC82" si="26">SUM(AA75:AB75)</f>
        <v>46440</v>
      </c>
      <c r="AD75" s="77">
        <f t="shared" si="21"/>
        <v>41880</v>
      </c>
      <c r="AE75" s="77">
        <f t="shared" si="22"/>
        <v>37840</v>
      </c>
      <c r="AF75" s="99">
        <f t="shared" si="23"/>
        <v>34200</v>
      </c>
    </row>
    <row r="76" spans="1:32" x14ac:dyDescent="0.3">
      <c r="A76" s="21">
        <v>2801</v>
      </c>
      <c r="B76" s="22" t="s">
        <v>46</v>
      </c>
      <c r="C76" s="36">
        <v>465</v>
      </c>
      <c r="D76" s="23">
        <v>465</v>
      </c>
      <c r="E76" s="37">
        <v>600</v>
      </c>
      <c r="F76" s="37">
        <v>600</v>
      </c>
      <c r="G76" s="37">
        <v>600</v>
      </c>
      <c r="H76" s="37">
        <v>600</v>
      </c>
      <c r="I76" s="37">
        <v>600</v>
      </c>
      <c r="J76" s="37">
        <v>600</v>
      </c>
      <c r="K76" s="16"/>
      <c r="L76" s="84">
        <v>517</v>
      </c>
      <c r="M76" s="84">
        <v>10117</v>
      </c>
      <c r="N76" s="84">
        <v>3736</v>
      </c>
      <c r="O76" s="84">
        <f t="shared" si="13"/>
        <v>14370</v>
      </c>
      <c r="P76" s="26">
        <v>3568</v>
      </c>
      <c r="Q76" s="26">
        <v>11299</v>
      </c>
      <c r="R76" s="84">
        <f t="shared" si="14"/>
        <v>14867</v>
      </c>
      <c r="S76" s="84">
        <v>15377</v>
      </c>
      <c r="T76" s="84">
        <v>16146</v>
      </c>
      <c r="U76" s="84">
        <v>16953</v>
      </c>
      <c r="V76" s="16"/>
      <c r="W76" s="28">
        <f t="shared" si="15"/>
        <v>240405</v>
      </c>
      <c r="X76" s="28">
        <f t="shared" si="16"/>
        <v>4704405</v>
      </c>
      <c r="Y76" s="28">
        <f t="shared" si="17"/>
        <v>2241600</v>
      </c>
      <c r="Z76" s="28">
        <f t="shared" si="18"/>
        <v>7186410</v>
      </c>
      <c r="AA76" s="28">
        <f t="shared" si="19"/>
        <v>2140800</v>
      </c>
      <c r="AB76" s="28">
        <f t="shared" si="20"/>
        <v>6779400</v>
      </c>
      <c r="AC76" s="28">
        <f t="shared" si="26"/>
        <v>8920200</v>
      </c>
      <c r="AD76" s="77">
        <f t="shared" si="21"/>
        <v>9226200</v>
      </c>
      <c r="AE76" s="77">
        <f t="shared" si="22"/>
        <v>9687600</v>
      </c>
      <c r="AF76" s="99">
        <f t="shared" si="23"/>
        <v>10171800</v>
      </c>
    </row>
    <row r="77" spans="1:32" x14ac:dyDescent="0.3">
      <c r="A77" s="21" t="s">
        <v>203</v>
      </c>
      <c r="B77" s="105" t="s">
        <v>267</v>
      </c>
      <c r="C77" s="36">
        <v>465</v>
      </c>
      <c r="D77" s="23">
        <v>465</v>
      </c>
      <c r="E77" s="37">
        <v>850</v>
      </c>
      <c r="F77" s="37">
        <v>850</v>
      </c>
      <c r="G77" s="37">
        <v>850</v>
      </c>
      <c r="H77" s="37">
        <v>850</v>
      </c>
      <c r="I77" s="37">
        <v>850</v>
      </c>
      <c r="J77" s="37">
        <v>850</v>
      </c>
      <c r="K77" s="16"/>
      <c r="L77" s="84">
        <v>186</v>
      </c>
      <c r="M77" s="84">
        <v>3640</v>
      </c>
      <c r="N77" s="84">
        <v>1344</v>
      </c>
      <c r="O77" s="84">
        <f t="shared" si="13"/>
        <v>5170</v>
      </c>
      <c r="P77" s="26">
        <v>1247</v>
      </c>
      <c r="Q77" s="26">
        <v>3947</v>
      </c>
      <c r="R77" s="84">
        <f t="shared" si="14"/>
        <v>5194</v>
      </c>
      <c r="S77" s="84">
        <v>5208</v>
      </c>
      <c r="T77" s="84">
        <v>5468</v>
      </c>
      <c r="U77" s="84">
        <v>5742</v>
      </c>
      <c r="V77" s="16"/>
      <c r="W77" s="28">
        <f t="shared" si="15"/>
        <v>86490</v>
      </c>
      <c r="X77" s="28">
        <f t="shared" si="16"/>
        <v>1692600</v>
      </c>
      <c r="Y77" s="28">
        <f t="shared" si="17"/>
        <v>1142400</v>
      </c>
      <c r="Z77" s="28">
        <f t="shared" si="18"/>
        <v>2921490</v>
      </c>
      <c r="AA77" s="28">
        <f t="shared" si="19"/>
        <v>1059950</v>
      </c>
      <c r="AB77" s="28">
        <f t="shared" si="20"/>
        <v>3354950</v>
      </c>
      <c r="AC77" s="28">
        <f>SUM(AA77:AB77)</f>
        <v>4414900</v>
      </c>
      <c r="AD77" s="77">
        <f t="shared" si="21"/>
        <v>4426800</v>
      </c>
      <c r="AE77" s="77">
        <f t="shared" si="22"/>
        <v>4647800</v>
      </c>
      <c r="AF77" s="99">
        <f t="shared" si="23"/>
        <v>4880700</v>
      </c>
    </row>
    <row r="78" spans="1:32" x14ac:dyDescent="0.3">
      <c r="A78" s="29">
        <v>2809</v>
      </c>
      <c r="B78" s="22" t="s">
        <v>47</v>
      </c>
      <c r="C78" s="36">
        <v>405</v>
      </c>
      <c r="D78" s="23">
        <v>405</v>
      </c>
      <c r="E78" s="37">
        <v>420</v>
      </c>
      <c r="F78" s="37">
        <v>420</v>
      </c>
      <c r="G78" s="37">
        <v>420</v>
      </c>
      <c r="H78" s="37">
        <v>420</v>
      </c>
      <c r="I78" s="37">
        <v>420</v>
      </c>
      <c r="J78" s="37">
        <v>420</v>
      </c>
      <c r="K78" s="16"/>
      <c r="L78" s="84">
        <v>0</v>
      </c>
      <c r="M78" s="84">
        <v>9</v>
      </c>
      <c r="N78" s="84">
        <v>3</v>
      </c>
      <c r="O78" s="84">
        <f t="shared" si="13"/>
        <v>12</v>
      </c>
      <c r="P78" s="26">
        <v>3</v>
      </c>
      <c r="Q78" s="26">
        <v>10</v>
      </c>
      <c r="R78" s="84">
        <f t="shared" si="14"/>
        <v>13</v>
      </c>
      <c r="S78" s="84">
        <v>13</v>
      </c>
      <c r="T78" s="84">
        <v>13</v>
      </c>
      <c r="U78" s="84">
        <v>13</v>
      </c>
      <c r="V78" s="16"/>
      <c r="W78" s="28">
        <f t="shared" si="15"/>
        <v>0</v>
      </c>
      <c r="X78" s="28">
        <f t="shared" si="16"/>
        <v>3645</v>
      </c>
      <c r="Y78" s="28">
        <f t="shared" si="17"/>
        <v>1260</v>
      </c>
      <c r="Z78" s="28">
        <f t="shared" si="18"/>
        <v>4905</v>
      </c>
      <c r="AA78" s="28">
        <f t="shared" si="19"/>
        <v>1260</v>
      </c>
      <c r="AB78" s="28">
        <f t="shared" si="20"/>
        <v>4200</v>
      </c>
      <c r="AC78" s="28">
        <f t="shared" si="26"/>
        <v>5460</v>
      </c>
      <c r="AD78" s="77">
        <f t="shared" si="21"/>
        <v>5460</v>
      </c>
      <c r="AE78" s="77">
        <f t="shared" si="22"/>
        <v>5460</v>
      </c>
      <c r="AF78" s="99">
        <f t="shared" si="23"/>
        <v>5460</v>
      </c>
    </row>
    <row r="79" spans="1:32" x14ac:dyDescent="0.3">
      <c r="A79" s="29">
        <v>2810</v>
      </c>
      <c r="B79" s="22" t="s">
        <v>48</v>
      </c>
      <c r="C79" s="36">
        <v>405</v>
      </c>
      <c r="D79" s="23">
        <v>405</v>
      </c>
      <c r="E79" s="37">
        <v>420</v>
      </c>
      <c r="F79" s="37">
        <v>420</v>
      </c>
      <c r="G79" s="37">
        <v>420</v>
      </c>
      <c r="H79" s="37">
        <v>420</v>
      </c>
      <c r="I79" s="37">
        <v>420</v>
      </c>
      <c r="J79" s="37">
        <v>420</v>
      </c>
      <c r="K79" s="16"/>
      <c r="L79" s="84">
        <v>0</v>
      </c>
      <c r="M79" s="84">
        <v>0</v>
      </c>
      <c r="N79" s="84">
        <v>0</v>
      </c>
      <c r="O79" s="84">
        <f t="shared" si="13"/>
        <v>0</v>
      </c>
      <c r="P79" s="26">
        <v>0</v>
      </c>
      <c r="Q79" s="26">
        <v>0</v>
      </c>
      <c r="R79" s="84">
        <f t="shared" si="14"/>
        <v>0</v>
      </c>
      <c r="S79" s="84">
        <v>0</v>
      </c>
      <c r="T79" s="84">
        <v>0</v>
      </c>
      <c r="U79" s="84">
        <v>0</v>
      </c>
      <c r="V79" s="16"/>
      <c r="W79" s="28">
        <f t="shared" si="15"/>
        <v>0</v>
      </c>
      <c r="X79" s="28">
        <f t="shared" si="16"/>
        <v>0</v>
      </c>
      <c r="Y79" s="28">
        <f t="shared" si="17"/>
        <v>0</v>
      </c>
      <c r="Z79" s="28">
        <f t="shared" si="18"/>
        <v>0</v>
      </c>
      <c r="AA79" s="28">
        <f t="shared" si="19"/>
        <v>0</v>
      </c>
      <c r="AB79" s="28">
        <f t="shared" si="20"/>
        <v>0</v>
      </c>
      <c r="AC79" s="28">
        <f t="shared" si="26"/>
        <v>0</v>
      </c>
      <c r="AD79" s="77">
        <f t="shared" si="21"/>
        <v>0</v>
      </c>
      <c r="AE79" s="77">
        <f t="shared" si="22"/>
        <v>0</v>
      </c>
      <c r="AF79" s="99">
        <f t="shared" si="23"/>
        <v>0</v>
      </c>
    </row>
    <row r="80" spans="1:32" x14ac:dyDescent="0.3">
      <c r="A80" s="29">
        <v>2821</v>
      </c>
      <c r="B80" s="22" t="s">
        <v>49</v>
      </c>
      <c r="C80" s="23">
        <v>125</v>
      </c>
      <c r="D80" s="23">
        <v>125</v>
      </c>
      <c r="E80" s="24">
        <v>210</v>
      </c>
      <c r="F80" s="24">
        <v>210</v>
      </c>
      <c r="G80" s="24">
        <v>210</v>
      </c>
      <c r="H80" s="24">
        <v>210</v>
      </c>
      <c r="I80" s="24">
        <v>210</v>
      </c>
      <c r="J80" s="24">
        <v>210</v>
      </c>
      <c r="K80" s="16"/>
      <c r="L80" s="84">
        <v>2</v>
      </c>
      <c r="M80" s="84">
        <v>30</v>
      </c>
      <c r="N80" s="84">
        <v>11</v>
      </c>
      <c r="O80" s="84">
        <f t="shared" si="13"/>
        <v>43</v>
      </c>
      <c r="P80" s="26">
        <v>11</v>
      </c>
      <c r="Q80" s="26">
        <v>34</v>
      </c>
      <c r="R80" s="84">
        <f t="shared" si="14"/>
        <v>45</v>
      </c>
      <c r="S80" s="84">
        <v>46</v>
      </c>
      <c r="T80" s="84">
        <v>49</v>
      </c>
      <c r="U80" s="84">
        <v>51</v>
      </c>
      <c r="V80" s="16"/>
      <c r="W80" s="28">
        <f t="shared" si="15"/>
        <v>250</v>
      </c>
      <c r="X80" s="28">
        <f t="shared" si="16"/>
        <v>3750</v>
      </c>
      <c r="Y80" s="28">
        <f t="shared" si="17"/>
        <v>2310</v>
      </c>
      <c r="Z80" s="28">
        <f t="shared" si="18"/>
        <v>6310</v>
      </c>
      <c r="AA80" s="28">
        <f t="shared" si="19"/>
        <v>2310</v>
      </c>
      <c r="AB80" s="28">
        <f t="shared" si="20"/>
        <v>7140</v>
      </c>
      <c r="AC80" s="28">
        <f t="shared" si="26"/>
        <v>9450</v>
      </c>
      <c r="AD80" s="77">
        <f t="shared" si="21"/>
        <v>9660</v>
      </c>
      <c r="AE80" s="77">
        <f t="shared" si="22"/>
        <v>10290</v>
      </c>
      <c r="AF80" s="99">
        <f t="shared" si="23"/>
        <v>10710</v>
      </c>
    </row>
    <row r="81" spans="1:32" x14ac:dyDescent="0.3">
      <c r="A81" s="29">
        <v>2822</v>
      </c>
      <c r="B81" s="22" t="s">
        <v>50</v>
      </c>
      <c r="C81" s="23">
        <v>30</v>
      </c>
      <c r="D81" s="23">
        <v>31</v>
      </c>
      <c r="E81" s="24">
        <v>40</v>
      </c>
      <c r="F81" s="24">
        <v>40</v>
      </c>
      <c r="G81" s="24">
        <v>40</v>
      </c>
      <c r="H81" s="24">
        <v>40</v>
      </c>
      <c r="I81" s="24">
        <v>40</v>
      </c>
      <c r="J81" s="24">
        <v>40</v>
      </c>
      <c r="K81" s="16"/>
      <c r="L81" s="84">
        <v>9</v>
      </c>
      <c r="M81" s="84">
        <v>170</v>
      </c>
      <c r="N81" s="84">
        <v>63</v>
      </c>
      <c r="O81" s="84">
        <f t="shared" si="13"/>
        <v>242</v>
      </c>
      <c r="P81" s="26">
        <v>60</v>
      </c>
      <c r="Q81" s="26">
        <v>189</v>
      </c>
      <c r="R81" s="84">
        <f t="shared" si="14"/>
        <v>249</v>
      </c>
      <c r="S81" s="84">
        <v>258</v>
      </c>
      <c r="T81" s="84">
        <v>271</v>
      </c>
      <c r="U81" s="84">
        <v>284</v>
      </c>
      <c r="V81" s="16"/>
      <c r="W81" s="28">
        <f t="shared" si="15"/>
        <v>270</v>
      </c>
      <c r="X81" s="28">
        <f t="shared" si="16"/>
        <v>5270</v>
      </c>
      <c r="Y81" s="28">
        <f t="shared" si="17"/>
        <v>2520</v>
      </c>
      <c r="Z81" s="28">
        <f t="shared" si="18"/>
        <v>8060</v>
      </c>
      <c r="AA81" s="28">
        <f t="shared" si="19"/>
        <v>2400</v>
      </c>
      <c r="AB81" s="28">
        <f t="shared" si="20"/>
        <v>7560</v>
      </c>
      <c r="AC81" s="28">
        <f t="shared" si="26"/>
        <v>9960</v>
      </c>
      <c r="AD81" s="77">
        <f t="shared" si="21"/>
        <v>10320</v>
      </c>
      <c r="AE81" s="77">
        <f t="shared" si="22"/>
        <v>10840</v>
      </c>
      <c r="AF81" s="99">
        <f t="shared" si="23"/>
        <v>11360</v>
      </c>
    </row>
    <row r="82" spans="1:32" x14ac:dyDescent="0.3">
      <c r="A82" s="29">
        <v>2817</v>
      </c>
      <c r="B82" s="22" t="s">
        <v>51</v>
      </c>
      <c r="C82" s="23">
        <v>2400</v>
      </c>
      <c r="D82" s="23">
        <v>2400</v>
      </c>
      <c r="E82" s="24">
        <v>2000</v>
      </c>
      <c r="F82" s="24">
        <v>2000</v>
      </c>
      <c r="G82" s="24">
        <v>2000</v>
      </c>
      <c r="H82" s="24">
        <v>2000</v>
      </c>
      <c r="I82" s="24">
        <v>2000</v>
      </c>
      <c r="J82" s="24">
        <v>2000</v>
      </c>
      <c r="K82" s="16"/>
      <c r="L82" s="84">
        <v>56</v>
      </c>
      <c r="M82" s="84">
        <v>1093</v>
      </c>
      <c r="N82" s="84">
        <v>404</v>
      </c>
      <c r="O82" s="84">
        <f t="shared" si="13"/>
        <v>1553</v>
      </c>
      <c r="P82" s="26">
        <v>248</v>
      </c>
      <c r="Q82" s="26">
        <v>787</v>
      </c>
      <c r="R82" s="84">
        <f t="shared" si="14"/>
        <v>1035</v>
      </c>
      <c r="S82" s="84">
        <v>0</v>
      </c>
      <c r="T82" s="84">
        <v>0</v>
      </c>
      <c r="U82" s="84">
        <v>0</v>
      </c>
      <c r="V82" s="16"/>
      <c r="W82" s="28">
        <f t="shared" si="15"/>
        <v>134400</v>
      </c>
      <c r="X82" s="28">
        <f t="shared" si="16"/>
        <v>2623200</v>
      </c>
      <c r="Y82" s="28">
        <f t="shared" si="17"/>
        <v>808000</v>
      </c>
      <c r="Z82" s="28">
        <f t="shared" si="18"/>
        <v>3565600</v>
      </c>
      <c r="AA82" s="28">
        <f t="shared" si="19"/>
        <v>496000</v>
      </c>
      <c r="AB82" s="28">
        <f t="shared" si="20"/>
        <v>1574000</v>
      </c>
      <c r="AC82" s="28">
        <f t="shared" si="26"/>
        <v>2070000</v>
      </c>
      <c r="AD82" s="77">
        <f t="shared" si="21"/>
        <v>0</v>
      </c>
      <c r="AE82" s="77">
        <f t="shared" si="22"/>
        <v>0</v>
      </c>
      <c r="AF82" s="99">
        <f t="shared" si="23"/>
        <v>0</v>
      </c>
    </row>
    <row r="83" spans="1:32" x14ac:dyDescent="0.3">
      <c r="A83" s="29" t="s">
        <v>203</v>
      </c>
      <c r="B83" s="105" t="s">
        <v>217</v>
      </c>
      <c r="C83" s="23"/>
      <c r="D83" s="23"/>
      <c r="E83" s="24">
        <v>300</v>
      </c>
      <c r="F83" s="24">
        <v>300</v>
      </c>
      <c r="G83" s="24">
        <v>300</v>
      </c>
      <c r="H83" s="24">
        <v>300</v>
      </c>
      <c r="I83" s="24">
        <v>300</v>
      </c>
      <c r="J83" s="24">
        <v>300</v>
      </c>
      <c r="K83" s="16"/>
      <c r="L83" s="84">
        <v>2</v>
      </c>
      <c r="M83" s="84">
        <v>30</v>
      </c>
      <c r="N83" s="84">
        <v>11</v>
      </c>
      <c r="O83" s="84">
        <f t="shared" si="13"/>
        <v>43</v>
      </c>
      <c r="P83" s="26">
        <v>10</v>
      </c>
      <c r="Q83" s="26">
        <v>33</v>
      </c>
      <c r="R83" s="84">
        <f t="shared" si="14"/>
        <v>43</v>
      </c>
      <c r="S83" s="84">
        <v>43</v>
      </c>
      <c r="T83" s="84">
        <v>43</v>
      </c>
      <c r="U83" s="84">
        <v>43</v>
      </c>
      <c r="V83" s="16"/>
      <c r="W83" s="28">
        <f t="shared" si="15"/>
        <v>0</v>
      </c>
      <c r="X83" s="28">
        <f t="shared" si="16"/>
        <v>0</v>
      </c>
      <c r="Y83" s="28">
        <f t="shared" si="17"/>
        <v>3300</v>
      </c>
      <c r="Z83" s="28">
        <f t="shared" si="18"/>
        <v>3300</v>
      </c>
      <c r="AA83" s="28">
        <f t="shared" si="19"/>
        <v>3000</v>
      </c>
      <c r="AB83" s="28">
        <f t="shared" si="20"/>
        <v>9900</v>
      </c>
      <c r="AC83" s="28">
        <f>SUM(AA83:AB83)</f>
        <v>12900</v>
      </c>
      <c r="AD83" s="77">
        <f t="shared" si="21"/>
        <v>12900</v>
      </c>
      <c r="AE83" s="77">
        <f t="shared" si="22"/>
        <v>12900</v>
      </c>
      <c r="AF83" s="99">
        <f t="shared" si="23"/>
        <v>12900</v>
      </c>
    </row>
    <row r="84" spans="1:32" ht="15" thickBot="1" x14ac:dyDescent="0.35">
      <c r="A84" s="63" t="s">
        <v>52</v>
      </c>
      <c r="B84" s="168"/>
      <c r="C84" s="169"/>
      <c r="D84" s="169"/>
      <c r="E84" s="169"/>
      <c r="F84" s="169"/>
      <c r="G84" s="169"/>
      <c r="H84" s="169"/>
      <c r="I84" s="169"/>
      <c r="J84" s="169"/>
      <c r="K84" s="109"/>
      <c r="L84" s="39"/>
      <c r="M84" s="39"/>
      <c r="N84" s="39"/>
      <c r="O84" s="39"/>
      <c r="P84" s="40"/>
      <c r="Q84" s="40"/>
      <c r="R84" s="170"/>
      <c r="S84" s="171"/>
      <c r="T84" s="171"/>
      <c r="U84" s="171"/>
      <c r="V84" s="109"/>
      <c r="W84" s="66">
        <f>SUM(W48:W83)</f>
        <v>2468075</v>
      </c>
      <c r="X84" s="66">
        <f>SUM(X48:X83)</f>
        <v>48557697</v>
      </c>
      <c r="Y84" s="66">
        <f>SUM(Y48:Y83)</f>
        <v>23359210</v>
      </c>
      <c r="Z84" s="66">
        <f t="shared" ref="Z84:AE84" si="27">SUM(Z48:Z83)</f>
        <v>74384982</v>
      </c>
      <c r="AA84" s="66">
        <f t="shared" si="27"/>
        <v>21944130</v>
      </c>
      <c r="AB84" s="66">
        <f t="shared" si="27"/>
        <v>69493090</v>
      </c>
      <c r="AC84" s="66">
        <f t="shared" si="27"/>
        <v>91437220</v>
      </c>
      <c r="AD84" s="66">
        <f t="shared" si="27"/>
        <v>92091560</v>
      </c>
      <c r="AE84" s="66">
        <f t="shared" si="27"/>
        <v>95273650</v>
      </c>
      <c r="AF84" s="172">
        <f>SUM(AF48:AF83)</f>
        <v>98742550</v>
      </c>
    </row>
    <row r="85" spans="1:32" x14ac:dyDescent="0.3">
      <c r="A85" s="173"/>
      <c r="B85" s="174"/>
      <c r="C85" s="175"/>
      <c r="D85" s="175"/>
      <c r="E85" s="175"/>
      <c r="F85" s="175"/>
      <c r="G85" s="175"/>
      <c r="H85" s="175"/>
      <c r="I85" s="175"/>
      <c r="J85" s="175"/>
      <c r="K85" s="163"/>
      <c r="L85" s="176"/>
      <c r="M85" s="176"/>
      <c r="N85" s="176"/>
      <c r="O85" s="176"/>
      <c r="P85" s="177"/>
      <c r="Q85" s="177"/>
      <c r="R85" s="178"/>
      <c r="S85" s="179"/>
      <c r="T85" s="179"/>
      <c r="U85" s="179"/>
      <c r="V85" s="163"/>
      <c r="W85" s="180"/>
      <c r="X85" s="180"/>
      <c r="Y85" s="180"/>
      <c r="Z85" s="180"/>
      <c r="AA85" s="180"/>
      <c r="AB85" s="180"/>
      <c r="AC85" s="180"/>
      <c r="AD85" s="181"/>
      <c r="AE85" s="180"/>
      <c r="AF85" s="182"/>
    </row>
    <row r="86" spans="1:32" x14ac:dyDescent="0.3">
      <c r="A86" s="32" t="s">
        <v>54</v>
      </c>
      <c r="B86" s="33"/>
      <c r="C86" s="34"/>
      <c r="D86" s="34"/>
      <c r="E86" s="34"/>
      <c r="F86" s="34"/>
      <c r="G86" s="34"/>
      <c r="H86" s="34"/>
      <c r="I86" s="34"/>
      <c r="J86" s="34"/>
      <c r="K86" s="16"/>
      <c r="L86" s="25"/>
      <c r="M86" s="25"/>
      <c r="N86" s="25"/>
      <c r="O86" s="25"/>
      <c r="P86" s="26"/>
      <c r="Q86" s="26"/>
      <c r="R86" s="41"/>
      <c r="S86" s="27"/>
      <c r="T86" s="27"/>
      <c r="U86" s="27"/>
      <c r="V86" s="16"/>
      <c r="W86" s="28"/>
      <c r="X86" s="28"/>
      <c r="Y86" s="28"/>
      <c r="Z86" s="28"/>
      <c r="AA86" s="28"/>
      <c r="AB86" s="28"/>
      <c r="AC86" s="28"/>
      <c r="AD86" s="77"/>
      <c r="AE86" s="28"/>
      <c r="AF86" s="99"/>
    </row>
    <row r="87" spans="1:32" x14ac:dyDescent="0.3">
      <c r="A87" s="21">
        <v>3011</v>
      </c>
      <c r="B87" s="22" t="s">
        <v>19</v>
      </c>
      <c r="C87" s="34"/>
      <c r="D87" s="34"/>
      <c r="E87" s="42">
        <v>70</v>
      </c>
      <c r="F87" s="42">
        <v>70</v>
      </c>
      <c r="G87" s="42">
        <v>70</v>
      </c>
      <c r="H87" s="42">
        <v>70</v>
      </c>
      <c r="I87" s="42">
        <v>70</v>
      </c>
      <c r="J87" s="42">
        <v>70</v>
      </c>
      <c r="K87" s="16"/>
      <c r="L87" s="84"/>
      <c r="M87" s="84"/>
      <c r="N87" s="84">
        <v>28364</v>
      </c>
      <c r="O87" s="84">
        <f t="shared" ref="O87:O121" si="28">SUM(L87:N87)</f>
        <v>28364</v>
      </c>
      <c r="P87" s="26">
        <v>7111</v>
      </c>
      <c r="Q87" s="26">
        <v>22517</v>
      </c>
      <c r="R87" s="84">
        <f t="shared" ref="R87:R121" si="29">SUM(P87:Q87)</f>
        <v>29628</v>
      </c>
      <c r="S87" s="84">
        <v>31148</v>
      </c>
      <c r="T87" s="84">
        <v>32710</v>
      </c>
      <c r="U87" s="84">
        <v>34351</v>
      </c>
      <c r="V87" s="16"/>
      <c r="W87" s="28">
        <f t="shared" ref="W87:W121" si="30">L87*C87</f>
        <v>0</v>
      </c>
      <c r="X87" s="28">
        <f t="shared" ref="X87:X121" si="31">M87*D87</f>
        <v>0</v>
      </c>
      <c r="Y87" s="28">
        <f t="shared" ref="Y87:Y121" si="32">N87*E87</f>
        <v>1985480</v>
      </c>
      <c r="Z87" s="28">
        <f t="shared" ref="Z87:Z121" si="33">W87+X87+Y87</f>
        <v>1985480</v>
      </c>
      <c r="AA87" s="28">
        <f t="shared" ref="AA87:AA121" si="34">P87*F87</f>
        <v>497770</v>
      </c>
      <c r="AB87" s="28">
        <f t="shared" ref="AB87:AB121" si="35">Q87*G87</f>
        <v>1576190</v>
      </c>
      <c r="AC87" s="28">
        <f>SUM(AA87:AB87)</f>
        <v>2073960</v>
      </c>
      <c r="AD87" s="77">
        <f t="shared" ref="AD87:AD121" si="36">H87*S87</f>
        <v>2180360</v>
      </c>
      <c r="AE87" s="77">
        <f t="shared" ref="AE87:AE121" si="37">I87*T87</f>
        <v>2289700</v>
      </c>
      <c r="AF87" s="99">
        <f t="shared" ref="AF87:AF121" si="38">J87*U87</f>
        <v>2404570</v>
      </c>
    </row>
    <row r="88" spans="1:32" x14ac:dyDescent="0.3">
      <c r="A88" s="21">
        <v>3111</v>
      </c>
      <c r="B88" s="22" t="s">
        <v>20</v>
      </c>
      <c r="C88" s="34"/>
      <c r="D88" s="34"/>
      <c r="E88" s="42">
        <v>150</v>
      </c>
      <c r="F88" s="42">
        <v>150</v>
      </c>
      <c r="G88" s="42">
        <v>150</v>
      </c>
      <c r="H88" s="42">
        <v>150</v>
      </c>
      <c r="I88" s="42">
        <v>150</v>
      </c>
      <c r="J88" s="42">
        <v>150</v>
      </c>
      <c r="K88" s="16"/>
      <c r="L88" s="84"/>
      <c r="M88" s="84"/>
      <c r="N88" s="84">
        <v>28066</v>
      </c>
      <c r="O88" s="84">
        <f t="shared" si="28"/>
        <v>28066</v>
      </c>
      <c r="P88" s="26">
        <v>7036</v>
      </c>
      <c r="Q88" s="26">
        <v>22280</v>
      </c>
      <c r="R88" s="84">
        <f t="shared" si="29"/>
        <v>29316</v>
      </c>
      <c r="S88" s="84">
        <v>30820</v>
      </c>
      <c r="T88" s="84">
        <v>32366</v>
      </c>
      <c r="U88" s="84">
        <v>33989</v>
      </c>
      <c r="V88" s="16"/>
      <c r="W88" s="28">
        <f t="shared" si="30"/>
        <v>0</v>
      </c>
      <c r="X88" s="28">
        <f t="shared" si="31"/>
        <v>0</v>
      </c>
      <c r="Y88" s="28">
        <f t="shared" si="32"/>
        <v>4209900</v>
      </c>
      <c r="Z88" s="28">
        <f t="shared" si="33"/>
        <v>4209900</v>
      </c>
      <c r="AA88" s="28">
        <f t="shared" si="34"/>
        <v>1055400</v>
      </c>
      <c r="AB88" s="28">
        <f t="shared" si="35"/>
        <v>3342000</v>
      </c>
      <c r="AC88" s="28">
        <f>SUM(AA88:AB88)</f>
        <v>4397400</v>
      </c>
      <c r="AD88" s="77">
        <f t="shared" si="36"/>
        <v>4623000</v>
      </c>
      <c r="AE88" s="77">
        <f t="shared" si="37"/>
        <v>4854900</v>
      </c>
      <c r="AF88" s="99">
        <f t="shared" si="38"/>
        <v>5098350</v>
      </c>
    </row>
    <row r="89" spans="1:32" x14ac:dyDescent="0.3">
      <c r="A89" s="21">
        <v>3311</v>
      </c>
      <c r="B89" s="22" t="s">
        <v>21</v>
      </c>
      <c r="C89" s="34"/>
      <c r="D89" s="34"/>
      <c r="E89" s="42">
        <v>180</v>
      </c>
      <c r="F89" s="42">
        <v>180</v>
      </c>
      <c r="G89" s="42">
        <v>180</v>
      </c>
      <c r="H89" s="42">
        <v>180</v>
      </c>
      <c r="I89" s="42">
        <v>180</v>
      </c>
      <c r="J89" s="42">
        <v>180</v>
      </c>
      <c r="K89" s="16"/>
      <c r="L89" s="84"/>
      <c r="M89" s="84"/>
      <c r="N89" s="84">
        <v>28154</v>
      </c>
      <c r="O89" s="84">
        <f t="shared" si="28"/>
        <v>28154</v>
      </c>
      <c r="P89" s="26">
        <v>7058</v>
      </c>
      <c r="Q89" s="26">
        <v>22351</v>
      </c>
      <c r="R89" s="84">
        <f t="shared" si="29"/>
        <v>29409</v>
      </c>
      <c r="S89" s="84">
        <v>30917</v>
      </c>
      <c r="T89" s="84">
        <v>32468</v>
      </c>
      <c r="U89" s="84">
        <v>34097</v>
      </c>
      <c r="V89" s="16"/>
      <c r="W89" s="28">
        <f t="shared" si="30"/>
        <v>0</v>
      </c>
      <c r="X89" s="28">
        <f t="shared" si="31"/>
        <v>0</v>
      </c>
      <c r="Y89" s="28">
        <f t="shared" si="32"/>
        <v>5067720</v>
      </c>
      <c r="Z89" s="28">
        <f t="shared" si="33"/>
        <v>5067720</v>
      </c>
      <c r="AA89" s="28">
        <f t="shared" si="34"/>
        <v>1270440</v>
      </c>
      <c r="AB89" s="28">
        <f t="shared" si="35"/>
        <v>4023180</v>
      </c>
      <c r="AC89" s="28">
        <f>SUM(AA89:AB89)</f>
        <v>5293620</v>
      </c>
      <c r="AD89" s="77">
        <f t="shared" si="36"/>
        <v>5565060</v>
      </c>
      <c r="AE89" s="77">
        <f t="shared" si="37"/>
        <v>5844240</v>
      </c>
      <c r="AF89" s="99">
        <f t="shared" si="38"/>
        <v>6137460</v>
      </c>
    </row>
    <row r="90" spans="1:32" x14ac:dyDescent="0.3">
      <c r="A90" s="21">
        <v>3012</v>
      </c>
      <c r="B90" s="22" t="s">
        <v>22</v>
      </c>
      <c r="C90" s="34"/>
      <c r="D90" s="34"/>
      <c r="E90" s="42">
        <v>45</v>
      </c>
      <c r="F90" s="42">
        <v>45</v>
      </c>
      <c r="G90" s="42">
        <v>45</v>
      </c>
      <c r="H90" s="42">
        <v>45</v>
      </c>
      <c r="I90" s="42">
        <v>45</v>
      </c>
      <c r="J90" s="42">
        <v>45</v>
      </c>
      <c r="K90" s="16"/>
      <c r="L90" s="84"/>
      <c r="M90" s="84"/>
      <c r="N90" s="84">
        <v>4810</v>
      </c>
      <c r="O90" s="84">
        <f t="shared" si="28"/>
        <v>4810</v>
      </c>
      <c r="P90" s="26">
        <v>1152</v>
      </c>
      <c r="Q90" s="26">
        <v>3646</v>
      </c>
      <c r="R90" s="84">
        <f t="shared" si="29"/>
        <v>4798</v>
      </c>
      <c r="S90" s="84">
        <v>4783</v>
      </c>
      <c r="T90" s="84">
        <v>4878</v>
      </c>
      <c r="U90" s="84">
        <v>4976</v>
      </c>
      <c r="V90" s="16"/>
      <c r="W90" s="28">
        <f t="shared" si="30"/>
        <v>0</v>
      </c>
      <c r="X90" s="28">
        <f t="shared" si="31"/>
        <v>0</v>
      </c>
      <c r="Y90" s="28">
        <f t="shared" si="32"/>
        <v>216450</v>
      </c>
      <c r="Z90" s="28">
        <f t="shared" si="33"/>
        <v>216450</v>
      </c>
      <c r="AA90" s="28">
        <f t="shared" si="34"/>
        <v>51840</v>
      </c>
      <c r="AB90" s="28">
        <f t="shared" si="35"/>
        <v>164070</v>
      </c>
      <c r="AC90" s="28">
        <f>SUM(AA90:AB90)</f>
        <v>215910</v>
      </c>
      <c r="AD90" s="77">
        <f t="shared" si="36"/>
        <v>215235</v>
      </c>
      <c r="AE90" s="77">
        <f t="shared" si="37"/>
        <v>219510</v>
      </c>
      <c r="AF90" s="99">
        <f t="shared" si="38"/>
        <v>223920</v>
      </c>
    </row>
    <row r="91" spans="1:32" x14ac:dyDescent="0.3">
      <c r="A91" s="21">
        <v>3112</v>
      </c>
      <c r="B91" s="22" t="s">
        <v>23</v>
      </c>
      <c r="C91" s="34"/>
      <c r="D91" s="34"/>
      <c r="E91" s="42">
        <v>30</v>
      </c>
      <c r="F91" s="42">
        <v>30</v>
      </c>
      <c r="G91" s="42">
        <v>30</v>
      </c>
      <c r="H91" s="42">
        <v>30</v>
      </c>
      <c r="I91" s="42">
        <v>30</v>
      </c>
      <c r="J91" s="42">
        <v>30</v>
      </c>
      <c r="K91" s="16"/>
      <c r="L91" s="84"/>
      <c r="M91" s="84"/>
      <c r="N91" s="84">
        <v>4810</v>
      </c>
      <c r="O91" s="84">
        <f t="shared" si="28"/>
        <v>4810</v>
      </c>
      <c r="P91" s="26">
        <v>1152</v>
      </c>
      <c r="Q91" s="26">
        <v>3646</v>
      </c>
      <c r="R91" s="84">
        <f t="shared" si="29"/>
        <v>4798</v>
      </c>
      <c r="S91" s="84">
        <v>4783</v>
      </c>
      <c r="T91" s="84">
        <v>4878</v>
      </c>
      <c r="U91" s="84">
        <v>4976</v>
      </c>
      <c r="V91" s="16"/>
      <c r="W91" s="28">
        <f t="shared" si="30"/>
        <v>0</v>
      </c>
      <c r="X91" s="28">
        <f t="shared" si="31"/>
        <v>0</v>
      </c>
      <c r="Y91" s="28">
        <f t="shared" si="32"/>
        <v>144300</v>
      </c>
      <c r="Z91" s="28">
        <f t="shared" si="33"/>
        <v>144300</v>
      </c>
      <c r="AA91" s="28">
        <f t="shared" si="34"/>
        <v>34560</v>
      </c>
      <c r="AB91" s="28">
        <f t="shared" si="35"/>
        <v>109380</v>
      </c>
      <c r="AC91" s="28">
        <f t="shared" ref="AC91:AC120" si="39">SUM(AA91:AB91)</f>
        <v>143940</v>
      </c>
      <c r="AD91" s="77">
        <f t="shared" si="36"/>
        <v>143490</v>
      </c>
      <c r="AE91" s="77">
        <f t="shared" si="37"/>
        <v>146340</v>
      </c>
      <c r="AF91" s="99">
        <f t="shared" si="38"/>
        <v>149280</v>
      </c>
    </row>
    <row r="92" spans="1:32" x14ac:dyDescent="0.3">
      <c r="A92" s="21">
        <v>3312</v>
      </c>
      <c r="B92" s="22" t="s">
        <v>24</v>
      </c>
      <c r="C92" s="34"/>
      <c r="D92" s="34"/>
      <c r="E92" s="42">
        <v>115</v>
      </c>
      <c r="F92" s="42">
        <v>115</v>
      </c>
      <c r="G92" s="42">
        <v>115</v>
      </c>
      <c r="H92" s="42">
        <v>115</v>
      </c>
      <c r="I92" s="42">
        <v>115</v>
      </c>
      <c r="J92" s="42">
        <v>115</v>
      </c>
      <c r="K92" s="16"/>
      <c r="L92" s="84"/>
      <c r="M92" s="84"/>
      <c r="N92" s="84">
        <v>4810</v>
      </c>
      <c r="O92" s="84">
        <f t="shared" si="28"/>
        <v>4810</v>
      </c>
      <c r="P92" s="26">
        <v>1152</v>
      </c>
      <c r="Q92" s="26">
        <v>3646</v>
      </c>
      <c r="R92" s="84">
        <f t="shared" si="29"/>
        <v>4798</v>
      </c>
      <c r="S92" s="84">
        <v>4783</v>
      </c>
      <c r="T92" s="84">
        <v>4878</v>
      </c>
      <c r="U92" s="84">
        <v>4976</v>
      </c>
      <c r="V92" s="16"/>
      <c r="W92" s="28">
        <f t="shared" si="30"/>
        <v>0</v>
      </c>
      <c r="X92" s="28">
        <f t="shared" si="31"/>
        <v>0</v>
      </c>
      <c r="Y92" s="28">
        <f t="shared" si="32"/>
        <v>553150</v>
      </c>
      <c r="Z92" s="28">
        <f t="shared" si="33"/>
        <v>553150</v>
      </c>
      <c r="AA92" s="28">
        <f t="shared" si="34"/>
        <v>132480</v>
      </c>
      <c r="AB92" s="28">
        <f t="shared" si="35"/>
        <v>419290</v>
      </c>
      <c r="AC92" s="28">
        <f t="shared" si="39"/>
        <v>551770</v>
      </c>
      <c r="AD92" s="77">
        <f t="shared" si="36"/>
        <v>550045</v>
      </c>
      <c r="AE92" s="77">
        <f t="shared" si="37"/>
        <v>560970</v>
      </c>
      <c r="AF92" s="99">
        <f t="shared" si="38"/>
        <v>572240</v>
      </c>
    </row>
    <row r="93" spans="1:32" x14ac:dyDescent="0.3">
      <c r="A93" s="21">
        <v>3013</v>
      </c>
      <c r="B93" s="22" t="s">
        <v>25</v>
      </c>
      <c r="C93" s="34"/>
      <c r="D93" s="34"/>
      <c r="E93" s="42">
        <v>45</v>
      </c>
      <c r="F93" s="42">
        <v>45</v>
      </c>
      <c r="G93" s="42">
        <v>45</v>
      </c>
      <c r="H93" s="42">
        <v>45</v>
      </c>
      <c r="I93" s="42">
        <v>45</v>
      </c>
      <c r="J93" s="42">
        <v>45</v>
      </c>
      <c r="K93" s="16"/>
      <c r="L93" s="84"/>
      <c r="M93" s="84"/>
      <c r="N93" s="84">
        <v>167</v>
      </c>
      <c r="O93" s="84">
        <f t="shared" si="28"/>
        <v>167</v>
      </c>
      <c r="P93" s="26">
        <v>40</v>
      </c>
      <c r="Q93" s="26">
        <v>125</v>
      </c>
      <c r="R93" s="84">
        <f t="shared" si="29"/>
        <v>165</v>
      </c>
      <c r="S93" s="84">
        <v>164</v>
      </c>
      <c r="T93" s="84">
        <v>165</v>
      </c>
      <c r="U93" s="84">
        <v>167</v>
      </c>
      <c r="V93" s="16"/>
      <c r="W93" s="28">
        <f t="shared" si="30"/>
        <v>0</v>
      </c>
      <c r="X93" s="28">
        <f t="shared" si="31"/>
        <v>0</v>
      </c>
      <c r="Y93" s="28">
        <f t="shared" si="32"/>
        <v>7515</v>
      </c>
      <c r="Z93" s="28">
        <f t="shared" si="33"/>
        <v>7515</v>
      </c>
      <c r="AA93" s="28">
        <f t="shared" si="34"/>
        <v>1800</v>
      </c>
      <c r="AB93" s="28">
        <f t="shared" si="35"/>
        <v>5625</v>
      </c>
      <c r="AC93" s="28">
        <f t="shared" si="39"/>
        <v>7425</v>
      </c>
      <c r="AD93" s="77">
        <f t="shared" si="36"/>
        <v>7380</v>
      </c>
      <c r="AE93" s="77">
        <f t="shared" si="37"/>
        <v>7425</v>
      </c>
      <c r="AF93" s="99">
        <f t="shared" si="38"/>
        <v>7515</v>
      </c>
    </row>
    <row r="94" spans="1:32" x14ac:dyDescent="0.3">
      <c r="A94" s="21">
        <v>3113</v>
      </c>
      <c r="B94" s="22" t="s">
        <v>26</v>
      </c>
      <c r="C94" s="34"/>
      <c r="D94" s="34"/>
      <c r="E94" s="42">
        <v>95</v>
      </c>
      <c r="F94" s="42">
        <v>95</v>
      </c>
      <c r="G94" s="42">
        <v>95</v>
      </c>
      <c r="H94" s="42">
        <v>95</v>
      </c>
      <c r="I94" s="42">
        <v>95</v>
      </c>
      <c r="J94" s="42">
        <v>95</v>
      </c>
      <c r="K94" s="16"/>
      <c r="L94" s="84"/>
      <c r="M94" s="84"/>
      <c r="N94" s="84">
        <v>167</v>
      </c>
      <c r="O94" s="84">
        <f t="shared" si="28"/>
        <v>167</v>
      </c>
      <c r="P94" s="26">
        <v>40</v>
      </c>
      <c r="Q94" s="26">
        <v>125</v>
      </c>
      <c r="R94" s="84">
        <f t="shared" si="29"/>
        <v>165</v>
      </c>
      <c r="S94" s="84">
        <v>164</v>
      </c>
      <c r="T94" s="84">
        <v>165</v>
      </c>
      <c r="U94" s="84">
        <v>167</v>
      </c>
      <c r="V94" s="16"/>
      <c r="W94" s="28">
        <f t="shared" si="30"/>
        <v>0</v>
      </c>
      <c r="X94" s="28">
        <f t="shared" si="31"/>
        <v>0</v>
      </c>
      <c r="Y94" s="28">
        <f t="shared" si="32"/>
        <v>15865</v>
      </c>
      <c r="Z94" s="28">
        <f t="shared" si="33"/>
        <v>15865</v>
      </c>
      <c r="AA94" s="28">
        <f t="shared" si="34"/>
        <v>3800</v>
      </c>
      <c r="AB94" s="28">
        <f t="shared" si="35"/>
        <v>11875</v>
      </c>
      <c r="AC94" s="28">
        <f t="shared" si="39"/>
        <v>15675</v>
      </c>
      <c r="AD94" s="77">
        <f t="shared" si="36"/>
        <v>15580</v>
      </c>
      <c r="AE94" s="77">
        <f t="shared" si="37"/>
        <v>15675</v>
      </c>
      <c r="AF94" s="99">
        <f t="shared" si="38"/>
        <v>15865</v>
      </c>
    </row>
    <row r="95" spans="1:32" x14ac:dyDescent="0.3">
      <c r="A95" s="21">
        <v>3313</v>
      </c>
      <c r="B95" s="22" t="s">
        <v>27</v>
      </c>
      <c r="C95" s="34"/>
      <c r="D95" s="34"/>
      <c r="E95" s="42">
        <v>145</v>
      </c>
      <c r="F95" s="42">
        <v>145</v>
      </c>
      <c r="G95" s="42">
        <v>145</v>
      </c>
      <c r="H95" s="42">
        <v>145</v>
      </c>
      <c r="I95" s="42">
        <v>145</v>
      </c>
      <c r="J95" s="42">
        <v>145</v>
      </c>
      <c r="K95" s="16"/>
      <c r="L95" s="84"/>
      <c r="M95" s="84"/>
      <c r="N95" s="84">
        <v>167</v>
      </c>
      <c r="O95" s="84">
        <f t="shared" si="28"/>
        <v>167</v>
      </c>
      <c r="P95" s="26">
        <v>40</v>
      </c>
      <c r="Q95" s="26">
        <v>125</v>
      </c>
      <c r="R95" s="84">
        <f t="shared" si="29"/>
        <v>165</v>
      </c>
      <c r="S95" s="84">
        <v>164</v>
      </c>
      <c r="T95" s="84">
        <v>165</v>
      </c>
      <c r="U95" s="84">
        <v>167</v>
      </c>
      <c r="V95" s="16"/>
      <c r="W95" s="28">
        <f t="shared" si="30"/>
        <v>0</v>
      </c>
      <c r="X95" s="28">
        <f t="shared" si="31"/>
        <v>0</v>
      </c>
      <c r="Y95" s="28">
        <f t="shared" si="32"/>
        <v>24215</v>
      </c>
      <c r="Z95" s="28">
        <f t="shared" si="33"/>
        <v>24215</v>
      </c>
      <c r="AA95" s="28">
        <f t="shared" si="34"/>
        <v>5800</v>
      </c>
      <c r="AB95" s="28">
        <f t="shared" si="35"/>
        <v>18125</v>
      </c>
      <c r="AC95" s="28">
        <f t="shared" si="39"/>
        <v>23925</v>
      </c>
      <c r="AD95" s="77">
        <f t="shared" si="36"/>
        <v>23780</v>
      </c>
      <c r="AE95" s="77">
        <f t="shared" si="37"/>
        <v>23925</v>
      </c>
      <c r="AF95" s="99">
        <f t="shared" si="38"/>
        <v>24215</v>
      </c>
    </row>
    <row r="96" spans="1:32" x14ac:dyDescent="0.3">
      <c r="A96" s="21">
        <v>3014</v>
      </c>
      <c r="B96" s="22" t="s">
        <v>28</v>
      </c>
      <c r="C96" s="34"/>
      <c r="D96" s="34"/>
      <c r="E96" s="42">
        <v>70</v>
      </c>
      <c r="F96" s="42">
        <v>70</v>
      </c>
      <c r="G96" s="42">
        <v>70</v>
      </c>
      <c r="H96" s="42">
        <v>70</v>
      </c>
      <c r="I96" s="42">
        <v>70</v>
      </c>
      <c r="J96" s="42">
        <v>70</v>
      </c>
      <c r="K96" s="16"/>
      <c r="L96" s="84"/>
      <c r="M96" s="84"/>
      <c r="N96" s="84">
        <v>49</v>
      </c>
      <c r="O96" s="84">
        <f t="shared" si="28"/>
        <v>49</v>
      </c>
      <c r="P96" s="26">
        <v>12</v>
      </c>
      <c r="Q96" s="26">
        <v>36</v>
      </c>
      <c r="R96" s="84">
        <f t="shared" si="29"/>
        <v>48</v>
      </c>
      <c r="S96" s="84">
        <v>48</v>
      </c>
      <c r="T96" s="84">
        <v>49</v>
      </c>
      <c r="U96" s="84">
        <v>51</v>
      </c>
      <c r="V96" s="16"/>
      <c r="W96" s="28">
        <f t="shared" si="30"/>
        <v>0</v>
      </c>
      <c r="X96" s="28">
        <f t="shared" si="31"/>
        <v>0</v>
      </c>
      <c r="Y96" s="28">
        <f t="shared" si="32"/>
        <v>3430</v>
      </c>
      <c r="Z96" s="28">
        <f t="shared" si="33"/>
        <v>3430</v>
      </c>
      <c r="AA96" s="28">
        <f t="shared" si="34"/>
        <v>840</v>
      </c>
      <c r="AB96" s="28">
        <f t="shared" si="35"/>
        <v>2520</v>
      </c>
      <c r="AC96" s="28">
        <f t="shared" si="39"/>
        <v>3360</v>
      </c>
      <c r="AD96" s="77">
        <f t="shared" si="36"/>
        <v>3360</v>
      </c>
      <c r="AE96" s="77">
        <f t="shared" si="37"/>
        <v>3430</v>
      </c>
      <c r="AF96" s="99">
        <f t="shared" si="38"/>
        <v>3570</v>
      </c>
    </row>
    <row r="97" spans="1:32" x14ac:dyDescent="0.3">
      <c r="A97" s="21">
        <v>3114</v>
      </c>
      <c r="B97" s="22" t="s">
        <v>29</v>
      </c>
      <c r="C97" s="34"/>
      <c r="D97" s="34"/>
      <c r="E97" s="42">
        <v>150</v>
      </c>
      <c r="F97" s="42">
        <v>150</v>
      </c>
      <c r="G97" s="42">
        <v>150</v>
      </c>
      <c r="H97" s="42">
        <v>150</v>
      </c>
      <c r="I97" s="42">
        <v>150</v>
      </c>
      <c r="J97" s="42">
        <v>150</v>
      </c>
      <c r="K97" s="16"/>
      <c r="L97" s="84"/>
      <c r="M97" s="84"/>
      <c r="N97" s="84">
        <v>49</v>
      </c>
      <c r="O97" s="84">
        <f t="shared" si="28"/>
        <v>49</v>
      </c>
      <c r="P97" s="26">
        <v>12</v>
      </c>
      <c r="Q97" s="26">
        <v>36</v>
      </c>
      <c r="R97" s="84">
        <f t="shared" si="29"/>
        <v>48</v>
      </c>
      <c r="S97" s="84">
        <v>48</v>
      </c>
      <c r="T97" s="84">
        <v>49</v>
      </c>
      <c r="U97" s="84">
        <v>51</v>
      </c>
      <c r="V97" s="16"/>
      <c r="W97" s="28">
        <f t="shared" si="30"/>
        <v>0</v>
      </c>
      <c r="X97" s="28">
        <f t="shared" si="31"/>
        <v>0</v>
      </c>
      <c r="Y97" s="28">
        <f t="shared" si="32"/>
        <v>7350</v>
      </c>
      <c r="Z97" s="28">
        <f t="shared" si="33"/>
        <v>7350</v>
      </c>
      <c r="AA97" s="28">
        <f t="shared" si="34"/>
        <v>1800</v>
      </c>
      <c r="AB97" s="28">
        <f t="shared" si="35"/>
        <v>5400</v>
      </c>
      <c r="AC97" s="28">
        <f t="shared" si="39"/>
        <v>7200</v>
      </c>
      <c r="AD97" s="77">
        <f t="shared" si="36"/>
        <v>7200</v>
      </c>
      <c r="AE97" s="77">
        <f t="shared" si="37"/>
        <v>7350</v>
      </c>
      <c r="AF97" s="99">
        <f t="shared" si="38"/>
        <v>7650</v>
      </c>
    </row>
    <row r="98" spans="1:32" x14ac:dyDescent="0.3">
      <c r="A98" s="21">
        <v>3314</v>
      </c>
      <c r="B98" s="22" t="s">
        <v>30</v>
      </c>
      <c r="C98" s="34"/>
      <c r="D98" s="34"/>
      <c r="E98" s="42">
        <v>540</v>
      </c>
      <c r="F98" s="42">
        <v>540</v>
      </c>
      <c r="G98" s="42">
        <v>540</v>
      </c>
      <c r="H98" s="42">
        <v>540</v>
      </c>
      <c r="I98" s="42">
        <v>540</v>
      </c>
      <c r="J98" s="42">
        <v>540</v>
      </c>
      <c r="K98" s="16"/>
      <c r="L98" s="84"/>
      <c r="M98" s="84"/>
      <c r="N98" s="84">
        <v>49</v>
      </c>
      <c r="O98" s="84">
        <f t="shared" si="28"/>
        <v>49</v>
      </c>
      <c r="P98" s="26">
        <v>12</v>
      </c>
      <c r="Q98" s="26">
        <v>36</v>
      </c>
      <c r="R98" s="84">
        <f t="shared" si="29"/>
        <v>48</v>
      </c>
      <c r="S98" s="84">
        <v>48</v>
      </c>
      <c r="T98" s="84">
        <v>49</v>
      </c>
      <c r="U98" s="84">
        <v>51</v>
      </c>
      <c r="V98" s="16"/>
      <c r="W98" s="28">
        <f t="shared" si="30"/>
        <v>0</v>
      </c>
      <c r="X98" s="28">
        <f t="shared" si="31"/>
        <v>0</v>
      </c>
      <c r="Y98" s="28">
        <f t="shared" si="32"/>
        <v>26460</v>
      </c>
      <c r="Z98" s="28">
        <f t="shared" si="33"/>
        <v>26460</v>
      </c>
      <c r="AA98" s="28">
        <f t="shared" si="34"/>
        <v>6480</v>
      </c>
      <c r="AB98" s="28">
        <f t="shared" si="35"/>
        <v>19440</v>
      </c>
      <c r="AC98" s="28">
        <f t="shared" si="39"/>
        <v>25920</v>
      </c>
      <c r="AD98" s="77">
        <f t="shared" si="36"/>
        <v>25920</v>
      </c>
      <c r="AE98" s="77">
        <f t="shared" si="37"/>
        <v>26460</v>
      </c>
      <c r="AF98" s="99">
        <f t="shared" si="38"/>
        <v>27540</v>
      </c>
    </row>
    <row r="99" spans="1:32" x14ac:dyDescent="0.3">
      <c r="A99" s="29">
        <v>3005</v>
      </c>
      <c r="B99" s="22" t="s">
        <v>31</v>
      </c>
      <c r="C99" s="34"/>
      <c r="D99" s="34"/>
      <c r="E99" s="42">
        <v>65</v>
      </c>
      <c r="F99" s="42">
        <v>65</v>
      </c>
      <c r="G99" s="42">
        <v>65</v>
      </c>
      <c r="H99" s="42">
        <v>65</v>
      </c>
      <c r="I99" s="42">
        <v>65</v>
      </c>
      <c r="J99" s="42">
        <v>65</v>
      </c>
      <c r="K99" s="16"/>
      <c r="L99" s="84"/>
      <c r="M99" s="84"/>
      <c r="N99" s="84">
        <v>31899</v>
      </c>
      <c r="O99" s="84">
        <f t="shared" si="28"/>
        <v>31899</v>
      </c>
      <c r="P99" s="26">
        <v>8099</v>
      </c>
      <c r="Q99" s="26">
        <v>25646</v>
      </c>
      <c r="R99" s="84">
        <f t="shared" si="29"/>
        <v>33745</v>
      </c>
      <c r="S99" s="84">
        <v>35698</v>
      </c>
      <c r="T99" s="84">
        <v>37840</v>
      </c>
      <c r="U99" s="84">
        <v>40111</v>
      </c>
      <c r="V99" s="16"/>
      <c r="W99" s="28">
        <f t="shared" si="30"/>
        <v>0</v>
      </c>
      <c r="X99" s="28">
        <f t="shared" si="31"/>
        <v>0</v>
      </c>
      <c r="Y99" s="28">
        <f t="shared" si="32"/>
        <v>2073435</v>
      </c>
      <c r="Z99" s="28">
        <f t="shared" si="33"/>
        <v>2073435</v>
      </c>
      <c r="AA99" s="28">
        <f t="shared" si="34"/>
        <v>526435</v>
      </c>
      <c r="AB99" s="28">
        <f t="shared" si="35"/>
        <v>1666990</v>
      </c>
      <c r="AC99" s="28">
        <f t="shared" si="39"/>
        <v>2193425</v>
      </c>
      <c r="AD99" s="77">
        <f t="shared" si="36"/>
        <v>2320370</v>
      </c>
      <c r="AE99" s="77">
        <f t="shared" si="37"/>
        <v>2459600</v>
      </c>
      <c r="AF99" s="99">
        <f t="shared" si="38"/>
        <v>2607215</v>
      </c>
    </row>
    <row r="100" spans="1:32" x14ac:dyDescent="0.3">
      <c r="A100" s="21">
        <v>3017</v>
      </c>
      <c r="B100" s="22" t="s">
        <v>32</v>
      </c>
      <c r="C100" s="34"/>
      <c r="D100" s="34"/>
      <c r="E100" s="42">
        <v>45</v>
      </c>
      <c r="F100" s="42">
        <v>45</v>
      </c>
      <c r="G100" s="42">
        <v>45</v>
      </c>
      <c r="H100" s="42">
        <v>45</v>
      </c>
      <c r="I100" s="42">
        <v>45</v>
      </c>
      <c r="J100" s="42">
        <v>45</v>
      </c>
      <c r="K100" s="16"/>
      <c r="L100" s="84"/>
      <c r="M100" s="84"/>
      <c r="N100" s="84">
        <v>149</v>
      </c>
      <c r="O100" s="84">
        <f t="shared" si="28"/>
        <v>149</v>
      </c>
      <c r="P100" s="26">
        <v>36</v>
      </c>
      <c r="Q100" s="26">
        <v>112</v>
      </c>
      <c r="R100" s="84">
        <f t="shared" si="29"/>
        <v>148</v>
      </c>
      <c r="S100" s="84">
        <v>148</v>
      </c>
      <c r="T100" s="84">
        <v>151</v>
      </c>
      <c r="U100" s="84">
        <v>154</v>
      </c>
      <c r="V100" s="16"/>
      <c r="W100" s="28">
        <f t="shared" si="30"/>
        <v>0</v>
      </c>
      <c r="X100" s="28">
        <f t="shared" si="31"/>
        <v>0</v>
      </c>
      <c r="Y100" s="28">
        <f t="shared" si="32"/>
        <v>6705</v>
      </c>
      <c r="Z100" s="28">
        <f t="shared" si="33"/>
        <v>6705</v>
      </c>
      <c r="AA100" s="28">
        <f t="shared" si="34"/>
        <v>1620</v>
      </c>
      <c r="AB100" s="28">
        <f t="shared" si="35"/>
        <v>5040</v>
      </c>
      <c r="AC100" s="28">
        <f t="shared" si="39"/>
        <v>6660</v>
      </c>
      <c r="AD100" s="77">
        <f t="shared" si="36"/>
        <v>6660</v>
      </c>
      <c r="AE100" s="77">
        <f t="shared" si="37"/>
        <v>6795</v>
      </c>
      <c r="AF100" s="99">
        <f t="shared" si="38"/>
        <v>6930</v>
      </c>
    </row>
    <row r="101" spans="1:32" x14ac:dyDescent="0.3">
      <c r="A101" s="21">
        <v>3019</v>
      </c>
      <c r="B101" s="22" t="s">
        <v>33</v>
      </c>
      <c r="C101" s="34"/>
      <c r="D101" s="34"/>
      <c r="E101" s="42">
        <v>70</v>
      </c>
      <c r="F101" s="42">
        <v>70</v>
      </c>
      <c r="G101" s="42">
        <v>70</v>
      </c>
      <c r="H101" s="42">
        <v>70</v>
      </c>
      <c r="I101" s="42">
        <v>70</v>
      </c>
      <c r="J101" s="42">
        <v>70</v>
      </c>
      <c r="K101" s="16"/>
      <c r="L101" s="84"/>
      <c r="M101" s="84"/>
      <c r="N101" s="84">
        <v>0</v>
      </c>
      <c r="O101" s="84">
        <f t="shared" si="28"/>
        <v>0</v>
      </c>
      <c r="P101" s="26">
        <v>0</v>
      </c>
      <c r="Q101" s="26">
        <v>0</v>
      </c>
      <c r="R101" s="84">
        <f t="shared" si="29"/>
        <v>0</v>
      </c>
      <c r="S101" s="84">
        <v>0</v>
      </c>
      <c r="T101" s="84">
        <v>0</v>
      </c>
      <c r="U101" s="84">
        <v>0</v>
      </c>
      <c r="V101" s="16"/>
      <c r="W101" s="28">
        <f t="shared" si="30"/>
        <v>0</v>
      </c>
      <c r="X101" s="28">
        <f t="shared" si="31"/>
        <v>0</v>
      </c>
      <c r="Y101" s="28">
        <f t="shared" si="32"/>
        <v>0</v>
      </c>
      <c r="Z101" s="28">
        <f t="shared" si="33"/>
        <v>0</v>
      </c>
      <c r="AA101" s="28">
        <f t="shared" si="34"/>
        <v>0</v>
      </c>
      <c r="AB101" s="28">
        <f t="shared" si="35"/>
        <v>0</v>
      </c>
      <c r="AC101" s="28">
        <f t="shared" si="39"/>
        <v>0</v>
      </c>
      <c r="AD101" s="77">
        <f t="shared" si="36"/>
        <v>0</v>
      </c>
      <c r="AE101" s="77">
        <f t="shared" si="37"/>
        <v>0</v>
      </c>
      <c r="AF101" s="99">
        <f t="shared" si="38"/>
        <v>0</v>
      </c>
    </row>
    <row r="102" spans="1:32" x14ac:dyDescent="0.3">
      <c r="A102" s="21">
        <v>3051</v>
      </c>
      <c r="B102" s="22" t="s">
        <v>34</v>
      </c>
      <c r="C102" s="34"/>
      <c r="D102" s="34"/>
      <c r="E102" s="42">
        <v>35</v>
      </c>
      <c r="F102" s="42">
        <v>35</v>
      </c>
      <c r="G102" s="42">
        <v>35</v>
      </c>
      <c r="H102" s="42">
        <v>35</v>
      </c>
      <c r="I102" s="42">
        <v>35</v>
      </c>
      <c r="J102" s="42">
        <v>35</v>
      </c>
      <c r="K102" s="16"/>
      <c r="L102" s="84"/>
      <c r="M102" s="84"/>
      <c r="N102" s="84">
        <v>7021</v>
      </c>
      <c r="O102" s="84">
        <f t="shared" si="28"/>
        <v>7021</v>
      </c>
      <c r="P102" s="26">
        <v>1759</v>
      </c>
      <c r="Q102" s="26">
        <v>5572</v>
      </c>
      <c r="R102" s="84">
        <f t="shared" si="29"/>
        <v>7331</v>
      </c>
      <c r="S102" s="84">
        <v>7704</v>
      </c>
      <c r="T102" s="84">
        <v>8089</v>
      </c>
      <c r="U102" s="84">
        <v>8492</v>
      </c>
      <c r="V102" s="16"/>
      <c r="W102" s="28">
        <f t="shared" si="30"/>
        <v>0</v>
      </c>
      <c r="X102" s="28">
        <f t="shared" si="31"/>
        <v>0</v>
      </c>
      <c r="Y102" s="28">
        <f t="shared" si="32"/>
        <v>245735</v>
      </c>
      <c r="Z102" s="28">
        <f t="shared" si="33"/>
        <v>245735</v>
      </c>
      <c r="AA102" s="28">
        <f t="shared" si="34"/>
        <v>61565</v>
      </c>
      <c r="AB102" s="28">
        <f t="shared" si="35"/>
        <v>195020</v>
      </c>
      <c r="AC102" s="28">
        <f t="shared" si="39"/>
        <v>256585</v>
      </c>
      <c r="AD102" s="77">
        <f t="shared" si="36"/>
        <v>269640</v>
      </c>
      <c r="AE102" s="77">
        <f t="shared" si="37"/>
        <v>283115</v>
      </c>
      <c r="AF102" s="99">
        <f t="shared" si="38"/>
        <v>297220</v>
      </c>
    </row>
    <row r="103" spans="1:32" x14ac:dyDescent="0.3">
      <c r="A103" s="29">
        <v>3052</v>
      </c>
      <c r="B103" s="30" t="s">
        <v>35</v>
      </c>
      <c r="C103" s="34"/>
      <c r="D103" s="34"/>
      <c r="E103" s="42">
        <v>15</v>
      </c>
      <c r="F103" s="42">
        <v>15</v>
      </c>
      <c r="G103" s="42">
        <v>15</v>
      </c>
      <c r="H103" s="42">
        <v>15</v>
      </c>
      <c r="I103" s="42">
        <v>15</v>
      </c>
      <c r="J103" s="42">
        <v>15</v>
      </c>
      <c r="K103" s="16"/>
      <c r="L103" s="84"/>
      <c r="M103" s="84"/>
      <c r="N103" s="84">
        <v>924</v>
      </c>
      <c r="O103" s="84">
        <f t="shared" si="28"/>
        <v>924</v>
      </c>
      <c r="P103" s="26">
        <v>234</v>
      </c>
      <c r="Q103" s="26">
        <v>743</v>
      </c>
      <c r="R103" s="84">
        <f t="shared" si="29"/>
        <v>977</v>
      </c>
      <c r="S103" s="84">
        <v>1033</v>
      </c>
      <c r="T103" s="84">
        <v>1095</v>
      </c>
      <c r="U103" s="84">
        <v>1161</v>
      </c>
      <c r="V103" s="16"/>
      <c r="W103" s="28">
        <f t="shared" si="30"/>
        <v>0</v>
      </c>
      <c r="X103" s="28">
        <f t="shared" si="31"/>
        <v>0</v>
      </c>
      <c r="Y103" s="28">
        <f t="shared" si="32"/>
        <v>13860</v>
      </c>
      <c r="Z103" s="28">
        <f t="shared" si="33"/>
        <v>13860</v>
      </c>
      <c r="AA103" s="28">
        <f t="shared" si="34"/>
        <v>3510</v>
      </c>
      <c r="AB103" s="28">
        <f t="shared" si="35"/>
        <v>11145</v>
      </c>
      <c r="AC103" s="28">
        <f t="shared" si="39"/>
        <v>14655</v>
      </c>
      <c r="AD103" s="77">
        <f t="shared" si="36"/>
        <v>15495</v>
      </c>
      <c r="AE103" s="77">
        <f t="shared" si="37"/>
        <v>16425</v>
      </c>
      <c r="AF103" s="99">
        <f t="shared" si="38"/>
        <v>17415</v>
      </c>
    </row>
    <row r="104" spans="1:32" x14ac:dyDescent="0.3">
      <c r="A104" s="29">
        <v>3081</v>
      </c>
      <c r="B104" s="22" t="s">
        <v>36</v>
      </c>
      <c r="C104" s="34"/>
      <c r="D104" s="34"/>
      <c r="E104" s="42">
        <v>100</v>
      </c>
      <c r="F104" s="42">
        <v>100</v>
      </c>
      <c r="G104" s="42">
        <v>100</v>
      </c>
      <c r="H104" s="42">
        <v>100</v>
      </c>
      <c r="I104" s="42">
        <v>100</v>
      </c>
      <c r="J104" s="42">
        <v>100</v>
      </c>
      <c r="K104" s="16"/>
      <c r="L104" s="84"/>
      <c r="M104" s="84"/>
      <c r="N104" s="84">
        <v>1661</v>
      </c>
      <c r="O104" s="84">
        <f t="shared" si="28"/>
        <v>1661</v>
      </c>
      <c r="P104" s="26">
        <v>411</v>
      </c>
      <c r="Q104" s="26">
        <v>1300</v>
      </c>
      <c r="R104" s="84">
        <f t="shared" si="29"/>
        <v>1711</v>
      </c>
      <c r="S104" s="84">
        <v>1774</v>
      </c>
      <c r="T104" s="84">
        <v>1863</v>
      </c>
      <c r="U104" s="84">
        <v>1957</v>
      </c>
      <c r="V104" s="16"/>
      <c r="W104" s="28">
        <f t="shared" si="30"/>
        <v>0</v>
      </c>
      <c r="X104" s="28">
        <f t="shared" si="31"/>
        <v>0</v>
      </c>
      <c r="Y104" s="28">
        <f t="shared" si="32"/>
        <v>166100</v>
      </c>
      <c r="Z104" s="28">
        <f t="shared" si="33"/>
        <v>166100</v>
      </c>
      <c r="AA104" s="28">
        <f t="shared" si="34"/>
        <v>41100</v>
      </c>
      <c r="AB104" s="28">
        <f t="shared" si="35"/>
        <v>130000</v>
      </c>
      <c r="AC104" s="28">
        <f t="shared" si="39"/>
        <v>171100</v>
      </c>
      <c r="AD104" s="77">
        <f t="shared" si="36"/>
        <v>177400</v>
      </c>
      <c r="AE104" s="77">
        <f t="shared" si="37"/>
        <v>186300</v>
      </c>
      <c r="AF104" s="99">
        <f t="shared" si="38"/>
        <v>195700</v>
      </c>
    </row>
    <row r="105" spans="1:32" x14ac:dyDescent="0.3">
      <c r="A105" s="29">
        <v>3082</v>
      </c>
      <c r="B105" s="22" t="s">
        <v>37</v>
      </c>
      <c r="C105" s="34"/>
      <c r="D105" s="34"/>
      <c r="E105" s="42">
        <v>100</v>
      </c>
      <c r="F105" s="42">
        <v>100</v>
      </c>
      <c r="G105" s="42">
        <v>100</v>
      </c>
      <c r="H105" s="42">
        <v>100</v>
      </c>
      <c r="I105" s="42">
        <v>100</v>
      </c>
      <c r="J105" s="42">
        <v>100</v>
      </c>
      <c r="K105" s="16"/>
      <c r="L105" s="84"/>
      <c r="M105" s="84"/>
      <c r="N105" s="84">
        <v>6</v>
      </c>
      <c r="O105" s="84">
        <f t="shared" si="28"/>
        <v>6</v>
      </c>
      <c r="P105" s="26">
        <v>1</v>
      </c>
      <c r="Q105" s="26">
        <v>5</v>
      </c>
      <c r="R105" s="84">
        <f t="shared" si="29"/>
        <v>6</v>
      </c>
      <c r="S105" s="84">
        <v>5</v>
      </c>
      <c r="T105" s="84">
        <v>6</v>
      </c>
      <c r="U105" s="84">
        <v>6</v>
      </c>
      <c r="V105" s="16"/>
      <c r="W105" s="28">
        <f t="shared" si="30"/>
        <v>0</v>
      </c>
      <c r="X105" s="28">
        <f t="shared" si="31"/>
        <v>0</v>
      </c>
      <c r="Y105" s="28">
        <f t="shared" si="32"/>
        <v>600</v>
      </c>
      <c r="Z105" s="28">
        <f t="shared" si="33"/>
        <v>600</v>
      </c>
      <c r="AA105" s="28">
        <f t="shared" si="34"/>
        <v>100</v>
      </c>
      <c r="AB105" s="28">
        <f t="shared" si="35"/>
        <v>500</v>
      </c>
      <c r="AC105" s="28">
        <f t="shared" si="39"/>
        <v>600</v>
      </c>
      <c r="AD105" s="77">
        <f t="shared" si="36"/>
        <v>500</v>
      </c>
      <c r="AE105" s="77">
        <f t="shared" si="37"/>
        <v>600</v>
      </c>
      <c r="AF105" s="99">
        <f t="shared" si="38"/>
        <v>600</v>
      </c>
    </row>
    <row r="106" spans="1:32" x14ac:dyDescent="0.3">
      <c r="A106" s="29">
        <v>3083</v>
      </c>
      <c r="B106" s="22" t="s">
        <v>38</v>
      </c>
      <c r="C106" s="34"/>
      <c r="D106" s="34"/>
      <c r="E106" s="42">
        <v>100</v>
      </c>
      <c r="F106" s="42">
        <v>100</v>
      </c>
      <c r="G106" s="42">
        <v>100</v>
      </c>
      <c r="H106" s="42">
        <v>100</v>
      </c>
      <c r="I106" s="42">
        <v>100</v>
      </c>
      <c r="J106" s="42">
        <v>100</v>
      </c>
      <c r="K106" s="16"/>
      <c r="L106" s="84"/>
      <c r="M106" s="84"/>
      <c r="N106" s="84">
        <v>0</v>
      </c>
      <c r="O106" s="84">
        <f t="shared" si="28"/>
        <v>0</v>
      </c>
      <c r="P106" s="26">
        <v>0</v>
      </c>
      <c r="Q106" s="26">
        <v>0</v>
      </c>
      <c r="R106" s="84">
        <f t="shared" si="29"/>
        <v>0</v>
      </c>
      <c r="S106" s="84">
        <v>0</v>
      </c>
      <c r="T106" s="84">
        <v>0</v>
      </c>
      <c r="U106" s="84">
        <v>0</v>
      </c>
      <c r="V106" s="16"/>
      <c r="W106" s="28">
        <f t="shared" si="30"/>
        <v>0</v>
      </c>
      <c r="X106" s="28">
        <f t="shared" si="31"/>
        <v>0</v>
      </c>
      <c r="Y106" s="28">
        <f t="shared" si="32"/>
        <v>0</v>
      </c>
      <c r="Z106" s="28">
        <f t="shared" si="33"/>
        <v>0</v>
      </c>
      <c r="AA106" s="28">
        <f t="shared" si="34"/>
        <v>0</v>
      </c>
      <c r="AB106" s="28">
        <f t="shared" si="35"/>
        <v>0</v>
      </c>
      <c r="AC106" s="28">
        <f t="shared" si="39"/>
        <v>0</v>
      </c>
      <c r="AD106" s="77">
        <f t="shared" si="36"/>
        <v>0</v>
      </c>
      <c r="AE106" s="77">
        <f t="shared" si="37"/>
        <v>0</v>
      </c>
      <c r="AF106" s="99">
        <f t="shared" si="38"/>
        <v>0</v>
      </c>
    </row>
    <row r="107" spans="1:32" x14ac:dyDescent="0.3">
      <c r="A107" s="29">
        <v>3084</v>
      </c>
      <c r="B107" s="22" t="s">
        <v>39</v>
      </c>
      <c r="C107" s="34"/>
      <c r="D107" s="34"/>
      <c r="E107" s="42">
        <v>100</v>
      </c>
      <c r="F107" s="42">
        <v>100</v>
      </c>
      <c r="G107" s="42">
        <v>100</v>
      </c>
      <c r="H107" s="42">
        <v>100</v>
      </c>
      <c r="I107" s="42">
        <v>100</v>
      </c>
      <c r="J107" s="42">
        <v>100</v>
      </c>
      <c r="K107" s="16"/>
      <c r="L107" s="84"/>
      <c r="M107" s="84"/>
      <c r="N107" s="84">
        <v>0</v>
      </c>
      <c r="O107" s="84">
        <f t="shared" si="28"/>
        <v>0</v>
      </c>
      <c r="P107" s="26">
        <v>0</v>
      </c>
      <c r="Q107" s="26">
        <v>0</v>
      </c>
      <c r="R107" s="84">
        <f t="shared" si="29"/>
        <v>0</v>
      </c>
      <c r="S107" s="84">
        <v>0</v>
      </c>
      <c r="T107" s="84">
        <v>0</v>
      </c>
      <c r="U107" s="84">
        <v>0</v>
      </c>
      <c r="V107" s="16"/>
      <c r="W107" s="28">
        <f t="shared" si="30"/>
        <v>0</v>
      </c>
      <c r="X107" s="28">
        <f t="shared" si="31"/>
        <v>0</v>
      </c>
      <c r="Y107" s="28">
        <f t="shared" si="32"/>
        <v>0</v>
      </c>
      <c r="Z107" s="28">
        <f t="shared" si="33"/>
        <v>0</v>
      </c>
      <c r="AA107" s="28">
        <f t="shared" si="34"/>
        <v>0</v>
      </c>
      <c r="AB107" s="28">
        <f t="shared" si="35"/>
        <v>0</v>
      </c>
      <c r="AC107" s="28">
        <f t="shared" si="39"/>
        <v>0</v>
      </c>
      <c r="AD107" s="77">
        <f t="shared" si="36"/>
        <v>0</v>
      </c>
      <c r="AE107" s="77">
        <f t="shared" si="37"/>
        <v>0</v>
      </c>
      <c r="AF107" s="99">
        <f t="shared" si="38"/>
        <v>0</v>
      </c>
    </row>
    <row r="108" spans="1:32" x14ac:dyDescent="0.3">
      <c r="A108" s="29">
        <v>3085</v>
      </c>
      <c r="B108" s="22" t="s">
        <v>40</v>
      </c>
      <c r="C108" s="34"/>
      <c r="D108" s="34"/>
      <c r="E108" s="42">
        <v>100</v>
      </c>
      <c r="F108" s="42">
        <v>100</v>
      </c>
      <c r="G108" s="42">
        <v>100</v>
      </c>
      <c r="H108" s="42">
        <v>100</v>
      </c>
      <c r="I108" s="42">
        <v>100</v>
      </c>
      <c r="J108" s="42">
        <v>100</v>
      </c>
      <c r="K108" s="16"/>
      <c r="L108" s="84"/>
      <c r="M108" s="84"/>
      <c r="N108" s="84">
        <v>1232</v>
      </c>
      <c r="O108" s="84">
        <f t="shared" si="28"/>
        <v>1232</v>
      </c>
      <c r="P108" s="26">
        <v>309</v>
      </c>
      <c r="Q108" s="26">
        <v>977</v>
      </c>
      <c r="R108" s="84">
        <f t="shared" si="29"/>
        <v>1286</v>
      </c>
      <c r="S108" s="84">
        <v>1341</v>
      </c>
      <c r="T108" s="84">
        <v>1422</v>
      </c>
      <c r="U108" s="84">
        <v>1507</v>
      </c>
      <c r="V108" s="16"/>
      <c r="W108" s="28">
        <f t="shared" si="30"/>
        <v>0</v>
      </c>
      <c r="X108" s="28">
        <f t="shared" si="31"/>
        <v>0</v>
      </c>
      <c r="Y108" s="28">
        <f t="shared" si="32"/>
        <v>123200</v>
      </c>
      <c r="Z108" s="28">
        <f t="shared" si="33"/>
        <v>123200</v>
      </c>
      <c r="AA108" s="28">
        <f t="shared" si="34"/>
        <v>30900</v>
      </c>
      <c r="AB108" s="28">
        <f t="shared" si="35"/>
        <v>97700</v>
      </c>
      <c r="AC108" s="28">
        <f t="shared" si="39"/>
        <v>128600</v>
      </c>
      <c r="AD108" s="77">
        <f t="shared" si="36"/>
        <v>134100</v>
      </c>
      <c r="AE108" s="77">
        <f t="shared" si="37"/>
        <v>142200</v>
      </c>
      <c r="AF108" s="99">
        <f t="shared" si="38"/>
        <v>150700</v>
      </c>
    </row>
    <row r="109" spans="1:32" x14ac:dyDescent="0.3">
      <c r="A109" s="21">
        <v>3201</v>
      </c>
      <c r="B109" s="22" t="s">
        <v>41</v>
      </c>
      <c r="C109" s="34"/>
      <c r="D109" s="34"/>
      <c r="E109" s="42">
        <v>105</v>
      </c>
      <c r="F109" s="42">
        <v>105</v>
      </c>
      <c r="G109" s="42">
        <v>105</v>
      </c>
      <c r="H109" s="42">
        <v>105</v>
      </c>
      <c r="I109" s="42">
        <v>105</v>
      </c>
      <c r="J109" s="42">
        <v>105</v>
      </c>
      <c r="K109" s="16"/>
      <c r="L109" s="84"/>
      <c r="M109" s="84"/>
      <c r="N109" s="84">
        <v>9064</v>
      </c>
      <c r="O109" s="84">
        <f t="shared" si="28"/>
        <v>9064</v>
      </c>
      <c r="P109" s="26">
        <v>2104</v>
      </c>
      <c r="Q109" s="26">
        <v>6664</v>
      </c>
      <c r="R109" s="84">
        <f t="shared" si="29"/>
        <v>8768</v>
      </c>
      <c r="S109" s="84">
        <v>8180</v>
      </c>
      <c r="T109" s="84">
        <v>7459</v>
      </c>
      <c r="U109" s="84">
        <v>6803</v>
      </c>
      <c r="V109" s="16"/>
      <c r="W109" s="28">
        <f t="shared" si="30"/>
        <v>0</v>
      </c>
      <c r="X109" s="28">
        <f t="shared" si="31"/>
        <v>0</v>
      </c>
      <c r="Y109" s="28">
        <f t="shared" si="32"/>
        <v>951720</v>
      </c>
      <c r="Z109" s="28">
        <f t="shared" si="33"/>
        <v>951720</v>
      </c>
      <c r="AA109" s="28">
        <f t="shared" si="34"/>
        <v>220920</v>
      </c>
      <c r="AB109" s="28">
        <f t="shared" si="35"/>
        <v>699720</v>
      </c>
      <c r="AC109" s="28">
        <f t="shared" si="39"/>
        <v>920640</v>
      </c>
      <c r="AD109" s="77">
        <f t="shared" si="36"/>
        <v>858900</v>
      </c>
      <c r="AE109" s="77">
        <f t="shared" si="37"/>
        <v>783195</v>
      </c>
      <c r="AF109" s="99">
        <f t="shared" si="38"/>
        <v>714315</v>
      </c>
    </row>
    <row r="110" spans="1:32" x14ac:dyDescent="0.3">
      <c r="A110" s="21">
        <v>3202</v>
      </c>
      <c r="B110" s="22" t="s">
        <v>42</v>
      </c>
      <c r="C110" s="34"/>
      <c r="D110" s="34"/>
      <c r="E110" s="42">
        <v>20</v>
      </c>
      <c r="F110" s="42">
        <v>20</v>
      </c>
      <c r="G110" s="42">
        <v>20</v>
      </c>
      <c r="H110" s="42">
        <v>20</v>
      </c>
      <c r="I110" s="42">
        <v>20</v>
      </c>
      <c r="J110" s="42">
        <v>20</v>
      </c>
      <c r="K110" s="16"/>
      <c r="L110" s="84"/>
      <c r="M110" s="84"/>
      <c r="N110" s="84">
        <v>74633</v>
      </c>
      <c r="O110" s="84">
        <f t="shared" si="28"/>
        <v>74633</v>
      </c>
      <c r="P110" s="26">
        <v>17327</v>
      </c>
      <c r="Q110" s="26">
        <v>54870</v>
      </c>
      <c r="R110" s="84">
        <f t="shared" si="29"/>
        <v>72197</v>
      </c>
      <c r="S110" s="84">
        <v>67351</v>
      </c>
      <c r="T110" s="84">
        <v>61421</v>
      </c>
      <c r="U110" s="84">
        <v>56012</v>
      </c>
      <c r="V110" s="16"/>
      <c r="W110" s="28">
        <f t="shared" si="30"/>
        <v>0</v>
      </c>
      <c r="X110" s="28">
        <f t="shared" si="31"/>
        <v>0</v>
      </c>
      <c r="Y110" s="28">
        <f t="shared" si="32"/>
        <v>1492660</v>
      </c>
      <c r="Z110" s="28">
        <f t="shared" si="33"/>
        <v>1492660</v>
      </c>
      <c r="AA110" s="28">
        <f t="shared" si="34"/>
        <v>346540</v>
      </c>
      <c r="AB110" s="28">
        <f t="shared" si="35"/>
        <v>1097400</v>
      </c>
      <c r="AC110" s="28">
        <f t="shared" si="39"/>
        <v>1443940</v>
      </c>
      <c r="AD110" s="77">
        <f t="shared" si="36"/>
        <v>1347020</v>
      </c>
      <c r="AE110" s="77">
        <f t="shared" si="37"/>
        <v>1228420</v>
      </c>
      <c r="AF110" s="99">
        <f t="shared" si="38"/>
        <v>1120240</v>
      </c>
    </row>
    <row r="111" spans="1:32" x14ac:dyDescent="0.3">
      <c r="A111" s="21">
        <v>3203</v>
      </c>
      <c r="B111" s="22" t="s">
        <v>43</v>
      </c>
      <c r="C111" s="34"/>
      <c r="D111" s="34"/>
      <c r="E111" s="42">
        <v>195</v>
      </c>
      <c r="F111" s="42">
        <v>195</v>
      </c>
      <c r="G111" s="42">
        <v>195</v>
      </c>
      <c r="H111" s="42">
        <v>195</v>
      </c>
      <c r="I111" s="42">
        <v>195</v>
      </c>
      <c r="J111" s="42">
        <v>195</v>
      </c>
      <c r="K111" s="16"/>
      <c r="L111" s="84"/>
      <c r="M111" s="84"/>
      <c r="N111" s="84">
        <v>373</v>
      </c>
      <c r="O111" s="84">
        <f t="shared" si="28"/>
        <v>373</v>
      </c>
      <c r="P111" s="26">
        <v>86</v>
      </c>
      <c r="Q111" s="26">
        <v>274</v>
      </c>
      <c r="R111" s="84">
        <f t="shared" si="29"/>
        <v>360</v>
      </c>
      <c r="S111" s="84">
        <v>336</v>
      </c>
      <c r="T111" s="84">
        <v>307</v>
      </c>
      <c r="U111" s="84">
        <v>280</v>
      </c>
      <c r="V111" s="16"/>
      <c r="W111" s="28">
        <f t="shared" si="30"/>
        <v>0</v>
      </c>
      <c r="X111" s="28">
        <f t="shared" si="31"/>
        <v>0</v>
      </c>
      <c r="Y111" s="28">
        <f t="shared" si="32"/>
        <v>72735</v>
      </c>
      <c r="Z111" s="28">
        <f t="shared" si="33"/>
        <v>72735</v>
      </c>
      <c r="AA111" s="28">
        <f t="shared" si="34"/>
        <v>16770</v>
      </c>
      <c r="AB111" s="28">
        <f t="shared" si="35"/>
        <v>53430</v>
      </c>
      <c r="AC111" s="28">
        <f t="shared" si="39"/>
        <v>70200</v>
      </c>
      <c r="AD111" s="77">
        <f t="shared" si="36"/>
        <v>65520</v>
      </c>
      <c r="AE111" s="77">
        <f t="shared" si="37"/>
        <v>59865</v>
      </c>
      <c r="AF111" s="99">
        <f t="shared" si="38"/>
        <v>54600</v>
      </c>
    </row>
    <row r="112" spans="1:32" x14ac:dyDescent="0.3">
      <c r="A112" s="21">
        <v>3204</v>
      </c>
      <c r="B112" s="22" t="s">
        <v>44</v>
      </c>
      <c r="C112" s="34"/>
      <c r="D112" s="34"/>
      <c r="E112" s="42">
        <v>105</v>
      </c>
      <c r="F112" s="42">
        <v>105</v>
      </c>
      <c r="G112" s="42">
        <v>105</v>
      </c>
      <c r="H112" s="42">
        <v>105</v>
      </c>
      <c r="I112" s="42">
        <v>105</v>
      </c>
      <c r="J112" s="42">
        <v>105</v>
      </c>
      <c r="K112" s="16"/>
      <c r="L112" s="84"/>
      <c r="M112" s="84"/>
      <c r="N112" s="84">
        <v>63</v>
      </c>
      <c r="O112" s="84">
        <f t="shared" si="28"/>
        <v>63</v>
      </c>
      <c r="P112" s="26">
        <v>14</v>
      </c>
      <c r="Q112" s="26">
        <v>45</v>
      </c>
      <c r="R112" s="84">
        <f t="shared" si="29"/>
        <v>59</v>
      </c>
      <c r="S112" s="84">
        <v>53</v>
      </c>
      <c r="T112" s="84">
        <v>48</v>
      </c>
      <c r="U112" s="84">
        <v>43</v>
      </c>
      <c r="V112" s="16"/>
      <c r="W112" s="28">
        <f t="shared" si="30"/>
        <v>0</v>
      </c>
      <c r="X112" s="28">
        <f t="shared" si="31"/>
        <v>0</v>
      </c>
      <c r="Y112" s="28">
        <f t="shared" si="32"/>
        <v>6615</v>
      </c>
      <c r="Z112" s="28">
        <f t="shared" si="33"/>
        <v>6615</v>
      </c>
      <c r="AA112" s="28">
        <f t="shared" si="34"/>
        <v>1470</v>
      </c>
      <c r="AB112" s="28">
        <f t="shared" si="35"/>
        <v>4725</v>
      </c>
      <c r="AC112" s="28">
        <f t="shared" si="39"/>
        <v>6195</v>
      </c>
      <c r="AD112" s="77">
        <f t="shared" si="36"/>
        <v>5565</v>
      </c>
      <c r="AE112" s="77">
        <f t="shared" si="37"/>
        <v>5040</v>
      </c>
      <c r="AF112" s="99">
        <f t="shared" si="38"/>
        <v>4515</v>
      </c>
    </row>
    <row r="113" spans="1:32" x14ac:dyDescent="0.3">
      <c r="A113" s="21">
        <v>3205</v>
      </c>
      <c r="B113" s="22" t="s">
        <v>45</v>
      </c>
      <c r="C113" s="34"/>
      <c r="D113" s="34"/>
      <c r="E113" s="42">
        <v>20</v>
      </c>
      <c r="F113" s="42">
        <v>20</v>
      </c>
      <c r="G113" s="42">
        <v>20</v>
      </c>
      <c r="H113" s="42">
        <v>20</v>
      </c>
      <c r="I113" s="42">
        <v>20</v>
      </c>
      <c r="J113" s="42">
        <v>20</v>
      </c>
      <c r="K113" s="16"/>
      <c r="L113" s="84"/>
      <c r="M113" s="84"/>
      <c r="N113" s="84">
        <v>560</v>
      </c>
      <c r="O113" s="84">
        <f t="shared" si="28"/>
        <v>560</v>
      </c>
      <c r="P113" s="26">
        <v>125</v>
      </c>
      <c r="Q113" s="26">
        <v>397</v>
      </c>
      <c r="R113" s="84">
        <f t="shared" si="29"/>
        <v>522</v>
      </c>
      <c r="S113" s="84">
        <v>470</v>
      </c>
      <c r="T113" s="84">
        <v>425</v>
      </c>
      <c r="U113" s="84">
        <v>384</v>
      </c>
      <c r="V113" s="16"/>
      <c r="W113" s="28">
        <f t="shared" si="30"/>
        <v>0</v>
      </c>
      <c r="X113" s="28">
        <f t="shared" si="31"/>
        <v>0</v>
      </c>
      <c r="Y113" s="28">
        <f t="shared" si="32"/>
        <v>11200</v>
      </c>
      <c r="Z113" s="28">
        <f t="shared" si="33"/>
        <v>11200</v>
      </c>
      <c r="AA113" s="28">
        <f t="shared" si="34"/>
        <v>2500</v>
      </c>
      <c r="AB113" s="28">
        <f t="shared" si="35"/>
        <v>7940</v>
      </c>
      <c r="AC113" s="28">
        <f t="shared" si="39"/>
        <v>10440</v>
      </c>
      <c r="AD113" s="77">
        <f t="shared" si="36"/>
        <v>9400</v>
      </c>
      <c r="AE113" s="77">
        <f t="shared" si="37"/>
        <v>8500</v>
      </c>
      <c r="AF113" s="99">
        <f t="shared" si="38"/>
        <v>7680</v>
      </c>
    </row>
    <row r="114" spans="1:32" x14ac:dyDescent="0.3">
      <c r="A114" s="21">
        <v>3801</v>
      </c>
      <c r="B114" s="22" t="s">
        <v>46</v>
      </c>
      <c r="C114" s="34"/>
      <c r="D114" s="34"/>
      <c r="E114" s="42">
        <v>300</v>
      </c>
      <c r="F114" s="42">
        <v>300</v>
      </c>
      <c r="G114" s="42">
        <v>300</v>
      </c>
      <c r="H114" s="42">
        <v>300</v>
      </c>
      <c r="I114" s="42">
        <v>300</v>
      </c>
      <c r="J114" s="42">
        <v>300</v>
      </c>
      <c r="K114" s="16"/>
      <c r="L114" s="84"/>
      <c r="M114" s="84"/>
      <c r="N114" s="84">
        <v>6456</v>
      </c>
      <c r="O114" s="84">
        <f t="shared" si="28"/>
        <v>6456</v>
      </c>
      <c r="P114" s="26">
        <v>1603</v>
      </c>
      <c r="Q114" s="26">
        <v>5076</v>
      </c>
      <c r="R114" s="84">
        <f t="shared" si="29"/>
        <v>6679</v>
      </c>
      <c r="S114" s="84">
        <v>6908</v>
      </c>
      <c r="T114" s="84">
        <v>7254</v>
      </c>
      <c r="U114" s="84">
        <v>7616</v>
      </c>
      <c r="V114" s="16"/>
      <c r="W114" s="28">
        <f t="shared" si="30"/>
        <v>0</v>
      </c>
      <c r="X114" s="28">
        <f t="shared" si="31"/>
        <v>0</v>
      </c>
      <c r="Y114" s="28">
        <f t="shared" si="32"/>
        <v>1936800</v>
      </c>
      <c r="Z114" s="28">
        <f t="shared" si="33"/>
        <v>1936800</v>
      </c>
      <c r="AA114" s="28">
        <f t="shared" si="34"/>
        <v>480900</v>
      </c>
      <c r="AB114" s="28">
        <f t="shared" si="35"/>
        <v>1522800</v>
      </c>
      <c r="AC114" s="28">
        <f t="shared" si="39"/>
        <v>2003700</v>
      </c>
      <c r="AD114" s="77">
        <f t="shared" si="36"/>
        <v>2072400</v>
      </c>
      <c r="AE114" s="77">
        <f t="shared" si="37"/>
        <v>2176200</v>
      </c>
      <c r="AF114" s="99">
        <f t="shared" si="38"/>
        <v>2284800</v>
      </c>
    </row>
    <row r="115" spans="1:32" x14ac:dyDescent="0.3">
      <c r="A115" s="21" t="s">
        <v>203</v>
      </c>
      <c r="B115" s="105" t="s">
        <v>267</v>
      </c>
      <c r="C115" s="34"/>
      <c r="D115" s="34"/>
      <c r="E115" s="42">
        <v>425</v>
      </c>
      <c r="F115" s="42">
        <v>425</v>
      </c>
      <c r="G115" s="42">
        <v>425</v>
      </c>
      <c r="H115" s="42">
        <v>425</v>
      </c>
      <c r="I115" s="42">
        <v>425</v>
      </c>
      <c r="J115" s="42">
        <v>425</v>
      </c>
      <c r="K115" s="16"/>
      <c r="L115" s="84"/>
      <c r="M115" s="84"/>
      <c r="N115" s="84">
        <v>2323</v>
      </c>
      <c r="O115" s="84">
        <f t="shared" si="28"/>
        <v>2323</v>
      </c>
      <c r="P115" s="26">
        <v>560</v>
      </c>
      <c r="Q115" s="26">
        <v>1774</v>
      </c>
      <c r="R115" s="84">
        <f t="shared" si="29"/>
        <v>2334</v>
      </c>
      <c r="S115" s="84">
        <v>2340</v>
      </c>
      <c r="T115" s="84">
        <v>2457</v>
      </c>
      <c r="U115" s="84">
        <v>2580</v>
      </c>
      <c r="V115" s="16"/>
      <c r="W115" s="28">
        <f t="shared" si="30"/>
        <v>0</v>
      </c>
      <c r="X115" s="28">
        <f t="shared" si="31"/>
        <v>0</v>
      </c>
      <c r="Y115" s="28">
        <f t="shared" si="32"/>
        <v>987275</v>
      </c>
      <c r="Z115" s="28">
        <f t="shared" si="33"/>
        <v>987275</v>
      </c>
      <c r="AA115" s="28">
        <f t="shared" si="34"/>
        <v>238000</v>
      </c>
      <c r="AB115" s="28">
        <f t="shared" si="35"/>
        <v>753950</v>
      </c>
      <c r="AC115" s="28">
        <f>SUM(AA115:AB115)</f>
        <v>991950</v>
      </c>
      <c r="AD115" s="77">
        <f t="shared" si="36"/>
        <v>994500</v>
      </c>
      <c r="AE115" s="77">
        <f t="shared" si="37"/>
        <v>1044225</v>
      </c>
      <c r="AF115" s="99">
        <f t="shared" si="38"/>
        <v>1096500</v>
      </c>
    </row>
    <row r="116" spans="1:32" x14ac:dyDescent="0.3">
      <c r="A116" s="29">
        <v>3809</v>
      </c>
      <c r="B116" s="22" t="s">
        <v>47</v>
      </c>
      <c r="C116" s="34"/>
      <c r="D116" s="34"/>
      <c r="E116" s="42">
        <v>210</v>
      </c>
      <c r="F116" s="42">
        <v>210</v>
      </c>
      <c r="G116" s="42">
        <v>210</v>
      </c>
      <c r="H116" s="42">
        <v>210</v>
      </c>
      <c r="I116" s="42">
        <v>210</v>
      </c>
      <c r="J116" s="42">
        <v>210</v>
      </c>
      <c r="K116" s="16"/>
      <c r="L116" s="84"/>
      <c r="M116" s="84"/>
      <c r="N116" s="84">
        <v>6</v>
      </c>
      <c r="O116" s="84">
        <f t="shared" si="28"/>
        <v>6</v>
      </c>
      <c r="P116" s="26">
        <v>1</v>
      </c>
      <c r="Q116" s="26">
        <v>5</v>
      </c>
      <c r="R116" s="84">
        <f t="shared" si="29"/>
        <v>6</v>
      </c>
      <c r="S116" s="84">
        <v>6</v>
      </c>
      <c r="T116" s="84">
        <v>6</v>
      </c>
      <c r="U116" s="84">
        <v>6</v>
      </c>
      <c r="V116" s="16"/>
      <c r="W116" s="28">
        <f t="shared" si="30"/>
        <v>0</v>
      </c>
      <c r="X116" s="28">
        <f t="shared" si="31"/>
        <v>0</v>
      </c>
      <c r="Y116" s="28">
        <f t="shared" si="32"/>
        <v>1260</v>
      </c>
      <c r="Z116" s="28">
        <f t="shared" si="33"/>
        <v>1260</v>
      </c>
      <c r="AA116" s="28">
        <f t="shared" si="34"/>
        <v>210</v>
      </c>
      <c r="AB116" s="28">
        <f t="shared" si="35"/>
        <v>1050</v>
      </c>
      <c r="AC116" s="28">
        <f t="shared" si="39"/>
        <v>1260</v>
      </c>
      <c r="AD116" s="77">
        <f t="shared" si="36"/>
        <v>1260</v>
      </c>
      <c r="AE116" s="77">
        <f t="shared" si="37"/>
        <v>1260</v>
      </c>
      <c r="AF116" s="99">
        <f t="shared" si="38"/>
        <v>1260</v>
      </c>
    </row>
    <row r="117" spans="1:32" x14ac:dyDescent="0.3">
      <c r="A117" s="29">
        <v>3810</v>
      </c>
      <c r="B117" s="22" t="s">
        <v>48</v>
      </c>
      <c r="C117" s="34"/>
      <c r="D117" s="34"/>
      <c r="E117" s="42">
        <v>210</v>
      </c>
      <c r="F117" s="42">
        <v>210</v>
      </c>
      <c r="G117" s="42">
        <v>210</v>
      </c>
      <c r="H117" s="42">
        <v>210</v>
      </c>
      <c r="I117" s="42">
        <v>210</v>
      </c>
      <c r="J117" s="42">
        <v>210</v>
      </c>
      <c r="K117" s="16"/>
      <c r="L117" s="84"/>
      <c r="M117" s="84"/>
      <c r="N117" s="84">
        <v>0</v>
      </c>
      <c r="O117" s="84">
        <f t="shared" si="28"/>
        <v>0</v>
      </c>
      <c r="P117" s="26">
        <v>0</v>
      </c>
      <c r="Q117" s="26">
        <v>0</v>
      </c>
      <c r="R117" s="84">
        <f t="shared" si="29"/>
        <v>0</v>
      </c>
      <c r="S117" s="84">
        <v>0</v>
      </c>
      <c r="T117" s="84">
        <v>0</v>
      </c>
      <c r="U117" s="84">
        <v>0</v>
      </c>
      <c r="V117" s="16"/>
      <c r="W117" s="28">
        <f t="shared" si="30"/>
        <v>0</v>
      </c>
      <c r="X117" s="28">
        <f t="shared" si="31"/>
        <v>0</v>
      </c>
      <c r="Y117" s="28">
        <f t="shared" si="32"/>
        <v>0</v>
      </c>
      <c r="Z117" s="28">
        <f t="shared" si="33"/>
        <v>0</v>
      </c>
      <c r="AA117" s="28">
        <f t="shared" si="34"/>
        <v>0</v>
      </c>
      <c r="AB117" s="28">
        <f t="shared" si="35"/>
        <v>0</v>
      </c>
      <c r="AC117" s="28">
        <f t="shared" si="39"/>
        <v>0</v>
      </c>
      <c r="AD117" s="77">
        <f t="shared" si="36"/>
        <v>0</v>
      </c>
      <c r="AE117" s="77">
        <f t="shared" si="37"/>
        <v>0</v>
      </c>
      <c r="AF117" s="99">
        <f t="shared" si="38"/>
        <v>0</v>
      </c>
    </row>
    <row r="118" spans="1:32" x14ac:dyDescent="0.3">
      <c r="A118" s="29">
        <v>3821</v>
      </c>
      <c r="B118" s="22" t="s">
        <v>49</v>
      </c>
      <c r="C118" s="34"/>
      <c r="D118" s="34"/>
      <c r="E118" s="42">
        <v>105</v>
      </c>
      <c r="F118" s="42">
        <v>105</v>
      </c>
      <c r="G118" s="42">
        <v>105</v>
      </c>
      <c r="H118" s="42">
        <v>105</v>
      </c>
      <c r="I118" s="42">
        <v>105</v>
      </c>
      <c r="J118" s="42">
        <v>105</v>
      </c>
      <c r="K118" s="16"/>
      <c r="L118" s="84"/>
      <c r="M118" s="84"/>
      <c r="N118" s="84">
        <v>20</v>
      </c>
      <c r="O118" s="84">
        <f t="shared" si="28"/>
        <v>20</v>
      </c>
      <c r="P118" s="26">
        <v>5</v>
      </c>
      <c r="Q118" s="26">
        <v>15</v>
      </c>
      <c r="R118" s="84">
        <f t="shared" si="29"/>
        <v>20</v>
      </c>
      <c r="S118" s="84">
        <v>21</v>
      </c>
      <c r="T118" s="84">
        <v>22</v>
      </c>
      <c r="U118" s="84">
        <v>23</v>
      </c>
      <c r="V118" s="16"/>
      <c r="W118" s="28">
        <f t="shared" si="30"/>
        <v>0</v>
      </c>
      <c r="X118" s="28">
        <f t="shared" si="31"/>
        <v>0</v>
      </c>
      <c r="Y118" s="28">
        <f t="shared" si="32"/>
        <v>2100</v>
      </c>
      <c r="Z118" s="28">
        <f t="shared" si="33"/>
        <v>2100</v>
      </c>
      <c r="AA118" s="28">
        <f t="shared" si="34"/>
        <v>525</v>
      </c>
      <c r="AB118" s="28">
        <f t="shared" si="35"/>
        <v>1575</v>
      </c>
      <c r="AC118" s="28">
        <f t="shared" si="39"/>
        <v>2100</v>
      </c>
      <c r="AD118" s="77">
        <f t="shared" si="36"/>
        <v>2205</v>
      </c>
      <c r="AE118" s="77">
        <f t="shared" si="37"/>
        <v>2310</v>
      </c>
      <c r="AF118" s="99">
        <f t="shared" si="38"/>
        <v>2415</v>
      </c>
    </row>
    <row r="119" spans="1:32" x14ac:dyDescent="0.3">
      <c r="A119" s="29">
        <v>3822</v>
      </c>
      <c r="B119" s="22" t="s">
        <v>50</v>
      </c>
      <c r="C119" s="34"/>
      <c r="D119" s="34"/>
      <c r="E119" s="42">
        <v>20</v>
      </c>
      <c r="F119" s="42">
        <v>20</v>
      </c>
      <c r="G119" s="42">
        <v>20</v>
      </c>
      <c r="H119" s="42">
        <v>20</v>
      </c>
      <c r="I119" s="42">
        <v>20</v>
      </c>
      <c r="J119" s="42">
        <v>20</v>
      </c>
      <c r="K119" s="16"/>
      <c r="L119" s="84"/>
      <c r="M119" s="84"/>
      <c r="N119" s="84">
        <v>108</v>
      </c>
      <c r="O119" s="84">
        <f t="shared" si="28"/>
        <v>108</v>
      </c>
      <c r="P119" s="26">
        <v>27</v>
      </c>
      <c r="Q119" s="26">
        <v>85</v>
      </c>
      <c r="R119" s="84">
        <f t="shared" si="29"/>
        <v>112</v>
      </c>
      <c r="S119" s="84">
        <v>116</v>
      </c>
      <c r="T119" s="84">
        <v>122</v>
      </c>
      <c r="U119" s="84">
        <v>128</v>
      </c>
      <c r="V119" s="16"/>
      <c r="W119" s="28">
        <f t="shared" si="30"/>
        <v>0</v>
      </c>
      <c r="X119" s="28">
        <f t="shared" si="31"/>
        <v>0</v>
      </c>
      <c r="Y119" s="28">
        <f t="shared" si="32"/>
        <v>2160</v>
      </c>
      <c r="Z119" s="28">
        <f t="shared" si="33"/>
        <v>2160</v>
      </c>
      <c r="AA119" s="28">
        <f t="shared" si="34"/>
        <v>540</v>
      </c>
      <c r="AB119" s="28">
        <f t="shared" si="35"/>
        <v>1700</v>
      </c>
      <c r="AC119" s="28">
        <f t="shared" si="39"/>
        <v>2240</v>
      </c>
      <c r="AD119" s="77">
        <f t="shared" si="36"/>
        <v>2320</v>
      </c>
      <c r="AE119" s="77">
        <f t="shared" si="37"/>
        <v>2440</v>
      </c>
      <c r="AF119" s="99">
        <f t="shared" si="38"/>
        <v>2560</v>
      </c>
    </row>
    <row r="120" spans="1:32" x14ac:dyDescent="0.3">
      <c r="A120" s="29">
        <v>3817</v>
      </c>
      <c r="B120" s="22" t="s">
        <v>51</v>
      </c>
      <c r="C120" s="34"/>
      <c r="D120" s="34"/>
      <c r="E120" s="42">
        <v>1000</v>
      </c>
      <c r="F120" s="42">
        <v>1000</v>
      </c>
      <c r="G120" s="42">
        <v>1000</v>
      </c>
      <c r="H120" s="42">
        <v>1000</v>
      </c>
      <c r="I120" s="42">
        <v>1000</v>
      </c>
      <c r="J120" s="42">
        <v>1000</v>
      </c>
      <c r="K120" s="16"/>
      <c r="L120" s="84"/>
      <c r="M120" s="84"/>
      <c r="N120" s="84">
        <v>698</v>
      </c>
      <c r="O120" s="84">
        <f t="shared" si="28"/>
        <v>698</v>
      </c>
      <c r="P120" s="26">
        <v>112</v>
      </c>
      <c r="Q120" s="26">
        <v>353</v>
      </c>
      <c r="R120" s="84">
        <f t="shared" si="29"/>
        <v>465</v>
      </c>
      <c r="S120" s="84">
        <v>0</v>
      </c>
      <c r="T120" s="84">
        <v>0</v>
      </c>
      <c r="U120" s="84">
        <v>0</v>
      </c>
      <c r="V120" s="16"/>
      <c r="W120" s="28">
        <f t="shared" si="30"/>
        <v>0</v>
      </c>
      <c r="X120" s="28">
        <f t="shared" si="31"/>
        <v>0</v>
      </c>
      <c r="Y120" s="28">
        <f t="shared" si="32"/>
        <v>698000</v>
      </c>
      <c r="Z120" s="28">
        <f t="shared" si="33"/>
        <v>698000</v>
      </c>
      <c r="AA120" s="28">
        <f t="shared" si="34"/>
        <v>112000</v>
      </c>
      <c r="AB120" s="28">
        <f t="shared" si="35"/>
        <v>353000</v>
      </c>
      <c r="AC120" s="28">
        <f t="shared" si="39"/>
        <v>465000</v>
      </c>
      <c r="AD120" s="77">
        <f t="shared" si="36"/>
        <v>0</v>
      </c>
      <c r="AE120" s="77">
        <f t="shared" si="37"/>
        <v>0</v>
      </c>
      <c r="AF120" s="99">
        <f t="shared" si="38"/>
        <v>0</v>
      </c>
    </row>
    <row r="121" spans="1:32" x14ac:dyDescent="0.3">
      <c r="A121" s="29" t="s">
        <v>203</v>
      </c>
      <c r="B121" s="105" t="s">
        <v>217</v>
      </c>
      <c r="C121" s="34"/>
      <c r="D121" s="34"/>
      <c r="E121" s="42">
        <v>150</v>
      </c>
      <c r="F121" s="42">
        <v>150</v>
      </c>
      <c r="G121" s="42">
        <v>150</v>
      </c>
      <c r="H121" s="42">
        <v>150</v>
      </c>
      <c r="I121" s="42">
        <v>150</v>
      </c>
      <c r="J121" s="42">
        <v>150</v>
      </c>
      <c r="K121" s="16"/>
      <c r="L121" s="84"/>
      <c r="M121" s="84"/>
      <c r="N121" s="84">
        <v>19</v>
      </c>
      <c r="O121" s="84">
        <f t="shared" si="28"/>
        <v>19</v>
      </c>
      <c r="P121" s="26">
        <v>5</v>
      </c>
      <c r="Q121" s="26">
        <v>14</v>
      </c>
      <c r="R121" s="84">
        <f t="shared" si="29"/>
        <v>19</v>
      </c>
      <c r="S121" s="84">
        <v>19</v>
      </c>
      <c r="T121" s="84">
        <v>19</v>
      </c>
      <c r="U121" s="84">
        <v>19</v>
      </c>
      <c r="V121" s="16"/>
      <c r="W121" s="28">
        <f t="shared" si="30"/>
        <v>0</v>
      </c>
      <c r="X121" s="28">
        <f t="shared" si="31"/>
        <v>0</v>
      </c>
      <c r="Y121" s="28">
        <f t="shared" si="32"/>
        <v>2850</v>
      </c>
      <c r="Z121" s="28">
        <f t="shared" si="33"/>
        <v>2850</v>
      </c>
      <c r="AA121" s="28">
        <f t="shared" si="34"/>
        <v>750</v>
      </c>
      <c r="AB121" s="28">
        <f t="shared" si="35"/>
        <v>2100</v>
      </c>
      <c r="AC121" s="28">
        <f>SUM(AA121:AB121)</f>
        <v>2850</v>
      </c>
      <c r="AD121" s="77">
        <f t="shared" si="36"/>
        <v>2850</v>
      </c>
      <c r="AE121" s="77">
        <f t="shared" si="37"/>
        <v>2850</v>
      </c>
      <c r="AF121" s="99">
        <f t="shared" si="38"/>
        <v>2850</v>
      </c>
    </row>
    <row r="122" spans="1:32" x14ac:dyDescent="0.3">
      <c r="A122" s="32" t="s">
        <v>54</v>
      </c>
      <c r="B122" s="33"/>
      <c r="C122" s="34"/>
      <c r="D122" s="34"/>
      <c r="E122" s="213"/>
      <c r="F122" s="213"/>
      <c r="G122" s="213"/>
      <c r="H122" s="213"/>
      <c r="I122" s="213"/>
      <c r="J122" s="213"/>
      <c r="K122" s="16"/>
      <c r="L122" s="25"/>
      <c r="M122" s="25"/>
      <c r="N122" s="25"/>
      <c r="O122" s="25"/>
      <c r="P122" s="26"/>
      <c r="Q122" s="26"/>
      <c r="R122" s="41"/>
      <c r="S122" s="27"/>
      <c r="T122" s="27"/>
      <c r="U122" s="27"/>
      <c r="V122" s="16"/>
      <c r="W122" s="35">
        <f>SUM(W87:W121)</f>
        <v>0</v>
      </c>
      <c r="X122" s="35">
        <f>SUM(X87:X121)</f>
        <v>0</v>
      </c>
      <c r="Y122" s="35">
        <f>SUM(Y87:Y121)</f>
        <v>21056845</v>
      </c>
      <c r="Z122" s="35">
        <f t="shared" ref="Z122:AE122" si="40">SUM(Z87:Z121)</f>
        <v>21056845</v>
      </c>
      <c r="AA122" s="35">
        <f t="shared" si="40"/>
        <v>5149365</v>
      </c>
      <c r="AB122" s="35">
        <f t="shared" si="40"/>
        <v>16302880</v>
      </c>
      <c r="AC122" s="35">
        <f t="shared" si="40"/>
        <v>21452245</v>
      </c>
      <c r="AD122" s="35">
        <f t="shared" si="40"/>
        <v>21646515</v>
      </c>
      <c r="AE122" s="35">
        <f t="shared" si="40"/>
        <v>22409265</v>
      </c>
      <c r="AF122" s="99">
        <f>SUM(AF87:AF121)</f>
        <v>23239690</v>
      </c>
    </row>
    <row r="123" spans="1:32" x14ac:dyDescent="0.3">
      <c r="A123" s="32" t="s">
        <v>55</v>
      </c>
      <c r="B123" s="33"/>
      <c r="C123" s="34"/>
      <c r="D123" s="34"/>
      <c r="E123" s="34"/>
      <c r="F123" s="34"/>
      <c r="G123" s="34"/>
      <c r="H123" s="34"/>
      <c r="I123" s="34"/>
      <c r="J123" s="34"/>
      <c r="K123" s="16"/>
      <c r="L123" s="25"/>
      <c r="M123" s="25"/>
      <c r="N123" s="25"/>
      <c r="O123" s="25"/>
      <c r="P123" s="26"/>
      <c r="Q123" s="26"/>
      <c r="R123" s="41"/>
      <c r="S123" s="27"/>
      <c r="T123" s="27"/>
      <c r="U123" s="27"/>
      <c r="V123" s="16"/>
      <c r="W123" s="35">
        <f>W122+W84+W45</f>
        <v>21639385</v>
      </c>
      <c r="X123" s="35">
        <f t="shared" ref="X123:AF123" si="41">X122+X84+X45</f>
        <v>426191695</v>
      </c>
      <c r="Y123" s="35">
        <f t="shared" si="41"/>
        <v>226274155</v>
      </c>
      <c r="Z123" s="35">
        <f t="shared" si="41"/>
        <v>674105235</v>
      </c>
      <c r="AA123" s="35">
        <f t="shared" si="41"/>
        <v>198168295</v>
      </c>
      <c r="AB123" s="35">
        <f t="shared" si="41"/>
        <v>627525890</v>
      </c>
      <c r="AC123" s="35">
        <f t="shared" si="41"/>
        <v>825694185</v>
      </c>
      <c r="AD123" s="35">
        <f t="shared" si="41"/>
        <v>830302295</v>
      </c>
      <c r="AE123" s="35">
        <f t="shared" si="41"/>
        <v>856116635</v>
      </c>
      <c r="AF123" s="99">
        <f t="shared" si="41"/>
        <v>884593460</v>
      </c>
    </row>
    <row r="124" spans="1:32" x14ac:dyDescent="0.3">
      <c r="A124" s="43"/>
      <c r="B124" s="33"/>
      <c r="C124" s="36"/>
      <c r="D124" s="36"/>
      <c r="E124" s="36"/>
      <c r="F124" s="36"/>
      <c r="G124" s="36"/>
      <c r="H124" s="36"/>
      <c r="I124" s="36"/>
      <c r="J124" s="36"/>
      <c r="K124" s="16"/>
      <c r="L124" s="25"/>
      <c r="M124" s="25"/>
      <c r="N124" s="25"/>
      <c r="O124" s="25"/>
      <c r="P124" s="26"/>
      <c r="Q124" s="26"/>
      <c r="R124" s="41"/>
      <c r="S124" s="27"/>
      <c r="T124" s="27"/>
      <c r="U124" s="27"/>
      <c r="V124" s="16"/>
      <c r="W124" s="28"/>
      <c r="X124" s="28"/>
      <c r="Y124" s="28"/>
      <c r="Z124" s="28"/>
      <c r="AA124" s="28"/>
      <c r="AB124" s="28"/>
      <c r="AC124" s="28"/>
      <c r="AD124" s="77"/>
      <c r="AE124" s="28"/>
      <c r="AF124" s="99"/>
    </row>
    <row r="125" spans="1:32" x14ac:dyDescent="0.3">
      <c r="A125" s="32" t="s">
        <v>56</v>
      </c>
      <c r="B125" s="33"/>
      <c r="C125" s="34"/>
      <c r="D125" s="34"/>
      <c r="E125" s="34"/>
      <c r="F125" s="34"/>
      <c r="G125" s="34"/>
      <c r="H125" s="34"/>
      <c r="I125" s="34"/>
      <c r="J125" s="34"/>
      <c r="K125" s="16"/>
      <c r="L125" s="25"/>
      <c r="M125" s="25"/>
      <c r="N125" s="25"/>
      <c r="O125" s="25"/>
      <c r="P125" s="26"/>
      <c r="Q125" s="26"/>
      <c r="R125" s="41"/>
      <c r="S125" s="27"/>
      <c r="T125" s="27"/>
      <c r="U125" s="27"/>
      <c r="V125" s="16"/>
      <c r="W125" s="28"/>
      <c r="X125" s="28"/>
      <c r="Y125" s="28"/>
      <c r="Z125" s="28"/>
      <c r="AA125" s="28"/>
      <c r="AB125" s="28"/>
      <c r="AC125" s="28"/>
      <c r="AD125" s="77"/>
      <c r="AE125" s="28"/>
      <c r="AF125" s="99"/>
    </row>
    <row r="126" spans="1:32" x14ac:dyDescent="0.3">
      <c r="A126" s="21">
        <v>1501</v>
      </c>
      <c r="B126" s="22" t="s">
        <v>57</v>
      </c>
      <c r="C126" s="23">
        <v>1740</v>
      </c>
      <c r="D126" s="23">
        <v>1770</v>
      </c>
      <c r="E126" s="24">
        <v>1780</v>
      </c>
      <c r="F126" s="24">
        <v>1780</v>
      </c>
      <c r="G126" s="24">
        <v>960</v>
      </c>
      <c r="H126" s="24">
        <v>960</v>
      </c>
      <c r="I126" s="24">
        <v>960</v>
      </c>
      <c r="J126" s="24">
        <v>960</v>
      </c>
      <c r="K126" s="16"/>
      <c r="L126" s="84">
        <v>13001</v>
      </c>
      <c r="M126" s="84">
        <v>102152</v>
      </c>
      <c r="N126" s="84">
        <v>117010</v>
      </c>
      <c r="O126" s="84">
        <f>SUM(L126:N126)</f>
        <v>232163</v>
      </c>
      <c r="P126" s="68">
        <v>10426</v>
      </c>
      <c r="Q126" s="68">
        <v>250236</v>
      </c>
      <c r="R126" s="84">
        <f>SUM(P126:Q126)</f>
        <v>260662</v>
      </c>
      <c r="S126" s="84">
        <v>278818</v>
      </c>
      <c r="T126" s="84">
        <v>282404</v>
      </c>
      <c r="U126" s="84">
        <v>256628</v>
      </c>
      <c r="V126" s="16"/>
      <c r="W126" s="28">
        <f t="shared" ref="W126:Y129" si="42">L126*C126</f>
        <v>22621740</v>
      </c>
      <c r="X126" s="28">
        <f t="shared" si="42"/>
        <v>180809040</v>
      </c>
      <c r="Y126" s="28">
        <f t="shared" si="42"/>
        <v>208277800</v>
      </c>
      <c r="Z126" s="28">
        <f>W126+X126+Y126</f>
        <v>411708580</v>
      </c>
      <c r="AA126" s="28">
        <f t="shared" ref="AA126:AB129" si="43">P126*F126</f>
        <v>18558280</v>
      </c>
      <c r="AB126" s="28">
        <f t="shared" si="43"/>
        <v>240226560</v>
      </c>
      <c r="AC126" s="28">
        <f>SUM(AA126:AB126)</f>
        <v>258784840</v>
      </c>
      <c r="AD126" s="77">
        <f t="shared" ref="AD126:AF129" si="44">H126*S126</f>
        <v>267665280</v>
      </c>
      <c r="AE126" s="77">
        <f t="shared" si="44"/>
        <v>271107840</v>
      </c>
      <c r="AF126" s="99">
        <f t="shared" si="44"/>
        <v>246362880</v>
      </c>
    </row>
    <row r="127" spans="1:32" x14ac:dyDescent="0.3">
      <c r="A127" s="21">
        <v>1502</v>
      </c>
      <c r="B127" s="22" t="s">
        <v>58</v>
      </c>
      <c r="C127" s="23">
        <v>990</v>
      </c>
      <c r="D127" s="23">
        <v>1010</v>
      </c>
      <c r="E127" s="24">
        <v>1020</v>
      </c>
      <c r="F127" s="24">
        <v>1020</v>
      </c>
      <c r="G127" s="24">
        <v>560</v>
      </c>
      <c r="H127" s="24">
        <v>560</v>
      </c>
      <c r="I127" s="24">
        <v>560</v>
      </c>
      <c r="J127" s="24">
        <v>560</v>
      </c>
      <c r="K127" s="16"/>
      <c r="L127" s="84">
        <v>677</v>
      </c>
      <c r="M127" s="84">
        <v>5323</v>
      </c>
      <c r="N127" s="84">
        <v>6097</v>
      </c>
      <c r="O127" s="84">
        <f>SUM(L127:N127)</f>
        <v>12097</v>
      </c>
      <c r="P127" s="68">
        <v>494</v>
      </c>
      <c r="Q127" s="68">
        <v>11845</v>
      </c>
      <c r="R127" s="84">
        <f>SUM(P127:Q127)</f>
        <v>12339</v>
      </c>
      <c r="S127" s="84">
        <v>12586</v>
      </c>
      <c r="T127" s="84">
        <v>12838</v>
      </c>
      <c r="U127" s="84">
        <v>13094</v>
      </c>
      <c r="V127" s="16"/>
      <c r="W127" s="28">
        <f t="shared" si="42"/>
        <v>670230</v>
      </c>
      <c r="X127" s="28">
        <f t="shared" si="42"/>
        <v>5376230</v>
      </c>
      <c r="Y127" s="28">
        <f t="shared" si="42"/>
        <v>6218940</v>
      </c>
      <c r="Z127" s="28">
        <f>W127+X127+Y127</f>
        <v>12265400</v>
      </c>
      <c r="AA127" s="28">
        <f t="shared" si="43"/>
        <v>503880</v>
      </c>
      <c r="AB127" s="28">
        <f t="shared" si="43"/>
        <v>6633200</v>
      </c>
      <c r="AC127" s="28">
        <f>SUM(AA127:AB127)</f>
        <v>7137080</v>
      </c>
      <c r="AD127" s="77">
        <f t="shared" si="44"/>
        <v>7048160</v>
      </c>
      <c r="AE127" s="77">
        <f t="shared" si="44"/>
        <v>7189280</v>
      </c>
      <c r="AF127" s="99">
        <f t="shared" si="44"/>
        <v>7332640</v>
      </c>
    </row>
    <row r="128" spans="1:32" x14ac:dyDescent="0.3">
      <c r="A128" s="21">
        <v>1503</v>
      </c>
      <c r="B128" s="22" t="s">
        <v>59</v>
      </c>
      <c r="C128" s="23">
        <v>1370</v>
      </c>
      <c r="D128" s="23">
        <v>1390</v>
      </c>
      <c r="E128" s="24">
        <v>1400</v>
      </c>
      <c r="F128" s="24">
        <v>1400</v>
      </c>
      <c r="G128" s="24">
        <v>760</v>
      </c>
      <c r="H128" s="24">
        <v>760</v>
      </c>
      <c r="I128" s="24">
        <v>760</v>
      </c>
      <c r="J128" s="24">
        <v>760</v>
      </c>
      <c r="K128" s="16"/>
      <c r="L128" s="84">
        <v>31</v>
      </c>
      <c r="M128" s="84">
        <v>245</v>
      </c>
      <c r="N128" s="84">
        <v>281</v>
      </c>
      <c r="O128" s="84">
        <f>SUM(L128:N128)</f>
        <v>557</v>
      </c>
      <c r="P128" s="68">
        <v>23</v>
      </c>
      <c r="Q128" s="68">
        <v>545</v>
      </c>
      <c r="R128" s="84">
        <f>SUM(P128:Q128)</f>
        <v>568</v>
      </c>
      <c r="S128" s="84">
        <v>580</v>
      </c>
      <c r="T128" s="84">
        <v>591</v>
      </c>
      <c r="U128" s="84">
        <v>603</v>
      </c>
      <c r="V128" s="16"/>
      <c r="W128" s="28">
        <f t="shared" si="42"/>
        <v>42470</v>
      </c>
      <c r="X128" s="28">
        <f t="shared" si="42"/>
        <v>340550</v>
      </c>
      <c r="Y128" s="28">
        <f t="shared" si="42"/>
        <v>393400</v>
      </c>
      <c r="Z128" s="28">
        <f>W128+X128+Y128</f>
        <v>776420</v>
      </c>
      <c r="AA128" s="28">
        <f t="shared" si="43"/>
        <v>32200</v>
      </c>
      <c r="AB128" s="28">
        <f t="shared" si="43"/>
        <v>414200</v>
      </c>
      <c r="AC128" s="28">
        <f>SUM(AA128:AB128)</f>
        <v>446400</v>
      </c>
      <c r="AD128" s="77">
        <f t="shared" si="44"/>
        <v>440800</v>
      </c>
      <c r="AE128" s="77">
        <f t="shared" si="44"/>
        <v>449160</v>
      </c>
      <c r="AF128" s="99">
        <f t="shared" si="44"/>
        <v>458280</v>
      </c>
    </row>
    <row r="129" spans="1:32" x14ac:dyDescent="0.3">
      <c r="A129" s="21">
        <v>1511</v>
      </c>
      <c r="B129" s="22" t="s">
        <v>60</v>
      </c>
      <c r="C129" s="23">
        <v>1740</v>
      </c>
      <c r="D129" s="23">
        <v>1770</v>
      </c>
      <c r="E129" s="24">
        <v>1780</v>
      </c>
      <c r="F129" s="24">
        <v>1780</v>
      </c>
      <c r="G129" s="24">
        <v>960</v>
      </c>
      <c r="H129" s="24">
        <v>960</v>
      </c>
      <c r="I129" s="24">
        <v>960</v>
      </c>
      <c r="J129" s="24">
        <v>960</v>
      </c>
      <c r="K129" s="16"/>
      <c r="L129" s="84">
        <v>32</v>
      </c>
      <c r="M129" s="84">
        <v>254</v>
      </c>
      <c r="N129" s="84">
        <v>291</v>
      </c>
      <c r="O129" s="84">
        <f>SUM(L129:N129)</f>
        <v>577</v>
      </c>
      <c r="P129" s="68">
        <v>24</v>
      </c>
      <c r="Q129" s="68">
        <v>566</v>
      </c>
      <c r="R129" s="84">
        <f>SUM(P129:Q129)</f>
        <v>590</v>
      </c>
      <c r="S129" s="84">
        <v>602</v>
      </c>
      <c r="T129" s="84">
        <v>614</v>
      </c>
      <c r="U129" s="84">
        <v>626</v>
      </c>
      <c r="V129" s="16"/>
      <c r="W129" s="28">
        <f t="shared" si="42"/>
        <v>55680</v>
      </c>
      <c r="X129" s="28">
        <f t="shared" si="42"/>
        <v>449580</v>
      </c>
      <c r="Y129" s="28">
        <f t="shared" si="42"/>
        <v>517980</v>
      </c>
      <c r="Z129" s="28">
        <f>W129+X129+Y129</f>
        <v>1023240</v>
      </c>
      <c r="AA129" s="28">
        <f t="shared" si="43"/>
        <v>42720</v>
      </c>
      <c r="AB129" s="28">
        <f t="shared" si="43"/>
        <v>543360</v>
      </c>
      <c r="AC129" s="28">
        <f>SUM(AA129:AB129)</f>
        <v>586080</v>
      </c>
      <c r="AD129" s="77">
        <f t="shared" si="44"/>
        <v>577920</v>
      </c>
      <c r="AE129" s="77">
        <f t="shared" si="44"/>
        <v>589440</v>
      </c>
      <c r="AF129" s="99">
        <f t="shared" si="44"/>
        <v>600960</v>
      </c>
    </row>
    <row r="130" spans="1:32" x14ac:dyDescent="0.3">
      <c r="A130" s="32" t="s">
        <v>56</v>
      </c>
      <c r="B130" s="33"/>
      <c r="C130" s="36"/>
      <c r="D130" s="36"/>
      <c r="E130" s="37"/>
      <c r="F130" s="37"/>
      <c r="G130" s="37"/>
      <c r="H130" s="37"/>
      <c r="I130" s="37"/>
      <c r="J130" s="37"/>
      <c r="K130" s="16"/>
      <c r="L130" s="84"/>
      <c r="M130" s="84"/>
      <c r="N130" s="84"/>
      <c r="O130" s="84"/>
      <c r="P130" s="26"/>
      <c r="Q130" s="26"/>
      <c r="R130" s="84"/>
      <c r="S130" s="84"/>
      <c r="T130" s="84"/>
      <c r="U130" s="84"/>
      <c r="V130" s="16"/>
      <c r="W130" s="28">
        <f>SUM(W126:W129)</f>
        <v>23390120</v>
      </c>
      <c r="X130" s="28">
        <f t="shared" ref="X130:AF130" si="45">SUM(X126:X129)</f>
        <v>186975400</v>
      </c>
      <c r="Y130" s="28">
        <f t="shared" si="45"/>
        <v>215408120</v>
      </c>
      <c r="Z130" s="28">
        <f t="shared" si="45"/>
        <v>425773640</v>
      </c>
      <c r="AA130" s="28">
        <f t="shared" si="45"/>
        <v>19137080</v>
      </c>
      <c r="AB130" s="28">
        <f t="shared" si="45"/>
        <v>247817320</v>
      </c>
      <c r="AC130" s="28">
        <f t="shared" si="45"/>
        <v>266954400</v>
      </c>
      <c r="AD130" s="28">
        <f t="shared" si="45"/>
        <v>275732160</v>
      </c>
      <c r="AE130" s="28">
        <f t="shared" si="45"/>
        <v>279335720</v>
      </c>
      <c r="AF130" s="99">
        <f t="shared" si="45"/>
        <v>254754760</v>
      </c>
    </row>
    <row r="131" spans="1:32" x14ac:dyDescent="0.3">
      <c r="A131" s="43"/>
      <c r="B131" s="33"/>
      <c r="C131" s="36"/>
      <c r="D131" s="36"/>
      <c r="E131" s="37"/>
      <c r="F131" s="37"/>
      <c r="G131" s="37"/>
      <c r="H131" s="37"/>
      <c r="I131" s="37"/>
      <c r="J131" s="37"/>
      <c r="K131" s="16"/>
      <c r="L131" s="84"/>
      <c r="M131" s="84"/>
      <c r="N131" s="84"/>
      <c r="O131" s="84"/>
      <c r="P131" s="26"/>
      <c r="Q131" s="26"/>
      <c r="R131" s="84"/>
      <c r="S131" s="84"/>
      <c r="T131" s="84"/>
      <c r="U131" s="84"/>
      <c r="V131" s="16"/>
      <c r="W131" s="28"/>
      <c r="X131" s="28"/>
      <c r="Y131" s="28"/>
      <c r="Z131" s="28"/>
      <c r="AA131" s="28"/>
      <c r="AB131" s="28"/>
      <c r="AC131" s="28"/>
      <c r="AD131" s="77"/>
      <c r="AE131" s="28"/>
      <c r="AF131" s="99"/>
    </row>
    <row r="132" spans="1:32" x14ac:dyDescent="0.3">
      <c r="A132" s="32" t="s">
        <v>61</v>
      </c>
      <c r="B132" s="33"/>
      <c r="C132" s="36"/>
      <c r="D132" s="36"/>
      <c r="E132" s="37"/>
      <c r="F132" s="37"/>
      <c r="G132" s="37"/>
      <c r="H132" s="37"/>
      <c r="I132" s="37"/>
      <c r="J132" s="37"/>
      <c r="K132" s="16"/>
      <c r="L132" s="84"/>
      <c r="M132" s="84"/>
      <c r="N132" s="84"/>
      <c r="O132" s="84"/>
      <c r="P132" s="26"/>
      <c r="Q132" s="26"/>
      <c r="R132" s="84"/>
      <c r="S132" s="84"/>
      <c r="T132" s="84"/>
      <c r="U132" s="84"/>
      <c r="V132" s="16"/>
      <c r="W132" s="28"/>
      <c r="X132" s="28"/>
      <c r="Y132" s="28"/>
      <c r="Z132" s="28"/>
      <c r="AA132" s="28"/>
      <c r="AB132" s="28"/>
      <c r="AC132" s="28"/>
      <c r="AD132" s="77"/>
      <c r="AE132" s="28"/>
      <c r="AF132" s="99"/>
    </row>
    <row r="133" spans="1:32" x14ac:dyDescent="0.3">
      <c r="A133" s="21">
        <v>2501</v>
      </c>
      <c r="B133" s="22" t="s">
        <v>57</v>
      </c>
      <c r="C133" s="36">
        <v>870</v>
      </c>
      <c r="D133" s="36">
        <v>885</v>
      </c>
      <c r="E133" s="37">
        <v>890</v>
      </c>
      <c r="F133" s="37">
        <v>890</v>
      </c>
      <c r="G133" s="37">
        <v>480</v>
      </c>
      <c r="H133" s="37">
        <v>480</v>
      </c>
      <c r="I133" s="37">
        <v>480</v>
      </c>
      <c r="J133" s="37">
        <v>480</v>
      </c>
      <c r="K133" s="16"/>
      <c r="L133" s="84">
        <v>2148</v>
      </c>
      <c r="M133" s="84">
        <v>16874</v>
      </c>
      <c r="N133" s="84">
        <v>19328</v>
      </c>
      <c r="O133" s="84">
        <f>SUM(L133:N133)</f>
        <v>38350</v>
      </c>
      <c r="P133" s="68">
        <v>1722</v>
      </c>
      <c r="Q133" s="68">
        <v>41335</v>
      </c>
      <c r="R133" s="84">
        <f>SUM(P133:Q133)</f>
        <v>43057</v>
      </c>
      <c r="S133" s="84">
        <v>46057</v>
      </c>
      <c r="T133" s="84">
        <v>46649</v>
      </c>
      <c r="U133" s="84">
        <v>42391</v>
      </c>
      <c r="V133" s="16"/>
      <c r="W133" s="28">
        <f t="shared" ref="W133:Y136" si="46">L133*C133</f>
        <v>1868760</v>
      </c>
      <c r="X133" s="28">
        <f t="shared" si="46"/>
        <v>14933490</v>
      </c>
      <c r="Y133" s="28">
        <f t="shared" si="46"/>
        <v>17201920</v>
      </c>
      <c r="Z133" s="28">
        <f>W133+X133+Y133</f>
        <v>34004170</v>
      </c>
      <c r="AA133" s="28">
        <f t="shared" ref="AA133:AB136" si="47">P133*F133</f>
        <v>1532580</v>
      </c>
      <c r="AB133" s="28">
        <f t="shared" si="47"/>
        <v>19840800</v>
      </c>
      <c r="AC133" s="28">
        <f>SUM(AA133:AB133)</f>
        <v>21373380</v>
      </c>
      <c r="AD133" s="77">
        <f t="shared" ref="AD133:AF136" si="48">H133*S133</f>
        <v>22107360</v>
      </c>
      <c r="AE133" s="77">
        <f t="shared" si="48"/>
        <v>22391520</v>
      </c>
      <c r="AF133" s="99">
        <f t="shared" si="48"/>
        <v>20347680</v>
      </c>
    </row>
    <row r="134" spans="1:32" x14ac:dyDescent="0.3">
      <c r="A134" s="21">
        <v>2502</v>
      </c>
      <c r="B134" s="22" t="s">
        <v>58</v>
      </c>
      <c r="C134" s="36">
        <v>495</v>
      </c>
      <c r="D134" s="36">
        <v>505</v>
      </c>
      <c r="E134" s="37">
        <v>510</v>
      </c>
      <c r="F134" s="37">
        <v>510</v>
      </c>
      <c r="G134" s="37">
        <v>280</v>
      </c>
      <c r="H134" s="37">
        <v>280</v>
      </c>
      <c r="I134" s="37">
        <v>280</v>
      </c>
      <c r="J134" s="37">
        <v>280</v>
      </c>
      <c r="K134" s="16"/>
      <c r="L134" s="84">
        <v>398</v>
      </c>
      <c r="M134" s="84">
        <v>3129</v>
      </c>
      <c r="N134" s="84">
        <v>3584</v>
      </c>
      <c r="O134" s="84">
        <f>SUM(L134:N134)</f>
        <v>7111</v>
      </c>
      <c r="P134" s="68">
        <v>290</v>
      </c>
      <c r="Q134" s="68">
        <v>6963</v>
      </c>
      <c r="R134" s="84">
        <f>SUM(P134:Q134)</f>
        <v>7253</v>
      </c>
      <c r="S134" s="84">
        <v>7398</v>
      </c>
      <c r="T134" s="84">
        <v>7546</v>
      </c>
      <c r="U134" s="84">
        <v>7697</v>
      </c>
      <c r="V134" s="16"/>
      <c r="W134" s="28">
        <f t="shared" si="46"/>
        <v>197010</v>
      </c>
      <c r="X134" s="28">
        <f t="shared" si="46"/>
        <v>1580145</v>
      </c>
      <c r="Y134" s="28">
        <f t="shared" si="46"/>
        <v>1827840</v>
      </c>
      <c r="Z134" s="28">
        <f>W134+X134+Y134</f>
        <v>3604995</v>
      </c>
      <c r="AA134" s="28">
        <f t="shared" si="47"/>
        <v>147900</v>
      </c>
      <c r="AB134" s="28">
        <f t="shared" si="47"/>
        <v>1949640</v>
      </c>
      <c r="AC134" s="28">
        <f>SUM(AA134:AB134)</f>
        <v>2097540</v>
      </c>
      <c r="AD134" s="77">
        <f t="shared" si="48"/>
        <v>2071440</v>
      </c>
      <c r="AE134" s="77">
        <f t="shared" si="48"/>
        <v>2112880</v>
      </c>
      <c r="AF134" s="99">
        <f t="shared" si="48"/>
        <v>2155160</v>
      </c>
    </row>
    <row r="135" spans="1:32" x14ac:dyDescent="0.3">
      <c r="A135" s="21">
        <v>2503</v>
      </c>
      <c r="B135" s="22" t="s">
        <v>59</v>
      </c>
      <c r="C135" s="36">
        <v>685</v>
      </c>
      <c r="D135" s="36">
        <v>695</v>
      </c>
      <c r="E135" s="37">
        <v>700</v>
      </c>
      <c r="F135" s="37">
        <v>700</v>
      </c>
      <c r="G135" s="37">
        <v>380</v>
      </c>
      <c r="H135" s="37">
        <v>380</v>
      </c>
      <c r="I135" s="37">
        <v>380</v>
      </c>
      <c r="J135" s="37">
        <v>380</v>
      </c>
      <c r="K135" s="16"/>
      <c r="L135" s="84">
        <v>13</v>
      </c>
      <c r="M135" s="84">
        <v>99</v>
      </c>
      <c r="N135" s="84">
        <v>114</v>
      </c>
      <c r="O135" s="84">
        <f>SUM(L135:N135)</f>
        <v>226</v>
      </c>
      <c r="P135" s="68">
        <v>9</v>
      </c>
      <c r="Q135" s="68">
        <v>221</v>
      </c>
      <c r="R135" s="84">
        <f>SUM(P135:Q135)</f>
        <v>230</v>
      </c>
      <c r="S135" s="84">
        <v>235</v>
      </c>
      <c r="T135" s="84">
        <v>240</v>
      </c>
      <c r="U135" s="84">
        <v>245</v>
      </c>
      <c r="V135" s="16"/>
      <c r="W135" s="28">
        <f t="shared" si="46"/>
        <v>8905</v>
      </c>
      <c r="X135" s="28">
        <f t="shared" si="46"/>
        <v>68805</v>
      </c>
      <c r="Y135" s="28">
        <f t="shared" si="46"/>
        <v>79800</v>
      </c>
      <c r="Z135" s="28">
        <f>W135+X135+Y135</f>
        <v>157510</v>
      </c>
      <c r="AA135" s="28">
        <f t="shared" si="47"/>
        <v>6300</v>
      </c>
      <c r="AB135" s="28">
        <f t="shared" si="47"/>
        <v>83980</v>
      </c>
      <c r="AC135" s="28">
        <f>SUM(AA135:AB135)</f>
        <v>90280</v>
      </c>
      <c r="AD135" s="77">
        <f t="shared" si="48"/>
        <v>89300</v>
      </c>
      <c r="AE135" s="77">
        <f t="shared" si="48"/>
        <v>91200</v>
      </c>
      <c r="AF135" s="99">
        <f t="shared" si="48"/>
        <v>93100</v>
      </c>
    </row>
    <row r="136" spans="1:32" x14ac:dyDescent="0.3">
      <c r="A136" s="21">
        <v>2511</v>
      </c>
      <c r="B136" s="22" t="s">
        <v>60</v>
      </c>
      <c r="C136" s="36">
        <v>870</v>
      </c>
      <c r="D136" s="36">
        <v>885</v>
      </c>
      <c r="E136" s="37">
        <v>890</v>
      </c>
      <c r="F136" s="37">
        <v>890</v>
      </c>
      <c r="G136" s="37">
        <v>480</v>
      </c>
      <c r="H136" s="37">
        <v>480</v>
      </c>
      <c r="I136" s="37">
        <v>480</v>
      </c>
      <c r="J136" s="37">
        <v>480</v>
      </c>
      <c r="K136" s="16"/>
      <c r="L136" s="84">
        <v>8</v>
      </c>
      <c r="M136" s="84">
        <v>66</v>
      </c>
      <c r="N136" s="84">
        <v>76</v>
      </c>
      <c r="O136" s="84">
        <f>SUM(L136:N136)</f>
        <v>150</v>
      </c>
      <c r="P136" s="68">
        <v>6</v>
      </c>
      <c r="Q136" s="68">
        <v>148</v>
      </c>
      <c r="R136" s="84">
        <f>SUM(P136:Q136)</f>
        <v>154</v>
      </c>
      <c r="S136" s="84">
        <v>157</v>
      </c>
      <c r="T136" s="84">
        <v>160</v>
      </c>
      <c r="U136" s="84">
        <v>163</v>
      </c>
      <c r="V136" s="16"/>
      <c r="W136" s="28">
        <f t="shared" si="46"/>
        <v>6960</v>
      </c>
      <c r="X136" s="28">
        <f t="shared" si="46"/>
        <v>58410</v>
      </c>
      <c r="Y136" s="28">
        <f t="shared" si="46"/>
        <v>67640</v>
      </c>
      <c r="Z136" s="28">
        <f>W136+X136+Y136</f>
        <v>133010</v>
      </c>
      <c r="AA136" s="28">
        <f t="shared" si="47"/>
        <v>5340</v>
      </c>
      <c r="AB136" s="28">
        <f t="shared" si="47"/>
        <v>71040</v>
      </c>
      <c r="AC136" s="28">
        <f>SUM(AA136:AB136)</f>
        <v>76380</v>
      </c>
      <c r="AD136" s="77">
        <f t="shared" si="48"/>
        <v>75360</v>
      </c>
      <c r="AE136" s="77">
        <f t="shared" si="48"/>
        <v>76800</v>
      </c>
      <c r="AF136" s="99">
        <f t="shared" si="48"/>
        <v>78240</v>
      </c>
    </row>
    <row r="137" spans="1:32" x14ac:dyDescent="0.3">
      <c r="A137" s="32" t="s">
        <v>61</v>
      </c>
      <c r="B137" s="33"/>
      <c r="C137" s="36"/>
      <c r="D137" s="36"/>
      <c r="E137" s="37"/>
      <c r="F137" s="37"/>
      <c r="G137" s="37"/>
      <c r="H137" s="37"/>
      <c r="I137" s="37"/>
      <c r="J137" s="37"/>
      <c r="K137" s="16"/>
      <c r="L137" s="84"/>
      <c r="M137" s="84"/>
      <c r="N137" s="84"/>
      <c r="O137" s="84"/>
      <c r="P137" s="26"/>
      <c r="Q137" s="26"/>
      <c r="R137" s="84"/>
      <c r="S137" s="84"/>
      <c r="T137" s="84"/>
      <c r="U137" s="84"/>
      <c r="V137" s="16"/>
      <c r="W137" s="35">
        <f>SUM(W133:W136)</f>
        <v>2081635</v>
      </c>
      <c r="X137" s="35">
        <f t="shared" ref="X137:AF137" si="49">SUM(X133:X136)</f>
        <v>16640850</v>
      </c>
      <c r="Y137" s="35">
        <f t="shared" si="49"/>
        <v>19177200</v>
      </c>
      <c r="Z137" s="35">
        <f t="shared" si="49"/>
        <v>37899685</v>
      </c>
      <c r="AA137" s="28">
        <f t="shared" si="49"/>
        <v>1692120</v>
      </c>
      <c r="AB137" s="28">
        <f t="shared" si="49"/>
        <v>21945460</v>
      </c>
      <c r="AC137" s="28">
        <f t="shared" si="49"/>
        <v>23637580</v>
      </c>
      <c r="AD137" s="28">
        <f t="shared" si="49"/>
        <v>24343460</v>
      </c>
      <c r="AE137" s="28">
        <f t="shared" si="49"/>
        <v>24672400</v>
      </c>
      <c r="AF137" s="99">
        <f t="shared" si="49"/>
        <v>22674180</v>
      </c>
    </row>
    <row r="138" spans="1:32" x14ac:dyDescent="0.3">
      <c r="A138" s="32"/>
      <c r="B138" s="33"/>
      <c r="C138" s="36"/>
      <c r="D138" s="36"/>
      <c r="E138" s="37"/>
      <c r="F138" s="37"/>
      <c r="G138" s="37"/>
      <c r="H138" s="37"/>
      <c r="I138" s="37"/>
      <c r="J138" s="37"/>
      <c r="K138" s="16"/>
      <c r="L138" s="84"/>
      <c r="M138" s="84"/>
      <c r="N138" s="84"/>
      <c r="O138" s="84"/>
      <c r="P138" s="26"/>
      <c r="Q138" s="26"/>
      <c r="R138" s="84"/>
      <c r="S138" s="84"/>
      <c r="T138" s="84"/>
      <c r="U138" s="84"/>
      <c r="V138" s="16"/>
      <c r="W138" s="28"/>
      <c r="X138" s="28"/>
      <c r="Y138" s="28"/>
      <c r="Z138" s="28"/>
      <c r="AA138" s="28"/>
      <c r="AB138" s="28"/>
      <c r="AC138" s="28"/>
      <c r="AD138" s="78"/>
      <c r="AE138" s="28"/>
      <c r="AF138" s="99"/>
    </row>
    <row r="139" spans="1:32" x14ac:dyDescent="0.3">
      <c r="A139" s="32" t="s">
        <v>62</v>
      </c>
      <c r="B139" s="33"/>
      <c r="C139" s="36"/>
      <c r="D139" s="36"/>
      <c r="E139" s="37"/>
      <c r="F139" s="37"/>
      <c r="G139" s="37"/>
      <c r="H139" s="37"/>
      <c r="I139" s="37"/>
      <c r="J139" s="37"/>
      <c r="K139" s="16"/>
      <c r="L139" s="84"/>
      <c r="M139" s="84"/>
      <c r="N139" s="84"/>
      <c r="O139" s="84"/>
      <c r="P139" s="26"/>
      <c r="Q139" s="26"/>
      <c r="R139" s="84"/>
      <c r="S139" s="84"/>
      <c r="T139" s="84"/>
      <c r="U139" s="84"/>
      <c r="V139" s="16"/>
      <c r="W139" s="28"/>
      <c r="X139" s="28"/>
      <c r="Y139" s="28"/>
      <c r="Z139" s="28"/>
      <c r="AA139" s="28"/>
      <c r="AB139" s="28"/>
      <c r="AC139" s="28"/>
      <c r="AD139" s="78"/>
      <c r="AE139" s="28"/>
      <c r="AF139" s="99"/>
    </row>
    <row r="140" spans="1:32" x14ac:dyDescent="0.3">
      <c r="A140" s="21">
        <v>3501</v>
      </c>
      <c r="B140" s="22" t="s">
        <v>57</v>
      </c>
      <c r="C140" s="36"/>
      <c r="D140" s="36"/>
      <c r="E140" s="37">
        <v>445</v>
      </c>
      <c r="F140" s="37">
        <v>445</v>
      </c>
      <c r="G140" s="37">
        <v>240</v>
      </c>
      <c r="H140" s="37">
        <v>240</v>
      </c>
      <c r="I140" s="37">
        <v>240</v>
      </c>
      <c r="J140" s="37">
        <v>240</v>
      </c>
      <c r="K140" s="16"/>
      <c r="L140" s="84"/>
      <c r="M140" s="84"/>
      <c r="N140" s="84">
        <v>17230</v>
      </c>
      <c r="O140" s="84">
        <f>SUM(L140:N140)</f>
        <v>17230</v>
      </c>
      <c r="P140" s="68">
        <v>774</v>
      </c>
      <c r="Q140" s="68">
        <v>18571</v>
      </c>
      <c r="R140" s="84">
        <f>SUM(P140:Q140)</f>
        <v>19345</v>
      </c>
      <c r="S140" s="84">
        <v>20692</v>
      </c>
      <c r="T140" s="84">
        <v>20958</v>
      </c>
      <c r="U140" s="84">
        <v>19045</v>
      </c>
      <c r="V140" s="16"/>
      <c r="W140" s="28">
        <f t="shared" ref="W140:Y143" si="50">L140*C140</f>
        <v>0</v>
      </c>
      <c r="X140" s="28">
        <f t="shared" si="50"/>
        <v>0</v>
      </c>
      <c r="Y140" s="28">
        <f t="shared" si="50"/>
        <v>7667350</v>
      </c>
      <c r="Z140" s="28">
        <f>W140+X140+Y140</f>
        <v>7667350</v>
      </c>
      <c r="AA140" s="28">
        <f t="shared" ref="AA140:AB143" si="51">P140*F140</f>
        <v>344430</v>
      </c>
      <c r="AB140" s="28">
        <f t="shared" si="51"/>
        <v>4457040</v>
      </c>
      <c r="AC140" s="28">
        <f>SUM(AA140:AB140)</f>
        <v>4801470</v>
      </c>
      <c r="AD140" s="77">
        <f t="shared" ref="AD140:AF143" si="52">H140*S140</f>
        <v>4966080</v>
      </c>
      <c r="AE140" s="77">
        <f t="shared" si="52"/>
        <v>5029920</v>
      </c>
      <c r="AF140" s="99">
        <f t="shared" si="52"/>
        <v>4570800</v>
      </c>
    </row>
    <row r="141" spans="1:32" x14ac:dyDescent="0.3">
      <c r="A141" s="21">
        <v>3502</v>
      </c>
      <c r="B141" s="22" t="s">
        <v>58</v>
      </c>
      <c r="C141" s="36"/>
      <c r="D141" s="36"/>
      <c r="E141" s="37">
        <v>255</v>
      </c>
      <c r="F141" s="37">
        <v>255</v>
      </c>
      <c r="G141" s="37">
        <v>140</v>
      </c>
      <c r="H141" s="37">
        <v>140</v>
      </c>
      <c r="I141" s="37">
        <v>140</v>
      </c>
      <c r="J141" s="37">
        <v>140</v>
      </c>
      <c r="K141" s="16"/>
      <c r="L141" s="84"/>
      <c r="M141" s="84"/>
      <c r="N141" s="84">
        <v>3195</v>
      </c>
      <c r="O141" s="84">
        <f>SUM(L141:N141)</f>
        <v>3195</v>
      </c>
      <c r="P141" s="68">
        <v>130</v>
      </c>
      <c r="Q141" s="68">
        <v>3129</v>
      </c>
      <c r="R141" s="84">
        <f>SUM(P141:Q141)</f>
        <v>3259</v>
      </c>
      <c r="S141" s="84">
        <v>3324</v>
      </c>
      <c r="T141" s="84">
        <v>3390</v>
      </c>
      <c r="U141" s="84">
        <v>3458</v>
      </c>
      <c r="V141" s="16"/>
      <c r="W141" s="28">
        <f t="shared" si="50"/>
        <v>0</v>
      </c>
      <c r="X141" s="28">
        <f t="shared" si="50"/>
        <v>0</v>
      </c>
      <c r="Y141" s="28">
        <f t="shared" si="50"/>
        <v>814725</v>
      </c>
      <c r="Z141" s="28">
        <f>W141+X141+Y141</f>
        <v>814725</v>
      </c>
      <c r="AA141" s="28">
        <f t="shared" si="51"/>
        <v>33150</v>
      </c>
      <c r="AB141" s="28">
        <f t="shared" si="51"/>
        <v>438060</v>
      </c>
      <c r="AC141" s="28">
        <f>SUM(AA141:AB141)</f>
        <v>471210</v>
      </c>
      <c r="AD141" s="77">
        <f t="shared" si="52"/>
        <v>465360</v>
      </c>
      <c r="AE141" s="77">
        <f t="shared" si="52"/>
        <v>474600</v>
      </c>
      <c r="AF141" s="99">
        <f t="shared" si="52"/>
        <v>484120</v>
      </c>
    </row>
    <row r="142" spans="1:32" x14ac:dyDescent="0.3">
      <c r="A142" s="21">
        <v>3503</v>
      </c>
      <c r="B142" s="22" t="s">
        <v>59</v>
      </c>
      <c r="C142" s="36"/>
      <c r="D142" s="36"/>
      <c r="E142" s="37">
        <v>350</v>
      </c>
      <c r="F142" s="37">
        <v>350</v>
      </c>
      <c r="G142" s="37">
        <v>190</v>
      </c>
      <c r="H142" s="37">
        <v>190</v>
      </c>
      <c r="I142" s="37">
        <v>190</v>
      </c>
      <c r="J142" s="37">
        <v>190</v>
      </c>
      <c r="K142" s="16"/>
      <c r="L142" s="84"/>
      <c r="M142" s="84"/>
      <c r="N142" s="84">
        <v>102</v>
      </c>
      <c r="O142" s="84">
        <f>SUM(L142:N142)</f>
        <v>102</v>
      </c>
      <c r="P142" s="68">
        <v>4</v>
      </c>
      <c r="Q142" s="68">
        <v>100</v>
      </c>
      <c r="R142" s="84">
        <f>SUM(P142:Q142)</f>
        <v>104</v>
      </c>
      <c r="S142" s="84">
        <v>106</v>
      </c>
      <c r="T142" s="84">
        <v>108</v>
      </c>
      <c r="U142" s="84">
        <v>110</v>
      </c>
      <c r="V142" s="16"/>
      <c r="W142" s="28">
        <f t="shared" si="50"/>
        <v>0</v>
      </c>
      <c r="X142" s="28">
        <f t="shared" si="50"/>
        <v>0</v>
      </c>
      <c r="Y142" s="28">
        <f t="shared" si="50"/>
        <v>35700</v>
      </c>
      <c r="Z142" s="28">
        <f>W142+X142+Y142</f>
        <v>35700</v>
      </c>
      <c r="AA142" s="28">
        <f t="shared" si="51"/>
        <v>1400</v>
      </c>
      <c r="AB142" s="28">
        <f t="shared" si="51"/>
        <v>19000</v>
      </c>
      <c r="AC142" s="28">
        <f>SUM(AA142:AB142)</f>
        <v>20400</v>
      </c>
      <c r="AD142" s="77">
        <f t="shared" si="52"/>
        <v>20140</v>
      </c>
      <c r="AE142" s="77">
        <f t="shared" si="52"/>
        <v>20520</v>
      </c>
      <c r="AF142" s="99">
        <f t="shared" si="52"/>
        <v>20900</v>
      </c>
    </row>
    <row r="143" spans="1:32" x14ac:dyDescent="0.3">
      <c r="A143" s="21">
        <v>3511</v>
      </c>
      <c r="B143" s="22" t="s">
        <v>60</v>
      </c>
      <c r="C143" s="36"/>
      <c r="D143" s="36"/>
      <c r="E143" s="37">
        <v>445</v>
      </c>
      <c r="F143" s="37">
        <v>445</v>
      </c>
      <c r="G143" s="37">
        <v>240</v>
      </c>
      <c r="H143" s="37">
        <v>240</v>
      </c>
      <c r="I143" s="37">
        <v>240</v>
      </c>
      <c r="J143" s="37">
        <v>240</v>
      </c>
      <c r="K143" s="16"/>
      <c r="L143" s="84"/>
      <c r="M143" s="84"/>
      <c r="N143" s="84">
        <v>68</v>
      </c>
      <c r="O143" s="84">
        <f>SUM(L143:N143)</f>
        <v>68</v>
      </c>
      <c r="P143" s="68">
        <v>3</v>
      </c>
      <c r="Q143" s="68">
        <v>66</v>
      </c>
      <c r="R143" s="84">
        <f>SUM(P143:Q143)</f>
        <v>69</v>
      </c>
      <c r="S143" s="84">
        <v>71</v>
      </c>
      <c r="T143" s="84">
        <v>72</v>
      </c>
      <c r="U143" s="84">
        <v>73</v>
      </c>
      <c r="V143" s="16"/>
      <c r="W143" s="28">
        <f t="shared" si="50"/>
        <v>0</v>
      </c>
      <c r="X143" s="28">
        <f t="shared" si="50"/>
        <v>0</v>
      </c>
      <c r="Y143" s="28">
        <f t="shared" si="50"/>
        <v>30260</v>
      </c>
      <c r="Z143" s="28">
        <f>W143+X143+Y143</f>
        <v>30260</v>
      </c>
      <c r="AA143" s="28">
        <f t="shared" si="51"/>
        <v>1335</v>
      </c>
      <c r="AB143" s="28">
        <f t="shared" si="51"/>
        <v>15840</v>
      </c>
      <c r="AC143" s="28">
        <f>SUM(AA143:AB143)</f>
        <v>17175</v>
      </c>
      <c r="AD143" s="77">
        <f t="shared" si="52"/>
        <v>17040</v>
      </c>
      <c r="AE143" s="77">
        <f t="shared" si="52"/>
        <v>17280</v>
      </c>
      <c r="AF143" s="99">
        <f t="shared" si="52"/>
        <v>17520</v>
      </c>
    </row>
    <row r="144" spans="1:32" x14ac:dyDescent="0.3">
      <c r="A144" s="45" t="s">
        <v>62</v>
      </c>
      <c r="B144" s="46"/>
      <c r="C144" s="36"/>
      <c r="D144" s="36"/>
      <c r="E144" s="36"/>
      <c r="F144" s="36"/>
      <c r="G144" s="36"/>
      <c r="H144" s="36"/>
      <c r="I144" s="36"/>
      <c r="J144" s="36"/>
      <c r="K144" s="16"/>
      <c r="L144" s="25"/>
      <c r="M144" s="25"/>
      <c r="N144" s="25"/>
      <c r="O144" s="25"/>
      <c r="P144" s="26"/>
      <c r="Q144" s="26"/>
      <c r="R144" s="41"/>
      <c r="S144" s="27"/>
      <c r="T144" s="27"/>
      <c r="U144" s="27"/>
      <c r="V144" s="16"/>
      <c r="W144" s="28">
        <f t="shared" ref="W144:AF144" si="53">SUM(W140:W143)</f>
        <v>0</v>
      </c>
      <c r="X144" s="28">
        <f t="shared" si="53"/>
        <v>0</v>
      </c>
      <c r="Y144" s="28">
        <f t="shared" si="53"/>
        <v>8548035</v>
      </c>
      <c r="Z144" s="28">
        <f t="shared" si="53"/>
        <v>8548035</v>
      </c>
      <c r="AA144" s="28">
        <f t="shared" si="53"/>
        <v>380315</v>
      </c>
      <c r="AB144" s="28">
        <f t="shared" si="53"/>
        <v>4929940</v>
      </c>
      <c r="AC144" s="28">
        <f t="shared" si="53"/>
        <v>5310255</v>
      </c>
      <c r="AD144" s="28">
        <f t="shared" si="53"/>
        <v>5468620</v>
      </c>
      <c r="AE144" s="28">
        <f t="shared" si="53"/>
        <v>5542320</v>
      </c>
      <c r="AF144" s="99">
        <f t="shared" si="53"/>
        <v>5093340</v>
      </c>
    </row>
    <row r="145" spans="1:32" x14ac:dyDescent="0.3">
      <c r="A145" s="21">
        <v>1506</v>
      </c>
      <c r="B145" s="22" t="s">
        <v>222</v>
      </c>
      <c r="C145" s="150" t="s">
        <v>268</v>
      </c>
      <c r="D145" s="150" t="s">
        <v>268</v>
      </c>
      <c r="E145" s="150" t="s">
        <v>268</v>
      </c>
      <c r="F145" s="150" t="s">
        <v>268</v>
      </c>
      <c r="G145" s="150" t="s">
        <v>268</v>
      </c>
      <c r="H145" s="150" t="s">
        <v>268</v>
      </c>
      <c r="I145" s="150" t="s">
        <v>268</v>
      </c>
      <c r="J145" s="150" t="s">
        <v>268</v>
      </c>
      <c r="K145" s="16"/>
      <c r="L145" s="26">
        <v>0</v>
      </c>
      <c r="M145" s="26">
        <v>50000</v>
      </c>
      <c r="N145" s="26">
        <v>50000</v>
      </c>
      <c r="O145" s="84">
        <f>SUM(L145:N145)</f>
        <v>100000</v>
      </c>
      <c r="P145" s="26">
        <v>25000</v>
      </c>
      <c r="Q145" s="26">
        <v>75000</v>
      </c>
      <c r="R145" s="84">
        <f>SUM(P145:Q145)</f>
        <v>100000</v>
      </c>
      <c r="S145" s="26">
        <v>100000</v>
      </c>
      <c r="T145" s="26">
        <v>100000</v>
      </c>
      <c r="U145" s="26">
        <v>100000</v>
      </c>
      <c r="V145" s="16"/>
      <c r="W145" s="28">
        <f>L145</f>
        <v>0</v>
      </c>
      <c r="X145" s="28">
        <f>M145</f>
        <v>50000</v>
      </c>
      <c r="Y145" s="28">
        <f>N145</f>
        <v>50000</v>
      </c>
      <c r="Z145" s="28">
        <f>W145+X145+Y145</f>
        <v>100000</v>
      </c>
      <c r="AA145" s="28">
        <f>P145</f>
        <v>25000</v>
      </c>
      <c r="AB145" s="28">
        <f>Q145</f>
        <v>75000</v>
      </c>
      <c r="AC145" s="28">
        <f>SUM(AA145:AB145)</f>
        <v>100000</v>
      </c>
      <c r="AD145" s="28">
        <f>S145</f>
        <v>100000</v>
      </c>
      <c r="AE145" s="28">
        <f>T145</f>
        <v>100000</v>
      </c>
      <c r="AF145" s="99">
        <f>U145</f>
        <v>100000</v>
      </c>
    </row>
    <row r="146" spans="1:32" x14ac:dyDescent="0.3">
      <c r="A146" s="32" t="s">
        <v>63</v>
      </c>
      <c r="B146" s="33"/>
      <c r="C146" s="47"/>
      <c r="D146" s="47"/>
      <c r="E146" s="47"/>
      <c r="F146" s="47"/>
      <c r="G146" s="47"/>
      <c r="H146" s="47"/>
      <c r="I146" s="47"/>
      <c r="J146" s="47"/>
      <c r="K146" s="16"/>
      <c r="L146" s="26"/>
      <c r="M146" s="26"/>
      <c r="N146" s="26"/>
      <c r="O146" s="84"/>
      <c r="P146" s="26"/>
      <c r="Q146" s="26"/>
      <c r="R146" s="84"/>
      <c r="S146" s="26"/>
      <c r="T146" s="26"/>
      <c r="U146" s="26"/>
      <c r="V146" s="16"/>
      <c r="W146" s="28">
        <f>SUM(W145,W144,W137,W130)</f>
        <v>25471755</v>
      </c>
      <c r="X146" s="28">
        <f t="shared" ref="X146:AF146" si="54">SUM(X145,X144,X137,X130)</f>
        <v>203666250</v>
      </c>
      <c r="Y146" s="28">
        <f t="shared" si="54"/>
        <v>243183355</v>
      </c>
      <c r="Z146" s="28">
        <f t="shared" si="54"/>
        <v>472321360</v>
      </c>
      <c r="AA146" s="28">
        <f t="shared" si="54"/>
        <v>21234515</v>
      </c>
      <c r="AB146" s="28">
        <f t="shared" si="54"/>
        <v>274767720</v>
      </c>
      <c r="AC146" s="28">
        <f t="shared" si="54"/>
        <v>296002235</v>
      </c>
      <c r="AD146" s="28">
        <f t="shared" si="54"/>
        <v>305644240</v>
      </c>
      <c r="AE146" s="28">
        <f t="shared" si="54"/>
        <v>309650440</v>
      </c>
      <c r="AF146" s="99">
        <f t="shared" si="54"/>
        <v>282622280</v>
      </c>
    </row>
    <row r="147" spans="1:32" x14ac:dyDescent="0.3">
      <c r="A147" s="43"/>
      <c r="B147" s="33"/>
      <c r="C147" s="47"/>
      <c r="D147" s="47"/>
      <c r="E147" s="47"/>
      <c r="F147" s="47"/>
      <c r="G147" s="47"/>
      <c r="H147" s="47"/>
      <c r="I147" s="47"/>
      <c r="J147" s="47"/>
      <c r="K147" s="16"/>
      <c r="L147" s="26"/>
      <c r="M147" s="26"/>
      <c r="N147" s="26"/>
      <c r="O147" s="84"/>
      <c r="P147" s="26"/>
      <c r="Q147" s="26"/>
      <c r="R147" s="84"/>
      <c r="S147" s="26"/>
      <c r="T147" s="26"/>
      <c r="U147" s="26"/>
      <c r="V147" s="16"/>
      <c r="W147" s="28"/>
      <c r="X147" s="28"/>
      <c r="Y147" s="28"/>
      <c r="Z147" s="28"/>
      <c r="AA147" s="28"/>
      <c r="AB147" s="28"/>
      <c r="AC147" s="28"/>
      <c r="AD147" s="28"/>
      <c r="AE147" s="28"/>
      <c r="AF147" s="99"/>
    </row>
    <row r="148" spans="1:32" x14ac:dyDescent="0.3">
      <c r="A148" s="32" t="s">
        <v>64</v>
      </c>
      <c r="B148" s="33"/>
      <c r="C148" s="48"/>
      <c r="D148" s="48"/>
      <c r="E148" s="48"/>
      <c r="F148" s="48"/>
      <c r="G148" s="48"/>
      <c r="H148" s="48"/>
      <c r="I148" s="48"/>
      <c r="J148" s="48"/>
      <c r="K148" s="16"/>
      <c r="L148" s="26"/>
      <c r="M148" s="26"/>
      <c r="N148" s="26"/>
      <c r="O148" s="84"/>
      <c r="P148" s="26"/>
      <c r="Q148" s="26"/>
      <c r="R148" s="84"/>
      <c r="S148" s="26"/>
      <c r="T148" s="26"/>
      <c r="U148" s="26"/>
      <c r="V148" s="16"/>
      <c r="W148" s="28"/>
      <c r="X148" s="28"/>
      <c r="Y148" s="28"/>
      <c r="Z148" s="28"/>
      <c r="AA148" s="28"/>
      <c r="AB148" s="28"/>
      <c r="AC148" s="28"/>
      <c r="AD148" s="28"/>
      <c r="AE148" s="28"/>
      <c r="AF148" s="99"/>
    </row>
    <row r="149" spans="1:32" x14ac:dyDescent="0.3">
      <c r="A149" s="21">
        <v>1504</v>
      </c>
      <c r="B149" s="22" t="s">
        <v>65</v>
      </c>
      <c r="C149" s="36">
        <v>300</v>
      </c>
      <c r="D149" s="36">
        <v>300</v>
      </c>
      <c r="E149" s="37">
        <v>300</v>
      </c>
      <c r="F149" s="37">
        <v>300</v>
      </c>
      <c r="G149" s="37">
        <v>0</v>
      </c>
      <c r="H149" s="37">
        <v>0</v>
      </c>
      <c r="I149" s="37">
        <v>0</v>
      </c>
      <c r="J149" s="37">
        <v>0</v>
      </c>
      <c r="K149" s="16"/>
      <c r="L149" s="26">
        <v>15331</v>
      </c>
      <c r="M149" s="26">
        <v>120461</v>
      </c>
      <c r="N149" s="26">
        <v>137983</v>
      </c>
      <c r="O149" s="84">
        <f>SUM(L149:N149)</f>
        <v>273775</v>
      </c>
      <c r="P149" s="26">
        <v>0</v>
      </c>
      <c r="Q149" s="26">
        <v>0</v>
      </c>
      <c r="R149" s="84">
        <f>SUM(P149:Q149)</f>
        <v>0</v>
      </c>
      <c r="S149" s="26">
        <v>0</v>
      </c>
      <c r="T149" s="26">
        <v>0</v>
      </c>
      <c r="U149" s="26">
        <v>0</v>
      </c>
      <c r="V149" s="16"/>
      <c r="W149" s="28">
        <f t="shared" ref="W149:Y152" si="55">L149*C149</f>
        <v>4599300</v>
      </c>
      <c r="X149" s="28">
        <f t="shared" si="55"/>
        <v>36138300</v>
      </c>
      <c r="Y149" s="28">
        <f t="shared" si="55"/>
        <v>41394900</v>
      </c>
      <c r="Z149" s="28">
        <f>W149+X149+Y149</f>
        <v>82132500</v>
      </c>
      <c r="AA149" s="28">
        <f t="shared" ref="AA149:AB152" si="56">F149*P149</f>
        <v>0</v>
      </c>
      <c r="AB149" s="28">
        <f t="shared" si="56"/>
        <v>0</v>
      </c>
      <c r="AC149" s="28">
        <f>SUM(AA149:AB149)</f>
        <v>0</v>
      </c>
      <c r="AD149" s="28">
        <f t="shared" ref="AD149:AF152" si="57">H149*S149</f>
        <v>0</v>
      </c>
      <c r="AE149" s="28">
        <f t="shared" si="57"/>
        <v>0</v>
      </c>
      <c r="AF149" s="99">
        <f t="shared" si="57"/>
        <v>0</v>
      </c>
    </row>
    <row r="150" spans="1:32" x14ac:dyDescent="0.3">
      <c r="A150" s="21">
        <v>1505</v>
      </c>
      <c r="B150" s="22" t="s">
        <v>66</v>
      </c>
      <c r="C150" s="36">
        <v>300</v>
      </c>
      <c r="D150" s="36">
        <v>300</v>
      </c>
      <c r="E150" s="37">
        <v>300</v>
      </c>
      <c r="F150" s="37">
        <v>300</v>
      </c>
      <c r="G150" s="37">
        <v>300</v>
      </c>
      <c r="H150" s="37">
        <v>300</v>
      </c>
      <c r="I150" s="37">
        <v>300</v>
      </c>
      <c r="J150" s="37">
        <v>300</v>
      </c>
      <c r="K150" s="16"/>
      <c r="L150" s="26">
        <v>11</v>
      </c>
      <c r="M150" s="26">
        <v>88</v>
      </c>
      <c r="N150" s="26">
        <v>101</v>
      </c>
      <c r="O150" s="84">
        <f>SUM(L150:N150)</f>
        <v>200</v>
      </c>
      <c r="P150" s="26">
        <v>53</v>
      </c>
      <c r="Q150" s="26">
        <v>168</v>
      </c>
      <c r="R150" s="84">
        <f>SUM(P150:Q150)</f>
        <v>221</v>
      </c>
      <c r="S150" s="26">
        <v>243</v>
      </c>
      <c r="T150" s="26">
        <v>267</v>
      </c>
      <c r="U150" s="26">
        <v>294</v>
      </c>
      <c r="V150" s="16"/>
      <c r="W150" s="28">
        <f t="shared" si="55"/>
        <v>3300</v>
      </c>
      <c r="X150" s="28">
        <f t="shared" si="55"/>
        <v>26400</v>
      </c>
      <c r="Y150" s="28">
        <f t="shared" si="55"/>
        <v>30300</v>
      </c>
      <c r="Z150" s="28">
        <f>W150+X150+Y150</f>
        <v>60000</v>
      </c>
      <c r="AA150" s="28">
        <f t="shared" si="56"/>
        <v>15900</v>
      </c>
      <c r="AB150" s="28">
        <f t="shared" si="56"/>
        <v>50400</v>
      </c>
      <c r="AC150" s="28">
        <f>SUM(AA150:AB150)</f>
        <v>66300</v>
      </c>
      <c r="AD150" s="28">
        <f t="shared" si="57"/>
        <v>72900</v>
      </c>
      <c r="AE150" s="28">
        <f t="shared" si="57"/>
        <v>80100</v>
      </c>
      <c r="AF150" s="99">
        <f t="shared" si="57"/>
        <v>88200</v>
      </c>
    </row>
    <row r="151" spans="1:32" x14ac:dyDescent="0.3">
      <c r="A151" s="21">
        <v>1803</v>
      </c>
      <c r="B151" s="22" t="s">
        <v>67</v>
      </c>
      <c r="C151" s="36">
        <v>130</v>
      </c>
      <c r="D151" s="36">
        <v>130</v>
      </c>
      <c r="E151" s="24">
        <v>130</v>
      </c>
      <c r="F151" s="24">
        <v>130</v>
      </c>
      <c r="G151" s="24">
        <v>130</v>
      </c>
      <c r="H151" s="24">
        <v>130</v>
      </c>
      <c r="I151" s="24">
        <v>130</v>
      </c>
      <c r="J151" s="24">
        <v>130</v>
      </c>
      <c r="K151" s="16"/>
      <c r="L151" s="26">
        <v>27</v>
      </c>
      <c r="M151" s="26">
        <v>212</v>
      </c>
      <c r="N151" s="26">
        <v>242</v>
      </c>
      <c r="O151" s="84">
        <f>SUM(L151:N151)</f>
        <v>481</v>
      </c>
      <c r="P151" s="26">
        <v>144</v>
      </c>
      <c r="Q151" s="26">
        <v>458</v>
      </c>
      <c r="R151" s="84">
        <f>SUM(P151:Q151)</f>
        <v>602</v>
      </c>
      <c r="S151" s="26">
        <v>752</v>
      </c>
      <c r="T151" s="26">
        <v>940</v>
      </c>
      <c r="U151" s="26">
        <v>1175</v>
      </c>
      <c r="V151" s="16"/>
      <c r="W151" s="28">
        <f t="shared" si="55"/>
        <v>3510</v>
      </c>
      <c r="X151" s="28">
        <f t="shared" si="55"/>
        <v>27560</v>
      </c>
      <c r="Y151" s="28">
        <f t="shared" si="55"/>
        <v>31460</v>
      </c>
      <c r="Z151" s="28">
        <f>W151+X151+Y151</f>
        <v>62530</v>
      </c>
      <c r="AA151" s="28">
        <f t="shared" si="56"/>
        <v>18720</v>
      </c>
      <c r="AB151" s="28">
        <f t="shared" si="56"/>
        <v>59540</v>
      </c>
      <c r="AC151" s="28">
        <f>SUM(AA151:AB151)</f>
        <v>78260</v>
      </c>
      <c r="AD151" s="28">
        <f t="shared" si="57"/>
        <v>97760</v>
      </c>
      <c r="AE151" s="28">
        <f t="shared" si="57"/>
        <v>122200</v>
      </c>
      <c r="AF151" s="99">
        <f t="shared" si="57"/>
        <v>152750</v>
      </c>
    </row>
    <row r="152" spans="1:32" x14ac:dyDescent="0.3">
      <c r="A152" s="21">
        <v>1808</v>
      </c>
      <c r="B152" s="22" t="s">
        <v>296</v>
      </c>
      <c r="C152" s="36">
        <v>130</v>
      </c>
      <c r="D152" s="36">
        <v>130</v>
      </c>
      <c r="E152" s="24">
        <v>130</v>
      </c>
      <c r="F152" s="24">
        <v>130</v>
      </c>
      <c r="G152" s="24">
        <v>130</v>
      </c>
      <c r="H152" s="24">
        <v>130</v>
      </c>
      <c r="I152" s="24">
        <v>130</v>
      </c>
      <c r="J152" s="24">
        <v>130</v>
      </c>
      <c r="K152" s="16"/>
      <c r="L152" s="26">
        <v>172</v>
      </c>
      <c r="M152" s="26">
        <v>1351</v>
      </c>
      <c r="N152" s="26">
        <v>1547</v>
      </c>
      <c r="O152" s="84">
        <f>SUM(L152:N152)</f>
        <v>3070</v>
      </c>
      <c r="P152" s="26">
        <v>818</v>
      </c>
      <c r="Q152" s="26">
        <v>2589</v>
      </c>
      <c r="R152" s="84">
        <f>SUM(P152:Q152)</f>
        <v>3407</v>
      </c>
      <c r="S152" s="26">
        <v>3457</v>
      </c>
      <c r="T152" s="26">
        <v>3507</v>
      </c>
      <c r="U152" s="26">
        <v>3557</v>
      </c>
      <c r="V152" s="16"/>
      <c r="W152" s="28">
        <f t="shared" si="55"/>
        <v>22360</v>
      </c>
      <c r="X152" s="28">
        <f t="shared" si="55"/>
        <v>175630</v>
      </c>
      <c r="Y152" s="28">
        <f t="shared" si="55"/>
        <v>201110</v>
      </c>
      <c r="Z152" s="28">
        <f>W152+X152+Y152</f>
        <v>399100</v>
      </c>
      <c r="AA152" s="28">
        <f t="shared" si="56"/>
        <v>106340</v>
      </c>
      <c r="AB152" s="28">
        <f t="shared" si="56"/>
        <v>336570</v>
      </c>
      <c r="AC152" s="28">
        <f>SUM(AA152:AB152)</f>
        <v>442910</v>
      </c>
      <c r="AD152" s="28">
        <f t="shared" si="57"/>
        <v>449410</v>
      </c>
      <c r="AE152" s="28">
        <f t="shared" si="57"/>
        <v>455910</v>
      </c>
      <c r="AF152" s="99">
        <f t="shared" si="57"/>
        <v>462410</v>
      </c>
    </row>
    <row r="153" spans="1:32" x14ac:dyDescent="0.3">
      <c r="A153" s="21">
        <v>1507</v>
      </c>
      <c r="B153" s="22" t="s">
        <v>223</v>
      </c>
      <c r="C153" s="150" t="s">
        <v>268</v>
      </c>
      <c r="D153" s="150" t="s">
        <v>268</v>
      </c>
      <c r="E153" s="150" t="s">
        <v>268</v>
      </c>
      <c r="F153" s="150" t="s">
        <v>268</v>
      </c>
      <c r="G153" s="150" t="s">
        <v>268</v>
      </c>
      <c r="H153" s="150" t="s">
        <v>268</v>
      </c>
      <c r="I153" s="150" t="s">
        <v>268</v>
      </c>
      <c r="J153" s="150" t="s">
        <v>268</v>
      </c>
      <c r="K153" s="16"/>
      <c r="L153" s="26">
        <v>0</v>
      </c>
      <c r="M153" s="26">
        <v>0</v>
      </c>
      <c r="N153" s="26">
        <v>0</v>
      </c>
      <c r="O153" s="84">
        <f>SUM(L153:N153)</f>
        <v>0</v>
      </c>
      <c r="P153" s="26">
        <v>0</v>
      </c>
      <c r="Q153" s="26">
        <v>0</v>
      </c>
      <c r="R153" s="84">
        <f>SUM(P153:Q153)</f>
        <v>0</v>
      </c>
      <c r="S153" s="26">
        <v>0</v>
      </c>
      <c r="T153" s="26">
        <v>0</v>
      </c>
      <c r="U153" s="26">
        <v>0</v>
      </c>
      <c r="V153" s="16"/>
      <c r="W153" s="28">
        <f>L153</f>
        <v>0</v>
      </c>
      <c r="X153" s="28">
        <f>M153</f>
        <v>0</v>
      </c>
      <c r="Y153" s="28">
        <f>N153</f>
        <v>0</v>
      </c>
      <c r="Z153" s="28">
        <f>W153+X153+Y153</f>
        <v>0</v>
      </c>
      <c r="AA153" s="28">
        <f>P153</f>
        <v>0</v>
      </c>
      <c r="AB153" s="28">
        <f>Q153</f>
        <v>0</v>
      </c>
      <c r="AC153" s="28">
        <f>SUM(AA153:AB153)</f>
        <v>0</v>
      </c>
      <c r="AD153" s="28">
        <f>S153</f>
        <v>0</v>
      </c>
      <c r="AE153" s="28">
        <f>T153</f>
        <v>0</v>
      </c>
      <c r="AF153" s="99">
        <f>U153</f>
        <v>0</v>
      </c>
    </row>
    <row r="154" spans="1:32" ht="15" thickBot="1" x14ac:dyDescent="0.35">
      <c r="A154" s="63" t="s">
        <v>68</v>
      </c>
      <c r="B154" s="168"/>
      <c r="C154" s="183"/>
      <c r="D154" s="183"/>
      <c r="E154" s="183"/>
      <c r="F154" s="183"/>
      <c r="G154" s="183"/>
      <c r="H154" s="183"/>
      <c r="I154" s="183"/>
      <c r="J154" s="183"/>
      <c r="K154" s="109"/>
      <c r="L154" s="39"/>
      <c r="M154" s="39"/>
      <c r="N154" s="39"/>
      <c r="O154" s="39"/>
      <c r="P154" s="40"/>
      <c r="Q154" s="40"/>
      <c r="R154" s="184"/>
      <c r="S154" s="40"/>
      <c r="T154" s="40"/>
      <c r="U154" s="40"/>
      <c r="V154" s="109"/>
      <c r="W154" s="185">
        <f>SUM(W149:W153)</f>
        <v>4628470</v>
      </c>
      <c r="X154" s="185">
        <f t="shared" ref="X154:AF154" si="58">SUM(X149:X153)</f>
        <v>36367890</v>
      </c>
      <c r="Y154" s="185">
        <f t="shared" si="58"/>
        <v>41657770</v>
      </c>
      <c r="Z154" s="185">
        <f t="shared" si="58"/>
        <v>82654130</v>
      </c>
      <c r="AA154" s="186">
        <f t="shared" si="58"/>
        <v>140960</v>
      </c>
      <c r="AB154" s="186">
        <f t="shared" si="58"/>
        <v>446510</v>
      </c>
      <c r="AC154" s="186">
        <f t="shared" si="58"/>
        <v>587470</v>
      </c>
      <c r="AD154" s="186">
        <f t="shared" si="58"/>
        <v>620070</v>
      </c>
      <c r="AE154" s="186">
        <f t="shared" si="58"/>
        <v>658210</v>
      </c>
      <c r="AF154" s="172">
        <f t="shared" si="58"/>
        <v>703360</v>
      </c>
    </row>
    <row r="155" spans="1:32" x14ac:dyDescent="0.3">
      <c r="A155" s="187"/>
      <c r="B155" s="174"/>
      <c r="C155" s="188"/>
      <c r="D155" s="188"/>
      <c r="E155" s="188"/>
      <c r="F155" s="188"/>
      <c r="G155" s="188"/>
      <c r="H155" s="188"/>
      <c r="I155" s="188"/>
      <c r="J155" s="188"/>
      <c r="K155" s="163"/>
      <c r="L155" s="176"/>
      <c r="M155" s="176"/>
      <c r="N155" s="176"/>
      <c r="O155" s="176"/>
      <c r="P155" s="177"/>
      <c r="Q155" s="177"/>
      <c r="R155" s="178"/>
      <c r="S155" s="179"/>
      <c r="T155" s="179"/>
      <c r="U155" s="179"/>
      <c r="V155" s="163"/>
      <c r="W155" s="180"/>
      <c r="X155" s="180"/>
      <c r="Y155" s="180"/>
      <c r="Z155" s="180"/>
      <c r="AA155" s="189"/>
      <c r="AB155" s="189"/>
      <c r="AC155" s="189"/>
      <c r="AD155" s="181"/>
      <c r="AE155" s="189"/>
      <c r="AF155" s="190"/>
    </row>
    <row r="156" spans="1:32" x14ac:dyDescent="0.3">
      <c r="A156" s="32" t="s">
        <v>69</v>
      </c>
      <c r="B156" s="33"/>
      <c r="C156" s="36"/>
      <c r="D156" s="36"/>
      <c r="E156" s="36"/>
      <c r="F156" s="36"/>
      <c r="G156" s="36"/>
      <c r="H156" s="36"/>
      <c r="I156" s="36"/>
      <c r="J156" s="36"/>
      <c r="K156" s="16"/>
      <c r="L156" s="25"/>
      <c r="M156" s="25"/>
      <c r="N156" s="25"/>
      <c r="O156" s="25"/>
      <c r="P156" s="26"/>
      <c r="Q156" s="26"/>
      <c r="R156" s="41"/>
      <c r="S156" s="27"/>
      <c r="T156" s="27"/>
      <c r="U156" s="27"/>
      <c r="V156" s="16"/>
      <c r="W156" s="28"/>
      <c r="X156" s="28"/>
      <c r="Y156" s="28"/>
      <c r="Z156" s="28"/>
      <c r="AA156" s="28"/>
      <c r="AB156" s="28"/>
      <c r="AC156" s="28"/>
      <c r="AD156" s="77"/>
      <c r="AE156" s="28"/>
      <c r="AF156" s="99"/>
    </row>
    <row r="157" spans="1:32" x14ac:dyDescent="0.3">
      <c r="A157" s="21">
        <v>1551</v>
      </c>
      <c r="B157" s="22" t="s">
        <v>70</v>
      </c>
      <c r="C157" s="23">
        <v>1130</v>
      </c>
      <c r="D157" s="23">
        <v>1150</v>
      </c>
      <c r="E157" s="24">
        <v>1600</v>
      </c>
      <c r="F157" s="24">
        <v>1600</v>
      </c>
      <c r="G157" s="24">
        <v>1600</v>
      </c>
      <c r="H157" s="24">
        <v>1600</v>
      </c>
      <c r="I157" s="24">
        <v>1600</v>
      </c>
      <c r="J157" s="24">
        <v>1600</v>
      </c>
      <c r="K157" s="16"/>
      <c r="L157" s="84">
        <v>6853</v>
      </c>
      <c r="M157" s="84">
        <v>100844</v>
      </c>
      <c r="N157" s="84">
        <v>14686</v>
      </c>
      <c r="O157" s="84">
        <f t="shared" ref="O157:O164" si="59">SUM(L157:N157)</f>
        <v>122383</v>
      </c>
      <c r="P157" s="26">
        <v>35828</v>
      </c>
      <c r="Q157" s="26">
        <v>113455</v>
      </c>
      <c r="R157" s="84">
        <f t="shared" ref="R157:R164" si="60">SUM(P157:Q157)</f>
        <v>149283</v>
      </c>
      <c r="S157" s="84">
        <v>163317</v>
      </c>
      <c r="T157" s="84">
        <v>177499</v>
      </c>
      <c r="U157" s="84">
        <v>202725</v>
      </c>
      <c r="V157" s="16"/>
      <c r="W157" s="28">
        <f t="shared" ref="W157:Y164" si="61">L157*C157</f>
        <v>7743890</v>
      </c>
      <c r="X157" s="28">
        <f t="shared" si="61"/>
        <v>115970600</v>
      </c>
      <c r="Y157" s="28">
        <f t="shared" si="61"/>
        <v>23497600</v>
      </c>
      <c r="Z157" s="28">
        <f t="shared" ref="Z157:Z164" si="62">W157+X157+Y157</f>
        <v>147212090</v>
      </c>
      <c r="AA157" s="28">
        <f t="shared" ref="AA157:AB164" si="63">F157*P157</f>
        <v>57324800</v>
      </c>
      <c r="AB157" s="28">
        <f t="shared" si="63"/>
        <v>181528000</v>
      </c>
      <c r="AC157" s="28">
        <f t="shared" ref="AC157:AC164" si="64">SUM(AA157:AB157)</f>
        <v>238852800</v>
      </c>
      <c r="AD157" s="77">
        <f t="shared" ref="AD157:AF164" si="65">H157*S157</f>
        <v>261307200</v>
      </c>
      <c r="AE157" s="77">
        <f t="shared" si="65"/>
        <v>283998400</v>
      </c>
      <c r="AF157" s="99">
        <f t="shared" si="65"/>
        <v>324360000</v>
      </c>
    </row>
    <row r="158" spans="1:32" x14ac:dyDescent="0.3">
      <c r="A158" s="21">
        <v>1552</v>
      </c>
      <c r="B158" s="22" t="s">
        <v>71</v>
      </c>
      <c r="C158" s="23">
        <v>2850</v>
      </c>
      <c r="D158" s="23">
        <v>2900</v>
      </c>
      <c r="E158" s="24">
        <v>3600</v>
      </c>
      <c r="F158" s="24">
        <v>3600</v>
      </c>
      <c r="G158" s="24">
        <v>3600</v>
      </c>
      <c r="H158" s="24">
        <v>3600</v>
      </c>
      <c r="I158" s="24">
        <v>3600</v>
      </c>
      <c r="J158" s="24">
        <v>3600</v>
      </c>
      <c r="K158" s="16"/>
      <c r="L158" s="84">
        <v>4533</v>
      </c>
      <c r="M158" s="84">
        <v>66703</v>
      </c>
      <c r="N158" s="84">
        <v>9714</v>
      </c>
      <c r="O158" s="84">
        <f t="shared" si="59"/>
        <v>80950</v>
      </c>
      <c r="P158" s="26">
        <v>23113</v>
      </c>
      <c r="Q158" s="26">
        <v>73193</v>
      </c>
      <c r="R158" s="84">
        <f t="shared" si="60"/>
        <v>96306</v>
      </c>
      <c r="S158" s="84">
        <v>88494</v>
      </c>
      <c r="T158" s="84">
        <v>94008</v>
      </c>
      <c r="U158" s="84">
        <v>97839</v>
      </c>
      <c r="V158" s="16"/>
      <c r="W158" s="28">
        <f t="shared" si="61"/>
        <v>12919050</v>
      </c>
      <c r="X158" s="28">
        <f t="shared" si="61"/>
        <v>193438700</v>
      </c>
      <c r="Y158" s="28">
        <f t="shared" si="61"/>
        <v>34970400</v>
      </c>
      <c r="Z158" s="28">
        <f t="shared" si="62"/>
        <v>241328150</v>
      </c>
      <c r="AA158" s="28">
        <f t="shared" si="63"/>
        <v>83206800</v>
      </c>
      <c r="AB158" s="28">
        <f t="shared" si="63"/>
        <v>263494800</v>
      </c>
      <c r="AC158" s="28">
        <f t="shared" si="64"/>
        <v>346701600</v>
      </c>
      <c r="AD158" s="77">
        <f t="shared" si="65"/>
        <v>318578400</v>
      </c>
      <c r="AE158" s="77">
        <f t="shared" si="65"/>
        <v>338428800</v>
      </c>
      <c r="AF158" s="99">
        <f t="shared" si="65"/>
        <v>352220400</v>
      </c>
    </row>
    <row r="159" spans="1:32" x14ac:dyDescent="0.3">
      <c r="A159" s="21">
        <v>1553</v>
      </c>
      <c r="B159" s="22" t="s">
        <v>72</v>
      </c>
      <c r="C159" s="23">
        <v>4730</v>
      </c>
      <c r="D159" s="23">
        <v>4810</v>
      </c>
      <c r="E159" s="24">
        <v>7400</v>
      </c>
      <c r="F159" s="24">
        <v>7400</v>
      </c>
      <c r="G159" s="24">
        <v>7400</v>
      </c>
      <c r="H159" s="24">
        <v>7400</v>
      </c>
      <c r="I159" s="24">
        <v>7400</v>
      </c>
      <c r="J159" s="24">
        <v>7400</v>
      </c>
      <c r="K159" s="16"/>
      <c r="L159" s="84">
        <v>3389</v>
      </c>
      <c r="M159" s="84">
        <v>49864</v>
      </c>
      <c r="N159" s="84">
        <v>7262</v>
      </c>
      <c r="O159" s="84">
        <f t="shared" si="59"/>
        <v>60515</v>
      </c>
      <c r="P159" s="26">
        <v>16000</v>
      </c>
      <c r="Q159" s="26">
        <v>50665</v>
      </c>
      <c r="R159" s="84">
        <f t="shared" si="60"/>
        <v>66665</v>
      </c>
      <c r="S159" s="84">
        <v>70024</v>
      </c>
      <c r="T159" s="84">
        <v>65323</v>
      </c>
      <c r="U159" s="84">
        <v>55330</v>
      </c>
      <c r="V159" s="16"/>
      <c r="W159" s="28">
        <f t="shared" si="61"/>
        <v>16029970</v>
      </c>
      <c r="X159" s="28">
        <f t="shared" si="61"/>
        <v>239845840</v>
      </c>
      <c r="Y159" s="28">
        <f t="shared" si="61"/>
        <v>53738800</v>
      </c>
      <c r="Z159" s="28">
        <f t="shared" si="62"/>
        <v>309614610</v>
      </c>
      <c r="AA159" s="28">
        <f t="shared" si="63"/>
        <v>118400000</v>
      </c>
      <c r="AB159" s="28">
        <f t="shared" si="63"/>
        <v>374921000</v>
      </c>
      <c r="AC159" s="28">
        <f t="shared" si="64"/>
        <v>493321000</v>
      </c>
      <c r="AD159" s="77">
        <f t="shared" si="65"/>
        <v>518177600</v>
      </c>
      <c r="AE159" s="77">
        <f t="shared" si="65"/>
        <v>483390200</v>
      </c>
      <c r="AF159" s="99">
        <f t="shared" si="65"/>
        <v>409442000</v>
      </c>
    </row>
    <row r="160" spans="1:32" x14ac:dyDescent="0.3">
      <c r="A160" s="21">
        <v>1554</v>
      </c>
      <c r="B160" s="22" t="s">
        <v>73</v>
      </c>
      <c r="C160" s="36">
        <v>150</v>
      </c>
      <c r="D160" s="23">
        <v>150</v>
      </c>
      <c r="E160" s="24">
        <v>160</v>
      </c>
      <c r="F160" s="24">
        <v>160</v>
      </c>
      <c r="G160" s="24">
        <v>160</v>
      </c>
      <c r="H160" s="24">
        <v>160</v>
      </c>
      <c r="I160" s="24">
        <v>160</v>
      </c>
      <c r="J160" s="24">
        <v>160</v>
      </c>
      <c r="K160" s="16"/>
      <c r="L160" s="84">
        <v>173</v>
      </c>
      <c r="M160" s="84">
        <v>2549</v>
      </c>
      <c r="N160" s="84">
        <v>371</v>
      </c>
      <c r="O160" s="84">
        <f t="shared" si="59"/>
        <v>3093</v>
      </c>
      <c r="P160" s="26">
        <v>906</v>
      </c>
      <c r="Q160" s="26">
        <v>2868</v>
      </c>
      <c r="R160" s="84">
        <f t="shared" si="60"/>
        <v>3774</v>
      </c>
      <c r="S160" s="84">
        <v>4129</v>
      </c>
      <c r="T160" s="84">
        <v>4487</v>
      </c>
      <c r="U160" s="84">
        <v>5125</v>
      </c>
      <c r="V160" s="16"/>
      <c r="W160" s="28">
        <f t="shared" si="61"/>
        <v>25950</v>
      </c>
      <c r="X160" s="28">
        <f t="shared" si="61"/>
        <v>382350</v>
      </c>
      <c r="Y160" s="28">
        <f t="shared" si="61"/>
        <v>59360</v>
      </c>
      <c r="Z160" s="28">
        <f t="shared" si="62"/>
        <v>467660</v>
      </c>
      <c r="AA160" s="28">
        <f t="shared" si="63"/>
        <v>144960</v>
      </c>
      <c r="AB160" s="28">
        <f t="shared" si="63"/>
        <v>458880</v>
      </c>
      <c r="AC160" s="28">
        <f t="shared" si="64"/>
        <v>603840</v>
      </c>
      <c r="AD160" s="77">
        <f t="shared" si="65"/>
        <v>660640</v>
      </c>
      <c r="AE160" s="77">
        <f t="shared" si="65"/>
        <v>717920</v>
      </c>
      <c r="AF160" s="99">
        <f t="shared" si="65"/>
        <v>820000</v>
      </c>
    </row>
    <row r="161" spans="1:32" x14ac:dyDescent="0.3">
      <c r="A161" s="21">
        <v>1555</v>
      </c>
      <c r="B161" s="22" t="s">
        <v>74</v>
      </c>
      <c r="C161" s="36">
        <v>150</v>
      </c>
      <c r="D161" s="23">
        <v>150</v>
      </c>
      <c r="E161" s="24">
        <v>160</v>
      </c>
      <c r="F161" s="24">
        <v>160</v>
      </c>
      <c r="G161" s="24">
        <v>160</v>
      </c>
      <c r="H161" s="24">
        <v>160</v>
      </c>
      <c r="I161" s="24">
        <v>160</v>
      </c>
      <c r="J161" s="24">
        <v>160</v>
      </c>
      <c r="K161" s="16"/>
      <c r="L161" s="84">
        <v>135</v>
      </c>
      <c r="M161" s="84">
        <v>1981</v>
      </c>
      <c r="N161" s="84">
        <v>288</v>
      </c>
      <c r="O161" s="84">
        <f t="shared" si="59"/>
        <v>2404</v>
      </c>
      <c r="P161" s="26">
        <v>686</v>
      </c>
      <c r="Q161" s="26">
        <v>2174</v>
      </c>
      <c r="R161" s="84">
        <f t="shared" si="60"/>
        <v>2860</v>
      </c>
      <c r="S161" s="84">
        <v>2628</v>
      </c>
      <c r="T161" s="84">
        <v>2791</v>
      </c>
      <c r="U161" s="84">
        <v>2905</v>
      </c>
      <c r="V161" s="16"/>
      <c r="W161" s="28">
        <f t="shared" si="61"/>
        <v>20250</v>
      </c>
      <c r="X161" s="28">
        <f t="shared" si="61"/>
        <v>297150</v>
      </c>
      <c r="Y161" s="28">
        <f t="shared" si="61"/>
        <v>46080</v>
      </c>
      <c r="Z161" s="28">
        <f t="shared" si="62"/>
        <v>363480</v>
      </c>
      <c r="AA161" s="28">
        <f t="shared" si="63"/>
        <v>109760</v>
      </c>
      <c r="AB161" s="28">
        <f t="shared" si="63"/>
        <v>347840</v>
      </c>
      <c r="AC161" s="28">
        <f t="shared" si="64"/>
        <v>457600</v>
      </c>
      <c r="AD161" s="77">
        <f t="shared" si="65"/>
        <v>420480</v>
      </c>
      <c r="AE161" s="77">
        <f t="shared" si="65"/>
        <v>446560</v>
      </c>
      <c r="AF161" s="99">
        <f t="shared" si="65"/>
        <v>464800</v>
      </c>
    </row>
    <row r="162" spans="1:32" x14ac:dyDescent="0.3">
      <c r="A162" s="21">
        <v>1556</v>
      </c>
      <c r="B162" s="22" t="s">
        <v>75</v>
      </c>
      <c r="C162" s="36">
        <v>150</v>
      </c>
      <c r="D162" s="23">
        <v>150</v>
      </c>
      <c r="E162" s="24">
        <v>160</v>
      </c>
      <c r="F162" s="24">
        <v>160</v>
      </c>
      <c r="G162" s="24">
        <v>160</v>
      </c>
      <c r="H162" s="24">
        <v>160</v>
      </c>
      <c r="I162" s="24">
        <v>160</v>
      </c>
      <c r="J162" s="24">
        <v>160</v>
      </c>
      <c r="K162" s="16"/>
      <c r="L162" s="84">
        <v>90</v>
      </c>
      <c r="M162" s="84">
        <v>1325</v>
      </c>
      <c r="N162" s="84">
        <v>193</v>
      </c>
      <c r="O162" s="84">
        <f t="shared" si="59"/>
        <v>1608</v>
      </c>
      <c r="P162" s="26">
        <v>425</v>
      </c>
      <c r="Q162" s="26">
        <v>1347</v>
      </c>
      <c r="R162" s="84">
        <f t="shared" si="60"/>
        <v>1772</v>
      </c>
      <c r="S162" s="84">
        <v>1861</v>
      </c>
      <c r="T162" s="84">
        <v>1736</v>
      </c>
      <c r="U162" s="84">
        <v>1471</v>
      </c>
      <c r="V162" s="16"/>
      <c r="W162" s="28">
        <f t="shared" si="61"/>
        <v>13500</v>
      </c>
      <c r="X162" s="28">
        <f t="shared" si="61"/>
        <v>198750</v>
      </c>
      <c r="Y162" s="28">
        <f t="shared" si="61"/>
        <v>30880</v>
      </c>
      <c r="Z162" s="28">
        <f t="shared" si="62"/>
        <v>243130</v>
      </c>
      <c r="AA162" s="28">
        <f t="shared" si="63"/>
        <v>68000</v>
      </c>
      <c r="AB162" s="28">
        <f t="shared" si="63"/>
        <v>215520</v>
      </c>
      <c r="AC162" s="28">
        <f t="shared" si="64"/>
        <v>283520</v>
      </c>
      <c r="AD162" s="77">
        <f t="shared" si="65"/>
        <v>297760</v>
      </c>
      <c r="AE162" s="77">
        <f t="shared" si="65"/>
        <v>277760</v>
      </c>
      <c r="AF162" s="99">
        <f t="shared" si="65"/>
        <v>235360</v>
      </c>
    </row>
    <row r="163" spans="1:32" x14ac:dyDescent="0.3">
      <c r="A163" s="21">
        <v>1557</v>
      </c>
      <c r="B163" s="30" t="s">
        <v>76</v>
      </c>
      <c r="C163" s="36">
        <v>700</v>
      </c>
      <c r="D163" s="23">
        <v>700</v>
      </c>
      <c r="E163" s="24">
        <v>700</v>
      </c>
      <c r="F163" s="24">
        <v>700</v>
      </c>
      <c r="G163" s="24">
        <v>700</v>
      </c>
      <c r="H163" s="24">
        <v>700</v>
      </c>
      <c r="I163" s="24">
        <v>700</v>
      </c>
      <c r="J163" s="24">
        <v>700</v>
      </c>
      <c r="K163" s="16"/>
      <c r="L163" s="84">
        <v>1</v>
      </c>
      <c r="M163" s="84">
        <v>8</v>
      </c>
      <c r="N163" s="84">
        <v>1</v>
      </c>
      <c r="O163" s="84">
        <f t="shared" si="59"/>
        <v>10</v>
      </c>
      <c r="P163" s="26">
        <v>3</v>
      </c>
      <c r="Q163" s="26">
        <v>9</v>
      </c>
      <c r="R163" s="84">
        <f t="shared" si="60"/>
        <v>12</v>
      </c>
      <c r="S163" s="84">
        <v>12</v>
      </c>
      <c r="T163" s="84">
        <v>13</v>
      </c>
      <c r="U163" s="84">
        <v>14</v>
      </c>
      <c r="V163" s="16"/>
      <c r="W163" s="28">
        <f t="shared" si="61"/>
        <v>700</v>
      </c>
      <c r="X163" s="28">
        <f t="shared" si="61"/>
        <v>5600</v>
      </c>
      <c r="Y163" s="28">
        <f t="shared" si="61"/>
        <v>700</v>
      </c>
      <c r="Z163" s="28">
        <f t="shared" si="62"/>
        <v>7000</v>
      </c>
      <c r="AA163" s="28">
        <f t="shared" si="63"/>
        <v>2100</v>
      </c>
      <c r="AB163" s="28">
        <f t="shared" si="63"/>
        <v>6300</v>
      </c>
      <c r="AC163" s="28">
        <f t="shared" si="64"/>
        <v>8400</v>
      </c>
      <c r="AD163" s="77">
        <f t="shared" si="65"/>
        <v>8400</v>
      </c>
      <c r="AE163" s="77">
        <f t="shared" si="65"/>
        <v>9100</v>
      </c>
      <c r="AF163" s="99">
        <f t="shared" si="65"/>
        <v>9800</v>
      </c>
    </row>
    <row r="164" spans="1:32" x14ac:dyDescent="0.3">
      <c r="A164" s="21">
        <v>1558</v>
      </c>
      <c r="B164" s="22" t="s">
        <v>77</v>
      </c>
      <c r="C164" s="36">
        <v>1640</v>
      </c>
      <c r="D164" s="23">
        <v>1640</v>
      </c>
      <c r="E164" s="24">
        <v>1640</v>
      </c>
      <c r="F164" s="24">
        <v>1640</v>
      </c>
      <c r="G164" s="24">
        <v>1640</v>
      </c>
      <c r="H164" s="24">
        <v>1640</v>
      </c>
      <c r="I164" s="24">
        <v>1640</v>
      </c>
      <c r="J164" s="24">
        <v>1640</v>
      </c>
      <c r="K164" s="16"/>
      <c r="L164" s="84">
        <v>76</v>
      </c>
      <c r="M164" s="84">
        <v>1117</v>
      </c>
      <c r="N164" s="84">
        <v>163</v>
      </c>
      <c r="O164" s="84">
        <f t="shared" si="59"/>
        <v>1356</v>
      </c>
      <c r="P164" s="26">
        <v>385</v>
      </c>
      <c r="Q164" s="26">
        <v>1219</v>
      </c>
      <c r="R164" s="84">
        <f t="shared" si="60"/>
        <v>1604</v>
      </c>
      <c r="S164" s="84">
        <v>1654</v>
      </c>
      <c r="T164" s="84">
        <v>1731</v>
      </c>
      <c r="U164" s="84">
        <v>1829</v>
      </c>
      <c r="V164" s="16"/>
      <c r="W164" s="28">
        <f t="shared" si="61"/>
        <v>124640</v>
      </c>
      <c r="X164" s="28">
        <f t="shared" si="61"/>
        <v>1831880</v>
      </c>
      <c r="Y164" s="28">
        <f t="shared" si="61"/>
        <v>267320</v>
      </c>
      <c r="Z164" s="28">
        <f t="shared" si="62"/>
        <v>2223840</v>
      </c>
      <c r="AA164" s="28">
        <f t="shared" si="63"/>
        <v>631400</v>
      </c>
      <c r="AB164" s="28">
        <f t="shared" si="63"/>
        <v>1999160</v>
      </c>
      <c r="AC164" s="28">
        <f t="shared" si="64"/>
        <v>2630560</v>
      </c>
      <c r="AD164" s="77">
        <f t="shared" si="65"/>
        <v>2712560</v>
      </c>
      <c r="AE164" s="77">
        <f t="shared" si="65"/>
        <v>2838840</v>
      </c>
      <c r="AF164" s="99">
        <f t="shared" si="65"/>
        <v>2999560</v>
      </c>
    </row>
    <row r="165" spans="1:32" x14ac:dyDescent="0.3">
      <c r="A165" s="32" t="s">
        <v>69</v>
      </c>
      <c r="B165" s="33"/>
      <c r="C165" s="36"/>
      <c r="D165" s="36"/>
      <c r="E165" s="37"/>
      <c r="F165" s="37"/>
      <c r="G165" s="37"/>
      <c r="H165" s="37"/>
      <c r="I165" s="37"/>
      <c r="J165" s="37"/>
      <c r="K165" s="16"/>
      <c r="L165" s="84"/>
      <c r="M165" s="84"/>
      <c r="N165" s="84"/>
      <c r="O165" s="84"/>
      <c r="P165" s="26"/>
      <c r="Q165" s="26"/>
      <c r="R165" s="84"/>
      <c r="S165" s="84"/>
      <c r="T165" s="84"/>
      <c r="U165" s="84"/>
      <c r="V165" s="16"/>
      <c r="W165" s="35">
        <f>SUM(W157:W164)</f>
        <v>36877950</v>
      </c>
      <c r="X165" s="35">
        <f t="shared" ref="X165:AF165" si="66">SUM(X157:X164)</f>
        <v>551970870</v>
      </c>
      <c r="Y165" s="35">
        <f t="shared" si="66"/>
        <v>112611140</v>
      </c>
      <c r="Z165" s="35">
        <f t="shared" si="66"/>
        <v>701459960</v>
      </c>
      <c r="AA165" s="35">
        <f t="shared" si="66"/>
        <v>259887820</v>
      </c>
      <c r="AB165" s="35">
        <f t="shared" si="66"/>
        <v>822971500</v>
      </c>
      <c r="AC165" s="35">
        <f t="shared" si="66"/>
        <v>1082859320</v>
      </c>
      <c r="AD165" s="35">
        <f t="shared" si="66"/>
        <v>1102163040</v>
      </c>
      <c r="AE165" s="35">
        <f t="shared" si="66"/>
        <v>1110107580</v>
      </c>
      <c r="AF165" s="99">
        <f t="shared" si="66"/>
        <v>1090551920</v>
      </c>
    </row>
    <row r="166" spans="1:32" x14ac:dyDescent="0.3">
      <c r="A166" s="43"/>
      <c r="B166" s="33"/>
      <c r="C166" s="36"/>
      <c r="D166" s="36"/>
      <c r="E166" s="37"/>
      <c r="F166" s="37"/>
      <c r="G166" s="37"/>
      <c r="H166" s="37"/>
      <c r="I166" s="37"/>
      <c r="J166" s="37"/>
      <c r="K166" s="16"/>
      <c r="L166" s="84"/>
      <c r="M166" s="84"/>
      <c r="N166" s="84"/>
      <c r="O166" s="84"/>
      <c r="P166" s="26"/>
      <c r="Q166" s="26"/>
      <c r="R166" s="84"/>
      <c r="S166" s="84"/>
      <c r="T166" s="84"/>
      <c r="U166" s="84"/>
      <c r="V166" s="16"/>
      <c r="W166" s="28"/>
      <c r="X166" s="28"/>
      <c r="Y166" s="28"/>
      <c r="Z166" s="28"/>
      <c r="AA166" s="28"/>
      <c r="AB166" s="28"/>
      <c r="AC166" s="28"/>
      <c r="AD166" s="77"/>
      <c r="AE166" s="28"/>
      <c r="AF166" s="99"/>
    </row>
    <row r="167" spans="1:32" x14ac:dyDescent="0.3">
      <c r="A167" s="32" t="s">
        <v>78</v>
      </c>
      <c r="B167" s="33"/>
      <c r="C167" s="36"/>
      <c r="D167" s="36"/>
      <c r="E167" s="37"/>
      <c r="F167" s="37"/>
      <c r="G167" s="37"/>
      <c r="H167" s="37"/>
      <c r="I167" s="37"/>
      <c r="J167" s="37"/>
      <c r="K167" s="16"/>
      <c r="L167" s="84"/>
      <c r="M167" s="84"/>
      <c r="N167" s="84"/>
      <c r="O167" s="84"/>
      <c r="P167" s="26"/>
      <c r="Q167" s="26"/>
      <c r="R167" s="84"/>
      <c r="S167" s="84"/>
      <c r="T167" s="84"/>
      <c r="U167" s="84"/>
      <c r="V167" s="16"/>
      <c r="W167" s="28"/>
      <c r="X167" s="28"/>
      <c r="Y167" s="28"/>
      <c r="Z167" s="28"/>
      <c r="AA167" s="28"/>
      <c r="AB167" s="28"/>
      <c r="AC167" s="28"/>
      <c r="AD167" s="77"/>
      <c r="AE167" s="28"/>
      <c r="AF167" s="99"/>
    </row>
    <row r="168" spans="1:32" x14ac:dyDescent="0.3">
      <c r="A168" s="21">
        <v>2551</v>
      </c>
      <c r="B168" s="22" t="s">
        <v>70</v>
      </c>
      <c r="C168" s="36">
        <v>565</v>
      </c>
      <c r="D168" s="36">
        <v>575</v>
      </c>
      <c r="E168" s="37">
        <v>800</v>
      </c>
      <c r="F168" s="37">
        <v>800</v>
      </c>
      <c r="G168" s="37">
        <v>800</v>
      </c>
      <c r="H168" s="37">
        <v>800</v>
      </c>
      <c r="I168" s="37">
        <v>800</v>
      </c>
      <c r="J168" s="37">
        <v>800</v>
      </c>
      <c r="K168" s="16"/>
      <c r="L168" s="84">
        <v>950</v>
      </c>
      <c r="M168" s="84">
        <v>13982</v>
      </c>
      <c r="N168" s="84">
        <v>2036</v>
      </c>
      <c r="O168" s="84">
        <f t="shared" ref="O168:O175" si="67">SUM(L168:N168)</f>
        <v>16968</v>
      </c>
      <c r="P168" s="26">
        <v>5061</v>
      </c>
      <c r="Q168" s="26">
        <v>16026</v>
      </c>
      <c r="R168" s="84">
        <f t="shared" ref="R168:R175" si="68">SUM(P168:Q168)</f>
        <v>21087</v>
      </c>
      <c r="S168" s="84">
        <v>22286</v>
      </c>
      <c r="T168" s="84">
        <v>24221</v>
      </c>
      <c r="U168" s="84">
        <v>27663</v>
      </c>
      <c r="V168" s="16"/>
      <c r="W168" s="28">
        <f t="shared" ref="W168:Y175" si="69">L168*C168</f>
        <v>536750</v>
      </c>
      <c r="X168" s="28">
        <f t="shared" si="69"/>
        <v>8039650</v>
      </c>
      <c r="Y168" s="28">
        <f t="shared" si="69"/>
        <v>1628800</v>
      </c>
      <c r="Z168" s="28">
        <f t="shared" ref="Z168:Z175" si="70">W168+X168+Y168</f>
        <v>10205200</v>
      </c>
      <c r="AA168" s="28">
        <f t="shared" ref="AA168:AB175" si="71">F168*P168</f>
        <v>4048800</v>
      </c>
      <c r="AB168" s="28">
        <f t="shared" si="71"/>
        <v>12820800</v>
      </c>
      <c r="AC168" s="28">
        <f>SUM(AA168:AB168)</f>
        <v>16869600</v>
      </c>
      <c r="AD168" s="77">
        <f t="shared" ref="AD168:AF175" si="72">H168*S168</f>
        <v>17828800</v>
      </c>
      <c r="AE168" s="77">
        <f t="shared" si="72"/>
        <v>19376800</v>
      </c>
      <c r="AF168" s="99">
        <f t="shared" si="72"/>
        <v>22130400</v>
      </c>
    </row>
    <row r="169" spans="1:32" x14ac:dyDescent="0.3">
      <c r="A169" s="21">
        <v>2552</v>
      </c>
      <c r="B169" s="22" t="s">
        <v>71</v>
      </c>
      <c r="C169" s="36">
        <v>1425</v>
      </c>
      <c r="D169" s="36">
        <v>1450</v>
      </c>
      <c r="E169" s="37">
        <v>1800</v>
      </c>
      <c r="F169" s="37">
        <v>1800</v>
      </c>
      <c r="G169" s="37">
        <v>1800</v>
      </c>
      <c r="H169" s="37">
        <v>1800</v>
      </c>
      <c r="I169" s="37">
        <v>1800</v>
      </c>
      <c r="J169" s="37">
        <v>1800</v>
      </c>
      <c r="K169" s="16"/>
      <c r="L169" s="84">
        <v>615</v>
      </c>
      <c r="M169" s="84">
        <v>9052</v>
      </c>
      <c r="N169" s="84">
        <v>1318</v>
      </c>
      <c r="O169" s="84">
        <f t="shared" si="67"/>
        <v>10985</v>
      </c>
      <c r="P169" s="26">
        <v>2944</v>
      </c>
      <c r="Q169" s="26">
        <v>9323</v>
      </c>
      <c r="R169" s="84">
        <f t="shared" si="68"/>
        <v>12267</v>
      </c>
      <c r="S169" s="84">
        <v>10830</v>
      </c>
      <c r="T169" s="84">
        <v>10806</v>
      </c>
      <c r="U169" s="84">
        <v>10400</v>
      </c>
      <c r="V169" s="16"/>
      <c r="W169" s="28">
        <f t="shared" si="69"/>
        <v>876375</v>
      </c>
      <c r="X169" s="28">
        <f t="shared" si="69"/>
        <v>13125400</v>
      </c>
      <c r="Y169" s="28">
        <f t="shared" si="69"/>
        <v>2372400</v>
      </c>
      <c r="Z169" s="28">
        <f t="shared" si="70"/>
        <v>16374175</v>
      </c>
      <c r="AA169" s="28">
        <f t="shared" si="71"/>
        <v>5299200</v>
      </c>
      <c r="AB169" s="28">
        <f t="shared" si="71"/>
        <v>16781400</v>
      </c>
      <c r="AC169" s="28">
        <f t="shared" ref="AC169:AC174" si="73">SUM(AA169:AB169)</f>
        <v>22080600</v>
      </c>
      <c r="AD169" s="77">
        <f t="shared" si="72"/>
        <v>19494000</v>
      </c>
      <c r="AE169" s="77">
        <f t="shared" si="72"/>
        <v>19450800</v>
      </c>
      <c r="AF169" s="99">
        <f t="shared" si="72"/>
        <v>18720000</v>
      </c>
    </row>
    <row r="170" spans="1:32" x14ac:dyDescent="0.3">
      <c r="A170" s="21">
        <v>2553</v>
      </c>
      <c r="B170" s="22" t="s">
        <v>79</v>
      </c>
      <c r="C170" s="36">
        <v>2365</v>
      </c>
      <c r="D170" s="36">
        <v>2405</v>
      </c>
      <c r="E170" s="37">
        <v>3700</v>
      </c>
      <c r="F170" s="37">
        <v>3700</v>
      </c>
      <c r="G170" s="37">
        <v>3700</v>
      </c>
      <c r="H170" s="37">
        <v>3700</v>
      </c>
      <c r="I170" s="37">
        <v>3700</v>
      </c>
      <c r="J170" s="37">
        <v>3700</v>
      </c>
      <c r="K170" s="16"/>
      <c r="L170" s="84">
        <v>400</v>
      </c>
      <c r="M170" s="84">
        <v>5890</v>
      </c>
      <c r="N170" s="84">
        <v>858</v>
      </c>
      <c r="O170" s="84">
        <f t="shared" si="67"/>
        <v>7148</v>
      </c>
      <c r="P170" s="26">
        <v>1851</v>
      </c>
      <c r="Q170" s="26">
        <v>5862</v>
      </c>
      <c r="R170" s="84">
        <f t="shared" si="68"/>
        <v>7713</v>
      </c>
      <c r="S170" s="84">
        <v>7670</v>
      </c>
      <c r="T170" s="84">
        <v>6842</v>
      </c>
      <c r="U170" s="84">
        <v>5783</v>
      </c>
      <c r="V170" s="16"/>
      <c r="W170" s="28">
        <f t="shared" si="69"/>
        <v>946000</v>
      </c>
      <c r="X170" s="28">
        <f t="shared" si="69"/>
        <v>14165450</v>
      </c>
      <c r="Y170" s="28">
        <f t="shared" si="69"/>
        <v>3174600</v>
      </c>
      <c r="Z170" s="28">
        <f t="shared" si="70"/>
        <v>18286050</v>
      </c>
      <c r="AA170" s="28">
        <f t="shared" si="71"/>
        <v>6848700</v>
      </c>
      <c r="AB170" s="28">
        <f t="shared" si="71"/>
        <v>21689400</v>
      </c>
      <c r="AC170" s="28">
        <f t="shared" si="73"/>
        <v>28538100</v>
      </c>
      <c r="AD170" s="77">
        <f t="shared" si="72"/>
        <v>28379000</v>
      </c>
      <c r="AE170" s="77">
        <f t="shared" si="72"/>
        <v>25315400</v>
      </c>
      <c r="AF170" s="99">
        <f t="shared" si="72"/>
        <v>21397100</v>
      </c>
    </row>
    <row r="171" spans="1:32" x14ac:dyDescent="0.3">
      <c r="A171" s="21">
        <v>2554</v>
      </c>
      <c r="B171" s="22" t="s">
        <v>73</v>
      </c>
      <c r="C171" s="36">
        <v>75</v>
      </c>
      <c r="D171" s="36">
        <v>75</v>
      </c>
      <c r="E171" s="37">
        <v>80</v>
      </c>
      <c r="F171" s="37">
        <v>80</v>
      </c>
      <c r="G171" s="37">
        <v>80</v>
      </c>
      <c r="H171" s="37">
        <v>80</v>
      </c>
      <c r="I171" s="37">
        <v>80</v>
      </c>
      <c r="J171" s="37">
        <v>80</v>
      </c>
      <c r="K171" s="16"/>
      <c r="L171" s="84">
        <v>100</v>
      </c>
      <c r="M171" s="84">
        <v>1468</v>
      </c>
      <c r="N171" s="84">
        <v>214</v>
      </c>
      <c r="O171" s="84">
        <f t="shared" si="67"/>
        <v>1782</v>
      </c>
      <c r="P171" s="26">
        <v>531</v>
      </c>
      <c r="Q171" s="26">
        <v>1683</v>
      </c>
      <c r="R171" s="84">
        <f t="shared" si="68"/>
        <v>2214</v>
      </c>
      <c r="S171" s="84">
        <v>2340</v>
      </c>
      <c r="T171" s="84">
        <v>2543</v>
      </c>
      <c r="U171" s="84">
        <v>2904</v>
      </c>
      <c r="V171" s="16"/>
      <c r="W171" s="28">
        <f t="shared" si="69"/>
        <v>7500</v>
      </c>
      <c r="X171" s="28">
        <f t="shared" si="69"/>
        <v>110100</v>
      </c>
      <c r="Y171" s="28">
        <f t="shared" si="69"/>
        <v>17120</v>
      </c>
      <c r="Z171" s="28">
        <f t="shared" si="70"/>
        <v>134720</v>
      </c>
      <c r="AA171" s="28">
        <f t="shared" si="71"/>
        <v>42480</v>
      </c>
      <c r="AB171" s="28">
        <f t="shared" si="71"/>
        <v>134640</v>
      </c>
      <c r="AC171" s="28">
        <f t="shared" si="73"/>
        <v>177120</v>
      </c>
      <c r="AD171" s="77">
        <f t="shared" si="72"/>
        <v>187200</v>
      </c>
      <c r="AE171" s="77">
        <f t="shared" si="72"/>
        <v>203440</v>
      </c>
      <c r="AF171" s="99">
        <f t="shared" si="72"/>
        <v>232320</v>
      </c>
    </row>
    <row r="172" spans="1:32" x14ac:dyDescent="0.3">
      <c r="A172" s="21">
        <v>2555</v>
      </c>
      <c r="B172" s="22" t="s">
        <v>74</v>
      </c>
      <c r="C172" s="36">
        <v>75</v>
      </c>
      <c r="D172" s="36">
        <v>75</v>
      </c>
      <c r="E172" s="37">
        <v>80</v>
      </c>
      <c r="F172" s="37">
        <v>80</v>
      </c>
      <c r="G172" s="37">
        <v>80</v>
      </c>
      <c r="H172" s="37">
        <v>80</v>
      </c>
      <c r="I172" s="37">
        <v>80</v>
      </c>
      <c r="J172" s="37">
        <v>80</v>
      </c>
      <c r="K172" s="16"/>
      <c r="L172" s="84">
        <v>68</v>
      </c>
      <c r="M172" s="84">
        <v>997</v>
      </c>
      <c r="N172" s="84">
        <v>145</v>
      </c>
      <c r="O172" s="84">
        <f t="shared" si="67"/>
        <v>1210</v>
      </c>
      <c r="P172" s="26">
        <v>324</v>
      </c>
      <c r="Q172" s="26">
        <v>1027</v>
      </c>
      <c r="R172" s="84">
        <f t="shared" si="68"/>
        <v>1351</v>
      </c>
      <c r="S172" s="84">
        <v>1192</v>
      </c>
      <c r="T172" s="84">
        <v>1190</v>
      </c>
      <c r="U172" s="84">
        <v>1145</v>
      </c>
      <c r="V172" s="16"/>
      <c r="W172" s="28">
        <f t="shared" si="69"/>
        <v>5100</v>
      </c>
      <c r="X172" s="28">
        <f t="shared" si="69"/>
        <v>74775</v>
      </c>
      <c r="Y172" s="28">
        <f t="shared" si="69"/>
        <v>11600</v>
      </c>
      <c r="Z172" s="28">
        <f t="shared" si="70"/>
        <v>91475</v>
      </c>
      <c r="AA172" s="28">
        <f t="shared" si="71"/>
        <v>25920</v>
      </c>
      <c r="AB172" s="28">
        <f t="shared" si="71"/>
        <v>82160</v>
      </c>
      <c r="AC172" s="28">
        <f t="shared" si="73"/>
        <v>108080</v>
      </c>
      <c r="AD172" s="77">
        <f t="shared" si="72"/>
        <v>95360</v>
      </c>
      <c r="AE172" s="77">
        <f t="shared" si="72"/>
        <v>95200</v>
      </c>
      <c r="AF172" s="99">
        <f t="shared" si="72"/>
        <v>91600</v>
      </c>
    </row>
    <row r="173" spans="1:32" x14ac:dyDescent="0.3">
      <c r="A173" s="21">
        <v>2556</v>
      </c>
      <c r="B173" s="22" t="s">
        <v>75</v>
      </c>
      <c r="C173" s="36">
        <v>75</v>
      </c>
      <c r="D173" s="36">
        <v>75</v>
      </c>
      <c r="E173" s="37">
        <v>80</v>
      </c>
      <c r="F173" s="37">
        <v>80</v>
      </c>
      <c r="G173" s="37">
        <v>80</v>
      </c>
      <c r="H173" s="37">
        <v>80</v>
      </c>
      <c r="I173" s="37">
        <v>80</v>
      </c>
      <c r="J173" s="37">
        <v>80</v>
      </c>
      <c r="K173" s="16"/>
      <c r="L173" s="84">
        <v>44</v>
      </c>
      <c r="M173" s="84">
        <v>653</v>
      </c>
      <c r="N173" s="84">
        <v>95</v>
      </c>
      <c r="O173" s="84">
        <f t="shared" si="67"/>
        <v>792</v>
      </c>
      <c r="P173" s="26">
        <v>205</v>
      </c>
      <c r="Q173" s="26">
        <v>650</v>
      </c>
      <c r="R173" s="84">
        <f t="shared" si="68"/>
        <v>855</v>
      </c>
      <c r="S173" s="84">
        <v>850</v>
      </c>
      <c r="T173" s="84">
        <v>759</v>
      </c>
      <c r="U173" s="84">
        <v>641</v>
      </c>
      <c r="V173" s="16"/>
      <c r="W173" s="28">
        <f t="shared" si="69"/>
        <v>3300</v>
      </c>
      <c r="X173" s="28">
        <f t="shared" si="69"/>
        <v>48975</v>
      </c>
      <c r="Y173" s="28">
        <f t="shared" si="69"/>
        <v>7600</v>
      </c>
      <c r="Z173" s="28">
        <f t="shared" si="70"/>
        <v>59875</v>
      </c>
      <c r="AA173" s="28">
        <f t="shared" si="71"/>
        <v>16400</v>
      </c>
      <c r="AB173" s="28">
        <f t="shared" si="71"/>
        <v>52000</v>
      </c>
      <c r="AC173" s="28">
        <f t="shared" si="73"/>
        <v>68400</v>
      </c>
      <c r="AD173" s="77">
        <f t="shared" si="72"/>
        <v>68000</v>
      </c>
      <c r="AE173" s="77">
        <f t="shared" si="72"/>
        <v>60720</v>
      </c>
      <c r="AF173" s="99">
        <f t="shared" si="72"/>
        <v>51280</v>
      </c>
    </row>
    <row r="174" spans="1:32" x14ac:dyDescent="0.3">
      <c r="A174" s="21">
        <v>2557</v>
      </c>
      <c r="B174" s="22" t="s">
        <v>76</v>
      </c>
      <c r="C174" s="36"/>
      <c r="D174" s="36"/>
      <c r="E174" s="37">
        <v>350</v>
      </c>
      <c r="F174" s="37">
        <v>350</v>
      </c>
      <c r="G174" s="37">
        <v>350</v>
      </c>
      <c r="H174" s="37">
        <v>350</v>
      </c>
      <c r="I174" s="37">
        <v>350</v>
      </c>
      <c r="J174" s="37">
        <v>350</v>
      </c>
      <c r="K174" s="16"/>
      <c r="L174" s="84">
        <v>0</v>
      </c>
      <c r="M174" s="84">
        <v>1</v>
      </c>
      <c r="N174" s="84">
        <v>0</v>
      </c>
      <c r="O174" s="84">
        <f t="shared" si="67"/>
        <v>1</v>
      </c>
      <c r="P174" s="26">
        <v>0</v>
      </c>
      <c r="Q174" s="27">
        <v>1</v>
      </c>
      <c r="R174" s="84">
        <f t="shared" si="68"/>
        <v>1</v>
      </c>
      <c r="S174" s="84">
        <v>1</v>
      </c>
      <c r="T174" s="84">
        <v>1</v>
      </c>
      <c r="U174" s="84">
        <v>1</v>
      </c>
      <c r="V174" s="16"/>
      <c r="W174" s="28">
        <f t="shared" si="69"/>
        <v>0</v>
      </c>
      <c r="X174" s="28">
        <f t="shared" si="69"/>
        <v>0</v>
      </c>
      <c r="Y174" s="28">
        <f t="shared" si="69"/>
        <v>0</v>
      </c>
      <c r="Z174" s="28">
        <f t="shared" si="70"/>
        <v>0</v>
      </c>
      <c r="AA174" s="28">
        <f t="shared" si="71"/>
        <v>0</v>
      </c>
      <c r="AB174" s="28">
        <f t="shared" si="71"/>
        <v>350</v>
      </c>
      <c r="AC174" s="28">
        <f t="shared" si="73"/>
        <v>350</v>
      </c>
      <c r="AD174" s="77">
        <f t="shared" si="72"/>
        <v>350</v>
      </c>
      <c r="AE174" s="77">
        <f t="shared" si="72"/>
        <v>350</v>
      </c>
      <c r="AF174" s="99">
        <f t="shared" si="72"/>
        <v>350</v>
      </c>
    </row>
    <row r="175" spans="1:32" x14ac:dyDescent="0.3">
      <c r="A175" s="21">
        <v>2558</v>
      </c>
      <c r="B175" s="22" t="s">
        <v>77</v>
      </c>
      <c r="C175" s="36"/>
      <c r="D175" s="36"/>
      <c r="E175" s="37">
        <v>820</v>
      </c>
      <c r="F175" s="37">
        <v>820</v>
      </c>
      <c r="G175" s="37">
        <v>820</v>
      </c>
      <c r="H175" s="37">
        <v>820</v>
      </c>
      <c r="I175" s="37">
        <v>820</v>
      </c>
      <c r="J175" s="37">
        <v>820</v>
      </c>
      <c r="K175" s="16"/>
      <c r="L175" s="84">
        <v>7</v>
      </c>
      <c r="M175" s="84">
        <v>102</v>
      </c>
      <c r="N175" s="84">
        <v>15</v>
      </c>
      <c r="O175" s="84">
        <f t="shared" si="67"/>
        <v>124</v>
      </c>
      <c r="P175" s="26">
        <v>35</v>
      </c>
      <c r="Q175" s="26">
        <v>111</v>
      </c>
      <c r="R175" s="84">
        <f t="shared" si="68"/>
        <v>146</v>
      </c>
      <c r="S175" s="84">
        <v>145</v>
      </c>
      <c r="T175" s="84">
        <v>148</v>
      </c>
      <c r="U175" s="84">
        <v>155</v>
      </c>
      <c r="V175" s="16"/>
      <c r="W175" s="28">
        <f t="shared" si="69"/>
        <v>0</v>
      </c>
      <c r="X175" s="28">
        <f t="shared" si="69"/>
        <v>0</v>
      </c>
      <c r="Y175" s="28">
        <f t="shared" si="69"/>
        <v>12300</v>
      </c>
      <c r="Z175" s="28">
        <f t="shared" si="70"/>
        <v>12300</v>
      </c>
      <c r="AA175" s="28">
        <f t="shared" si="71"/>
        <v>28700</v>
      </c>
      <c r="AB175" s="28">
        <f t="shared" si="71"/>
        <v>91020</v>
      </c>
      <c r="AC175" s="28">
        <f>SUM(AA175:AB175)</f>
        <v>119720</v>
      </c>
      <c r="AD175" s="77">
        <f t="shared" si="72"/>
        <v>118900</v>
      </c>
      <c r="AE175" s="77">
        <f t="shared" si="72"/>
        <v>121360</v>
      </c>
      <c r="AF175" s="99">
        <f t="shared" si="72"/>
        <v>127100</v>
      </c>
    </row>
    <row r="176" spans="1:32" x14ac:dyDescent="0.3">
      <c r="A176" s="32" t="s">
        <v>78</v>
      </c>
      <c r="B176" s="33"/>
      <c r="C176" s="36"/>
      <c r="D176" s="36"/>
      <c r="E176" s="37"/>
      <c r="F176" s="37"/>
      <c r="G176" s="37"/>
      <c r="H176" s="37"/>
      <c r="I176" s="37"/>
      <c r="J176" s="37"/>
      <c r="K176" s="16"/>
      <c r="L176" s="84"/>
      <c r="M176" s="84"/>
      <c r="N176" s="84"/>
      <c r="O176" s="84"/>
      <c r="P176" s="26"/>
      <c r="Q176" s="26"/>
      <c r="R176" s="84"/>
      <c r="S176" s="84"/>
      <c r="T176" s="84"/>
      <c r="U176" s="84"/>
      <c r="V176" s="16"/>
      <c r="W176" s="35">
        <f>SUM(W168:W175)</f>
        <v>2375025</v>
      </c>
      <c r="X176" s="35">
        <f t="shared" ref="X176:AF176" si="74">SUM(X168:X175)</f>
        <v>35564350</v>
      </c>
      <c r="Y176" s="35">
        <f t="shared" si="74"/>
        <v>7224420</v>
      </c>
      <c r="Z176" s="35">
        <f t="shared" si="74"/>
        <v>45163795</v>
      </c>
      <c r="AA176" s="35">
        <f t="shared" si="74"/>
        <v>16310200</v>
      </c>
      <c r="AB176" s="35">
        <f t="shared" si="74"/>
        <v>51651770</v>
      </c>
      <c r="AC176" s="35">
        <f t="shared" si="74"/>
        <v>67961970</v>
      </c>
      <c r="AD176" s="35">
        <f t="shared" si="74"/>
        <v>66171610</v>
      </c>
      <c r="AE176" s="35">
        <f t="shared" si="74"/>
        <v>64624070</v>
      </c>
      <c r="AF176" s="99">
        <f t="shared" si="74"/>
        <v>62750150</v>
      </c>
    </row>
    <row r="177" spans="1:32" x14ac:dyDescent="0.3">
      <c r="A177" s="32"/>
      <c r="B177" s="33"/>
      <c r="C177" s="36"/>
      <c r="D177" s="36"/>
      <c r="E177" s="37"/>
      <c r="F177" s="37"/>
      <c r="G177" s="37"/>
      <c r="H177" s="37"/>
      <c r="I177" s="37"/>
      <c r="J177" s="37"/>
      <c r="K177" s="16"/>
      <c r="L177" s="84"/>
      <c r="M177" s="84"/>
      <c r="N177" s="84"/>
      <c r="O177" s="84"/>
      <c r="P177" s="26"/>
      <c r="Q177" s="26"/>
      <c r="R177" s="84"/>
      <c r="S177" s="84"/>
      <c r="T177" s="84"/>
      <c r="U177" s="84"/>
      <c r="V177" s="16"/>
      <c r="W177" s="28"/>
      <c r="X177" s="28"/>
      <c r="Y177" s="28"/>
      <c r="Z177" s="28"/>
      <c r="AA177" s="28"/>
      <c r="AB177" s="28"/>
      <c r="AC177" s="28"/>
      <c r="AD177" s="77"/>
      <c r="AE177" s="28"/>
      <c r="AF177" s="99"/>
    </row>
    <row r="178" spans="1:32" x14ac:dyDescent="0.3">
      <c r="A178" s="32" t="s">
        <v>80</v>
      </c>
      <c r="B178" s="33"/>
      <c r="C178" s="36"/>
      <c r="D178" s="36"/>
      <c r="E178" s="37"/>
      <c r="F178" s="37"/>
      <c r="G178" s="37"/>
      <c r="H178" s="37"/>
      <c r="I178" s="37"/>
      <c r="J178" s="37"/>
      <c r="K178" s="16"/>
      <c r="L178" s="84"/>
      <c r="M178" s="84"/>
      <c r="N178" s="84"/>
      <c r="O178" s="84"/>
      <c r="P178" s="26"/>
      <c r="Q178" s="26"/>
      <c r="R178" s="84"/>
      <c r="S178" s="84"/>
      <c r="T178" s="84"/>
      <c r="U178" s="84"/>
      <c r="V178" s="16"/>
      <c r="W178" s="28"/>
      <c r="X178" s="28"/>
      <c r="Y178" s="28"/>
      <c r="Z178" s="28"/>
      <c r="AA178" s="28"/>
      <c r="AB178" s="28"/>
      <c r="AC178" s="28"/>
      <c r="AD178" s="77"/>
      <c r="AE178" s="28"/>
      <c r="AF178" s="99"/>
    </row>
    <row r="179" spans="1:32" x14ac:dyDescent="0.3">
      <c r="A179" s="21">
        <v>3551</v>
      </c>
      <c r="B179" s="22" t="s">
        <v>70</v>
      </c>
      <c r="C179" s="36"/>
      <c r="D179" s="36"/>
      <c r="E179" s="37">
        <v>400</v>
      </c>
      <c r="F179" s="37">
        <v>400</v>
      </c>
      <c r="G179" s="37">
        <v>400</v>
      </c>
      <c r="H179" s="37">
        <v>400</v>
      </c>
      <c r="I179" s="37">
        <v>400</v>
      </c>
      <c r="J179" s="37">
        <v>400</v>
      </c>
      <c r="K179" s="16"/>
      <c r="L179" s="84"/>
      <c r="M179" s="84"/>
      <c r="N179" s="84">
        <v>7623</v>
      </c>
      <c r="O179" s="84">
        <f t="shared" ref="O179:O186" si="75">SUM(L179:N179)</f>
        <v>7623</v>
      </c>
      <c r="P179" s="26">
        <v>2274</v>
      </c>
      <c r="Q179" s="26">
        <v>7200</v>
      </c>
      <c r="R179" s="84">
        <f t="shared" ref="R179:R186" si="76">SUM(P179:Q179)</f>
        <v>9474</v>
      </c>
      <c r="S179" s="84">
        <v>10012</v>
      </c>
      <c r="T179" s="84">
        <v>10882</v>
      </c>
      <c r="U179" s="84">
        <v>12428</v>
      </c>
      <c r="V179" s="16"/>
      <c r="W179" s="28">
        <f t="shared" ref="W179:Y186" si="77">L179*C179</f>
        <v>0</v>
      </c>
      <c r="X179" s="28">
        <f t="shared" si="77"/>
        <v>0</v>
      </c>
      <c r="Y179" s="28">
        <f t="shared" si="77"/>
        <v>3049200</v>
      </c>
      <c r="Z179" s="28">
        <f t="shared" ref="Z179:Z186" si="78">W179+X179+Y179</f>
        <v>3049200</v>
      </c>
      <c r="AA179" s="28">
        <f t="shared" ref="AA179:AB186" si="79">F179*P179</f>
        <v>909600</v>
      </c>
      <c r="AB179" s="28">
        <f t="shared" si="79"/>
        <v>2880000</v>
      </c>
      <c r="AC179" s="28">
        <f>SUM(AA179:AB179)</f>
        <v>3789600</v>
      </c>
      <c r="AD179" s="77">
        <f t="shared" ref="AD179:AF186" si="80">H179*S179</f>
        <v>4004800</v>
      </c>
      <c r="AE179" s="77">
        <f t="shared" si="80"/>
        <v>4352800</v>
      </c>
      <c r="AF179" s="99">
        <f t="shared" si="80"/>
        <v>4971200</v>
      </c>
    </row>
    <row r="180" spans="1:32" x14ac:dyDescent="0.3">
      <c r="A180" s="21">
        <v>3552</v>
      </c>
      <c r="B180" s="22" t="s">
        <v>71</v>
      </c>
      <c r="C180" s="36"/>
      <c r="D180" s="36"/>
      <c r="E180" s="37">
        <v>900</v>
      </c>
      <c r="F180" s="37">
        <v>900</v>
      </c>
      <c r="G180" s="37">
        <v>900</v>
      </c>
      <c r="H180" s="37">
        <v>900</v>
      </c>
      <c r="I180" s="37">
        <v>900</v>
      </c>
      <c r="J180" s="37">
        <v>900</v>
      </c>
      <c r="K180" s="16"/>
      <c r="L180" s="84"/>
      <c r="M180" s="84"/>
      <c r="N180" s="84">
        <v>4935</v>
      </c>
      <c r="O180" s="84">
        <f t="shared" si="75"/>
        <v>4935</v>
      </c>
      <c r="P180" s="26">
        <v>1323</v>
      </c>
      <c r="Q180" s="26">
        <v>4188</v>
      </c>
      <c r="R180" s="84">
        <f t="shared" si="76"/>
        <v>5511</v>
      </c>
      <c r="S180" s="84">
        <v>4865</v>
      </c>
      <c r="T180" s="84">
        <v>4855</v>
      </c>
      <c r="U180" s="84">
        <v>4672</v>
      </c>
      <c r="V180" s="16"/>
      <c r="W180" s="28">
        <f t="shared" si="77"/>
        <v>0</v>
      </c>
      <c r="X180" s="28">
        <f t="shared" si="77"/>
        <v>0</v>
      </c>
      <c r="Y180" s="28">
        <f t="shared" si="77"/>
        <v>4441500</v>
      </c>
      <c r="Z180" s="28">
        <f t="shared" si="78"/>
        <v>4441500</v>
      </c>
      <c r="AA180" s="28">
        <f t="shared" si="79"/>
        <v>1190700</v>
      </c>
      <c r="AB180" s="28">
        <f t="shared" si="79"/>
        <v>3769200</v>
      </c>
      <c r="AC180" s="28">
        <f t="shared" ref="AC180:AC186" si="81">SUM(AA180:AB180)</f>
        <v>4959900</v>
      </c>
      <c r="AD180" s="77">
        <f t="shared" si="80"/>
        <v>4378500</v>
      </c>
      <c r="AE180" s="77">
        <f t="shared" si="80"/>
        <v>4369500</v>
      </c>
      <c r="AF180" s="99">
        <f t="shared" si="80"/>
        <v>4204800</v>
      </c>
    </row>
    <row r="181" spans="1:32" x14ac:dyDescent="0.3">
      <c r="A181" s="21">
        <v>3553</v>
      </c>
      <c r="B181" s="22" t="s">
        <v>79</v>
      </c>
      <c r="C181" s="36"/>
      <c r="D181" s="36"/>
      <c r="E181" s="37">
        <v>1850</v>
      </c>
      <c r="F181" s="37">
        <v>1850</v>
      </c>
      <c r="G181" s="37">
        <v>1850</v>
      </c>
      <c r="H181" s="37">
        <v>1850</v>
      </c>
      <c r="I181" s="37">
        <v>1850</v>
      </c>
      <c r="J181" s="37">
        <v>1850</v>
      </c>
      <c r="K181" s="16"/>
      <c r="L181" s="84"/>
      <c r="M181" s="84"/>
      <c r="N181" s="84">
        <v>3211</v>
      </c>
      <c r="O181" s="84">
        <f t="shared" si="75"/>
        <v>3211</v>
      </c>
      <c r="P181" s="26">
        <v>832</v>
      </c>
      <c r="Q181" s="26">
        <v>2633</v>
      </c>
      <c r="R181" s="84">
        <f t="shared" si="76"/>
        <v>3465</v>
      </c>
      <c r="S181" s="84">
        <v>3446</v>
      </c>
      <c r="T181" s="84">
        <v>3074</v>
      </c>
      <c r="U181" s="84">
        <v>2598</v>
      </c>
      <c r="V181" s="16"/>
      <c r="W181" s="28">
        <f t="shared" si="77"/>
        <v>0</v>
      </c>
      <c r="X181" s="28">
        <f t="shared" si="77"/>
        <v>0</v>
      </c>
      <c r="Y181" s="28">
        <f t="shared" si="77"/>
        <v>5940350</v>
      </c>
      <c r="Z181" s="28">
        <f t="shared" si="78"/>
        <v>5940350</v>
      </c>
      <c r="AA181" s="28">
        <f t="shared" si="79"/>
        <v>1539200</v>
      </c>
      <c r="AB181" s="28">
        <f t="shared" si="79"/>
        <v>4871050</v>
      </c>
      <c r="AC181" s="28">
        <f t="shared" si="81"/>
        <v>6410250</v>
      </c>
      <c r="AD181" s="77">
        <f t="shared" si="80"/>
        <v>6375100</v>
      </c>
      <c r="AE181" s="77">
        <f t="shared" si="80"/>
        <v>5686900</v>
      </c>
      <c r="AF181" s="99">
        <f t="shared" si="80"/>
        <v>4806300</v>
      </c>
    </row>
    <row r="182" spans="1:32" x14ac:dyDescent="0.3">
      <c r="A182" s="21">
        <v>3554</v>
      </c>
      <c r="B182" s="22" t="s">
        <v>73</v>
      </c>
      <c r="C182" s="36"/>
      <c r="D182" s="36"/>
      <c r="E182" s="37">
        <v>40</v>
      </c>
      <c r="F182" s="37">
        <v>40</v>
      </c>
      <c r="G182" s="37">
        <v>40</v>
      </c>
      <c r="H182" s="37">
        <v>40</v>
      </c>
      <c r="I182" s="37">
        <v>40</v>
      </c>
      <c r="J182" s="37">
        <v>40</v>
      </c>
      <c r="K182" s="16"/>
      <c r="L182" s="84"/>
      <c r="M182" s="84"/>
      <c r="N182" s="84">
        <v>800</v>
      </c>
      <c r="O182" s="84">
        <f t="shared" si="75"/>
        <v>800</v>
      </c>
      <c r="P182" s="26">
        <v>239</v>
      </c>
      <c r="Q182" s="26">
        <v>756</v>
      </c>
      <c r="R182" s="84">
        <f t="shared" si="76"/>
        <v>995</v>
      </c>
      <c r="S182" s="84">
        <v>1051</v>
      </c>
      <c r="T182" s="84">
        <v>1142</v>
      </c>
      <c r="U182" s="84">
        <v>1305</v>
      </c>
      <c r="V182" s="16"/>
      <c r="W182" s="28">
        <f t="shared" si="77"/>
        <v>0</v>
      </c>
      <c r="X182" s="28">
        <f t="shared" si="77"/>
        <v>0</v>
      </c>
      <c r="Y182" s="28">
        <f t="shared" si="77"/>
        <v>32000</v>
      </c>
      <c r="Z182" s="28">
        <f t="shared" si="78"/>
        <v>32000</v>
      </c>
      <c r="AA182" s="28">
        <f t="shared" si="79"/>
        <v>9560</v>
      </c>
      <c r="AB182" s="28">
        <f t="shared" si="79"/>
        <v>30240</v>
      </c>
      <c r="AC182" s="28">
        <f t="shared" si="81"/>
        <v>39800</v>
      </c>
      <c r="AD182" s="77">
        <f t="shared" si="80"/>
        <v>42040</v>
      </c>
      <c r="AE182" s="77">
        <f t="shared" si="80"/>
        <v>45680</v>
      </c>
      <c r="AF182" s="99">
        <f t="shared" si="80"/>
        <v>52200</v>
      </c>
    </row>
    <row r="183" spans="1:32" x14ac:dyDescent="0.3">
      <c r="A183" s="21">
        <v>3555</v>
      </c>
      <c r="B183" s="22" t="s">
        <v>74</v>
      </c>
      <c r="C183" s="36"/>
      <c r="D183" s="36"/>
      <c r="E183" s="37">
        <v>40</v>
      </c>
      <c r="F183" s="37">
        <v>40</v>
      </c>
      <c r="G183" s="37">
        <v>40</v>
      </c>
      <c r="H183" s="37">
        <v>40</v>
      </c>
      <c r="I183" s="37">
        <v>40</v>
      </c>
      <c r="J183" s="37">
        <v>40</v>
      </c>
      <c r="K183" s="16"/>
      <c r="L183" s="84"/>
      <c r="M183" s="84"/>
      <c r="N183" s="84">
        <v>543</v>
      </c>
      <c r="O183" s="84">
        <f t="shared" si="75"/>
        <v>543</v>
      </c>
      <c r="P183" s="26">
        <v>146</v>
      </c>
      <c r="Q183" s="26">
        <v>461</v>
      </c>
      <c r="R183" s="84">
        <f t="shared" si="76"/>
        <v>607</v>
      </c>
      <c r="S183" s="84">
        <v>536</v>
      </c>
      <c r="T183" s="84">
        <v>535</v>
      </c>
      <c r="U183" s="84">
        <v>514</v>
      </c>
      <c r="V183" s="16"/>
      <c r="W183" s="28">
        <f t="shared" si="77"/>
        <v>0</v>
      </c>
      <c r="X183" s="28">
        <f t="shared" si="77"/>
        <v>0</v>
      </c>
      <c r="Y183" s="28">
        <f t="shared" si="77"/>
        <v>21720</v>
      </c>
      <c r="Z183" s="28">
        <f t="shared" si="78"/>
        <v>21720</v>
      </c>
      <c r="AA183" s="28">
        <f t="shared" si="79"/>
        <v>5840</v>
      </c>
      <c r="AB183" s="28">
        <f t="shared" si="79"/>
        <v>18440</v>
      </c>
      <c r="AC183" s="28">
        <f t="shared" si="81"/>
        <v>24280</v>
      </c>
      <c r="AD183" s="77">
        <f t="shared" si="80"/>
        <v>21440</v>
      </c>
      <c r="AE183" s="77">
        <f t="shared" si="80"/>
        <v>21400</v>
      </c>
      <c r="AF183" s="99">
        <f t="shared" si="80"/>
        <v>20560</v>
      </c>
    </row>
    <row r="184" spans="1:32" x14ac:dyDescent="0.3">
      <c r="A184" s="21">
        <v>3556</v>
      </c>
      <c r="B184" s="22" t="s">
        <v>75</v>
      </c>
      <c r="C184" s="36"/>
      <c r="D184" s="36"/>
      <c r="E184" s="37">
        <v>40</v>
      </c>
      <c r="F184" s="37">
        <v>40</v>
      </c>
      <c r="G184" s="37">
        <v>40</v>
      </c>
      <c r="H184" s="37">
        <v>40</v>
      </c>
      <c r="I184" s="37">
        <v>40</v>
      </c>
      <c r="J184" s="37">
        <v>40</v>
      </c>
      <c r="K184" s="16"/>
      <c r="L184" s="84"/>
      <c r="M184" s="84"/>
      <c r="N184" s="84">
        <v>356</v>
      </c>
      <c r="O184" s="84">
        <f t="shared" si="75"/>
        <v>356</v>
      </c>
      <c r="P184" s="26">
        <v>92</v>
      </c>
      <c r="Q184" s="26">
        <v>292</v>
      </c>
      <c r="R184" s="84">
        <f t="shared" si="76"/>
        <v>384</v>
      </c>
      <c r="S184" s="84">
        <v>382</v>
      </c>
      <c r="T184" s="84">
        <v>341</v>
      </c>
      <c r="U184" s="84">
        <v>288</v>
      </c>
      <c r="V184" s="16"/>
      <c r="W184" s="28">
        <f t="shared" si="77"/>
        <v>0</v>
      </c>
      <c r="X184" s="28">
        <f t="shared" si="77"/>
        <v>0</v>
      </c>
      <c r="Y184" s="28">
        <f t="shared" si="77"/>
        <v>14240</v>
      </c>
      <c r="Z184" s="28">
        <f t="shared" si="78"/>
        <v>14240</v>
      </c>
      <c r="AA184" s="28">
        <f t="shared" si="79"/>
        <v>3680</v>
      </c>
      <c r="AB184" s="28">
        <f t="shared" si="79"/>
        <v>11680</v>
      </c>
      <c r="AC184" s="28">
        <f t="shared" si="81"/>
        <v>15360</v>
      </c>
      <c r="AD184" s="77">
        <f t="shared" si="80"/>
        <v>15280</v>
      </c>
      <c r="AE184" s="77">
        <f t="shared" si="80"/>
        <v>13640</v>
      </c>
      <c r="AF184" s="99">
        <f t="shared" si="80"/>
        <v>11520</v>
      </c>
    </row>
    <row r="185" spans="1:32" x14ac:dyDescent="0.3">
      <c r="A185" s="21">
        <v>3557</v>
      </c>
      <c r="B185" s="22" t="s">
        <v>76</v>
      </c>
      <c r="C185" s="36"/>
      <c r="D185" s="36"/>
      <c r="E185" s="37">
        <v>175</v>
      </c>
      <c r="F185" s="37">
        <v>175</v>
      </c>
      <c r="G185" s="37">
        <v>175</v>
      </c>
      <c r="H185" s="37">
        <v>175</v>
      </c>
      <c r="I185" s="37">
        <v>175</v>
      </c>
      <c r="J185" s="37">
        <v>175</v>
      </c>
      <c r="K185" s="16"/>
      <c r="L185" s="84"/>
      <c r="M185" s="84"/>
      <c r="N185" s="84">
        <v>0</v>
      </c>
      <c r="O185" s="84">
        <f t="shared" si="75"/>
        <v>0</v>
      </c>
      <c r="P185" s="26">
        <v>0</v>
      </c>
      <c r="Q185" s="26">
        <v>0</v>
      </c>
      <c r="R185" s="84">
        <f t="shared" si="76"/>
        <v>0</v>
      </c>
      <c r="S185" s="84">
        <v>0</v>
      </c>
      <c r="T185" s="84">
        <v>0</v>
      </c>
      <c r="U185" s="84">
        <v>1</v>
      </c>
      <c r="V185" s="16"/>
      <c r="W185" s="28">
        <f t="shared" si="77"/>
        <v>0</v>
      </c>
      <c r="X185" s="28">
        <f t="shared" si="77"/>
        <v>0</v>
      </c>
      <c r="Y185" s="28">
        <f t="shared" si="77"/>
        <v>0</v>
      </c>
      <c r="Z185" s="28">
        <f t="shared" si="78"/>
        <v>0</v>
      </c>
      <c r="AA185" s="28">
        <f t="shared" si="79"/>
        <v>0</v>
      </c>
      <c r="AB185" s="28">
        <f t="shared" si="79"/>
        <v>0</v>
      </c>
      <c r="AC185" s="28">
        <f t="shared" si="81"/>
        <v>0</v>
      </c>
      <c r="AD185" s="77">
        <f t="shared" si="80"/>
        <v>0</v>
      </c>
      <c r="AE185" s="77">
        <f t="shared" si="80"/>
        <v>0</v>
      </c>
      <c r="AF185" s="99">
        <f t="shared" si="80"/>
        <v>175</v>
      </c>
    </row>
    <row r="186" spans="1:32" x14ac:dyDescent="0.3">
      <c r="A186" s="21">
        <v>3558</v>
      </c>
      <c r="B186" s="22" t="s">
        <v>77</v>
      </c>
      <c r="C186" s="36"/>
      <c r="D186" s="36"/>
      <c r="E186" s="37">
        <v>410</v>
      </c>
      <c r="F186" s="37">
        <v>410</v>
      </c>
      <c r="G186" s="37">
        <v>410</v>
      </c>
      <c r="H186" s="37">
        <v>410</v>
      </c>
      <c r="I186" s="37">
        <v>410</v>
      </c>
      <c r="J186" s="37">
        <v>410</v>
      </c>
      <c r="K186" s="16"/>
      <c r="L186" s="84"/>
      <c r="M186" s="84"/>
      <c r="N186" s="84">
        <v>56</v>
      </c>
      <c r="O186" s="84">
        <f t="shared" si="75"/>
        <v>56</v>
      </c>
      <c r="P186" s="26">
        <v>16</v>
      </c>
      <c r="Q186" s="26">
        <v>49</v>
      </c>
      <c r="R186" s="84">
        <f t="shared" si="76"/>
        <v>65</v>
      </c>
      <c r="S186" s="84">
        <v>65</v>
      </c>
      <c r="T186" s="84">
        <v>67</v>
      </c>
      <c r="U186" s="84">
        <v>70</v>
      </c>
      <c r="V186" s="16"/>
      <c r="W186" s="28">
        <f t="shared" si="77"/>
        <v>0</v>
      </c>
      <c r="X186" s="28">
        <f t="shared" si="77"/>
        <v>0</v>
      </c>
      <c r="Y186" s="28">
        <f t="shared" si="77"/>
        <v>22960</v>
      </c>
      <c r="Z186" s="28">
        <f t="shared" si="78"/>
        <v>22960</v>
      </c>
      <c r="AA186" s="28">
        <f t="shared" si="79"/>
        <v>6560</v>
      </c>
      <c r="AB186" s="28">
        <f t="shared" si="79"/>
        <v>20090</v>
      </c>
      <c r="AC186" s="28">
        <f t="shared" si="81"/>
        <v>26650</v>
      </c>
      <c r="AD186" s="77">
        <f t="shared" si="80"/>
        <v>26650</v>
      </c>
      <c r="AE186" s="77">
        <f t="shared" si="80"/>
        <v>27470</v>
      </c>
      <c r="AF186" s="99">
        <f t="shared" si="80"/>
        <v>28700</v>
      </c>
    </row>
    <row r="187" spans="1:32" x14ac:dyDescent="0.3">
      <c r="A187" s="45" t="s">
        <v>80</v>
      </c>
      <c r="B187" s="46"/>
      <c r="C187" s="36"/>
      <c r="D187" s="36"/>
      <c r="E187" s="36"/>
      <c r="F187" s="36"/>
      <c r="G187" s="36"/>
      <c r="H187" s="36"/>
      <c r="I187" s="36"/>
      <c r="J187" s="36"/>
      <c r="K187" s="16"/>
      <c r="L187" s="25"/>
      <c r="M187" s="25"/>
      <c r="N187" s="25"/>
      <c r="O187" s="25"/>
      <c r="P187" s="26"/>
      <c r="Q187" s="26"/>
      <c r="R187" s="53"/>
      <c r="S187" s="54"/>
      <c r="T187" s="54"/>
      <c r="U187" s="54"/>
      <c r="V187" s="16"/>
      <c r="W187" s="28">
        <f>SUM(W179:W186)</f>
        <v>0</v>
      </c>
      <c r="X187" s="28">
        <f t="shared" ref="X187:AF187" si="82">SUM(X179:X186)</f>
        <v>0</v>
      </c>
      <c r="Y187" s="28">
        <f t="shared" si="82"/>
        <v>13521970</v>
      </c>
      <c r="Z187" s="28">
        <f t="shared" si="82"/>
        <v>13521970</v>
      </c>
      <c r="AA187" s="28">
        <f t="shared" si="82"/>
        <v>3665140</v>
      </c>
      <c r="AB187" s="28">
        <f t="shared" si="82"/>
        <v>11600700</v>
      </c>
      <c r="AC187" s="28">
        <f t="shared" si="82"/>
        <v>15265840</v>
      </c>
      <c r="AD187" s="28">
        <f t="shared" si="82"/>
        <v>14863810</v>
      </c>
      <c r="AE187" s="28">
        <f t="shared" si="82"/>
        <v>14517390</v>
      </c>
      <c r="AF187" s="99">
        <f t="shared" si="82"/>
        <v>14095455</v>
      </c>
    </row>
    <row r="188" spans="1:32" x14ac:dyDescent="0.3">
      <c r="A188" s="21">
        <v>1559</v>
      </c>
      <c r="B188" s="22" t="s">
        <v>227</v>
      </c>
      <c r="C188" s="151" t="s">
        <v>268</v>
      </c>
      <c r="D188" s="151" t="s">
        <v>268</v>
      </c>
      <c r="E188" s="151" t="s">
        <v>268</v>
      </c>
      <c r="F188" s="151" t="s">
        <v>268</v>
      </c>
      <c r="G188" s="151" t="s">
        <v>268</v>
      </c>
      <c r="H188" s="151" t="s">
        <v>268</v>
      </c>
      <c r="I188" s="151" t="s">
        <v>268</v>
      </c>
      <c r="J188" s="151" t="s">
        <v>268</v>
      </c>
      <c r="K188" s="16"/>
      <c r="L188" s="84">
        <v>0</v>
      </c>
      <c r="M188" s="84">
        <v>865467</v>
      </c>
      <c r="N188" s="84">
        <v>865467</v>
      </c>
      <c r="O188" s="84">
        <f>SUM(L188:N188)</f>
        <v>1730934</v>
      </c>
      <c r="P188" s="26">
        <v>500000</v>
      </c>
      <c r="Q188" s="26">
        <v>1230935</v>
      </c>
      <c r="R188" s="84">
        <f>SUM(P188:Q188)</f>
        <v>1730935</v>
      </c>
      <c r="S188" s="84">
        <v>1730934</v>
      </c>
      <c r="T188" s="84">
        <v>1730934</v>
      </c>
      <c r="U188" s="84">
        <v>1730934</v>
      </c>
      <c r="V188" s="16"/>
      <c r="W188" s="28">
        <f>L188</f>
        <v>0</v>
      </c>
      <c r="X188" s="28">
        <f>M188</f>
        <v>865467</v>
      </c>
      <c r="Y188" s="28">
        <f>N188</f>
        <v>865467</v>
      </c>
      <c r="Z188" s="28">
        <f>W188+X188+Y188</f>
        <v>1730934</v>
      </c>
      <c r="AA188" s="28">
        <f>P188</f>
        <v>500000</v>
      </c>
      <c r="AB188" s="28">
        <f>Q188</f>
        <v>1230935</v>
      </c>
      <c r="AC188" s="28">
        <f>SUM(AA188:AB188)</f>
        <v>1730935</v>
      </c>
      <c r="AD188" s="28">
        <f>S188</f>
        <v>1730934</v>
      </c>
      <c r="AE188" s="28">
        <f>T188</f>
        <v>1730934</v>
      </c>
      <c r="AF188" s="99">
        <f>U188</f>
        <v>1730934</v>
      </c>
    </row>
    <row r="189" spans="1:32" x14ac:dyDescent="0.3">
      <c r="A189" s="32" t="s">
        <v>81</v>
      </c>
      <c r="B189" s="33"/>
      <c r="C189" s="36"/>
      <c r="D189" s="36"/>
      <c r="E189" s="36"/>
      <c r="F189" s="36"/>
      <c r="G189" s="36"/>
      <c r="H189" s="36"/>
      <c r="I189" s="36"/>
      <c r="J189" s="36"/>
      <c r="K189" s="16"/>
      <c r="L189" s="25"/>
      <c r="M189" s="25"/>
      <c r="N189" s="25"/>
      <c r="O189" s="25"/>
      <c r="P189" s="26"/>
      <c r="Q189" s="53"/>
      <c r="R189" s="53"/>
      <c r="S189" s="54"/>
      <c r="T189" s="54"/>
      <c r="U189" s="54"/>
      <c r="V189" s="16"/>
      <c r="W189" s="35">
        <f>SUM(W188,W187,W176,W165)</f>
        <v>39252975</v>
      </c>
      <c r="X189" s="35">
        <f t="shared" ref="X189:AF189" si="83">SUM(X188,X187,X176,X165)</f>
        <v>588400687</v>
      </c>
      <c r="Y189" s="35">
        <f t="shared" si="83"/>
        <v>134222997</v>
      </c>
      <c r="Z189" s="35">
        <f t="shared" si="83"/>
        <v>761876659</v>
      </c>
      <c r="AA189" s="35">
        <f t="shared" si="83"/>
        <v>280363160</v>
      </c>
      <c r="AB189" s="35">
        <f t="shared" si="83"/>
        <v>887454905</v>
      </c>
      <c r="AC189" s="35">
        <f t="shared" si="83"/>
        <v>1167818065</v>
      </c>
      <c r="AD189" s="35">
        <f t="shared" si="83"/>
        <v>1184929394</v>
      </c>
      <c r="AE189" s="35">
        <f t="shared" si="83"/>
        <v>1190979974</v>
      </c>
      <c r="AF189" s="106">
        <f t="shared" si="83"/>
        <v>1169128459</v>
      </c>
    </row>
    <row r="190" spans="1:32" x14ac:dyDescent="0.3">
      <c r="A190" s="43"/>
      <c r="B190" s="33"/>
      <c r="C190" s="36"/>
      <c r="D190" s="36"/>
      <c r="E190" s="36"/>
      <c r="F190" s="36"/>
      <c r="G190" s="36"/>
      <c r="H190" s="36"/>
      <c r="I190" s="36"/>
      <c r="J190" s="36"/>
      <c r="K190" s="16"/>
      <c r="L190" s="25"/>
      <c r="M190" s="25"/>
      <c r="N190" s="25"/>
      <c r="O190" s="25"/>
      <c r="P190" s="26"/>
      <c r="Q190" s="26"/>
      <c r="R190" s="53"/>
      <c r="S190" s="54"/>
      <c r="T190" s="54"/>
      <c r="U190" s="54"/>
      <c r="V190" s="16"/>
      <c r="W190" s="28"/>
      <c r="X190" s="28"/>
      <c r="Y190" s="28"/>
      <c r="Z190" s="28"/>
      <c r="AA190" s="28"/>
      <c r="AB190" s="28"/>
      <c r="AC190" s="28"/>
      <c r="AD190" s="77"/>
      <c r="AE190" s="28"/>
      <c r="AF190" s="99"/>
    </row>
    <row r="191" spans="1:32" x14ac:dyDescent="0.3">
      <c r="A191" s="32" t="s">
        <v>82</v>
      </c>
      <c r="B191" s="33"/>
      <c r="C191" s="36"/>
      <c r="D191" s="36"/>
      <c r="E191" s="36"/>
      <c r="F191" s="36"/>
      <c r="G191" s="36"/>
      <c r="H191" s="36"/>
      <c r="I191" s="36"/>
      <c r="J191" s="36"/>
      <c r="K191" s="16"/>
      <c r="L191" s="25"/>
      <c r="M191" s="25"/>
      <c r="N191" s="25"/>
      <c r="O191" s="25"/>
      <c r="P191" s="26"/>
      <c r="Q191" s="26"/>
      <c r="R191" s="53"/>
      <c r="S191" s="54"/>
      <c r="T191" s="54"/>
      <c r="U191" s="54"/>
      <c r="V191" s="16"/>
      <c r="W191" s="28"/>
      <c r="X191" s="28"/>
      <c r="Y191" s="28"/>
      <c r="Z191" s="28"/>
      <c r="AA191" s="28"/>
      <c r="AB191" s="28"/>
      <c r="AC191" s="28"/>
      <c r="AD191" s="77"/>
      <c r="AE191" s="28"/>
      <c r="AF191" s="99"/>
    </row>
    <row r="192" spans="1:32" x14ac:dyDescent="0.3">
      <c r="A192" s="21">
        <v>1251</v>
      </c>
      <c r="B192" s="22" t="s">
        <v>83</v>
      </c>
      <c r="C192" s="23">
        <v>150</v>
      </c>
      <c r="D192" s="23">
        <v>150</v>
      </c>
      <c r="E192" s="24">
        <v>200</v>
      </c>
      <c r="F192" s="24">
        <v>200</v>
      </c>
      <c r="G192" s="24">
        <v>200</v>
      </c>
      <c r="H192" s="24">
        <v>200</v>
      </c>
      <c r="I192" s="24">
        <v>200</v>
      </c>
      <c r="J192" s="24">
        <v>200</v>
      </c>
      <c r="K192" s="16"/>
      <c r="L192" s="84">
        <v>4142</v>
      </c>
      <c r="M192" s="84">
        <v>80997</v>
      </c>
      <c r="N192" s="84">
        <v>29914</v>
      </c>
      <c r="O192" s="84">
        <f>SUM(L192:N192)</f>
        <v>115053</v>
      </c>
      <c r="P192" s="84">
        <v>27312</v>
      </c>
      <c r="Q192" s="84">
        <v>86487</v>
      </c>
      <c r="R192" s="84">
        <f>SUM(P192:Q192)</f>
        <v>113799</v>
      </c>
      <c r="S192" s="84">
        <v>133395</v>
      </c>
      <c r="T192" s="84">
        <v>134784</v>
      </c>
      <c r="U192" s="84">
        <v>123751</v>
      </c>
      <c r="V192" s="16"/>
      <c r="W192" s="28">
        <f t="shared" ref="W192:Y196" si="84">L192*C192</f>
        <v>621300</v>
      </c>
      <c r="X192" s="28">
        <f t="shared" si="84"/>
        <v>12149550</v>
      </c>
      <c r="Y192" s="28">
        <f t="shared" si="84"/>
        <v>5982800</v>
      </c>
      <c r="Z192" s="28">
        <f>W192+X192+Y192</f>
        <v>18753650</v>
      </c>
      <c r="AA192" s="28">
        <f t="shared" ref="AA192:AB196" si="85">F192*P192</f>
        <v>5462400</v>
      </c>
      <c r="AB192" s="28">
        <f t="shared" si="85"/>
        <v>17297400</v>
      </c>
      <c r="AC192" s="28">
        <f>SUM(AA192:AB192)</f>
        <v>22759800</v>
      </c>
      <c r="AD192" s="28">
        <f t="shared" ref="AD192:AF196" si="86">H192*S192</f>
        <v>26679000</v>
      </c>
      <c r="AE192" s="28">
        <f t="shared" si="86"/>
        <v>26956800</v>
      </c>
      <c r="AF192" s="99">
        <f t="shared" si="86"/>
        <v>24750200</v>
      </c>
    </row>
    <row r="193" spans="1:32" x14ac:dyDescent="0.3">
      <c r="A193" s="21">
        <v>1252</v>
      </c>
      <c r="B193" s="22" t="s">
        <v>84</v>
      </c>
      <c r="C193" s="23">
        <v>560</v>
      </c>
      <c r="D193" s="23">
        <v>570</v>
      </c>
      <c r="E193" s="24">
        <v>600</v>
      </c>
      <c r="F193" s="24">
        <v>600</v>
      </c>
      <c r="G193" s="24">
        <v>600</v>
      </c>
      <c r="H193" s="24">
        <v>600</v>
      </c>
      <c r="I193" s="24">
        <v>600</v>
      </c>
      <c r="J193" s="24">
        <v>600</v>
      </c>
      <c r="K193" s="16"/>
      <c r="L193" s="84">
        <v>1711</v>
      </c>
      <c r="M193" s="84">
        <v>33463</v>
      </c>
      <c r="N193" s="84">
        <v>12359</v>
      </c>
      <c r="O193" s="84">
        <f>SUM(L193:N193)</f>
        <v>47533</v>
      </c>
      <c r="P193" s="26">
        <v>11284</v>
      </c>
      <c r="Q193" s="26">
        <v>35731</v>
      </c>
      <c r="R193" s="84">
        <f>SUM(P193:Q193)</f>
        <v>47015</v>
      </c>
      <c r="S193" s="84">
        <v>55111</v>
      </c>
      <c r="T193" s="84">
        <v>55685</v>
      </c>
      <c r="U193" s="84">
        <v>51127</v>
      </c>
      <c r="V193" s="16"/>
      <c r="W193" s="28">
        <f t="shared" si="84"/>
        <v>958160</v>
      </c>
      <c r="X193" s="28">
        <f t="shared" si="84"/>
        <v>19073910</v>
      </c>
      <c r="Y193" s="28">
        <f t="shared" si="84"/>
        <v>7415400</v>
      </c>
      <c r="Z193" s="28">
        <f>W193+X193+Y193</f>
        <v>27447470</v>
      </c>
      <c r="AA193" s="28">
        <f t="shared" si="85"/>
        <v>6770400</v>
      </c>
      <c r="AB193" s="28">
        <f t="shared" si="85"/>
        <v>21438600</v>
      </c>
      <c r="AC193" s="28">
        <f>SUM(AA193:AB193)</f>
        <v>28209000</v>
      </c>
      <c r="AD193" s="77">
        <f t="shared" si="86"/>
        <v>33066600</v>
      </c>
      <c r="AE193" s="77">
        <f t="shared" si="86"/>
        <v>33411000</v>
      </c>
      <c r="AF193" s="99">
        <f t="shared" si="86"/>
        <v>30676200</v>
      </c>
    </row>
    <row r="194" spans="1:32" x14ac:dyDescent="0.3">
      <c r="A194" s="21">
        <v>1253</v>
      </c>
      <c r="B194" s="22" t="s">
        <v>85</v>
      </c>
      <c r="C194" s="23">
        <v>1270</v>
      </c>
      <c r="D194" s="23">
        <v>1290</v>
      </c>
      <c r="E194" s="24">
        <v>1400</v>
      </c>
      <c r="F194" s="24">
        <v>1400</v>
      </c>
      <c r="G194" s="24">
        <v>1400</v>
      </c>
      <c r="H194" s="24">
        <v>1400</v>
      </c>
      <c r="I194" s="24">
        <v>1400</v>
      </c>
      <c r="J194" s="24">
        <v>1400</v>
      </c>
      <c r="K194" s="16"/>
      <c r="L194" s="84">
        <v>1657</v>
      </c>
      <c r="M194" s="84">
        <v>32401</v>
      </c>
      <c r="N194" s="84">
        <v>11966</v>
      </c>
      <c r="O194" s="84">
        <f>SUM(L194:N194)</f>
        <v>46024</v>
      </c>
      <c r="P194" s="26">
        <v>10925</v>
      </c>
      <c r="Q194" s="26">
        <v>34597</v>
      </c>
      <c r="R194" s="84">
        <f>SUM(P194:Q194)</f>
        <v>45522</v>
      </c>
      <c r="S194" s="84">
        <v>53361</v>
      </c>
      <c r="T194" s="84">
        <v>53917</v>
      </c>
      <c r="U194" s="84">
        <v>49504</v>
      </c>
      <c r="V194" s="16"/>
      <c r="W194" s="28">
        <f t="shared" si="84"/>
        <v>2104390</v>
      </c>
      <c r="X194" s="28">
        <f t="shared" si="84"/>
        <v>41797290</v>
      </c>
      <c r="Y194" s="28">
        <f t="shared" si="84"/>
        <v>16752400</v>
      </c>
      <c r="Z194" s="28">
        <f>W194+X194+Y194</f>
        <v>60654080</v>
      </c>
      <c r="AA194" s="28">
        <f t="shared" si="85"/>
        <v>15295000</v>
      </c>
      <c r="AB194" s="28">
        <f t="shared" si="85"/>
        <v>48435800</v>
      </c>
      <c r="AC194" s="28">
        <f>SUM(AA194:AB194)</f>
        <v>63730800</v>
      </c>
      <c r="AD194" s="77">
        <f t="shared" si="86"/>
        <v>74705400</v>
      </c>
      <c r="AE194" s="77">
        <f t="shared" si="86"/>
        <v>75483800</v>
      </c>
      <c r="AF194" s="99">
        <f t="shared" si="86"/>
        <v>69305600</v>
      </c>
    </row>
    <row r="195" spans="1:32" x14ac:dyDescent="0.3">
      <c r="A195" s="21">
        <v>1254</v>
      </c>
      <c r="B195" s="22" t="s">
        <v>86</v>
      </c>
      <c r="C195" s="23">
        <v>1980</v>
      </c>
      <c r="D195" s="23">
        <v>2010</v>
      </c>
      <c r="E195" s="24">
        <v>2200</v>
      </c>
      <c r="F195" s="24">
        <v>2200</v>
      </c>
      <c r="G195" s="24">
        <v>2200</v>
      </c>
      <c r="H195" s="24">
        <v>2200</v>
      </c>
      <c r="I195" s="24">
        <v>2200</v>
      </c>
      <c r="J195" s="24">
        <v>2200</v>
      </c>
      <c r="K195" s="16"/>
      <c r="L195" s="84">
        <v>109</v>
      </c>
      <c r="M195" s="84">
        <v>2136</v>
      </c>
      <c r="N195" s="84">
        <v>789</v>
      </c>
      <c r="O195" s="84">
        <f>SUM(L195:N195)</f>
        <v>3034</v>
      </c>
      <c r="P195" s="26">
        <v>720</v>
      </c>
      <c r="Q195" s="26">
        <v>2281</v>
      </c>
      <c r="R195" s="84">
        <f>SUM(P195:Q195)</f>
        <v>3001</v>
      </c>
      <c r="S195" s="84">
        <v>3518</v>
      </c>
      <c r="T195" s="84">
        <v>3554</v>
      </c>
      <c r="U195" s="84">
        <v>3263</v>
      </c>
      <c r="V195" s="16"/>
      <c r="W195" s="28">
        <f t="shared" si="84"/>
        <v>215820</v>
      </c>
      <c r="X195" s="28">
        <f t="shared" si="84"/>
        <v>4293360</v>
      </c>
      <c r="Y195" s="28">
        <f t="shared" si="84"/>
        <v>1735800</v>
      </c>
      <c r="Z195" s="28">
        <f>W195+X195+Y195</f>
        <v>6244980</v>
      </c>
      <c r="AA195" s="28">
        <f t="shared" si="85"/>
        <v>1584000</v>
      </c>
      <c r="AB195" s="28">
        <f t="shared" si="85"/>
        <v>5018200</v>
      </c>
      <c r="AC195" s="28">
        <f>SUM(AA195:AB195)</f>
        <v>6602200</v>
      </c>
      <c r="AD195" s="77">
        <f t="shared" si="86"/>
        <v>7739600</v>
      </c>
      <c r="AE195" s="77">
        <f t="shared" si="86"/>
        <v>7818800</v>
      </c>
      <c r="AF195" s="99">
        <f t="shared" si="86"/>
        <v>7178600</v>
      </c>
    </row>
    <row r="196" spans="1:32" x14ac:dyDescent="0.3">
      <c r="A196" s="21">
        <v>1255</v>
      </c>
      <c r="B196" s="22" t="s">
        <v>87</v>
      </c>
      <c r="C196" s="23">
        <v>2690</v>
      </c>
      <c r="D196" s="23">
        <v>2730</v>
      </c>
      <c r="E196" s="24">
        <v>3000</v>
      </c>
      <c r="F196" s="24">
        <v>3000</v>
      </c>
      <c r="G196" s="24">
        <v>3000</v>
      </c>
      <c r="H196" s="24">
        <v>3000</v>
      </c>
      <c r="I196" s="24">
        <v>3000</v>
      </c>
      <c r="J196" s="24">
        <v>3000</v>
      </c>
      <c r="K196" s="16"/>
      <c r="L196" s="84">
        <v>137</v>
      </c>
      <c r="M196" s="84">
        <v>2686</v>
      </c>
      <c r="N196" s="84">
        <v>992</v>
      </c>
      <c r="O196" s="84">
        <f>SUM(L196:N196)</f>
        <v>3815</v>
      </c>
      <c r="P196" s="26">
        <v>906</v>
      </c>
      <c r="Q196" s="26">
        <v>2868</v>
      </c>
      <c r="R196" s="84">
        <f>SUM(P196:Q196)</f>
        <v>3774</v>
      </c>
      <c r="S196" s="84">
        <v>4424</v>
      </c>
      <c r="T196" s="84">
        <v>4471</v>
      </c>
      <c r="U196" s="84">
        <v>4105</v>
      </c>
      <c r="V196" s="16"/>
      <c r="W196" s="28">
        <f t="shared" si="84"/>
        <v>368530</v>
      </c>
      <c r="X196" s="28">
        <f t="shared" si="84"/>
        <v>7332780</v>
      </c>
      <c r="Y196" s="28">
        <f t="shared" si="84"/>
        <v>2976000</v>
      </c>
      <c r="Z196" s="28">
        <f>W196+X196+Y196</f>
        <v>10677310</v>
      </c>
      <c r="AA196" s="28">
        <f t="shared" si="85"/>
        <v>2718000</v>
      </c>
      <c r="AB196" s="28">
        <f t="shared" si="85"/>
        <v>8604000</v>
      </c>
      <c r="AC196" s="28">
        <f>SUM(AA196:AB196)</f>
        <v>11322000</v>
      </c>
      <c r="AD196" s="77">
        <f t="shared" si="86"/>
        <v>13272000</v>
      </c>
      <c r="AE196" s="77">
        <f t="shared" si="86"/>
        <v>13413000</v>
      </c>
      <c r="AF196" s="99">
        <f t="shared" si="86"/>
        <v>12315000</v>
      </c>
    </row>
    <row r="197" spans="1:32" x14ac:dyDescent="0.3">
      <c r="A197" s="55" t="s">
        <v>82</v>
      </c>
      <c r="B197" s="33"/>
      <c r="C197" s="36"/>
      <c r="D197" s="36"/>
      <c r="E197" s="37"/>
      <c r="F197" s="37"/>
      <c r="G197" s="37"/>
      <c r="H197" s="37"/>
      <c r="I197" s="37"/>
      <c r="J197" s="37"/>
      <c r="K197" s="16"/>
      <c r="L197" s="84"/>
      <c r="M197" s="84"/>
      <c r="N197" s="84"/>
      <c r="O197" s="84"/>
      <c r="P197" s="26"/>
      <c r="Q197" s="26"/>
      <c r="R197" s="84"/>
      <c r="S197" s="84"/>
      <c r="T197" s="84"/>
      <c r="U197" s="84"/>
      <c r="V197" s="16"/>
      <c r="W197" s="28">
        <f>SUM(W192:W196)</f>
        <v>4268200</v>
      </c>
      <c r="X197" s="28">
        <f t="shared" ref="X197:AF197" si="87">SUM(X192:X196)</f>
        <v>84646890</v>
      </c>
      <c r="Y197" s="28">
        <f t="shared" si="87"/>
        <v>34862400</v>
      </c>
      <c r="Z197" s="28">
        <f t="shared" si="87"/>
        <v>123777490</v>
      </c>
      <c r="AA197" s="28">
        <f t="shared" si="87"/>
        <v>31829800</v>
      </c>
      <c r="AB197" s="28">
        <f t="shared" si="87"/>
        <v>100794000</v>
      </c>
      <c r="AC197" s="28">
        <f t="shared" si="87"/>
        <v>132623800</v>
      </c>
      <c r="AD197" s="28">
        <f t="shared" si="87"/>
        <v>155462600</v>
      </c>
      <c r="AE197" s="28">
        <f t="shared" si="87"/>
        <v>157083400</v>
      </c>
      <c r="AF197" s="99">
        <f t="shared" si="87"/>
        <v>144225600</v>
      </c>
    </row>
    <row r="198" spans="1:32" x14ac:dyDescent="0.3">
      <c r="A198" s="55"/>
      <c r="B198" s="33"/>
      <c r="C198" s="36"/>
      <c r="D198" s="36"/>
      <c r="E198" s="37"/>
      <c r="F198" s="37"/>
      <c r="G198" s="37"/>
      <c r="H198" s="37"/>
      <c r="I198" s="37"/>
      <c r="J198" s="37"/>
      <c r="K198" s="16"/>
      <c r="L198" s="84"/>
      <c r="M198" s="84"/>
      <c r="N198" s="84"/>
      <c r="O198" s="84"/>
      <c r="P198" s="26"/>
      <c r="Q198" s="26"/>
      <c r="R198" s="84"/>
      <c r="S198" s="84"/>
      <c r="T198" s="84"/>
      <c r="U198" s="84"/>
      <c r="V198" s="16"/>
      <c r="W198" s="28"/>
      <c r="X198" s="28"/>
      <c r="Y198" s="28"/>
      <c r="Z198" s="28"/>
      <c r="AA198" s="28"/>
      <c r="AB198" s="28"/>
      <c r="AC198" s="28"/>
      <c r="AD198" s="77"/>
      <c r="AE198" s="28"/>
      <c r="AF198" s="99"/>
    </row>
    <row r="199" spans="1:32" x14ac:dyDescent="0.3">
      <c r="A199" s="55" t="s">
        <v>88</v>
      </c>
      <c r="B199" s="33"/>
      <c r="C199" s="36"/>
      <c r="D199" s="36"/>
      <c r="E199" s="37"/>
      <c r="F199" s="37"/>
      <c r="G199" s="37"/>
      <c r="H199" s="37"/>
      <c r="I199" s="37"/>
      <c r="J199" s="37"/>
      <c r="K199" s="16"/>
      <c r="L199" s="84"/>
      <c r="M199" s="84"/>
      <c r="N199" s="84"/>
      <c r="O199" s="84"/>
      <c r="P199" s="26"/>
      <c r="Q199" s="26"/>
      <c r="R199" s="84"/>
      <c r="S199" s="84"/>
      <c r="T199" s="84"/>
      <c r="U199" s="84"/>
      <c r="V199" s="16"/>
      <c r="W199" s="28"/>
      <c r="X199" s="28"/>
      <c r="Y199" s="28"/>
      <c r="Z199" s="28"/>
      <c r="AA199" s="28"/>
      <c r="AB199" s="28"/>
      <c r="AC199" s="28"/>
      <c r="AD199" s="77"/>
      <c r="AE199" s="28"/>
      <c r="AF199" s="99"/>
    </row>
    <row r="200" spans="1:32" x14ac:dyDescent="0.3">
      <c r="A200" s="21">
        <v>2251</v>
      </c>
      <c r="B200" s="22" t="s">
        <v>83</v>
      </c>
      <c r="C200" s="36">
        <v>75</v>
      </c>
      <c r="D200" s="36">
        <v>75</v>
      </c>
      <c r="E200" s="37">
        <v>100</v>
      </c>
      <c r="F200" s="37">
        <v>100</v>
      </c>
      <c r="G200" s="37">
        <v>100</v>
      </c>
      <c r="H200" s="37">
        <v>100</v>
      </c>
      <c r="I200" s="37">
        <v>100</v>
      </c>
      <c r="J200" s="37">
        <v>100</v>
      </c>
      <c r="K200" s="16"/>
      <c r="L200" s="84">
        <v>1033</v>
      </c>
      <c r="M200" s="84">
        <v>20193</v>
      </c>
      <c r="N200" s="84">
        <v>7458</v>
      </c>
      <c r="O200" s="84">
        <f>SUM(L200:N200)</f>
        <v>28684</v>
      </c>
      <c r="P200" s="26">
        <v>6809</v>
      </c>
      <c r="Q200" s="26">
        <v>21561</v>
      </c>
      <c r="R200" s="84">
        <f>SUM(P200:Q200)</f>
        <v>28370</v>
      </c>
      <c r="S200" s="84">
        <v>33256</v>
      </c>
      <c r="T200" s="84">
        <v>33602</v>
      </c>
      <c r="U200" s="84">
        <v>30852</v>
      </c>
      <c r="V200" s="16"/>
      <c r="W200" s="28">
        <f t="shared" ref="W200:Y204" si="88">L200*C200</f>
        <v>77475</v>
      </c>
      <c r="X200" s="28">
        <f t="shared" si="88"/>
        <v>1514475</v>
      </c>
      <c r="Y200" s="28">
        <f t="shared" si="88"/>
        <v>745800</v>
      </c>
      <c r="Z200" s="28">
        <f>W200+X200+Y200</f>
        <v>2337750</v>
      </c>
      <c r="AA200" s="28">
        <f t="shared" ref="AA200:AB204" si="89">F200*P200</f>
        <v>680900</v>
      </c>
      <c r="AB200" s="28">
        <f t="shared" si="89"/>
        <v>2156100</v>
      </c>
      <c r="AC200" s="28">
        <f>SUM(AA200:AB200)</f>
        <v>2837000</v>
      </c>
      <c r="AD200" s="77">
        <f t="shared" ref="AD200:AF204" si="90">H200*S200</f>
        <v>3325600</v>
      </c>
      <c r="AE200" s="77">
        <f t="shared" si="90"/>
        <v>3360200</v>
      </c>
      <c r="AF200" s="99">
        <f t="shared" si="90"/>
        <v>3085200</v>
      </c>
    </row>
    <row r="201" spans="1:32" x14ac:dyDescent="0.3">
      <c r="A201" s="21">
        <v>2252</v>
      </c>
      <c r="B201" s="22" t="s">
        <v>84</v>
      </c>
      <c r="C201" s="36">
        <v>280</v>
      </c>
      <c r="D201" s="36">
        <v>285</v>
      </c>
      <c r="E201" s="37">
        <v>300</v>
      </c>
      <c r="F201" s="37">
        <v>300</v>
      </c>
      <c r="G201" s="37">
        <v>300</v>
      </c>
      <c r="H201" s="37">
        <v>300</v>
      </c>
      <c r="I201" s="37">
        <v>300</v>
      </c>
      <c r="J201" s="37">
        <v>300</v>
      </c>
      <c r="K201" s="16"/>
      <c r="L201" s="84">
        <v>564</v>
      </c>
      <c r="M201" s="84">
        <v>11027</v>
      </c>
      <c r="N201" s="84">
        <v>4072</v>
      </c>
      <c r="O201" s="84">
        <f>SUM(L201:N201)</f>
        <v>15663</v>
      </c>
      <c r="P201" s="26">
        <v>3718</v>
      </c>
      <c r="Q201" s="26">
        <v>11774</v>
      </c>
      <c r="R201" s="84">
        <f>SUM(P201:Q201)</f>
        <v>15492</v>
      </c>
      <c r="S201" s="84">
        <v>18160</v>
      </c>
      <c r="T201" s="84">
        <v>18349</v>
      </c>
      <c r="U201" s="84">
        <v>16847</v>
      </c>
      <c r="V201" s="16"/>
      <c r="W201" s="28">
        <f t="shared" si="88"/>
        <v>157920</v>
      </c>
      <c r="X201" s="28">
        <f t="shared" si="88"/>
        <v>3142695</v>
      </c>
      <c r="Y201" s="28">
        <f t="shared" si="88"/>
        <v>1221600</v>
      </c>
      <c r="Z201" s="28">
        <f>W201+X201+Y201</f>
        <v>4522215</v>
      </c>
      <c r="AA201" s="28">
        <f t="shared" si="89"/>
        <v>1115400</v>
      </c>
      <c r="AB201" s="28">
        <f t="shared" si="89"/>
        <v>3532200</v>
      </c>
      <c r="AC201" s="28">
        <f>SUM(AA201:AB201)</f>
        <v>4647600</v>
      </c>
      <c r="AD201" s="77">
        <f t="shared" si="90"/>
        <v>5448000</v>
      </c>
      <c r="AE201" s="77">
        <f t="shared" si="90"/>
        <v>5504700</v>
      </c>
      <c r="AF201" s="99">
        <f t="shared" si="90"/>
        <v>5054100</v>
      </c>
    </row>
    <row r="202" spans="1:32" x14ac:dyDescent="0.3">
      <c r="A202" s="21">
        <v>2253</v>
      </c>
      <c r="B202" s="22" t="s">
        <v>85</v>
      </c>
      <c r="C202" s="36">
        <v>635</v>
      </c>
      <c r="D202" s="36">
        <v>645</v>
      </c>
      <c r="E202" s="37">
        <v>700</v>
      </c>
      <c r="F202" s="37">
        <v>700</v>
      </c>
      <c r="G202" s="37">
        <v>700</v>
      </c>
      <c r="H202" s="37">
        <v>700</v>
      </c>
      <c r="I202" s="37">
        <v>700</v>
      </c>
      <c r="J202" s="37">
        <v>700</v>
      </c>
      <c r="K202" s="16"/>
      <c r="L202" s="84">
        <v>815</v>
      </c>
      <c r="M202" s="84">
        <v>15930</v>
      </c>
      <c r="N202" s="84">
        <v>5883</v>
      </c>
      <c r="O202" s="84">
        <f>SUM(L202:N202)</f>
        <v>22628</v>
      </c>
      <c r="P202" s="26">
        <v>5371</v>
      </c>
      <c r="Q202" s="26">
        <v>17010</v>
      </c>
      <c r="R202" s="84">
        <f>SUM(P202:Q202)</f>
        <v>22381</v>
      </c>
      <c r="S202" s="84">
        <v>26235</v>
      </c>
      <c r="T202" s="84">
        <v>26509</v>
      </c>
      <c r="U202" s="84">
        <v>24339</v>
      </c>
      <c r="V202" s="16"/>
      <c r="W202" s="28">
        <f t="shared" si="88"/>
        <v>517525</v>
      </c>
      <c r="X202" s="28">
        <f t="shared" si="88"/>
        <v>10274850</v>
      </c>
      <c r="Y202" s="28">
        <f t="shared" si="88"/>
        <v>4118100</v>
      </c>
      <c r="Z202" s="28">
        <f>W202+X202+Y202</f>
        <v>14910475</v>
      </c>
      <c r="AA202" s="28">
        <f t="shared" si="89"/>
        <v>3759700</v>
      </c>
      <c r="AB202" s="28">
        <f t="shared" si="89"/>
        <v>11907000</v>
      </c>
      <c r="AC202" s="28">
        <f>SUM(AA202:AB202)</f>
        <v>15666700</v>
      </c>
      <c r="AD202" s="77">
        <f t="shared" si="90"/>
        <v>18364500</v>
      </c>
      <c r="AE202" s="77">
        <f t="shared" si="90"/>
        <v>18556300</v>
      </c>
      <c r="AF202" s="99">
        <f t="shared" si="90"/>
        <v>17037300</v>
      </c>
    </row>
    <row r="203" spans="1:32" x14ac:dyDescent="0.3">
      <c r="A203" s="21">
        <v>2254</v>
      </c>
      <c r="B203" s="22" t="s">
        <v>86</v>
      </c>
      <c r="C203" s="36">
        <v>990</v>
      </c>
      <c r="D203" s="36">
        <v>1005</v>
      </c>
      <c r="E203" s="37">
        <v>1100</v>
      </c>
      <c r="F203" s="37">
        <v>1100</v>
      </c>
      <c r="G203" s="37">
        <v>1100</v>
      </c>
      <c r="H203" s="37">
        <v>1100</v>
      </c>
      <c r="I203" s="37">
        <v>1100</v>
      </c>
      <c r="J203" s="37">
        <v>1100</v>
      </c>
      <c r="K203" s="16"/>
      <c r="L203" s="84">
        <v>64</v>
      </c>
      <c r="M203" s="84">
        <v>1249</v>
      </c>
      <c r="N203" s="84">
        <v>461</v>
      </c>
      <c r="O203" s="84">
        <f>SUM(L203:N203)</f>
        <v>1774</v>
      </c>
      <c r="P203" s="26">
        <v>421</v>
      </c>
      <c r="Q203" s="26">
        <v>1333</v>
      </c>
      <c r="R203" s="84">
        <f>SUM(P203:Q203)</f>
        <v>1754</v>
      </c>
      <c r="S203" s="84">
        <v>2056</v>
      </c>
      <c r="T203" s="84">
        <v>2078</v>
      </c>
      <c r="U203" s="84">
        <v>1908</v>
      </c>
      <c r="V203" s="16"/>
      <c r="W203" s="28">
        <f t="shared" si="88"/>
        <v>63360</v>
      </c>
      <c r="X203" s="28">
        <f t="shared" si="88"/>
        <v>1255245</v>
      </c>
      <c r="Y203" s="28">
        <f t="shared" si="88"/>
        <v>507100</v>
      </c>
      <c r="Z203" s="28">
        <f>W203+X203+Y203</f>
        <v>1825705</v>
      </c>
      <c r="AA203" s="28">
        <f t="shared" si="89"/>
        <v>463100</v>
      </c>
      <c r="AB203" s="28">
        <f t="shared" si="89"/>
        <v>1466300</v>
      </c>
      <c r="AC203" s="28">
        <f>SUM(AA203:AB203)</f>
        <v>1929400</v>
      </c>
      <c r="AD203" s="77">
        <f t="shared" si="90"/>
        <v>2261600</v>
      </c>
      <c r="AE203" s="77">
        <f t="shared" si="90"/>
        <v>2285800</v>
      </c>
      <c r="AF203" s="99">
        <f t="shared" si="90"/>
        <v>2098800</v>
      </c>
    </row>
    <row r="204" spans="1:32" x14ac:dyDescent="0.3">
      <c r="A204" s="21">
        <v>2255</v>
      </c>
      <c r="B204" s="22" t="s">
        <v>87</v>
      </c>
      <c r="C204" s="36">
        <v>1345</v>
      </c>
      <c r="D204" s="36">
        <v>1365</v>
      </c>
      <c r="E204" s="37">
        <v>1500</v>
      </c>
      <c r="F204" s="37">
        <v>1500</v>
      </c>
      <c r="G204" s="37">
        <v>1500</v>
      </c>
      <c r="H204" s="37">
        <v>1500</v>
      </c>
      <c r="I204" s="37">
        <v>1500</v>
      </c>
      <c r="J204" s="37">
        <v>1500</v>
      </c>
      <c r="K204" s="16"/>
      <c r="L204" s="84">
        <v>93</v>
      </c>
      <c r="M204" s="84">
        <v>1824</v>
      </c>
      <c r="N204" s="84">
        <v>674</v>
      </c>
      <c r="O204" s="84">
        <f>SUM(L204:N204)</f>
        <v>2591</v>
      </c>
      <c r="P204" s="26">
        <v>615</v>
      </c>
      <c r="Q204" s="26">
        <v>1948</v>
      </c>
      <c r="R204" s="84">
        <f>SUM(P204:Q204)</f>
        <v>2563</v>
      </c>
      <c r="S204" s="84">
        <v>3005</v>
      </c>
      <c r="T204" s="84">
        <v>3036</v>
      </c>
      <c r="U204" s="84">
        <v>2787</v>
      </c>
      <c r="V204" s="16"/>
      <c r="W204" s="28">
        <f t="shared" si="88"/>
        <v>125085</v>
      </c>
      <c r="X204" s="28">
        <f t="shared" si="88"/>
        <v>2489760</v>
      </c>
      <c r="Y204" s="28">
        <f t="shared" si="88"/>
        <v>1011000</v>
      </c>
      <c r="Z204" s="28">
        <f>W204+X204+Y204</f>
        <v>3625845</v>
      </c>
      <c r="AA204" s="28">
        <f t="shared" si="89"/>
        <v>922500</v>
      </c>
      <c r="AB204" s="28">
        <f t="shared" si="89"/>
        <v>2922000</v>
      </c>
      <c r="AC204" s="28">
        <f>SUM(AA204:AB204)</f>
        <v>3844500</v>
      </c>
      <c r="AD204" s="77">
        <f t="shared" si="90"/>
        <v>4507500</v>
      </c>
      <c r="AE204" s="77">
        <f t="shared" si="90"/>
        <v>4554000</v>
      </c>
      <c r="AF204" s="99">
        <f t="shared" si="90"/>
        <v>4180500</v>
      </c>
    </row>
    <row r="205" spans="1:32" x14ac:dyDescent="0.3">
      <c r="A205" s="55" t="s">
        <v>88</v>
      </c>
      <c r="B205" s="33"/>
      <c r="C205" s="36"/>
      <c r="D205" s="36"/>
      <c r="E205" s="37"/>
      <c r="F205" s="37"/>
      <c r="G205" s="37"/>
      <c r="H205" s="37"/>
      <c r="I205" s="37"/>
      <c r="J205" s="37"/>
      <c r="K205" s="16"/>
      <c r="L205" s="84"/>
      <c r="M205" s="84"/>
      <c r="N205" s="84"/>
      <c r="O205" s="84"/>
      <c r="P205" s="26"/>
      <c r="Q205" s="26"/>
      <c r="R205" s="84"/>
      <c r="S205" s="84"/>
      <c r="T205" s="84"/>
      <c r="U205" s="84"/>
      <c r="V205" s="16"/>
      <c r="W205" s="35">
        <f>SUM(W200:W204)</f>
        <v>941365</v>
      </c>
      <c r="X205" s="35">
        <f t="shared" ref="X205:AF205" si="91">SUM(X200:X204)</f>
        <v>18677025</v>
      </c>
      <c r="Y205" s="35">
        <f t="shared" si="91"/>
        <v>7603600</v>
      </c>
      <c r="Z205" s="35">
        <f t="shared" si="91"/>
        <v>27221990</v>
      </c>
      <c r="AA205" s="35">
        <f t="shared" si="91"/>
        <v>6941600</v>
      </c>
      <c r="AB205" s="35">
        <f t="shared" si="91"/>
        <v>21983600</v>
      </c>
      <c r="AC205" s="35">
        <f t="shared" si="91"/>
        <v>28925200</v>
      </c>
      <c r="AD205" s="35">
        <f t="shared" si="91"/>
        <v>33907200</v>
      </c>
      <c r="AE205" s="35">
        <f t="shared" si="91"/>
        <v>34261000</v>
      </c>
      <c r="AF205" s="99">
        <f t="shared" si="91"/>
        <v>31455900</v>
      </c>
    </row>
    <row r="206" spans="1:32" x14ac:dyDescent="0.3">
      <c r="A206" s="55"/>
      <c r="B206" s="33"/>
      <c r="C206" s="36"/>
      <c r="D206" s="36"/>
      <c r="E206" s="37"/>
      <c r="F206" s="37"/>
      <c r="G206" s="37"/>
      <c r="H206" s="37"/>
      <c r="I206" s="37"/>
      <c r="J206" s="37"/>
      <c r="K206" s="16"/>
      <c r="L206" s="84"/>
      <c r="M206" s="84"/>
      <c r="N206" s="84"/>
      <c r="O206" s="84"/>
      <c r="P206" s="26"/>
      <c r="Q206" s="26"/>
      <c r="R206" s="84"/>
      <c r="S206" s="84"/>
      <c r="T206" s="84"/>
      <c r="U206" s="84"/>
      <c r="V206" s="16"/>
      <c r="W206" s="28"/>
      <c r="X206" s="28"/>
      <c r="Y206" s="28"/>
      <c r="Z206" s="28"/>
      <c r="AA206" s="28"/>
      <c r="AB206" s="28"/>
      <c r="AC206" s="28"/>
      <c r="AD206" s="77"/>
      <c r="AE206" s="28"/>
      <c r="AF206" s="99"/>
    </row>
    <row r="207" spans="1:32" x14ac:dyDescent="0.3">
      <c r="A207" s="55" t="s">
        <v>89</v>
      </c>
      <c r="B207" s="33"/>
      <c r="C207" s="36"/>
      <c r="D207" s="36"/>
      <c r="E207" s="37"/>
      <c r="F207" s="37"/>
      <c r="G207" s="37"/>
      <c r="H207" s="37"/>
      <c r="I207" s="37"/>
      <c r="J207" s="37"/>
      <c r="K207" s="16"/>
      <c r="L207" s="84"/>
      <c r="M207" s="84"/>
      <c r="N207" s="84"/>
      <c r="O207" s="84"/>
      <c r="P207" s="26"/>
      <c r="Q207" s="26"/>
      <c r="R207" s="84"/>
      <c r="S207" s="84"/>
      <c r="T207" s="84"/>
      <c r="U207" s="84"/>
      <c r="V207" s="16"/>
      <c r="W207" s="28"/>
      <c r="X207" s="28"/>
      <c r="Y207" s="28"/>
      <c r="Z207" s="28"/>
      <c r="AA207" s="28"/>
      <c r="AB207" s="28"/>
      <c r="AC207" s="28"/>
      <c r="AD207" s="77"/>
      <c r="AE207" s="28"/>
      <c r="AF207" s="99"/>
    </row>
    <row r="208" spans="1:32" x14ac:dyDescent="0.3">
      <c r="A208" s="21">
        <v>3251</v>
      </c>
      <c r="B208" s="22" t="s">
        <v>83</v>
      </c>
      <c r="C208" s="36"/>
      <c r="D208" s="36"/>
      <c r="E208" s="37">
        <v>50</v>
      </c>
      <c r="F208" s="37">
        <v>50</v>
      </c>
      <c r="G208" s="37">
        <v>50</v>
      </c>
      <c r="H208" s="37">
        <v>50</v>
      </c>
      <c r="I208" s="37">
        <v>50</v>
      </c>
      <c r="J208" s="37">
        <v>50</v>
      </c>
      <c r="K208" s="16"/>
      <c r="L208" s="84"/>
      <c r="M208" s="84"/>
      <c r="N208" s="84">
        <v>12887</v>
      </c>
      <c r="O208" s="84">
        <f>SUM(L208:N208)</f>
        <v>12887</v>
      </c>
      <c r="P208" s="26">
        <v>3059</v>
      </c>
      <c r="Q208" s="26">
        <v>9687</v>
      </c>
      <c r="R208" s="84">
        <f>SUM(P208:Q208)</f>
        <v>12746</v>
      </c>
      <c r="S208" s="84">
        <v>14941</v>
      </c>
      <c r="T208" s="84">
        <v>15097</v>
      </c>
      <c r="U208" s="84">
        <v>13861</v>
      </c>
      <c r="V208" s="16"/>
      <c r="W208" s="28">
        <f t="shared" ref="W208:Y212" si="92">L208*C208</f>
        <v>0</v>
      </c>
      <c r="X208" s="28">
        <f t="shared" si="92"/>
        <v>0</v>
      </c>
      <c r="Y208" s="28">
        <f t="shared" si="92"/>
        <v>644350</v>
      </c>
      <c r="Z208" s="28">
        <f>W208+X208+Y208</f>
        <v>644350</v>
      </c>
      <c r="AA208" s="28">
        <f t="shared" ref="AA208:AB212" si="93">F208*P208</f>
        <v>152950</v>
      </c>
      <c r="AB208" s="28">
        <f t="shared" si="93"/>
        <v>484350</v>
      </c>
      <c r="AC208" s="28">
        <f>SUM(AA208:AB208)</f>
        <v>637300</v>
      </c>
      <c r="AD208" s="77">
        <f t="shared" ref="AD208:AF212" si="94">H208*S208</f>
        <v>747050</v>
      </c>
      <c r="AE208" s="77">
        <f t="shared" si="94"/>
        <v>754850</v>
      </c>
      <c r="AF208" s="99">
        <f t="shared" si="94"/>
        <v>693050</v>
      </c>
    </row>
    <row r="209" spans="1:32" x14ac:dyDescent="0.3">
      <c r="A209" s="21">
        <v>3252</v>
      </c>
      <c r="B209" s="22" t="s">
        <v>84</v>
      </c>
      <c r="C209" s="36"/>
      <c r="D209" s="36"/>
      <c r="E209" s="37">
        <v>150</v>
      </c>
      <c r="F209" s="37">
        <v>150</v>
      </c>
      <c r="G209" s="37">
        <v>150</v>
      </c>
      <c r="H209" s="37">
        <v>150</v>
      </c>
      <c r="I209" s="37">
        <v>150</v>
      </c>
      <c r="J209" s="37">
        <v>150</v>
      </c>
      <c r="K209" s="16"/>
      <c r="L209" s="84"/>
      <c r="M209" s="84"/>
      <c r="N209" s="84">
        <v>7037</v>
      </c>
      <c r="O209" s="84">
        <f>SUM(L209:N209)</f>
        <v>7037</v>
      </c>
      <c r="P209" s="26">
        <v>1670</v>
      </c>
      <c r="Q209" s="26">
        <v>5290</v>
      </c>
      <c r="R209" s="84">
        <f>SUM(P209:Q209)</f>
        <v>6960</v>
      </c>
      <c r="S209" s="84">
        <v>8159</v>
      </c>
      <c r="T209" s="84">
        <v>8244</v>
      </c>
      <c r="U209" s="84">
        <v>7569</v>
      </c>
      <c r="V209" s="16"/>
      <c r="W209" s="28">
        <f t="shared" si="92"/>
        <v>0</v>
      </c>
      <c r="X209" s="28">
        <f t="shared" si="92"/>
        <v>0</v>
      </c>
      <c r="Y209" s="28">
        <f t="shared" si="92"/>
        <v>1055550</v>
      </c>
      <c r="Z209" s="28">
        <f>W209+X209+Y209</f>
        <v>1055550</v>
      </c>
      <c r="AA209" s="28">
        <f t="shared" si="93"/>
        <v>250500</v>
      </c>
      <c r="AB209" s="28">
        <f t="shared" si="93"/>
        <v>793500</v>
      </c>
      <c r="AC209" s="28">
        <f>SUM(AA209:AB209)</f>
        <v>1044000</v>
      </c>
      <c r="AD209" s="77">
        <f t="shared" si="94"/>
        <v>1223850</v>
      </c>
      <c r="AE209" s="77">
        <f t="shared" si="94"/>
        <v>1236600</v>
      </c>
      <c r="AF209" s="99">
        <f t="shared" si="94"/>
        <v>1135350</v>
      </c>
    </row>
    <row r="210" spans="1:32" x14ac:dyDescent="0.3">
      <c r="A210" s="21">
        <v>3253</v>
      </c>
      <c r="B210" s="22" t="s">
        <v>85</v>
      </c>
      <c r="C210" s="36"/>
      <c r="D210" s="36"/>
      <c r="E210" s="37">
        <v>350</v>
      </c>
      <c r="F210" s="37">
        <v>350</v>
      </c>
      <c r="G210" s="37">
        <v>350</v>
      </c>
      <c r="H210" s="37">
        <v>350</v>
      </c>
      <c r="I210" s="37">
        <v>350</v>
      </c>
      <c r="J210" s="37">
        <v>350</v>
      </c>
      <c r="K210" s="16"/>
      <c r="L210" s="84"/>
      <c r="M210" s="84"/>
      <c r="N210" s="84">
        <v>10166</v>
      </c>
      <c r="O210" s="84">
        <f>SUM(L210:N210)</f>
        <v>10166</v>
      </c>
      <c r="P210" s="26">
        <v>2413</v>
      </c>
      <c r="Q210" s="26">
        <v>7642</v>
      </c>
      <c r="R210" s="84">
        <f>SUM(P210:Q210)</f>
        <v>10055</v>
      </c>
      <c r="S210" s="84">
        <v>11787</v>
      </c>
      <c r="T210" s="84">
        <v>11910</v>
      </c>
      <c r="U210" s="84">
        <v>10935</v>
      </c>
      <c r="V210" s="16"/>
      <c r="W210" s="28">
        <f t="shared" si="92"/>
        <v>0</v>
      </c>
      <c r="X210" s="28">
        <f t="shared" si="92"/>
        <v>0</v>
      </c>
      <c r="Y210" s="28">
        <f t="shared" si="92"/>
        <v>3558100</v>
      </c>
      <c r="Z210" s="28">
        <f>W210+X210+Y210</f>
        <v>3558100</v>
      </c>
      <c r="AA210" s="28">
        <f t="shared" si="93"/>
        <v>844550</v>
      </c>
      <c r="AB210" s="28">
        <f t="shared" si="93"/>
        <v>2674700</v>
      </c>
      <c r="AC210" s="28">
        <f>SUM(AA210:AB210)</f>
        <v>3519250</v>
      </c>
      <c r="AD210" s="77">
        <f t="shared" si="94"/>
        <v>4125450</v>
      </c>
      <c r="AE210" s="77">
        <f t="shared" si="94"/>
        <v>4168500</v>
      </c>
      <c r="AF210" s="99">
        <f t="shared" si="94"/>
        <v>3827250</v>
      </c>
    </row>
    <row r="211" spans="1:32" x14ac:dyDescent="0.3">
      <c r="A211" s="21">
        <v>3254</v>
      </c>
      <c r="B211" s="22" t="s">
        <v>86</v>
      </c>
      <c r="C211" s="36"/>
      <c r="D211" s="36"/>
      <c r="E211" s="37">
        <v>550</v>
      </c>
      <c r="F211" s="37">
        <v>550</v>
      </c>
      <c r="G211" s="37">
        <v>550</v>
      </c>
      <c r="H211" s="37">
        <v>550</v>
      </c>
      <c r="I211" s="37">
        <v>550</v>
      </c>
      <c r="J211" s="37">
        <v>550</v>
      </c>
      <c r="K211" s="16"/>
      <c r="L211" s="84"/>
      <c r="M211" s="84"/>
      <c r="N211" s="84">
        <v>797</v>
      </c>
      <c r="O211" s="84">
        <f>SUM(L211:N211)</f>
        <v>797</v>
      </c>
      <c r="P211" s="26">
        <v>189</v>
      </c>
      <c r="Q211" s="26">
        <v>599</v>
      </c>
      <c r="R211" s="84">
        <f>SUM(P211:Q211)</f>
        <v>788</v>
      </c>
      <c r="S211" s="84">
        <v>924</v>
      </c>
      <c r="T211" s="84">
        <v>933</v>
      </c>
      <c r="U211" s="84">
        <v>857</v>
      </c>
      <c r="V211" s="16"/>
      <c r="W211" s="28">
        <f t="shared" si="92"/>
        <v>0</v>
      </c>
      <c r="X211" s="28">
        <f t="shared" si="92"/>
        <v>0</v>
      </c>
      <c r="Y211" s="28">
        <f t="shared" si="92"/>
        <v>438350</v>
      </c>
      <c r="Z211" s="28">
        <f>W211+X211+Y211</f>
        <v>438350</v>
      </c>
      <c r="AA211" s="28">
        <f t="shared" si="93"/>
        <v>103950</v>
      </c>
      <c r="AB211" s="28">
        <f t="shared" si="93"/>
        <v>329450</v>
      </c>
      <c r="AC211" s="28">
        <f>SUM(AA211:AB211)</f>
        <v>433400</v>
      </c>
      <c r="AD211" s="77">
        <f t="shared" si="94"/>
        <v>508200</v>
      </c>
      <c r="AE211" s="77">
        <f t="shared" si="94"/>
        <v>513150</v>
      </c>
      <c r="AF211" s="99">
        <f t="shared" si="94"/>
        <v>471350</v>
      </c>
    </row>
    <row r="212" spans="1:32" x14ac:dyDescent="0.3">
      <c r="A212" s="21">
        <v>3255</v>
      </c>
      <c r="B212" s="22" t="s">
        <v>87</v>
      </c>
      <c r="C212" s="36"/>
      <c r="D212" s="36"/>
      <c r="E212" s="37">
        <v>750</v>
      </c>
      <c r="F212" s="37">
        <v>750</v>
      </c>
      <c r="G212" s="37">
        <v>750</v>
      </c>
      <c r="H212" s="37">
        <v>750</v>
      </c>
      <c r="I212" s="37">
        <v>750</v>
      </c>
      <c r="J212" s="37">
        <v>750</v>
      </c>
      <c r="K212" s="16"/>
      <c r="L212" s="84"/>
      <c r="M212" s="84"/>
      <c r="N212" s="84">
        <v>1164</v>
      </c>
      <c r="O212" s="84">
        <f>SUM(L212:N212)</f>
        <v>1164</v>
      </c>
      <c r="P212" s="26">
        <v>276</v>
      </c>
      <c r="Q212" s="26">
        <v>876</v>
      </c>
      <c r="R212" s="84">
        <f>SUM(P212:Q212)</f>
        <v>1152</v>
      </c>
      <c r="S212" s="84">
        <v>1350</v>
      </c>
      <c r="T212" s="84">
        <v>1364</v>
      </c>
      <c r="U212" s="84">
        <v>1252</v>
      </c>
      <c r="V212" s="16"/>
      <c r="W212" s="28">
        <f t="shared" si="92"/>
        <v>0</v>
      </c>
      <c r="X212" s="28">
        <f t="shared" si="92"/>
        <v>0</v>
      </c>
      <c r="Y212" s="28">
        <f t="shared" si="92"/>
        <v>873000</v>
      </c>
      <c r="Z212" s="28">
        <f>W212+X212+Y212</f>
        <v>873000</v>
      </c>
      <c r="AA212" s="28">
        <f t="shared" si="93"/>
        <v>207000</v>
      </c>
      <c r="AB212" s="28">
        <f t="shared" si="93"/>
        <v>657000</v>
      </c>
      <c r="AC212" s="28">
        <f>SUM(AA212:AB212)</f>
        <v>864000</v>
      </c>
      <c r="AD212" s="77">
        <f t="shared" si="94"/>
        <v>1012500</v>
      </c>
      <c r="AE212" s="77">
        <f t="shared" si="94"/>
        <v>1023000</v>
      </c>
      <c r="AF212" s="99">
        <f t="shared" si="94"/>
        <v>939000</v>
      </c>
    </row>
    <row r="213" spans="1:32" x14ac:dyDescent="0.3">
      <c r="A213" s="55" t="s">
        <v>89</v>
      </c>
      <c r="B213" s="33"/>
      <c r="C213" s="36"/>
      <c r="D213" s="36"/>
      <c r="E213" s="36"/>
      <c r="F213" s="36"/>
      <c r="G213" s="36"/>
      <c r="H213" s="36"/>
      <c r="I213" s="36"/>
      <c r="J213" s="36"/>
      <c r="K213" s="16"/>
      <c r="L213" s="25"/>
      <c r="M213" s="25"/>
      <c r="N213" s="25"/>
      <c r="O213" s="25"/>
      <c r="P213" s="26"/>
      <c r="Q213" s="26"/>
      <c r="R213" s="41"/>
      <c r="S213" s="27"/>
      <c r="T213" s="27"/>
      <c r="U213" s="27"/>
      <c r="V213" s="16"/>
      <c r="W213" s="28">
        <f>SUM(W208:W212)</f>
        <v>0</v>
      </c>
      <c r="X213" s="28">
        <f t="shared" ref="X213:AF213" si="95">SUM(X208:X212)</f>
        <v>0</v>
      </c>
      <c r="Y213" s="28">
        <f t="shared" si="95"/>
        <v>6569350</v>
      </c>
      <c r="Z213" s="28">
        <f t="shared" si="95"/>
        <v>6569350</v>
      </c>
      <c r="AA213" s="28">
        <f t="shared" si="95"/>
        <v>1558950</v>
      </c>
      <c r="AB213" s="28">
        <f t="shared" si="95"/>
        <v>4939000</v>
      </c>
      <c r="AC213" s="28">
        <f t="shared" si="95"/>
        <v>6497950</v>
      </c>
      <c r="AD213" s="28">
        <f t="shared" si="95"/>
        <v>7617050</v>
      </c>
      <c r="AE213" s="28">
        <f t="shared" si="95"/>
        <v>7696100</v>
      </c>
      <c r="AF213" s="99">
        <f t="shared" si="95"/>
        <v>7066000</v>
      </c>
    </row>
    <row r="214" spans="1:32" ht="15" thickBot="1" x14ac:dyDescent="0.35">
      <c r="A214" s="191" t="s">
        <v>90</v>
      </c>
      <c r="B214" s="168"/>
      <c r="C214" s="192"/>
      <c r="D214" s="192"/>
      <c r="E214" s="192"/>
      <c r="F214" s="192"/>
      <c r="G214" s="192"/>
      <c r="H214" s="192"/>
      <c r="I214" s="192"/>
      <c r="J214" s="192"/>
      <c r="K214" s="109"/>
      <c r="L214" s="39"/>
      <c r="M214" s="39"/>
      <c r="N214" s="39"/>
      <c r="O214" s="39"/>
      <c r="P214" s="40"/>
      <c r="Q214" s="40"/>
      <c r="R214" s="193"/>
      <c r="S214" s="171"/>
      <c r="T214" s="171"/>
      <c r="U214" s="171"/>
      <c r="V214" s="109"/>
      <c r="W214" s="66">
        <f>SUM(W213,W205,W197)</f>
        <v>5209565</v>
      </c>
      <c r="X214" s="66">
        <f t="shared" ref="X214:AF214" si="96">SUM(X213,X205,X197)</f>
        <v>103323915</v>
      </c>
      <c r="Y214" s="66">
        <f t="shared" si="96"/>
        <v>49035350</v>
      </c>
      <c r="Z214" s="66">
        <f t="shared" si="96"/>
        <v>157568830</v>
      </c>
      <c r="AA214" s="66">
        <f t="shared" si="96"/>
        <v>40330350</v>
      </c>
      <c r="AB214" s="66">
        <f t="shared" si="96"/>
        <v>127716600</v>
      </c>
      <c r="AC214" s="66">
        <f t="shared" si="96"/>
        <v>168046950</v>
      </c>
      <c r="AD214" s="66">
        <f t="shared" si="96"/>
        <v>196986850</v>
      </c>
      <c r="AE214" s="66">
        <f t="shared" si="96"/>
        <v>199040500</v>
      </c>
      <c r="AF214" s="172">
        <f t="shared" si="96"/>
        <v>182747500</v>
      </c>
    </row>
    <row r="215" spans="1:32" x14ac:dyDescent="0.3">
      <c r="A215" s="194"/>
      <c r="B215" s="174"/>
      <c r="C215" s="188"/>
      <c r="D215" s="188"/>
      <c r="E215" s="188"/>
      <c r="F215" s="188"/>
      <c r="G215" s="188"/>
      <c r="H215" s="188"/>
      <c r="I215" s="188"/>
      <c r="J215" s="188"/>
      <c r="K215" s="163"/>
      <c r="L215" s="176"/>
      <c r="M215" s="176"/>
      <c r="N215" s="176"/>
      <c r="O215" s="176"/>
      <c r="P215" s="177"/>
      <c r="Q215" s="177"/>
      <c r="R215" s="178"/>
      <c r="S215" s="179"/>
      <c r="T215" s="179"/>
      <c r="U215" s="179"/>
      <c r="V215" s="163"/>
      <c r="W215" s="180"/>
      <c r="X215" s="180"/>
      <c r="Y215" s="180"/>
      <c r="Z215" s="180"/>
      <c r="AA215" s="180"/>
      <c r="AB215" s="180"/>
      <c r="AC215" s="180"/>
      <c r="AD215" s="181"/>
      <c r="AE215" s="180"/>
      <c r="AF215" s="182"/>
    </row>
    <row r="216" spans="1:32" x14ac:dyDescent="0.3">
      <c r="A216" s="55" t="s">
        <v>213</v>
      </c>
      <c r="B216" s="33"/>
      <c r="C216" s="36"/>
      <c r="D216" s="36"/>
      <c r="E216" s="36"/>
      <c r="F216" s="36"/>
      <c r="G216" s="36"/>
      <c r="H216" s="36"/>
      <c r="I216" s="36"/>
      <c r="J216" s="36"/>
      <c r="K216" s="16"/>
      <c r="L216" s="25"/>
      <c r="M216" s="25"/>
      <c r="N216" s="25"/>
      <c r="O216" s="25"/>
      <c r="P216" s="26"/>
      <c r="Q216" s="26"/>
      <c r="R216" s="41"/>
      <c r="S216" s="27"/>
      <c r="T216" s="27"/>
      <c r="U216" s="27"/>
      <c r="V216" s="16"/>
      <c r="W216" s="28"/>
      <c r="X216" s="28"/>
      <c r="Y216" s="28"/>
      <c r="Z216" s="28"/>
      <c r="AA216" s="28"/>
      <c r="AB216" s="28"/>
      <c r="AC216" s="28"/>
      <c r="AD216" s="77"/>
      <c r="AE216" s="28"/>
      <c r="AF216" s="99"/>
    </row>
    <row r="217" spans="1:32" x14ac:dyDescent="0.3">
      <c r="A217" s="21">
        <v>1401</v>
      </c>
      <c r="B217" s="22" t="s">
        <v>91</v>
      </c>
      <c r="C217" s="23">
        <v>620</v>
      </c>
      <c r="D217" s="23">
        <v>630</v>
      </c>
      <c r="E217" s="24">
        <v>800</v>
      </c>
      <c r="F217" s="24">
        <v>800</v>
      </c>
      <c r="G217" s="24">
        <v>800</v>
      </c>
      <c r="H217" s="24">
        <v>800</v>
      </c>
      <c r="I217" s="24">
        <v>800</v>
      </c>
      <c r="J217" s="24">
        <v>800</v>
      </c>
      <c r="K217" s="16"/>
      <c r="L217" s="141">
        <v>1695</v>
      </c>
      <c r="M217" s="141">
        <v>24844</v>
      </c>
      <c r="N217" s="141">
        <v>3618</v>
      </c>
      <c r="O217" s="84">
        <f t="shared" ref="O217:O239" si="97">SUM(L217:N217)</f>
        <v>30157</v>
      </c>
      <c r="P217" s="142">
        <v>7787</v>
      </c>
      <c r="Q217" s="142">
        <v>24658</v>
      </c>
      <c r="R217" s="84">
        <f t="shared" ref="R217:R239" si="98">SUM(P217:Q217)</f>
        <v>32445</v>
      </c>
      <c r="S217" s="141">
        <v>34229</v>
      </c>
      <c r="T217" s="141">
        <v>35321</v>
      </c>
      <c r="U217" s="141">
        <v>33781</v>
      </c>
      <c r="V217" s="16"/>
      <c r="W217" s="28">
        <f t="shared" ref="W217:W239" si="99">L217*C217</f>
        <v>1050900</v>
      </c>
      <c r="X217" s="28">
        <f t="shared" ref="X217:X239" si="100">M217*D217</f>
        <v>15651720</v>
      </c>
      <c r="Y217" s="28">
        <f t="shared" ref="Y217:Y239" si="101">N217*E217</f>
        <v>2894400</v>
      </c>
      <c r="Z217" s="28">
        <f t="shared" ref="Z217:Z239" si="102">W217+X217+Y217</f>
        <v>19597020</v>
      </c>
      <c r="AA217" s="28">
        <f t="shared" ref="AA217:AA229" si="103">F217*P217</f>
        <v>6229600</v>
      </c>
      <c r="AB217" s="28">
        <f t="shared" ref="AB217:AB229" si="104">G217*Q217</f>
        <v>19726400</v>
      </c>
      <c r="AC217" s="28">
        <f t="shared" ref="AC217:AC222" si="105">SUM(AA217:AB217)</f>
        <v>25956000</v>
      </c>
      <c r="AD217" s="77">
        <f t="shared" ref="AD217:AD239" si="106">H217*S217</f>
        <v>27383200</v>
      </c>
      <c r="AE217" s="77">
        <f t="shared" ref="AE217:AE239" si="107">I217*T217</f>
        <v>28256800</v>
      </c>
      <c r="AF217" s="99">
        <f t="shared" ref="AF217:AF239" si="108">J217*U217</f>
        <v>27024800</v>
      </c>
    </row>
    <row r="218" spans="1:32" x14ac:dyDescent="0.3">
      <c r="A218" s="21">
        <v>1402</v>
      </c>
      <c r="B218" s="22" t="s">
        <v>92</v>
      </c>
      <c r="C218" s="23">
        <v>620</v>
      </c>
      <c r="D218" s="23">
        <v>630</v>
      </c>
      <c r="E218" s="24">
        <v>0</v>
      </c>
      <c r="F218" s="24">
        <v>0</v>
      </c>
      <c r="G218" s="24">
        <v>0</v>
      </c>
      <c r="H218" s="24">
        <v>0</v>
      </c>
      <c r="I218" s="24">
        <v>0</v>
      </c>
      <c r="J218" s="24">
        <v>0</v>
      </c>
      <c r="K218" s="16"/>
      <c r="L218" s="141">
        <v>950</v>
      </c>
      <c r="M218" s="141">
        <v>14699</v>
      </c>
      <c r="N218" s="141">
        <v>2141</v>
      </c>
      <c r="O218" s="84">
        <f t="shared" si="97"/>
        <v>17790</v>
      </c>
      <c r="P218" s="142">
        <v>4607</v>
      </c>
      <c r="Q218" s="142">
        <v>14589</v>
      </c>
      <c r="R218" s="84">
        <f t="shared" si="98"/>
        <v>19196</v>
      </c>
      <c r="S218" s="141">
        <v>20251</v>
      </c>
      <c r="T218" s="141">
        <v>20897</v>
      </c>
      <c r="U218" s="141">
        <v>19986</v>
      </c>
      <c r="V218" s="16"/>
      <c r="W218" s="28">
        <f t="shared" si="99"/>
        <v>589000</v>
      </c>
      <c r="X218" s="28">
        <f t="shared" si="100"/>
        <v>9260370</v>
      </c>
      <c r="Y218" s="28">
        <f t="shared" si="101"/>
        <v>0</v>
      </c>
      <c r="Z218" s="28">
        <f t="shared" si="102"/>
        <v>9849370</v>
      </c>
      <c r="AA218" s="28">
        <f t="shared" si="103"/>
        <v>0</v>
      </c>
      <c r="AB218" s="28">
        <f t="shared" si="104"/>
        <v>0</v>
      </c>
      <c r="AC218" s="28">
        <f>SUM(AA218:AB218)</f>
        <v>0</v>
      </c>
      <c r="AD218" s="77">
        <f t="shared" si="106"/>
        <v>0</v>
      </c>
      <c r="AE218" s="77">
        <f t="shared" si="107"/>
        <v>0</v>
      </c>
      <c r="AF218" s="99">
        <f t="shared" si="108"/>
        <v>0</v>
      </c>
    </row>
    <row r="219" spans="1:32" x14ac:dyDescent="0.3">
      <c r="A219" s="21" t="s">
        <v>203</v>
      </c>
      <c r="B219" s="100" t="s">
        <v>255</v>
      </c>
      <c r="C219" s="23"/>
      <c r="D219" s="23"/>
      <c r="E219" s="24">
        <v>2000</v>
      </c>
      <c r="F219" s="24">
        <v>2000</v>
      </c>
      <c r="G219" s="24">
        <v>2000</v>
      </c>
      <c r="H219" s="24">
        <v>2000</v>
      </c>
      <c r="I219" s="24">
        <v>2000</v>
      </c>
      <c r="J219" s="24">
        <v>2000</v>
      </c>
      <c r="K219" s="16"/>
      <c r="L219" s="141">
        <v>0</v>
      </c>
      <c r="M219" s="141">
        <v>8837</v>
      </c>
      <c r="N219" s="141">
        <v>1287</v>
      </c>
      <c r="O219" s="84">
        <f t="shared" si="97"/>
        <v>10124</v>
      </c>
      <c r="P219" s="142">
        <v>2785</v>
      </c>
      <c r="Q219" s="142">
        <v>8819</v>
      </c>
      <c r="R219" s="84">
        <f t="shared" si="98"/>
        <v>11604</v>
      </c>
      <c r="S219" s="141">
        <v>11960</v>
      </c>
      <c r="T219" s="141">
        <v>11110</v>
      </c>
      <c r="U219" s="141">
        <v>11282</v>
      </c>
      <c r="V219" s="16"/>
      <c r="W219" s="28">
        <f t="shared" si="99"/>
        <v>0</v>
      </c>
      <c r="X219" s="28">
        <f t="shared" si="100"/>
        <v>0</v>
      </c>
      <c r="Y219" s="28">
        <f t="shared" si="101"/>
        <v>2574000</v>
      </c>
      <c r="Z219" s="28">
        <f t="shared" si="102"/>
        <v>2574000</v>
      </c>
      <c r="AA219" s="28">
        <f t="shared" si="103"/>
        <v>5570000</v>
      </c>
      <c r="AB219" s="28">
        <f t="shared" si="104"/>
        <v>17638000</v>
      </c>
      <c r="AC219" s="28">
        <f t="shared" si="105"/>
        <v>23208000</v>
      </c>
      <c r="AD219" s="77">
        <f t="shared" si="106"/>
        <v>23920000</v>
      </c>
      <c r="AE219" s="77">
        <f t="shared" si="107"/>
        <v>22220000</v>
      </c>
      <c r="AF219" s="99">
        <f t="shared" si="108"/>
        <v>22564000</v>
      </c>
    </row>
    <row r="220" spans="1:32" x14ac:dyDescent="0.3">
      <c r="A220" s="21" t="s">
        <v>203</v>
      </c>
      <c r="B220" s="22" t="s">
        <v>256</v>
      </c>
      <c r="C220" s="23"/>
      <c r="D220" s="23"/>
      <c r="E220" s="24">
        <v>2000</v>
      </c>
      <c r="F220" s="24">
        <v>2000</v>
      </c>
      <c r="G220" s="24">
        <v>2000</v>
      </c>
      <c r="H220" s="24">
        <v>2000</v>
      </c>
      <c r="I220" s="24">
        <v>2000</v>
      </c>
      <c r="J220" s="24">
        <v>2000</v>
      </c>
      <c r="K220" s="16"/>
      <c r="L220" s="141">
        <v>0</v>
      </c>
      <c r="M220" s="141">
        <v>0</v>
      </c>
      <c r="N220" s="141">
        <v>464</v>
      </c>
      <c r="O220" s="84">
        <f t="shared" si="97"/>
        <v>464</v>
      </c>
      <c r="P220" s="142">
        <v>147</v>
      </c>
      <c r="Q220" s="142">
        <v>467</v>
      </c>
      <c r="R220" s="84">
        <f t="shared" si="98"/>
        <v>614</v>
      </c>
      <c r="S220" s="141">
        <v>810</v>
      </c>
      <c r="T220" s="141">
        <v>1108</v>
      </c>
      <c r="U220" s="141">
        <v>1059</v>
      </c>
      <c r="V220" s="16"/>
      <c r="W220" s="28">
        <f t="shared" si="99"/>
        <v>0</v>
      </c>
      <c r="X220" s="28">
        <f t="shared" si="100"/>
        <v>0</v>
      </c>
      <c r="Y220" s="28">
        <f t="shared" si="101"/>
        <v>928000</v>
      </c>
      <c r="Z220" s="28">
        <f t="shared" si="102"/>
        <v>928000</v>
      </c>
      <c r="AA220" s="28">
        <f t="shared" si="103"/>
        <v>294000</v>
      </c>
      <c r="AB220" s="28">
        <f t="shared" si="104"/>
        <v>934000</v>
      </c>
      <c r="AC220" s="28">
        <f>SUM(AA220:AB220)</f>
        <v>1228000</v>
      </c>
      <c r="AD220" s="77">
        <f t="shared" si="106"/>
        <v>1620000</v>
      </c>
      <c r="AE220" s="77">
        <f t="shared" si="107"/>
        <v>2216000</v>
      </c>
      <c r="AF220" s="99">
        <f t="shared" si="108"/>
        <v>2118000</v>
      </c>
    </row>
    <row r="221" spans="1:32" x14ac:dyDescent="0.3">
      <c r="A221" s="21">
        <v>1403</v>
      </c>
      <c r="B221" s="22" t="s">
        <v>93</v>
      </c>
      <c r="C221" s="23">
        <v>1240</v>
      </c>
      <c r="D221" s="23">
        <v>1260</v>
      </c>
      <c r="E221" s="24">
        <v>1300</v>
      </c>
      <c r="F221" s="24">
        <v>1300</v>
      </c>
      <c r="G221" s="24">
        <v>1300</v>
      </c>
      <c r="H221" s="24">
        <v>1300</v>
      </c>
      <c r="I221" s="24">
        <v>1300</v>
      </c>
      <c r="J221" s="24">
        <v>1300</v>
      </c>
      <c r="K221" s="16"/>
      <c r="L221" s="141">
        <v>60</v>
      </c>
      <c r="M221" s="141">
        <v>936</v>
      </c>
      <c r="N221" s="141">
        <v>136</v>
      </c>
      <c r="O221" s="84">
        <f t="shared" si="97"/>
        <v>1132</v>
      </c>
      <c r="P221" s="142">
        <v>293</v>
      </c>
      <c r="Q221" s="142">
        <v>929</v>
      </c>
      <c r="R221" s="84">
        <f t="shared" si="98"/>
        <v>1222</v>
      </c>
      <c r="S221" s="141">
        <v>1289</v>
      </c>
      <c r="T221" s="141">
        <v>1331</v>
      </c>
      <c r="U221" s="141">
        <v>1273</v>
      </c>
      <c r="V221" s="16"/>
      <c r="W221" s="28">
        <f t="shared" si="99"/>
        <v>74400</v>
      </c>
      <c r="X221" s="28">
        <f t="shared" si="100"/>
        <v>1179360</v>
      </c>
      <c r="Y221" s="28">
        <f t="shared" si="101"/>
        <v>176800</v>
      </c>
      <c r="Z221" s="28">
        <f t="shared" si="102"/>
        <v>1430560</v>
      </c>
      <c r="AA221" s="28">
        <f t="shared" si="103"/>
        <v>380900</v>
      </c>
      <c r="AB221" s="28">
        <f t="shared" si="104"/>
        <v>1207700</v>
      </c>
      <c r="AC221" s="28">
        <f t="shared" si="105"/>
        <v>1588600</v>
      </c>
      <c r="AD221" s="77">
        <f t="shared" si="106"/>
        <v>1675700</v>
      </c>
      <c r="AE221" s="77">
        <f t="shared" si="107"/>
        <v>1730300</v>
      </c>
      <c r="AF221" s="99">
        <f t="shared" si="108"/>
        <v>1654900</v>
      </c>
    </row>
    <row r="222" spans="1:32" x14ac:dyDescent="0.3">
      <c r="A222" s="21">
        <v>1405</v>
      </c>
      <c r="B222" s="22" t="s">
        <v>94</v>
      </c>
      <c r="C222" s="23">
        <v>400</v>
      </c>
      <c r="D222" s="23">
        <v>400</v>
      </c>
      <c r="E222" s="24">
        <v>400</v>
      </c>
      <c r="F222" s="24">
        <v>400</v>
      </c>
      <c r="G222" s="24">
        <v>400</v>
      </c>
      <c r="H222" s="24">
        <v>400</v>
      </c>
      <c r="I222" s="24">
        <v>400</v>
      </c>
      <c r="J222" s="24">
        <v>400</v>
      </c>
      <c r="K222" s="16"/>
      <c r="L222" s="141">
        <v>0</v>
      </c>
      <c r="M222" s="141">
        <v>124</v>
      </c>
      <c r="N222" s="141">
        <v>18</v>
      </c>
      <c r="O222" s="84">
        <f t="shared" si="97"/>
        <v>142</v>
      </c>
      <c r="P222" s="142">
        <v>40</v>
      </c>
      <c r="Q222" s="142">
        <v>125</v>
      </c>
      <c r="R222" s="84">
        <f t="shared" si="98"/>
        <v>165</v>
      </c>
      <c r="S222" s="141">
        <v>180</v>
      </c>
      <c r="T222" s="141">
        <v>180</v>
      </c>
      <c r="U222" s="141">
        <v>180</v>
      </c>
      <c r="V222" s="16"/>
      <c r="W222" s="28">
        <f t="shared" si="99"/>
        <v>0</v>
      </c>
      <c r="X222" s="28">
        <f t="shared" si="100"/>
        <v>49600</v>
      </c>
      <c r="Y222" s="28">
        <f t="shared" si="101"/>
        <v>7200</v>
      </c>
      <c r="Z222" s="28">
        <f t="shared" si="102"/>
        <v>56800</v>
      </c>
      <c r="AA222" s="28">
        <f t="shared" si="103"/>
        <v>16000</v>
      </c>
      <c r="AB222" s="28">
        <f t="shared" si="104"/>
        <v>50000</v>
      </c>
      <c r="AC222" s="28">
        <f t="shared" si="105"/>
        <v>66000</v>
      </c>
      <c r="AD222" s="77">
        <f t="shared" si="106"/>
        <v>72000</v>
      </c>
      <c r="AE222" s="77">
        <f t="shared" si="107"/>
        <v>72000</v>
      </c>
      <c r="AF222" s="99">
        <f t="shared" si="108"/>
        <v>72000</v>
      </c>
    </row>
    <row r="223" spans="1:32" x14ac:dyDescent="0.3">
      <c r="A223" s="147">
        <v>1406</v>
      </c>
      <c r="B223" s="100" t="s">
        <v>257</v>
      </c>
      <c r="C223" s="145">
        <v>27200</v>
      </c>
      <c r="D223" s="145">
        <v>27200</v>
      </c>
      <c r="E223" s="23">
        <v>0</v>
      </c>
      <c r="F223" s="23">
        <v>0</v>
      </c>
      <c r="G223" s="23">
        <v>0</v>
      </c>
      <c r="H223" s="23">
        <v>0</v>
      </c>
      <c r="I223" s="23">
        <v>0</v>
      </c>
      <c r="J223" s="23">
        <v>0</v>
      </c>
      <c r="K223" s="16"/>
      <c r="L223" s="84">
        <v>0</v>
      </c>
      <c r="M223" s="84">
        <v>175</v>
      </c>
      <c r="N223" s="84">
        <v>0</v>
      </c>
      <c r="O223" s="84">
        <f t="shared" si="97"/>
        <v>175</v>
      </c>
      <c r="P223" s="84">
        <v>0</v>
      </c>
      <c r="Q223" s="84">
        <v>0</v>
      </c>
      <c r="R223" s="84">
        <f t="shared" si="98"/>
        <v>0</v>
      </c>
      <c r="S223" s="84">
        <v>0</v>
      </c>
      <c r="T223" s="84">
        <v>0</v>
      </c>
      <c r="U223" s="84">
        <v>0</v>
      </c>
      <c r="V223" s="16"/>
      <c r="W223" s="28">
        <f t="shared" si="99"/>
        <v>0</v>
      </c>
      <c r="X223" s="28">
        <f t="shared" si="100"/>
        <v>4760000</v>
      </c>
      <c r="Y223" s="28">
        <f t="shared" si="101"/>
        <v>0</v>
      </c>
      <c r="Z223" s="28">
        <f t="shared" si="102"/>
        <v>4760000</v>
      </c>
      <c r="AA223" s="28">
        <f t="shared" si="103"/>
        <v>0</v>
      </c>
      <c r="AB223" s="28">
        <f t="shared" si="104"/>
        <v>0</v>
      </c>
      <c r="AC223" s="28">
        <f t="shared" ref="AC223:AC231" si="109">SUM(AA223:AB223)</f>
        <v>0</v>
      </c>
      <c r="AD223" s="77">
        <f t="shared" si="106"/>
        <v>0</v>
      </c>
      <c r="AE223" s="77">
        <f t="shared" si="107"/>
        <v>0</v>
      </c>
      <c r="AF223" s="99">
        <f t="shared" si="108"/>
        <v>0</v>
      </c>
    </row>
    <row r="224" spans="1:32" x14ac:dyDescent="0.3">
      <c r="A224" s="147">
        <v>1407</v>
      </c>
      <c r="B224" s="100" t="s">
        <v>269</v>
      </c>
      <c r="C224" s="145">
        <v>600</v>
      </c>
      <c r="D224" s="145">
        <v>600</v>
      </c>
      <c r="E224" s="23">
        <v>0</v>
      </c>
      <c r="F224" s="23">
        <v>0</v>
      </c>
      <c r="G224" s="23">
        <v>0</v>
      </c>
      <c r="H224" s="23">
        <v>0</v>
      </c>
      <c r="I224" s="23">
        <v>0</v>
      </c>
      <c r="J224" s="23">
        <v>0</v>
      </c>
      <c r="K224" s="16"/>
      <c r="L224" s="84">
        <v>0</v>
      </c>
      <c r="M224" s="84">
        <v>1225</v>
      </c>
      <c r="N224" s="84">
        <v>0</v>
      </c>
      <c r="O224" s="84">
        <f t="shared" si="97"/>
        <v>1225</v>
      </c>
      <c r="P224" s="84">
        <v>0</v>
      </c>
      <c r="Q224" s="84">
        <v>0</v>
      </c>
      <c r="R224" s="84">
        <f t="shared" si="98"/>
        <v>0</v>
      </c>
      <c r="S224" s="84">
        <v>0</v>
      </c>
      <c r="T224" s="84">
        <v>0</v>
      </c>
      <c r="U224" s="84">
        <v>0</v>
      </c>
      <c r="V224" s="16"/>
      <c r="W224" s="28">
        <f t="shared" si="99"/>
        <v>0</v>
      </c>
      <c r="X224" s="28">
        <f t="shared" si="100"/>
        <v>735000</v>
      </c>
      <c r="Y224" s="28">
        <f t="shared" si="101"/>
        <v>0</v>
      </c>
      <c r="Z224" s="28">
        <f t="shared" si="102"/>
        <v>735000</v>
      </c>
      <c r="AA224" s="28">
        <f t="shared" si="103"/>
        <v>0</v>
      </c>
      <c r="AB224" s="28">
        <f t="shared" si="104"/>
        <v>0</v>
      </c>
      <c r="AC224" s="28">
        <f t="shared" si="109"/>
        <v>0</v>
      </c>
      <c r="AD224" s="77">
        <f t="shared" si="106"/>
        <v>0</v>
      </c>
      <c r="AE224" s="77">
        <f t="shared" si="107"/>
        <v>0</v>
      </c>
      <c r="AF224" s="99">
        <f t="shared" si="108"/>
        <v>0</v>
      </c>
    </row>
    <row r="225" spans="1:32" x14ac:dyDescent="0.3">
      <c r="A225" s="143" t="s">
        <v>203</v>
      </c>
      <c r="B225" s="100" t="s">
        <v>208</v>
      </c>
      <c r="C225" s="73"/>
      <c r="D225" s="60"/>
      <c r="E225" s="60">
        <v>9000</v>
      </c>
      <c r="F225" s="60">
        <v>9000</v>
      </c>
      <c r="G225" s="60">
        <v>9000</v>
      </c>
      <c r="H225" s="60">
        <v>9000</v>
      </c>
      <c r="I225" s="60">
        <v>9000</v>
      </c>
      <c r="J225" s="144">
        <v>9000</v>
      </c>
      <c r="K225" s="16"/>
      <c r="L225" s="84"/>
      <c r="M225" s="84"/>
      <c r="N225" s="84">
        <v>245</v>
      </c>
      <c r="O225" s="84">
        <f t="shared" si="97"/>
        <v>245</v>
      </c>
      <c r="P225" s="26">
        <v>108</v>
      </c>
      <c r="Q225" s="26">
        <v>342</v>
      </c>
      <c r="R225" s="84">
        <f t="shared" si="98"/>
        <v>450</v>
      </c>
      <c r="S225" s="84">
        <v>500</v>
      </c>
      <c r="T225" s="84">
        <v>575</v>
      </c>
      <c r="U225" s="84">
        <v>600</v>
      </c>
      <c r="V225" s="16"/>
      <c r="W225" s="28">
        <f t="shared" si="99"/>
        <v>0</v>
      </c>
      <c r="X225" s="28">
        <f t="shared" si="100"/>
        <v>0</v>
      </c>
      <c r="Y225" s="28">
        <f t="shared" si="101"/>
        <v>2205000</v>
      </c>
      <c r="Z225" s="28">
        <f t="shared" si="102"/>
        <v>2205000</v>
      </c>
      <c r="AA225" s="28">
        <f t="shared" si="103"/>
        <v>972000</v>
      </c>
      <c r="AB225" s="28">
        <f t="shared" si="104"/>
        <v>3078000</v>
      </c>
      <c r="AC225" s="28">
        <f t="shared" si="109"/>
        <v>4050000</v>
      </c>
      <c r="AD225" s="77">
        <f t="shared" si="106"/>
        <v>4500000</v>
      </c>
      <c r="AE225" s="77">
        <f t="shared" si="107"/>
        <v>5175000</v>
      </c>
      <c r="AF225" s="99">
        <f t="shared" si="108"/>
        <v>5400000</v>
      </c>
    </row>
    <row r="226" spans="1:32" x14ac:dyDescent="0.3">
      <c r="A226" s="88" t="s">
        <v>203</v>
      </c>
      <c r="B226" s="100" t="s">
        <v>265</v>
      </c>
      <c r="C226" s="73"/>
      <c r="D226" s="60"/>
      <c r="E226" s="60">
        <v>200</v>
      </c>
      <c r="F226" s="60">
        <v>200</v>
      </c>
      <c r="G226" s="60">
        <v>200</v>
      </c>
      <c r="H226" s="60">
        <v>200</v>
      </c>
      <c r="I226" s="60">
        <v>200</v>
      </c>
      <c r="J226" s="60">
        <v>200</v>
      </c>
      <c r="K226" s="16"/>
      <c r="L226" s="84"/>
      <c r="M226" s="84"/>
      <c r="N226" s="84">
        <v>1715</v>
      </c>
      <c r="O226" s="84">
        <f t="shared" si="97"/>
        <v>1715</v>
      </c>
      <c r="P226" s="26">
        <v>756</v>
      </c>
      <c r="Q226" s="26">
        <v>2394</v>
      </c>
      <c r="R226" s="84">
        <f t="shared" si="98"/>
        <v>3150</v>
      </c>
      <c r="S226" s="84">
        <v>3500</v>
      </c>
      <c r="T226" s="84">
        <v>4025</v>
      </c>
      <c r="U226" s="84">
        <v>4200</v>
      </c>
      <c r="V226" s="16"/>
      <c r="W226" s="28">
        <f t="shared" si="99"/>
        <v>0</v>
      </c>
      <c r="X226" s="28">
        <f t="shared" si="100"/>
        <v>0</v>
      </c>
      <c r="Y226" s="28">
        <f t="shared" si="101"/>
        <v>343000</v>
      </c>
      <c r="Z226" s="28">
        <f t="shared" si="102"/>
        <v>343000</v>
      </c>
      <c r="AA226" s="28">
        <f t="shared" si="103"/>
        <v>151200</v>
      </c>
      <c r="AB226" s="28">
        <f t="shared" si="104"/>
        <v>478800</v>
      </c>
      <c r="AC226" s="28">
        <f t="shared" si="109"/>
        <v>630000</v>
      </c>
      <c r="AD226" s="77">
        <f t="shared" si="106"/>
        <v>700000</v>
      </c>
      <c r="AE226" s="77">
        <f t="shared" si="107"/>
        <v>805000</v>
      </c>
      <c r="AF226" s="99">
        <f t="shared" si="108"/>
        <v>840000</v>
      </c>
    </row>
    <row r="227" spans="1:32" x14ac:dyDescent="0.3">
      <c r="A227" s="88" t="s">
        <v>203</v>
      </c>
      <c r="B227" s="100" t="s">
        <v>209</v>
      </c>
      <c r="C227" s="73"/>
      <c r="D227" s="60"/>
      <c r="E227" s="60">
        <v>14000</v>
      </c>
      <c r="F227" s="60">
        <v>14000</v>
      </c>
      <c r="G227" s="60">
        <v>14000</v>
      </c>
      <c r="H227" s="60">
        <v>14000</v>
      </c>
      <c r="I227" s="60">
        <v>14000</v>
      </c>
      <c r="J227" s="60">
        <v>14000</v>
      </c>
      <c r="K227" s="16"/>
      <c r="L227" s="84"/>
      <c r="M227" s="84"/>
      <c r="N227" s="84">
        <v>245</v>
      </c>
      <c r="O227" s="84">
        <f t="shared" si="97"/>
        <v>245</v>
      </c>
      <c r="P227" s="26">
        <v>108</v>
      </c>
      <c r="Q227" s="26">
        <v>342</v>
      </c>
      <c r="R227" s="84">
        <f t="shared" si="98"/>
        <v>450</v>
      </c>
      <c r="S227" s="84">
        <v>500</v>
      </c>
      <c r="T227" s="84">
        <v>575</v>
      </c>
      <c r="U227" s="84">
        <v>600</v>
      </c>
      <c r="V227" s="16"/>
      <c r="W227" s="28">
        <f t="shared" si="99"/>
        <v>0</v>
      </c>
      <c r="X227" s="28">
        <f t="shared" si="100"/>
        <v>0</v>
      </c>
      <c r="Y227" s="28">
        <f t="shared" si="101"/>
        <v>3430000</v>
      </c>
      <c r="Z227" s="28">
        <f t="shared" si="102"/>
        <v>3430000</v>
      </c>
      <c r="AA227" s="28">
        <f t="shared" si="103"/>
        <v>1512000</v>
      </c>
      <c r="AB227" s="28">
        <f t="shared" si="104"/>
        <v>4788000</v>
      </c>
      <c r="AC227" s="28">
        <f t="shared" si="109"/>
        <v>6300000</v>
      </c>
      <c r="AD227" s="77">
        <f t="shared" si="106"/>
        <v>7000000</v>
      </c>
      <c r="AE227" s="77">
        <f t="shared" si="107"/>
        <v>8050000</v>
      </c>
      <c r="AF227" s="99">
        <f t="shared" si="108"/>
        <v>8400000</v>
      </c>
    </row>
    <row r="228" spans="1:32" x14ac:dyDescent="0.3">
      <c r="A228" s="88" t="s">
        <v>203</v>
      </c>
      <c r="B228" s="100" t="s">
        <v>266</v>
      </c>
      <c r="C228" s="73"/>
      <c r="D228" s="60"/>
      <c r="E228" s="60">
        <v>400</v>
      </c>
      <c r="F228" s="60">
        <v>400</v>
      </c>
      <c r="G228" s="60">
        <v>400</v>
      </c>
      <c r="H228" s="60">
        <v>400</v>
      </c>
      <c r="I228" s="60">
        <v>400</v>
      </c>
      <c r="J228" s="60">
        <v>400</v>
      </c>
      <c r="K228" s="16"/>
      <c r="L228" s="84"/>
      <c r="M228" s="84"/>
      <c r="N228" s="84">
        <v>1286</v>
      </c>
      <c r="O228" s="84">
        <f t="shared" si="97"/>
        <v>1286</v>
      </c>
      <c r="P228" s="26">
        <v>567</v>
      </c>
      <c r="Q228" s="26">
        <v>1796</v>
      </c>
      <c r="R228" s="84">
        <f t="shared" si="98"/>
        <v>2363</v>
      </c>
      <c r="S228" s="84">
        <v>2625</v>
      </c>
      <c r="T228" s="84">
        <v>3019</v>
      </c>
      <c r="U228" s="84">
        <v>3150</v>
      </c>
      <c r="V228" s="16"/>
      <c r="W228" s="28">
        <f t="shared" si="99"/>
        <v>0</v>
      </c>
      <c r="X228" s="28">
        <f t="shared" si="100"/>
        <v>0</v>
      </c>
      <c r="Y228" s="28">
        <f t="shared" si="101"/>
        <v>514400</v>
      </c>
      <c r="Z228" s="28">
        <f t="shared" si="102"/>
        <v>514400</v>
      </c>
      <c r="AA228" s="28">
        <f t="shared" si="103"/>
        <v>226800</v>
      </c>
      <c r="AB228" s="28">
        <f t="shared" si="104"/>
        <v>718400</v>
      </c>
      <c r="AC228" s="28">
        <f t="shared" si="109"/>
        <v>945200</v>
      </c>
      <c r="AD228" s="77">
        <f t="shared" si="106"/>
        <v>1050000</v>
      </c>
      <c r="AE228" s="77">
        <f t="shared" si="107"/>
        <v>1207600</v>
      </c>
      <c r="AF228" s="99">
        <f t="shared" si="108"/>
        <v>1260000</v>
      </c>
    </row>
    <row r="229" spans="1:32" x14ac:dyDescent="0.3">
      <c r="A229" s="88" t="s">
        <v>203</v>
      </c>
      <c r="B229" s="100" t="s">
        <v>258</v>
      </c>
      <c r="C229" s="73"/>
      <c r="D229" s="60"/>
      <c r="E229" s="154">
        <v>-18200</v>
      </c>
      <c r="F229" s="154">
        <v>-18200</v>
      </c>
      <c r="G229" s="154">
        <v>-18200</v>
      </c>
      <c r="H229" s="154">
        <v>-18200</v>
      </c>
      <c r="I229" s="154">
        <v>-18200</v>
      </c>
      <c r="J229" s="154">
        <v>-18200</v>
      </c>
      <c r="K229" s="16"/>
      <c r="L229" s="84"/>
      <c r="M229" s="84"/>
      <c r="N229" s="84">
        <v>21</v>
      </c>
      <c r="O229" s="84">
        <f t="shared" si="97"/>
        <v>21</v>
      </c>
      <c r="P229" s="26">
        <v>13</v>
      </c>
      <c r="Q229" s="26">
        <v>40</v>
      </c>
      <c r="R229" s="84">
        <f t="shared" si="98"/>
        <v>53</v>
      </c>
      <c r="S229" s="84">
        <v>57</v>
      </c>
      <c r="T229" s="84">
        <v>65</v>
      </c>
      <c r="U229" s="84">
        <v>71</v>
      </c>
      <c r="V229" s="16"/>
      <c r="W229" s="28">
        <f t="shared" si="99"/>
        <v>0</v>
      </c>
      <c r="X229" s="28">
        <f t="shared" si="100"/>
        <v>0</v>
      </c>
      <c r="Y229" s="28">
        <f t="shared" si="101"/>
        <v>-382200</v>
      </c>
      <c r="Z229" s="28">
        <f t="shared" si="102"/>
        <v>-382200</v>
      </c>
      <c r="AA229" s="28">
        <f t="shared" si="103"/>
        <v>-236600</v>
      </c>
      <c r="AB229" s="28">
        <f t="shared" si="104"/>
        <v>-728000</v>
      </c>
      <c r="AC229" s="28">
        <f t="shared" si="109"/>
        <v>-964600</v>
      </c>
      <c r="AD229" s="77">
        <f t="shared" si="106"/>
        <v>-1037400</v>
      </c>
      <c r="AE229" s="77">
        <f t="shared" si="107"/>
        <v>-1183000</v>
      </c>
      <c r="AF229" s="99">
        <f t="shared" si="108"/>
        <v>-1292200</v>
      </c>
    </row>
    <row r="230" spans="1:32" x14ac:dyDescent="0.3">
      <c r="A230" s="21">
        <v>1408</v>
      </c>
      <c r="B230" s="100" t="s">
        <v>270</v>
      </c>
      <c r="C230" s="146">
        <v>35800</v>
      </c>
      <c r="D230" s="146">
        <v>35800</v>
      </c>
      <c r="E230" s="24">
        <v>0</v>
      </c>
      <c r="F230" s="24">
        <v>0</v>
      </c>
      <c r="G230" s="24">
        <v>0</v>
      </c>
      <c r="H230" s="24">
        <v>0</v>
      </c>
      <c r="I230" s="24">
        <v>0</v>
      </c>
      <c r="J230" s="24">
        <v>0</v>
      </c>
      <c r="K230" s="16"/>
      <c r="L230" s="141">
        <v>0</v>
      </c>
      <c r="M230" s="141">
        <v>20</v>
      </c>
      <c r="N230" s="141">
        <v>0</v>
      </c>
      <c r="O230" s="84">
        <f t="shared" si="97"/>
        <v>20</v>
      </c>
      <c r="P230" s="142">
        <v>0</v>
      </c>
      <c r="Q230" s="142">
        <v>0</v>
      </c>
      <c r="R230" s="84">
        <f t="shared" si="98"/>
        <v>0</v>
      </c>
      <c r="S230" s="141">
        <v>0</v>
      </c>
      <c r="T230" s="141">
        <v>0</v>
      </c>
      <c r="U230" s="141">
        <v>0</v>
      </c>
      <c r="V230" s="16"/>
      <c r="W230" s="28">
        <f t="shared" si="99"/>
        <v>0</v>
      </c>
      <c r="X230" s="28">
        <f t="shared" si="100"/>
        <v>716000</v>
      </c>
      <c r="Y230" s="28">
        <f t="shared" si="101"/>
        <v>0</v>
      </c>
      <c r="Z230" s="28">
        <f t="shared" si="102"/>
        <v>716000</v>
      </c>
      <c r="AA230" s="28">
        <f>P230</f>
        <v>0</v>
      </c>
      <c r="AB230" s="28">
        <f t="shared" ref="AB230:AB239" si="110">G230*Q230</f>
        <v>0</v>
      </c>
      <c r="AC230" s="28">
        <f t="shared" si="109"/>
        <v>0</v>
      </c>
      <c r="AD230" s="77">
        <f t="shared" si="106"/>
        <v>0</v>
      </c>
      <c r="AE230" s="77">
        <f t="shared" si="107"/>
        <v>0</v>
      </c>
      <c r="AF230" s="99">
        <f t="shared" si="108"/>
        <v>0</v>
      </c>
    </row>
    <row r="231" spans="1:32" x14ac:dyDescent="0.3">
      <c r="A231" s="21">
        <v>1409</v>
      </c>
      <c r="B231" s="100" t="s">
        <v>271</v>
      </c>
      <c r="C231" s="146">
        <v>800</v>
      </c>
      <c r="D231" s="146">
        <v>800</v>
      </c>
      <c r="E231" s="24">
        <v>0</v>
      </c>
      <c r="F231" s="24">
        <v>0</v>
      </c>
      <c r="G231" s="24">
        <v>0</v>
      </c>
      <c r="H231" s="24">
        <v>0</v>
      </c>
      <c r="I231" s="24">
        <v>0</v>
      </c>
      <c r="J231" s="24">
        <v>0</v>
      </c>
      <c r="K231" s="16"/>
      <c r="L231" s="141">
        <v>0</v>
      </c>
      <c r="M231" s="141">
        <v>40</v>
      </c>
      <c r="N231" s="141">
        <v>0</v>
      </c>
      <c r="O231" s="84">
        <f t="shared" si="97"/>
        <v>40</v>
      </c>
      <c r="P231" s="142">
        <v>0</v>
      </c>
      <c r="Q231" s="142">
        <v>0</v>
      </c>
      <c r="R231" s="84">
        <f t="shared" si="98"/>
        <v>0</v>
      </c>
      <c r="S231" s="141">
        <v>0</v>
      </c>
      <c r="T231" s="141">
        <v>0</v>
      </c>
      <c r="U231" s="141">
        <v>0</v>
      </c>
      <c r="V231" s="16"/>
      <c r="W231" s="28">
        <f t="shared" si="99"/>
        <v>0</v>
      </c>
      <c r="X231" s="28">
        <f t="shared" si="100"/>
        <v>32000</v>
      </c>
      <c r="Y231" s="28">
        <f t="shared" si="101"/>
        <v>0</v>
      </c>
      <c r="Z231" s="28">
        <f t="shared" si="102"/>
        <v>32000</v>
      </c>
      <c r="AA231" s="28">
        <f>P231</f>
        <v>0</v>
      </c>
      <c r="AB231" s="28">
        <f t="shared" si="110"/>
        <v>0</v>
      </c>
      <c r="AC231" s="28">
        <f t="shared" si="109"/>
        <v>0</v>
      </c>
      <c r="AD231" s="77">
        <f t="shared" si="106"/>
        <v>0</v>
      </c>
      <c r="AE231" s="77">
        <f t="shared" si="107"/>
        <v>0</v>
      </c>
      <c r="AF231" s="99">
        <f t="shared" si="108"/>
        <v>0</v>
      </c>
    </row>
    <row r="232" spans="1:32" x14ac:dyDescent="0.3">
      <c r="A232" s="21" t="s">
        <v>203</v>
      </c>
      <c r="B232" s="100" t="s">
        <v>263</v>
      </c>
      <c r="C232" s="71"/>
      <c r="D232" s="71"/>
      <c r="E232" s="71">
        <v>12000</v>
      </c>
      <c r="F232" s="71">
        <v>12000</v>
      </c>
      <c r="G232" s="71">
        <v>12000</v>
      </c>
      <c r="H232" s="71">
        <v>12000</v>
      </c>
      <c r="I232" s="71">
        <v>12000</v>
      </c>
      <c r="J232" s="71">
        <v>12000</v>
      </c>
      <c r="K232" s="16"/>
      <c r="L232" s="141"/>
      <c r="M232" s="141"/>
      <c r="N232" s="141">
        <v>30</v>
      </c>
      <c r="O232" s="84">
        <f t="shared" si="97"/>
        <v>30</v>
      </c>
      <c r="P232" s="142">
        <v>14</v>
      </c>
      <c r="Q232" s="142">
        <v>46</v>
      </c>
      <c r="R232" s="84">
        <f t="shared" si="98"/>
        <v>60</v>
      </c>
      <c r="S232" s="141">
        <v>110</v>
      </c>
      <c r="T232" s="141">
        <v>200</v>
      </c>
      <c r="U232" s="141">
        <v>275</v>
      </c>
      <c r="V232" s="16"/>
      <c r="W232" s="28">
        <f t="shared" si="99"/>
        <v>0</v>
      </c>
      <c r="X232" s="28">
        <f t="shared" si="100"/>
        <v>0</v>
      </c>
      <c r="Y232" s="28">
        <f t="shared" si="101"/>
        <v>360000</v>
      </c>
      <c r="Z232" s="28">
        <f t="shared" si="102"/>
        <v>360000</v>
      </c>
      <c r="AA232" s="28">
        <f t="shared" ref="AA232:AA239" si="111">F232*P232</f>
        <v>168000</v>
      </c>
      <c r="AB232" s="28">
        <f t="shared" si="110"/>
        <v>552000</v>
      </c>
      <c r="AC232" s="28">
        <f>SUM(AA232:AB232)</f>
        <v>720000</v>
      </c>
      <c r="AD232" s="77">
        <f t="shared" si="106"/>
        <v>1320000</v>
      </c>
      <c r="AE232" s="77">
        <f t="shared" si="107"/>
        <v>2400000</v>
      </c>
      <c r="AF232" s="99">
        <f t="shared" si="108"/>
        <v>3300000</v>
      </c>
    </row>
    <row r="233" spans="1:32" x14ac:dyDescent="0.3">
      <c r="A233" s="21" t="s">
        <v>203</v>
      </c>
      <c r="B233" s="100" t="s">
        <v>264</v>
      </c>
      <c r="C233" s="71"/>
      <c r="D233" s="71"/>
      <c r="E233" s="71">
        <v>250</v>
      </c>
      <c r="F233" s="71">
        <v>250</v>
      </c>
      <c r="G233" s="71">
        <v>250</v>
      </c>
      <c r="H233" s="71">
        <v>250</v>
      </c>
      <c r="I233" s="71">
        <v>250</v>
      </c>
      <c r="J233" s="71">
        <v>250</v>
      </c>
      <c r="K233" s="16"/>
      <c r="L233" s="141"/>
      <c r="M233" s="141"/>
      <c r="N233" s="141">
        <v>210</v>
      </c>
      <c r="O233" s="84">
        <f t="shared" si="97"/>
        <v>210</v>
      </c>
      <c r="P233" s="142">
        <v>101</v>
      </c>
      <c r="Q233" s="142">
        <v>319</v>
      </c>
      <c r="R233" s="84">
        <f t="shared" si="98"/>
        <v>420</v>
      </c>
      <c r="S233" s="141">
        <v>770</v>
      </c>
      <c r="T233" s="141">
        <v>1400</v>
      </c>
      <c r="U233" s="141">
        <v>1925</v>
      </c>
      <c r="V233" s="16"/>
      <c r="W233" s="28">
        <f t="shared" si="99"/>
        <v>0</v>
      </c>
      <c r="X233" s="28">
        <f t="shared" si="100"/>
        <v>0</v>
      </c>
      <c r="Y233" s="28">
        <f t="shared" si="101"/>
        <v>52500</v>
      </c>
      <c r="Z233" s="28">
        <f t="shared" si="102"/>
        <v>52500</v>
      </c>
      <c r="AA233" s="28">
        <f t="shared" si="111"/>
        <v>25250</v>
      </c>
      <c r="AB233" s="28">
        <f t="shared" si="110"/>
        <v>79750</v>
      </c>
      <c r="AC233" s="28">
        <f t="shared" ref="AC233:AC239" si="112">SUM(AA233:AB233)</f>
        <v>105000</v>
      </c>
      <c r="AD233" s="77">
        <f t="shared" si="106"/>
        <v>192500</v>
      </c>
      <c r="AE233" s="77">
        <f t="shared" si="107"/>
        <v>350000</v>
      </c>
      <c r="AF233" s="99">
        <f t="shared" si="108"/>
        <v>481250</v>
      </c>
    </row>
    <row r="234" spans="1:32" x14ac:dyDescent="0.3">
      <c r="A234" s="21" t="s">
        <v>203</v>
      </c>
      <c r="B234" s="100" t="s">
        <v>262</v>
      </c>
      <c r="C234" s="71"/>
      <c r="D234" s="71"/>
      <c r="E234" s="71">
        <v>18000</v>
      </c>
      <c r="F234" s="71">
        <v>18000</v>
      </c>
      <c r="G234" s="71">
        <v>18000</v>
      </c>
      <c r="H234" s="71">
        <v>18000</v>
      </c>
      <c r="I234" s="71">
        <v>18000</v>
      </c>
      <c r="J234" s="71">
        <v>18000</v>
      </c>
      <c r="K234" s="16"/>
      <c r="L234" s="141"/>
      <c r="M234" s="141"/>
      <c r="N234" s="141">
        <v>30</v>
      </c>
      <c r="O234" s="84">
        <f t="shared" si="97"/>
        <v>30</v>
      </c>
      <c r="P234" s="142">
        <v>14</v>
      </c>
      <c r="Q234" s="142">
        <v>46</v>
      </c>
      <c r="R234" s="84">
        <f t="shared" si="98"/>
        <v>60</v>
      </c>
      <c r="S234" s="141">
        <v>110</v>
      </c>
      <c r="T234" s="141">
        <v>200</v>
      </c>
      <c r="U234" s="141">
        <v>275</v>
      </c>
      <c r="V234" s="16"/>
      <c r="W234" s="28">
        <f t="shared" si="99"/>
        <v>0</v>
      </c>
      <c r="X234" s="28">
        <f t="shared" si="100"/>
        <v>0</v>
      </c>
      <c r="Y234" s="28">
        <f t="shared" si="101"/>
        <v>540000</v>
      </c>
      <c r="Z234" s="28">
        <f t="shared" si="102"/>
        <v>540000</v>
      </c>
      <c r="AA234" s="28">
        <f t="shared" si="111"/>
        <v>252000</v>
      </c>
      <c r="AB234" s="28">
        <f t="shared" si="110"/>
        <v>828000</v>
      </c>
      <c r="AC234" s="28">
        <f t="shared" si="112"/>
        <v>1080000</v>
      </c>
      <c r="AD234" s="77">
        <f t="shared" si="106"/>
        <v>1980000</v>
      </c>
      <c r="AE234" s="77">
        <f t="shared" si="107"/>
        <v>3600000</v>
      </c>
      <c r="AF234" s="99">
        <f t="shared" si="108"/>
        <v>4950000</v>
      </c>
    </row>
    <row r="235" spans="1:32" x14ac:dyDescent="0.3">
      <c r="A235" s="21" t="s">
        <v>203</v>
      </c>
      <c r="B235" s="100" t="s">
        <v>261</v>
      </c>
      <c r="C235" s="71"/>
      <c r="D235" s="71"/>
      <c r="E235" s="71">
        <v>550</v>
      </c>
      <c r="F235" s="71">
        <v>550</v>
      </c>
      <c r="G235" s="71">
        <v>550</v>
      </c>
      <c r="H235" s="71">
        <v>550</v>
      </c>
      <c r="I235" s="71">
        <v>550</v>
      </c>
      <c r="J235" s="71">
        <v>550</v>
      </c>
      <c r="K235" s="16"/>
      <c r="L235" s="141"/>
      <c r="M235" s="141"/>
      <c r="N235" s="141">
        <v>158</v>
      </c>
      <c r="O235" s="84">
        <f t="shared" si="97"/>
        <v>158</v>
      </c>
      <c r="P235" s="142">
        <v>76</v>
      </c>
      <c r="Q235" s="142">
        <v>239</v>
      </c>
      <c r="R235" s="84">
        <f t="shared" si="98"/>
        <v>315</v>
      </c>
      <c r="S235" s="141">
        <v>578</v>
      </c>
      <c r="T235" s="141">
        <v>1050</v>
      </c>
      <c r="U235" s="141">
        <v>1444</v>
      </c>
      <c r="V235" s="16"/>
      <c r="W235" s="28">
        <f t="shared" si="99"/>
        <v>0</v>
      </c>
      <c r="X235" s="28">
        <f t="shared" si="100"/>
        <v>0</v>
      </c>
      <c r="Y235" s="28">
        <f t="shared" si="101"/>
        <v>86900</v>
      </c>
      <c r="Z235" s="28">
        <f t="shared" si="102"/>
        <v>86900</v>
      </c>
      <c r="AA235" s="28">
        <f t="shared" si="111"/>
        <v>41800</v>
      </c>
      <c r="AB235" s="28">
        <f t="shared" si="110"/>
        <v>131450</v>
      </c>
      <c r="AC235" s="28">
        <f t="shared" si="112"/>
        <v>173250</v>
      </c>
      <c r="AD235" s="77">
        <f t="shared" si="106"/>
        <v>317900</v>
      </c>
      <c r="AE235" s="77">
        <f t="shared" si="107"/>
        <v>577500</v>
      </c>
      <c r="AF235" s="99">
        <f t="shared" si="108"/>
        <v>794200</v>
      </c>
    </row>
    <row r="236" spans="1:32" x14ac:dyDescent="0.3">
      <c r="A236" s="21" t="s">
        <v>203</v>
      </c>
      <c r="B236" s="100" t="s">
        <v>260</v>
      </c>
      <c r="C236" s="71"/>
      <c r="D236" s="71"/>
      <c r="E236" s="101">
        <v>-23600</v>
      </c>
      <c r="F236" s="101">
        <v>-23600</v>
      </c>
      <c r="G236" s="101">
        <v>-23600</v>
      </c>
      <c r="H236" s="101">
        <v>-23600</v>
      </c>
      <c r="I236" s="101">
        <v>-23600</v>
      </c>
      <c r="J236" s="101">
        <v>-23600</v>
      </c>
      <c r="K236" s="16"/>
      <c r="L236" s="141"/>
      <c r="M236" s="141"/>
      <c r="N236" s="141">
        <v>2</v>
      </c>
      <c r="O236" s="84">
        <f t="shared" si="97"/>
        <v>2</v>
      </c>
      <c r="P236" s="142">
        <v>2</v>
      </c>
      <c r="Q236" s="142">
        <v>6</v>
      </c>
      <c r="R236" s="84">
        <f t="shared" si="98"/>
        <v>8</v>
      </c>
      <c r="S236" s="141">
        <v>11</v>
      </c>
      <c r="T236" s="141">
        <v>20</v>
      </c>
      <c r="U236" s="141">
        <v>30</v>
      </c>
      <c r="V236" s="16"/>
      <c r="W236" s="28">
        <f t="shared" si="99"/>
        <v>0</v>
      </c>
      <c r="X236" s="28">
        <f t="shared" si="100"/>
        <v>0</v>
      </c>
      <c r="Y236" s="28">
        <f t="shared" si="101"/>
        <v>-47200</v>
      </c>
      <c r="Z236" s="28">
        <f t="shared" si="102"/>
        <v>-47200</v>
      </c>
      <c r="AA236" s="28">
        <f t="shared" si="111"/>
        <v>-47200</v>
      </c>
      <c r="AB236" s="28">
        <f t="shared" si="110"/>
        <v>-141600</v>
      </c>
      <c r="AC236" s="28">
        <f t="shared" si="112"/>
        <v>-188800</v>
      </c>
      <c r="AD236" s="77">
        <f t="shared" si="106"/>
        <v>-259600</v>
      </c>
      <c r="AE236" s="77">
        <f t="shared" si="107"/>
        <v>-472000</v>
      </c>
      <c r="AF236" s="99">
        <f t="shared" si="108"/>
        <v>-708000</v>
      </c>
    </row>
    <row r="237" spans="1:32" x14ac:dyDescent="0.3">
      <c r="A237" s="21" t="s">
        <v>203</v>
      </c>
      <c r="B237" s="100" t="s">
        <v>207</v>
      </c>
      <c r="C237" s="71">
        <v>400</v>
      </c>
      <c r="D237" s="71">
        <v>400</v>
      </c>
      <c r="E237" s="71">
        <v>400</v>
      </c>
      <c r="F237" s="71">
        <v>400</v>
      </c>
      <c r="G237" s="71">
        <v>400</v>
      </c>
      <c r="H237" s="71">
        <v>400</v>
      </c>
      <c r="I237" s="71">
        <v>400</v>
      </c>
      <c r="J237" s="71">
        <v>400</v>
      </c>
      <c r="K237" s="16"/>
      <c r="L237" s="141">
        <v>0</v>
      </c>
      <c r="M237" s="141">
        <v>41</v>
      </c>
      <c r="N237" s="141">
        <v>6</v>
      </c>
      <c r="O237" s="84">
        <f t="shared" si="97"/>
        <v>47</v>
      </c>
      <c r="P237" s="142">
        <v>12</v>
      </c>
      <c r="Q237" s="142">
        <v>38</v>
      </c>
      <c r="R237" s="84">
        <f t="shared" si="98"/>
        <v>50</v>
      </c>
      <c r="S237" s="141">
        <v>50</v>
      </c>
      <c r="T237" s="141">
        <v>50</v>
      </c>
      <c r="U237" s="141">
        <v>50</v>
      </c>
      <c r="V237" s="16"/>
      <c r="W237" s="28">
        <f t="shared" si="99"/>
        <v>0</v>
      </c>
      <c r="X237" s="28">
        <f t="shared" si="100"/>
        <v>16400</v>
      </c>
      <c r="Y237" s="28">
        <f t="shared" si="101"/>
        <v>2400</v>
      </c>
      <c r="Z237" s="28">
        <f t="shared" si="102"/>
        <v>18800</v>
      </c>
      <c r="AA237" s="28">
        <f t="shared" si="111"/>
        <v>4800</v>
      </c>
      <c r="AB237" s="28">
        <f t="shared" si="110"/>
        <v>15200</v>
      </c>
      <c r="AC237" s="28">
        <f>SUM(AA237:AB237)</f>
        <v>20000</v>
      </c>
      <c r="AD237" s="77">
        <f t="shared" si="106"/>
        <v>20000</v>
      </c>
      <c r="AE237" s="77">
        <f t="shared" si="107"/>
        <v>20000</v>
      </c>
      <c r="AF237" s="99">
        <f t="shared" si="108"/>
        <v>20000</v>
      </c>
    </row>
    <row r="238" spans="1:32" x14ac:dyDescent="0.3">
      <c r="A238" s="21" t="s">
        <v>203</v>
      </c>
      <c r="B238" s="100" t="s">
        <v>205</v>
      </c>
      <c r="C238" s="71">
        <v>0</v>
      </c>
      <c r="D238" s="71">
        <v>0</v>
      </c>
      <c r="E238" s="71">
        <v>0</v>
      </c>
      <c r="F238" s="71">
        <v>0</v>
      </c>
      <c r="G238" s="71">
        <v>0</v>
      </c>
      <c r="H238" s="71">
        <v>0</v>
      </c>
      <c r="I238" s="71">
        <v>0</v>
      </c>
      <c r="J238" s="71">
        <v>0</v>
      </c>
      <c r="K238" s="16"/>
      <c r="L238" s="141">
        <v>0</v>
      </c>
      <c r="M238" s="141">
        <v>0</v>
      </c>
      <c r="N238" s="141">
        <v>0</v>
      </c>
      <c r="O238" s="84">
        <f t="shared" si="97"/>
        <v>0</v>
      </c>
      <c r="P238" s="142">
        <v>0</v>
      </c>
      <c r="Q238" s="142">
        <v>0</v>
      </c>
      <c r="R238" s="84">
        <f t="shared" si="98"/>
        <v>0</v>
      </c>
      <c r="S238" s="141">
        <v>0</v>
      </c>
      <c r="T238" s="141">
        <v>0</v>
      </c>
      <c r="U238" s="141">
        <v>0</v>
      </c>
      <c r="V238" s="16"/>
      <c r="W238" s="28">
        <f t="shared" si="99"/>
        <v>0</v>
      </c>
      <c r="X238" s="28">
        <f t="shared" si="100"/>
        <v>0</v>
      </c>
      <c r="Y238" s="28">
        <f t="shared" si="101"/>
        <v>0</v>
      </c>
      <c r="Z238" s="28">
        <f t="shared" si="102"/>
        <v>0</v>
      </c>
      <c r="AA238" s="28">
        <f t="shared" si="111"/>
        <v>0</v>
      </c>
      <c r="AB238" s="28">
        <f t="shared" si="110"/>
        <v>0</v>
      </c>
      <c r="AC238" s="28">
        <f t="shared" si="112"/>
        <v>0</v>
      </c>
      <c r="AD238" s="77">
        <f t="shared" si="106"/>
        <v>0</v>
      </c>
      <c r="AE238" s="77">
        <f t="shared" si="107"/>
        <v>0</v>
      </c>
      <c r="AF238" s="99">
        <f t="shared" si="108"/>
        <v>0</v>
      </c>
    </row>
    <row r="239" spans="1:32" x14ac:dyDescent="0.3">
      <c r="A239" s="21">
        <v>1411</v>
      </c>
      <c r="B239" s="100" t="s">
        <v>206</v>
      </c>
      <c r="C239" s="71">
        <v>400</v>
      </c>
      <c r="D239" s="71">
        <v>400</v>
      </c>
      <c r="E239" s="71">
        <v>400</v>
      </c>
      <c r="F239" s="71">
        <v>400</v>
      </c>
      <c r="G239" s="71">
        <v>400</v>
      </c>
      <c r="H239" s="71">
        <v>400</v>
      </c>
      <c r="I239" s="71">
        <v>400</v>
      </c>
      <c r="J239" s="71">
        <v>400</v>
      </c>
      <c r="K239" s="16"/>
      <c r="L239" s="142">
        <v>0</v>
      </c>
      <c r="M239" s="142">
        <v>16</v>
      </c>
      <c r="N239" s="142">
        <v>2</v>
      </c>
      <c r="O239" s="84">
        <f t="shared" si="97"/>
        <v>18</v>
      </c>
      <c r="P239" s="142">
        <v>5</v>
      </c>
      <c r="Q239" s="142">
        <v>15</v>
      </c>
      <c r="R239" s="84">
        <f t="shared" si="98"/>
        <v>20</v>
      </c>
      <c r="S239" s="142">
        <v>20</v>
      </c>
      <c r="T239" s="142">
        <v>20</v>
      </c>
      <c r="U239" s="142">
        <v>20</v>
      </c>
      <c r="V239" s="16"/>
      <c r="W239" s="28">
        <f t="shared" si="99"/>
        <v>0</v>
      </c>
      <c r="X239" s="28">
        <f t="shared" si="100"/>
        <v>6400</v>
      </c>
      <c r="Y239" s="28">
        <f t="shared" si="101"/>
        <v>800</v>
      </c>
      <c r="Z239" s="28">
        <f t="shared" si="102"/>
        <v>7200</v>
      </c>
      <c r="AA239" s="28">
        <f t="shared" si="111"/>
        <v>2000</v>
      </c>
      <c r="AB239" s="28">
        <f t="shared" si="110"/>
        <v>6000</v>
      </c>
      <c r="AC239" s="28">
        <f t="shared" si="112"/>
        <v>8000</v>
      </c>
      <c r="AD239" s="77">
        <f t="shared" si="106"/>
        <v>8000</v>
      </c>
      <c r="AE239" s="77">
        <f t="shared" si="107"/>
        <v>8000</v>
      </c>
      <c r="AF239" s="99">
        <f t="shared" si="108"/>
        <v>8000</v>
      </c>
    </row>
    <row r="240" spans="1:32" x14ac:dyDescent="0.3">
      <c r="A240" s="55" t="s">
        <v>213</v>
      </c>
      <c r="B240" s="33"/>
      <c r="C240" s="36"/>
      <c r="D240" s="36"/>
      <c r="E240" s="37"/>
      <c r="F240" s="37"/>
      <c r="G240" s="37"/>
      <c r="H240" s="37"/>
      <c r="I240" s="37"/>
      <c r="J240" s="37"/>
      <c r="K240" s="16"/>
      <c r="L240" s="84"/>
      <c r="M240" s="84"/>
      <c r="N240" s="84"/>
      <c r="O240" s="84"/>
      <c r="P240" s="26"/>
      <c r="Q240" s="26"/>
      <c r="R240" s="41"/>
      <c r="S240" s="27"/>
      <c r="T240" s="27"/>
      <c r="U240" s="27"/>
      <c r="V240" s="16"/>
      <c r="W240" s="35">
        <f>SUM(W217:W239)</f>
        <v>1714300</v>
      </c>
      <c r="X240" s="35">
        <f>SUM(X217:X239)</f>
        <v>32406850</v>
      </c>
      <c r="Y240" s="35">
        <f t="shared" ref="Y240:AE240" si="113">SUM(Y217:Y239)</f>
        <v>13686000</v>
      </c>
      <c r="Z240" s="35">
        <f t="shared" si="113"/>
        <v>47807150</v>
      </c>
      <c r="AA240" s="35">
        <f t="shared" si="113"/>
        <v>15562550</v>
      </c>
      <c r="AB240" s="35">
        <f t="shared" si="113"/>
        <v>49362100</v>
      </c>
      <c r="AC240" s="35">
        <f t="shared" si="113"/>
        <v>64924650</v>
      </c>
      <c r="AD240" s="35">
        <f t="shared" si="113"/>
        <v>70462300</v>
      </c>
      <c r="AE240" s="35">
        <f t="shared" si="113"/>
        <v>75033200</v>
      </c>
      <c r="AF240" s="99">
        <f>SUM(AF217:AF239)</f>
        <v>76886950</v>
      </c>
    </row>
    <row r="241" spans="1:32" x14ac:dyDescent="0.3">
      <c r="A241" s="32"/>
      <c r="B241" s="33"/>
      <c r="C241" s="36"/>
      <c r="D241" s="36"/>
      <c r="E241" s="37"/>
      <c r="F241" s="37"/>
      <c r="G241" s="37"/>
      <c r="H241" s="37"/>
      <c r="I241" s="37"/>
      <c r="J241" s="37"/>
      <c r="K241" s="16"/>
      <c r="L241" s="84"/>
      <c r="M241" s="84"/>
      <c r="N241" s="84"/>
      <c r="O241" s="84"/>
      <c r="P241" s="26"/>
      <c r="Q241" s="26"/>
      <c r="R241" s="48"/>
      <c r="S241" s="27"/>
      <c r="T241" s="27"/>
      <c r="U241" s="27"/>
      <c r="V241" s="16"/>
      <c r="W241" s="28"/>
      <c r="X241" s="28"/>
      <c r="Y241" s="28"/>
      <c r="Z241" s="28"/>
      <c r="AA241" s="28"/>
      <c r="AB241" s="28"/>
      <c r="AC241" s="28"/>
      <c r="AD241" s="77"/>
      <c r="AE241" s="28"/>
      <c r="AF241" s="99"/>
    </row>
    <row r="242" spans="1:32" x14ac:dyDescent="0.3">
      <c r="A242" s="55" t="s">
        <v>214</v>
      </c>
      <c r="B242" s="33"/>
      <c r="C242" s="36"/>
      <c r="D242" s="36"/>
      <c r="E242" s="37"/>
      <c r="F242" s="37"/>
      <c r="G242" s="37"/>
      <c r="H242" s="37"/>
      <c r="I242" s="37"/>
      <c r="J242" s="37"/>
      <c r="K242" s="16"/>
      <c r="L242" s="84"/>
      <c r="M242" s="84"/>
      <c r="N242" s="84"/>
      <c r="O242" s="84"/>
      <c r="P242" s="26"/>
      <c r="Q242" s="26"/>
      <c r="R242" s="41"/>
      <c r="S242" s="27"/>
      <c r="T242" s="27"/>
      <c r="U242" s="27"/>
      <c r="V242" s="16"/>
      <c r="W242" s="28"/>
      <c r="X242" s="28"/>
      <c r="Y242" s="28"/>
      <c r="Z242" s="28"/>
      <c r="AA242" s="28"/>
      <c r="AB242" s="28"/>
      <c r="AC242" s="28"/>
      <c r="AD242" s="77"/>
      <c r="AE242" s="28"/>
      <c r="AF242" s="99"/>
    </row>
    <row r="243" spans="1:32" x14ac:dyDescent="0.3">
      <c r="A243" s="21">
        <v>2401</v>
      </c>
      <c r="B243" s="22" t="s">
        <v>91</v>
      </c>
      <c r="C243" s="36">
        <v>310</v>
      </c>
      <c r="D243" s="36">
        <v>315</v>
      </c>
      <c r="E243" s="37">
        <v>400</v>
      </c>
      <c r="F243" s="37">
        <v>400</v>
      </c>
      <c r="G243" s="37">
        <v>400</v>
      </c>
      <c r="H243" s="37">
        <v>400</v>
      </c>
      <c r="I243" s="37">
        <v>400</v>
      </c>
      <c r="J243" s="37">
        <v>400</v>
      </c>
      <c r="K243" s="16"/>
      <c r="L243" s="84">
        <v>415</v>
      </c>
      <c r="M243" s="84">
        <v>4201</v>
      </c>
      <c r="N243" s="84">
        <v>612</v>
      </c>
      <c r="O243" s="84">
        <f>SUM(L243:N243)</f>
        <v>5228</v>
      </c>
      <c r="P243" s="26">
        <v>1317</v>
      </c>
      <c r="Q243" s="26">
        <v>4169</v>
      </c>
      <c r="R243" s="84">
        <f>SUM(P243:Q243)</f>
        <v>5486</v>
      </c>
      <c r="S243" s="84">
        <v>5788</v>
      </c>
      <c r="T243" s="84">
        <v>5973</v>
      </c>
      <c r="U243" s="84">
        <v>5712</v>
      </c>
      <c r="V243" s="16"/>
      <c r="W243" s="28">
        <f t="shared" ref="W243:Y247" si="114">L243*C243</f>
        <v>128650</v>
      </c>
      <c r="X243" s="28">
        <f t="shared" si="114"/>
        <v>1323315</v>
      </c>
      <c r="Y243" s="28">
        <f t="shared" si="114"/>
        <v>244800</v>
      </c>
      <c r="Z243" s="28">
        <f>W243+X243+Y243</f>
        <v>1696765</v>
      </c>
      <c r="AA243" s="28">
        <f t="shared" ref="AA243:AB247" si="115">F243*P243</f>
        <v>526800</v>
      </c>
      <c r="AB243" s="28">
        <f t="shared" si="115"/>
        <v>1667600</v>
      </c>
      <c r="AC243" s="28">
        <f>SUM(AA243:AB243)</f>
        <v>2194400</v>
      </c>
      <c r="AD243" s="77">
        <f t="shared" ref="AD243:AF247" si="116">H243*S243</f>
        <v>2315200</v>
      </c>
      <c r="AE243" s="77">
        <f t="shared" si="116"/>
        <v>2389200</v>
      </c>
      <c r="AF243" s="99">
        <f t="shared" si="116"/>
        <v>2284800</v>
      </c>
    </row>
    <row r="244" spans="1:32" x14ac:dyDescent="0.3">
      <c r="A244" s="29">
        <v>2402</v>
      </c>
      <c r="B244" s="22" t="s">
        <v>92</v>
      </c>
      <c r="C244" s="36">
        <v>310</v>
      </c>
      <c r="D244" s="36">
        <v>315</v>
      </c>
      <c r="E244" s="37">
        <v>0</v>
      </c>
      <c r="F244" s="37">
        <v>0</v>
      </c>
      <c r="G244" s="37">
        <v>0</v>
      </c>
      <c r="H244" s="37">
        <v>0</v>
      </c>
      <c r="I244" s="37">
        <v>0</v>
      </c>
      <c r="J244" s="37">
        <v>0</v>
      </c>
      <c r="K244" s="16"/>
      <c r="L244" s="84">
        <v>181</v>
      </c>
      <c r="M244" s="84">
        <v>1931</v>
      </c>
      <c r="N244" s="84">
        <v>281</v>
      </c>
      <c r="O244" s="84">
        <f>SUM(L244:N244)</f>
        <v>2393</v>
      </c>
      <c r="P244" s="26">
        <v>605</v>
      </c>
      <c r="Q244" s="26">
        <v>1917</v>
      </c>
      <c r="R244" s="84">
        <f>SUM(P244:Q244)</f>
        <v>2522</v>
      </c>
      <c r="S244" s="84">
        <v>2660</v>
      </c>
      <c r="T244" s="84">
        <v>2745</v>
      </c>
      <c r="U244" s="84">
        <v>2626</v>
      </c>
      <c r="V244" s="16"/>
      <c r="W244" s="28">
        <f t="shared" si="114"/>
        <v>56110</v>
      </c>
      <c r="X244" s="28">
        <f t="shared" si="114"/>
        <v>608265</v>
      </c>
      <c r="Y244" s="28">
        <f t="shared" si="114"/>
        <v>0</v>
      </c>
      <c r="Z244" s="28">
        <f>W244+X244+Y244</f>
        <v>664375</v>
      </c>
      <c r="AA244" s="28">
        <f t="shared" si="115"/>
        <v>0</v>
      </c>
      <c r="AB244" s="28">
        <f t="shared" si="115"/>
        <v>0</v>
      </c>
      <c r="AC244" s="28">
        <f>SUM(AA244:AB244)</f>
        <v>0</v>
      </c>
      <c r="AD244" s="77">
        <f t="shared" si="116"/>
        <v>0</v>
      </c>
      <c r="AE244" s="77">
        <f t="shared" si="116"/>
        <v>0</v>
      </c>
      <c r="AF244" s="99">
        <f t="shared" si="116"/>
        <v>0</v>
      </c>
    </row>
    <row r="245" spans="1:32" x14ac:dyDescent="0.3">
      <c r="A245" s="21" t="s">
        <v>203</v>
      </c>
      <c r="B245" s="100" t="s">
        <v>255</v>
      </c>
      <c r="C245" s="36"/>
      <c r="D245" s="36"/>
      <c r="E245" s="37">
        <v>1000</v>
      </c>
      <c r="F245" s="37">
        <v>1000</v>
      </c>
      <c r="G245" s="37">
        <v>1000</v>
      </c>
      <c r="H245" s="37">
        <v>1000</v>
      </c>
      <c r="I245" s="37">
        <v>1000</v>
      </c>
      <c r="J245" s="37">
        <v>1000</v>
      </c>
      <c r="K245" s="16"/>
      <c r="L245" s="84">
        <v>0</v>
      </c>
      <c r="M245" s="84">
        <v>1806</v>
      </c>
      <c r="N245" s="84">
        <v>263</v>
      </c>
      <c r="O245" s="84">
        <f>SUM(L245:N245)</f>
        <v>2069</v>
      </c>
      <c r="P245" s="26">
        <v>569</v>
      </c>
      <c r="Q245" s="26">
        <v>1803</v>
      </c>
      <c r="R245" s="84">
        <f>SUM(P245:Q245)</f>
        <v>2372</v>
      </c>
      <c r="S245" s="84">
        <v>2445</v>
      </c>
      <c r="T245" s="84">
        <v>2271</v>
      </c>
      <c r="U245" s="84">
        <v>2306</v>
      </c>
      <c r="V245" s="16"/>
      <c r="W245" s="28">
        <f t="shared" si="114"/>
        <v>0</v>
      </c>
      <c r="X245" s="28">
        <f t="shared" si="114"/>
        <v>0</v>
      </c>
      <c r="Y245" s="28">
        <f t="shared" si="114"/>
        <v>263000</v>
      </c>
      <c r="Z245" s="28">
        <f>W245+X245+Y245</f>
        <v>263000</v>
      </c>
      <c r="AA245" s="28">
        <f t="shared" si="115"/>
        <v>569000</v>
      </c>
      <c r="AB245" s="28">
        <f t="shared" si="115"/>
        <v>1803000</v>
      </c>
      <c r="AC245" s="28">
        <f>SUM(AA245:AB245)</f>
        <v>2372000</v>
      </c>
      <c r="AD245" s="77">
        <f t="shared" si="116"/>
        <v>2445000</v>
      </c>
      <c r="AE245" s="77">
        <f t="shared" si="116"/>
        <v>2271000</v>
      </c>
      <c r="AF245" s="99">
        <f t="shared" si="116"/>
        <v>2306000</v>
      </c>
    </row>
    <row r="246" spans="1:32" x14ac:dyDescent="0.3">
      <c r="A246" s="21" t="s">
        <v>203</v>
      </c>
      <c r="B246" s="22" t="s">
        <v>256</v>
      </c>
      <c r="C246" s="23"/>
      <c r="D246" s="23"/>
      <c r="E246" s="24">
        <v>1000</v>
      </c>
      <c r="F246" s="24">
        <v>1000</v>
      </c>
      <c r="G246" s="24">
        <v>1000</v>
      </c>
      <c r="H246" s="24">
        <v>1000</v>
      </c>
      <c r="I246" s="24">
        <v>1000</v>
      </c>
      <c r="J246" s="24">
        <v>1000</v>
      </c>
      <c r="K246" s="16"/>
      <c r="L246" s="141">
        <v>0</v>
      </c>
      <c r="M246" s="141">
        <v>0</v>
      </c>
      <c r="N246" s="141">
        <v>75</v>
      </c>
      <c r="O246" s="84">
        <f>SUM(L246:N246)</f>
        <v>75</v>
      </c>
      <c r="P246" s="142">
        <v>23</v>
      </c>
      <c r="Q246" s="142">
        <v>73</v>
      </c>
      <c r="R246" s="84">
        <f>SUM(P246:Q246)</f>
        <v>96</v>
      </c>
      <c r="S246" s="141">
        <v>128</v>
      </c>
      <c r="T246" s="141">
        <v>132</v>
      </c>
      <c r="U246" s="141">
        <v>126</v>
      </c>
      <c r="V246" s="16"/>
      <c r="W246" s="28">
        <f t="shared" si="114"/>
        <v>0</v>
      </c>
      <c r="X246" s="28">
        <f t="shared" si="114"/>
        <v>0</v>
      </c>
      <c r="Y246" s="28">
        <f t="shared" si="114"/>
        <v>75000</v>
      </c>
      <c r="Z246" s="28">
        <f>W246+X246+Y246</f>
        <v>75000</v>
      </c>
      <c r="AA246" s="28">
        <f t="shared" si="115"/>
        <v>23000</v>
      </c>
      <c r="AB246" s="28">
        <f t="shared" si="115"/>
        <v>73000</v>
      </c>
      <c r="AC246" s="28">
        <f>SUM(AA246:AB246)</f>
        <v>96000</v>
      </c>
      <c r="AD246" s="77">
        <f t="shared" si="116"/>
        <v>128000</v>
      </c>
      <c r="AE246" s="77">
        <f t="shared" si="116"/>
        <v>132000</v>
      </c>
      <c r="AF246" s="99">
        <f t="shared" si="116"/>
        <v>126000</v>
      </c>
    </row>
    <row r="247" spans="1:32" x14ac:dyDescent="0.3">
      <c r="A247" s="69">
        <v>2403</v>
      </c>
      <c r="B247" s="70" t="s">
        <v>93</v>
      </c>
      <c r="C247" s="74">
        <v>620</v>
      </c>
      <c r="D247" s="74">
        <v>630</v>
      </c>
      <c r="E247" s="37">
        <v>650</v>
      </c>
      <c r="F247" s="37">
        <v>650</v>
      </c>
      <c r="G247" s="37">
        <v>650</v>
      </c>
      <c r="H247" s="37">
        <v>650</v>
      </c>
      <c r="I247" s="37">
        <v>650</v>
      </c>
      <c r="J247" s="37">
        <v>650</v>
      </c>
      <c r="K247" s="16"/>
      <c r="L247" s="84">
        <v>15</v>
      </c>
      <c r="M247" s="84">
        <v>162</v>
      </c>
      <c r="N247" s="84">
        <v>24</v>
      </c>
      <c r="O247" s="84">
        <f>SUM(L247:N247)</f>
        <v>201</v>
      </c>
      <c r="P247" s="26">
        <v>51</v>
      </c>
      <c r="Q247" s="26">
        <v>161</v>
      </c>
      <c r="R247" s="84">
        <f>SUM(P247:Q247)</f>
        <v>212</v>
      </c>
      <c r="S247" s="84">
        <v>224</v>
      </c>
      <c r="T247" s="84">
        <v>231</v>
      </c>
      <c r="U247" s="84">
        <v>221</v>
      </c>
      <c r="V247" s="16"/>
      <c r="W247" s="28">
        <f t="shared" si="114"/>
        <v>9300</v>
      </c>
      <c r="X247" s="28">
        <f t="shared" si="114"/>
        <v>102060</v>
      </c>
      <c r="Y247" s="28">
        <f t="shared" si="114"/>
        <v>15600</v>
      </c>
      <c r="Z247" s="28">
        <f>W247+X247+Y247</f>
        <v>126960</v>
      </c>
      <c r="AA247" s="28">
        <f t="shared" si="115"/>
        <v>33150</v>
      </c>
      <c r="AB247" s="28">
        <f t="shared" si="115"/>
        <v>104650</v>
      </c>
      <c r="AC247" s="28">
        <f>SUM(AA247:AB247)</f>
        <v>137800</v>
      </c>
      <c r="AD247" s="77">
        <f t="shared" si="116"/>
        <v>145600</v>
      </c>
      <c r="AE247" s="77">
        <f t="shared" si="116"/>
        <v>150150</v>
      </c>
      <c r="AF247" s="99">
        <f t="shared" si="116"/>
        <v>143650</v>
      </c>
    </row>
    <row r="248" spans="1:32" x14ac:dyDescent="0.3">
      <c r="A248" s="55" t="s">
        <v>214</v>
      </c>
      <c r="B248" s="33"/>
      <c r="C248" s="36"/>
      <c r="D248" s="36"/>
      <c r="E248" s="37"/>
      <c r="F248" s="37"/>
      <c r="G248" s="37"/>
      <c r="H248" s="37"/>
      <c r="I248" s="37"/>
      <c r="J248" s="37"/>
      <c r="K248" s="16"/>
      <c r="L248" s="84"/>
      <c r="M248" s="84"/>
      <c r="N248" s="84"/>
      <c r="O248" s="84"/>
      <c r="P248" s="26"/>
      <c r="Q248" s="26"/>
      <c r="R248" s="84"/>
      <c r="S248" s="84"/>
      <c r="T248" s="84"/>
      <c r="U248" s="84"/>
      <c r="V248" s="16"/>
      <c r="W248" s="28">
        <f>SUM(W243:W247)</f>
        <v>194060</v>
      </c>
      <c r="X248" s="28">
        <f t="shared" ref="X248:AF248" si="117">SUM(X243:X247)</f>
        <v>2033640</v>
      </c>
      <c r="Y248" s="28">
        <f t="shared" si="117"/>
        <v>598400</v>
      </c>
      <c r="Z248" s="28">
        <f t="shared" si="117"/>
        <v>2826100</v>
      </c>
      <c r="AA248" s="28">
        <f t="shared" si="117"/>
        <v>1151950</v>
      </c>
      <c r="AB248" s="28">
        <f t="shared" si="117"/>
        <v>3648250</v>
      </c>
      <c r="AC248" s="28">
        <f t="shared" si="117"/>
        <v>4800200</v>
      </c>
      <c r="AD248" s="28">
        <f t="shared" si="117"/>
        <v>5033800</v>
      </c>
      <c r="AE248" s="28">
        <f t="shared" si="117"/>
        <v>4942350</v>
      </c>
      <c r="AF248" s="99">
        <f t="shared" si="117"/>
        <v>4860450</v>
      </c>
    </row>
    <row r="249" spans="1:32" x14ac:dyDescent="0.3">
      <c r="A249" s="55"/>
      <c r="B249" s="33"/>
      <c r="C249" s="36"/>
      <c r="D249" s="36"/>
      <c r="E249" s="37"/>
      <c r="F249" s="37"/>
      <c r="G249" s="37"/>
      <c r="H249" s="37"/>
      <c r="I249" s="37"/>
      <c r="J249" s="37"/>
      <c r="K249" s="16"/>
      <c r="L249" s="84"/>
      <c r="M249" s="84"/>
      <c r="N249" s="84"/>
      <c r="O249" s="84"/>
      <c r="P249" s="26"/>
      <c r="Q249" s="26"/>
      <c r="R249" s="84"/>
      <c r="S249" s="84"/>
      <c r="T249" s="84"/>
      <c r="U249" s="84"/>
      <c r="V249" s="16"/>
      <c r="W249" s="28"/>
      <c r="X249" s="28"/>
      <c r="Y249" s="28"/>
      <c r="Z249" s="28"/>
      <c r="AA249" s="28"/>
      <c r="AB249" s="28"/>
      <c r="AC249" s="28"/>
      <c r="AD249" s="77"/>
      <c r="AE249" s="28"/>
      <c r="AF249" s="99"/>
    </row>
    <row r="250" spans="1:32" x14ac:dyDescent="0.3">
      <c r="A250" s="55" t="s">
        <v>215</v>
      </c>
      <c r="B250" s="33"/>
      <c r="C250" s="36"/>
      <c r="D250" s="36"/>
      <c r="E250" s="37"/>
      <c r="F250" s="37"/>
      <c r="G250" s="37"/>
      <c r="H250" s="37"/>
      <c r="I250" s="37"/>
      <c r="J250" s="37"/>
      <c r="K250" s="16"/>
      <c r="L250" s="84"/>
      <c r="M250" s="84"/>
      <c r="N250" s="84"/>
      <c r="O250" s="84"/>
      <c r="P250" s="26"/>
      <c r="Q250" s="26"/>
      <c r="R250" s="84"/>
      <c r="S250" s="84"/>
      <c r="T250" s="84"/>
      <c r="U250" s="84"/>
      <c r="V250" s="16"/>
      <c r="W250" s="28"/>
      <c r="X250" s="28"/>
      <c r="Y250" s="28"/>
      <c r="Z250" s="28"/>
      <c r="AA250" s="28"/>
      <c r="AB250" s="28"/>
      <c r="AC250" s="28"/>
      <c r="AD250" s="77"/>
      <c r="AE250" s="28"/>
      <c r="AF250" s="99"/>
    </row>
    <row r="251" spans="1:32" x14ac:dyDescent="0.3">
      <c r="A251" s="21">
        <v>3401</v>
      </c>
      <c r="B251" s="22" t="s">
        <v>91</v>
      </c>
      <c r="C251" s="36"/>
      <c r="D251" s="36"/>
      <c r="E251" s="37">
        <v>200</v>
      </c>
      <c r="F251" s="37">
        <v>200</v>
      </c>
      <c r="G251" s="37">
        <v>200</v>
      </c>
      <c r="H251" s="37">
        <v>200</v>
      </c>
      <c r="I251" s="37">
        <v>200</v>
      </c>
      <c r="J251" s="37">
        <v>200</v>
      </c>
      <c r="K251" s="16"/>
      <c r="L251" s="84"/>
      <c r="M251" s="84"/>
      <c r="N251" s="84">
        <v>2291</v>
      </c>
      <c r="O251" s="84">
        <f>SUM(L251:N251)</f>
        <v>2291</v>
      </c>
      <c r="P251" s="26">
        <v>592</v>
      </c>
      <c r="Q251" s="26">
        <v>1873</v>
      </c>
      <c r="R251" s="84">
        <f>SUM(P251:Q251)</f>
        <v>2465</v>
      </c>
      <c r="S251" s="84">
        <v>2600</v>
      </c>
      <c r="T251" s="84">
        <v>2683</v>
      </c>
      <c r="U251" s="84">
        <v>2566</v>
      </c>
      <c r="V251" s="16"/>
      <c r="W251" s="28">
        <f t="shared" ref="W251:Y255" si="118">L251*C251</f>
        <v>0</v>
      </c>
      <c r="X251" s="28">
        <f t="shared" si="118"/>
        <v>0</v>
      </c>
      <c r="Y251" s="28">
        <f t="shared" si="118"/>
        <v>458200</v>
      </c>
      <c r="Z251" s="28">
        <f>W251+X251+Y251</f>
        <v>458200</v>
      </c>
      <c r="AA251" s="28">
        <f t="shared" ref="AA251:AB255" si="119">F251*P251</f>
        <v>118400</v>
      </c>
      <c r="AB251" s="28">
        <f t="shared" si="119"/>
        <v>374600</v>
      </c>
      <c r="AC251" s="28">
        <f>SUM(AA251:AB251)</f>
        <v>493000</v>
      </c>
      <c r="AD251" s="77">
        <f t="shared" ref="AD251:AF255" si="120">H251*S251</f>
        <v>520000</v>
      </c>
      <c r="AE251" s="77">
        <f t="shared" si="120"/>
        <v>536600</v>
      </c>
      <c r="AF251" s="99">
        <f t="shared" si="120"/>
        <v>513200</v>
      </c>
    </row>
    <row r="252" spans="1:32" x14ac:dyDescent="0.3">
      <c r="A252" s="21">
        <v>3402</v>
      </c>
      <c r="B252" s="22" t="s">
        <v>92</v>
      </c>
      <c r="C252" s="36"/>
      <c r="D252" s="36"/>
      <c r="E252" s="37">
        <v>0</v>
      </c>
      <c r="F252" s="37">
        <v>0</v>
      </c>
      <c r="G252" s="37">
        <v>0</v>
      </c>
      <c r="H252" s="37">
        <v>0</v>
      </c>
      <c r="I252" s="37">
        <v>0</v>
      </c>
      <c r="J252" s="37">
        <v>0</v>
      </c>
      <c r="K252" s="16"/>
      <c r="L252" s="84"/>
      <c r="M252" s="84"/>
      <c r="N252" s="84">
        <v>1053</v>
      </c>
      <c r="O252" s="84">
        <f>SUM(L252:N252)</f>
        <v>1053</v>
      </c>
      <c r="P252" s="26">
        <v>272</v>
      </c>
      <c r="Q252" s="26">
        <v>861</v>
      </c>
      <c r="R252" s="84">
        <f>SUM(P252:Q252)</f>
        <v>1133</v>
      </c>
      <c r="S252" s="84">
        <v>1195</v>
      </c>
      <c r="T252" s="84">
        <v>1233</v>
      </c>
      <c r="U252" s="84">
        <v>1180</v>
      </c>
      <c r="V252" s="16"/>
      <c r="W252" s="28">
        <f t="shared" si="118"/>
        <v>0</v>
      </c>
      <c r="X252" s="28">
        <f t="shared" si="118"/>
        <v>0</v>
      </c>
      <c r="Y252" s="28">
        <f t="shared" si="118"/>
        <v>0</v>
      </c>
      <c r="Z252" s="28">
        <f>W252+X252+Y252</f>
        <v>0</v>
      </c>
      <c r="AA252" s="28">
        <f t="shared" si="119"/>
        <v>0</v>
      </c>
      <c r="AB252" s="28">
        <f t="shared" si="119"/>
        <v>0</v>
      </c>
      <c r="AC252" s="28">
        <f>SUM(AA252:AB252)</f>
        <v>0</v>
      </c>
      <c r="AD252" s="77">
        <f t="shared" si="120"/>
        <v>0</v>
      </c>
      <c r="AE252" s="77">
        <f t="shared" si="120"/>
        <v>0</v>
      </c>
      <c r="AF252" s="99">
        <f t="shared" si="120"/>
        <v>0</v>
      </c>
    </row>
    <row r="253" spans="1:32" x14ac:dyDescent="0.3">
      <c r="A253" s="21" t="s">
        <v>203</v>
      </c>
      <c r="B253" s="100" t="s">
        <v>255</v>
      </c>
      <c r="C253" s="36"/>
      <c r="D253" s="36"/>
      <c r="E253" s="37">
        <v>500</v>
      </c>
      <c r="F253" s="37">
        <v>500</v>
      </c>
      <c r="G253" s="37">
        <v>500</v>
      </c>
      <c r="H253" s="37">
        <v>500</v>
      </c>
      <c r="I253" s="37">
        <v>500</v>
      </c>
      <c r="J253" s="37">
        <v>500</v>
      </c>
      <c r="K253" s="16"/>
      <c r="L253" s="84"/>
      <c r="M253" s="84"/>
      <c r="N253" s="84">
        <v>985</v>
      </c>
      <c r="O253" s="84">
        <f>SUM(L253:N253)</f>
        <v>985</v>
      </c>
      <c r="P253" s="26">
        <v>256</v>
      </c>
      <c r="Q253" s="26">
        <v>810</v>
      </c>
      <c r="R253" s="84">
        <f>SUM(P253:Q253)</f>
        <v>1066</v>
      </c>
      <c r="S253" s="84">
        <v>1098</v>
      </c>
      <c r="T253" s="84">
        <v>1020</v>
      </c>
      <c r="U253" s="84">
        <v>1036</v>
      </c>
      <c r="V253" s="16"/>
      <c r="W253" s="28">
        <f t="shared" si="118"/>
        <v>0</v>
      </c>
      <c r="X253" s="28">
        <f t="shared" si="118"/>
        <v>0</v>
      </c>
      <c r="Y253" s="28">
        <f t="shared" si="118"/>
        <v>492500</v>
      </c>
      <c r="Z253" s="28">
        <f>W253+X253+Y253</f>
        <v>492500</v>
      </c>
      <c r="AA253" s="28">
        <f t="shared" si="119"/>
        <v>128000</v>
      </c>
      <c r="AB253" s="28">
        <f t="shared" si="119"/>
        <v>405000</v>
      </c>
      <c r="AC253" s="28">
        <f>SUM(AA253:AB253)</f>
        <v>533000</v>
      </c>
      <c r="AD253" s="77">
        <f t="shared" si="120"/>
        <v>549000</v>
      </c>
      <c r="AE253" s="77">
        <f t="shared" si="120"/>
        <v>510000</v>
      </c>
      <c r="AF253" s="99">
        <f t="shared" si="120"/>
        <v>518000</v>
      </c>
    </row>
    <row r="254" spans="1:32" x14ac:dyDescent="0.3">
      <c r="A254" s="21" t="s">
        <v>203</v>
      </c>
      <c r="B254" s="22" t="s">
        <v>256</v>
      </c>
      <c r="C254" s="23"/>
      <c r="D254" s="23"/>
      <c r="E254" s="24">
        <v>500</v>
      </c>
      <c r="F254" s="24">
        <v>500</v>
      </c>
      <c r="G254" s="24">
        <v>500</v>
      </c>
      <c r="H254" s="24">
        <v>500</v>
      </c>
      <c r="I254" s="24">
        <v>500</v>
      </c>
      <c r="J254" s="24">
        <v>500</v>
      </c>
      <c r="K254" s="16"/>
      <c r="L254" s="132"/>
      <c r="M254" s="132"/>
      <c r="N254" s="139">
        <v>34</v>
      </c>
      <c r="O254" s="84">
        <f>SUM(L254:N254)</f>
        <v>34</v>
      </c>
      <c r="P254" s="140">
        <v>10</v>
      </c>
      <c r="Q254" s="140">
        <v>33</v>
      </c>
      <c r="R254" s="84">
        <f>SUM(P254:Q254)</f>
        <v>43</v>
      </c>
      <c r="S254" s="139">
        <v>57</v>
      </c>
      <c r="T254" s="139">
        <v>59</v>
      </c>
      <c r="U254" s="139">
        <v>57</v>
      </c>
      <c r="V254" s="16"/>
      <c r="W254" s="28">
        <f t="shared" si="118"/>
        <v>0</v>
      </c>
      <c r="X254" s="28">
        <f t="shared" si="118"/>
        <v>0</v>
      </c>
      <c r="Y254" s="28">
        <f t="shared" si="118"/>
        <v>17000</v>
      </c>
      <c r="Z254" s="28">
        <f>W254+X254+Y254</f>
        <v>17000</v>
      </c>
      <c r="AA254" s="28">
        <f t="shared" si="119"/>
        <v>5000</v>
      </c>
      <c r="AB254" s="28">
        <f t="shared" si="119"/>
        <v>16500</v>
      </c>
      <c r="AC254" s="28">
        <f>SUM(AA254:AB254)</f>
        <v>21500</v>
      </c>
      <c r="AD254" s="77">
        <f t="shared" si="120"/>
        <v>28500</v>
      </c>
      <c r="AE254" s="77">
        <f t="shared" si="120"/>
        <v>29500</v>
      </c>
      <c r="AF254" s="99">
        <f t="shared" si="120"/>
        <v>28500</v>
      </c>
    </row>
    <row r="255" spans="1:32" x14ac:dyDescent="0.3">
      <c r="A255" s="21">
        <v>3403</v>
      </c>
      <c r="B255" s="22" t="s">
        <v>93</v>
      </c>
      <c r="C255" s="36"/>
      <c r="D255" s="36"/>
      <c r="E255" s="37">
        <v>325</v>
      </c>
      <c r="F255" s="37">
        <v>325</v>
      </c>
      <c r="G255" s="37">
        <v>325</v>
      </c>
      <c r="H255" s="37">
        <v>325</v>
      </c>
      <c r="I255" s="37">
        <v>325</v>
      </c>
      <c r="J255" s="37">
        <v>325</v>
      </c>
      <c r="K255" s="16"/>
      <c r="L255" s="84"/>
      <c r="M255" s="84"/>
      <c r="N255" s="84">
        <v>89</v>
      </c>
      <c r="O255" s="84">
        <f>SUM(L255:N255)</f>
        <v>89</v>
      </c>
      <c r="P255" s="26">
        <v>23</v>
      </c>
      <c r="Q255" s="26">
        <v>72</v>
      </c>
      <c r="R255" s="84">
        <f>SUM(P255:Q255)</f>
        <v>95</v>
      </c>
      <c r="S255" s="84">
        <v>101</v>
      </c>
      <c r="T255" s="84">
        <v>104</v>
      </c>
      <c r="U255" s="84">
        <v>99</v>
      </c>
      <c r="V255" s="16"/>
      <c r="W255" s="28">
        <f t="shared" si="118"/>
        <v>0</v>
      </c>
      <c r="X255" s="28">
        <f t="shared" si="118"/>
        <v>0</v>
      </c>
      <c r="Y255" s="28">
        <f t="shared" si="118"/>
        <v>28925</v>
      </c>
      <c r="Z255" s="28">
        <f>W255+X255+Y255</f>
        <v>28925</v>
      </c>
      <c r="AA255" s="28">
        <f t="shared" si="119"/>
        <v>7475</v>
      </c>
      <c r="AB255" s="28">
        <f t="shared" si="119"/>
        <v>23400</v>
      </c>
      <c r="AC255" s="28">
        <f>SUM(AA255:AB255)</f>
        <v>30875</v>
      </c>
      <c r="AD255" s="77">
        <f t="shared" si="120"/>
        <v>32825</v>
      </c>
      <c r="AE255" s="77">
        <f t="shared" si="120"/>
        <v>33800</v>
      </c>
      <c r="AF255" s="99">
        <f t="shared" si="120"/>
        <v>32175</v>
      </c>
    </row>
    <row r="256" spans="1:32" x14ac:dyDescent="0.3">
      <c r="A256" s="55" t="s">
        <v>215</v>
      </c>
      <c r="B256" s="46"/>
      <c r="C256" s="36"/>
      <c r="D256" s="36"/>
      <c r="E256" s="36"/>
      <c r="F256" s="36"/>
      <c r="G256" s="36"/>
      <c r="H256" s="36"/>
      <c r="I256" s="36"/>
      <c r="J256" s="36"/>
      <c r="K256" s="16"/>
      <c r="L256" s="84"/>
      <c r="M256" s="84"/>
      <c r="N256" s="84"/>
      <c r="O256" s="84"/>
      <c r="P256" s="26"/>
      <c r="Q256" s="26"/>
      <c r="R256" s="84"/>
      <c r="S256" s="84"/>
      <c r="T256" s="84"/>
      <c r="U256" s="84"/>
      <c r="V256" s="16"/>
      <c r="W256" s="28">
        <f>SUM(W251:W255)</f>
        <v>0</v>
      </c>
      <c r="X256" s="28">
        <f t="shared" ref="X256:AF256" si="121">SUM(X251:X255)</f>
        <v>0</v>
      </c>
      <c r="Y256" s="28">
        <f t="shared" si="121"/>
        <v>996625</v>
      </c>
      <c r="Z256" s="28">
        <f t="shared" si="121"/>
        <v>996625</v>
      </c>
      <c r="AA256" s="28">
        <f t="shared" si="121"/>
        <v>258875</v>
      </c>
      <c r="AB256" s="28">
        <f t="shared" si="121"/>
        <v>819500</v>
      </c>
      <c r="AC256" s="28">
        <f t="shared" si="121"/>
        <v>1078375</v>
      </c>
      <c r="AD256" s="28">
        <f t="shared" si="121"/>
        <v>1130325</v>
      </c>
      <c r="AE256" s="28">
        <f t="shared" si="121"/>
        <v>1109900</v>
      </c>
      <c r="AF256" s="99">
        <f t="shared" si="121"/>
        <v>1091875</v>
      </c>
    </row>
    <row r="257" spans="1:32" x14ac:dyDescent="0.3">
      <c r="A257" s="55" t="s">
        <v>216</v>
      </c>
      <c r="B257" s="33"/>
      <c r="C257" s="36"/>
      <c r="D257" s="36"/>
      <c r="E257" s="36"/>
      <c r="F257" s="36"/>
      <c r="G257" s="36"/>
      <c r="H257" s="36"/>
      <c r="I257" s="36"/>
      <c r="J257" s="36"/>
      <c r="K257" s="16"/>
      <c r="L257" s="84"/>
      <c r="M257" s="84"/>
      <c r="N257" s="84"/>
      <c r="O257" s="84"/>
      <c r="P257" s="26"/>
      <c r="Q257" s="26"/>
      <c r="R257" s="84"/>
      <c r="S257" s="84"/>
      <c r="T257" s="84"/>
      <c r="U257" s="84"/>
      <c r="V257" s="16"/>
      <c r="W257" s="83">
        <f>SUM(W256,W248,W240)</f>
        <v>1908360</v>
      </c>
      <c r="X257" s="83">
        <f t="shared" ref="X257:AF257" si="122">SUM(X256,X248,X240)</f>
        <v>34440490</v>
      </c>
      <c r="Y257" s="83">
        <f t="shared" si="122"/>
        <v>15281025</v>
      </c>
      <c r="Z257" s="83">
        <f t="shared" si="122"/>
        <v>51629875</v>
      </c>
      <c r="AA257" s="83">
        <f t="shared" si="122"/>
        <v>16973375</v>
      </c>
      <c r="AB257" s="83">
        <f t="shared" si="122"/>
        <v>53829850</v>
      </c>
      <c r="AC257" s="83">
        <f t="shared" si="122"/>
        <v>70803225</v>
      </c>
      <c r="AD257" s="83">
        <f t="shared" si="122"/>
        <v>76626425</v>
      </c>
      <c r="AE257" s="83">
        <f t="shared" si="122"/>
        <v>81085450</v>
      </c>
      <c r="AF257" s="85">
        <f t="shared" si="122"/>
        <v>82839275</v>
      </c>
    </row>
    <row r="258" spans="1:32" x14ac:dyDescent="0.3">
      <c r="A258" s="55"/>
      <c r="B258" s="33"/>
      <c r="C258" s="36"/>
      <c r="D258" s="36"/>
      <c r="E258" s="36"/>
      <c r="F258" s="36"/>
      <c r="G258" s="36"/>
      <c r="H258" s="36"/>
      <c r="I258" s="36"/>
      <c r="J258" s="36"/>
      <c r="K258" s="16"/>
      <c r="L258" s="25"/>
      <c r="M258" s="25"/>
      <c r="N258" s="25"/>
      <c r="O258" s="25"/>
      <c r="P258" s="26"/>
      <c r="Q258" s="26"/>
      <c r="R258" s="25"/>
      <c r="S258" s="25"/>
      <c r="T258" s="25"/>
      <c r="U258" s="25"/>
      <c r="V258" s="16"/>
      <c r="W258" s="28"/>
      <c r="X258" s="28"/>
      <c r="Y258" s="28"/>
      <c r="Z258" s="28"/>
      <c r="AA258" s="28"/>
      <c r="AB258" s="28"/>
      <c r="AC258" s="28"/>
      <c r="AD258" s="77"/>
      <c r="AE258" s="28"/>
      <c r="AF258" s="99"/>
    </row>
    <row r="259" spans="1:32" x14ac:dyDescent="0.3">
      <c r="A259" s="55" t="s">
        <v>95</v>
      </c>
      <c r="B259" s="33"/>
      <c r="C259" s="36"/>
      <c r="D259" s="36"/>
      <c r="E259" s="36"/>
      <c r="F259" s="36"/>
      <c r="G259" s="36"/>
      <c r="H259" s="36"/>
      <c r="I259" s="36"/>
      <c r="J259" s="36"/>
      <c r="K259" s="16"/>
      <c r="L259" s="84"/>
      <c r="M259" s="84"/>
      <c r="N259" s="84"/>
      <c r="O259" s="84"/>
      <c r="P259" s="26"/>
      <c r="Q259" s="26"/>
      <c r="R259" s="84"/>
      <c r="S259" s="84"/>
      <c r="T259" s="84"/>
      <c r="U259" s="84"/>
      <c r="V259" s="16"/>
      <c r="W259" s="28"/>
      <c r="X259" s="28"/>
      <c r="Y259" s="28"/>
      <c r="Z259" s="28"/>
      <c r="AA259" s="28"/>
      <c r="AB259" s="28"/>
      <c r="AC259" s="28"/>
      <c r="AD259" s="77"/>
      <c r="AE259" s="28"/>
      <c r="AF259" s="99"/>
    </row>
    <row r="260" spans="1:32" x14ac:dyDescent="0.3">
      <c r="A260" s="21">
        <v>1452</v>
      </c>
      <c r="B260" s="22" t="s">
        <v>96</v>
      </c>
      <c r="C260" s="23">
        <v>620</v>
      </c>
      <c r="D260" s="23">
        <v>630</v>
      </c>
      <c r="E260" s="24">
        <v>640</v>
      </c>
      <c r="F260" s="24">
        <v>640</v>
      </c>
      <c r="G260" s="24">
        <v>640</v>
      </c>
      <c r="H260" s="24">
        <v>640</v>
      </c>
      <c r="I260" s="24">
        <v>640</v>
      </c>
      <c r="J260" s="24">
        <v>640</v>
      </c>
      <c r="K260" s="16"/>
      <c r="L260" s="84">
        <v>3</v>
      </c>
      <c r="M260" s="84">
        <v>44</v>
      </c>
      <c r="N260" s="84">
        <v>48</v>
      </c>
      <c r="O260" s="84">
        <f>SUM(L260:N260)</f>
        <v>95</v>
      </c>
      <c r="P260" s="26">
        <v>25</v>
      </c>
      <c r="Q260" s="26">
        <v>79</v>
      </c>
      <c r="R260" s="84">
        <f>SUM(P260:Q260)</f>
        <v>104</v>
      </c>
      <c r="S260" s="84">
        <v>110</v>
      </c>
      <c r="T260" s="84">
        <v>111</v>
      </c>
      <c r="U260" s="84">
        <v>102</v>
      </c>
      <c r="V260" s="16"/>
      <c r="W260" s="28">
        <f t="shared" ref="W260:Y262" si="123">L260*C260</f>
        <v>1860</v>
      </c>
      <c r="X260" s="28">
        <f t="shared" si="123"/>
        <v>27720</v>
      </c>
      <c r="Y260" s="28">
        <f t="shared" si="123"/>
        <v>30720</v>
      </c>
      <c r="Z260" s="28">
        <f>W260+X260+Y260</f>
        <v>60300</v>
      </c>
      <c r="AA260" s="28">
        <f t="shared" ref="AA260:AB262" si="124">F260*P260</f>
        <v>16000</v>
      </c>
      <c r="AB260" s="28">
        <f t="shared" si="124"/>
        <v>50560</v>
      </c>
      <c r="AC260" s="28">
        <f>SUM(AA260:AB260)</f>
        <v>66560</v>
      </c>
      <c r="AD260" s="77">
        <f t="shared" ref="AD260:AF262" si="125">H260*S260</f>
        <v>70400</v>
      </c>
      <c r="AE260" s="77">
        <f t="shared" si="125"/>
        <v>71040</v>
      </c>
      <c r="AF260" s="99">
        <f t="shared" si="125"/>
        <v>65280</v>
      </c>
    </row>
    <row r="261" spans="1:32" x14ac:dyDescent="0.3">
      <c r="A261" s="21">
        <v>1453</v>
      </c>
      <c r="B261" s="22" t="s">
        <v>97</v>
      </c>
      <c r="C261" s="23">
        <v>1860</v>
      </c>
      <c r="D261" s="23">
        <v>1890</v>
      </c>
      <c r="E261" s="24">
        <v>1900</v>
      </c>
      <c r="F261" s="24">
        <v>1900</v>
      </c>
      <c r="G261" s="24">
        <v>1900</v>
      </c>
      <c r="H261" s="24">
        <v>1900</v>
      </c>
      <c r="I261" s="24">
        <v>1900</v>
      </c>
      <c r="J261" s="24">
        <v>1900</v>
      </c>
      <c r="K261" s="16"/>
      <c r="L261" s="84">
        <v>144</v>
      </c>
      <c r="M261" s="84">
        <v>1840</v>
      </c>
      <c r="N261" s="84">
        <v>2017</v>
      </c>
      <c r="O261" s="84">
        <f>SUM(L261:N261)</f>
        <v>4001</v>
      </c>
      <c r="P261" s="26">
        <v>1008</v>
      </c>
      <c r="Q261" s="26">
        <v>3193</v>
      </c>
      <c r="R261" s="84">
        <f>SUM(P261:Q261)</f>
        <v>4201</v>
      </c>
      <c r="S261" s="84">
        <v>4411</v>
      </c>
      <c r="T261" s="84">
        <v>4632</v>
      </c>
      <c r="U261" s="84">
        <v>4863</v>
      </c>
      <c r="V261" s="16"/>
      <c r="W261" s="28">
        <f t="shared" si="123"/>
        <v>267840</v>
      </c>
      <c r="X261" s="28">
        <f t="shared" si="123"/>
        <v>3477600</v>
      </c>
      <c r="Y261" s="28">
        <f t="shared" si="123"/>
        <v>3832300</v>
      </c>
      <c r="Z261" s="28">
        <f>W261+X261+Y261</f>
        <v>7577740</v>
      </c>
      <c r="AA261" s="28">
        <f t="shared" si="124"/>
        <v>1915200</v>
      </c>
      <c r="AB261" s="28">
        <f t="shared" si="124"/>
        <v>6066700</v>
      </c>
      <c r="AC261" s="28">
        <f>SUM(AA261:AB261)</f>
        <v>7981900</v>
      </c>
      <c r="AD261" s="77">
        <f t="shared" si="125"/>
        <v>8380900</v>
      </c>
      <c r="AE261" s="77">
        <f t="shared" si="125"/>
        <v>8800800</v>
      </c>
      <c r="AF261" s="99">
        <f t="shared" si="125"/>
        <v>9239700</v>
      </c>
    </row>
    <row r="262" spans="1:32" x14ac:dyDescent="0.3">
      <c r="A262" s="21">
        <v>1814</v>
      </c>
      <c r="B262" s="22" t="s">
        <v>98</v>
      </c>
      <c r="C262" s="23">
        <v>160</v>
      </c>
      <c r="D262" s="23">
        <v>160</v>
      </c>
      <c r="E262" s="24">
        <v>160</v>
      </c>
      <c r="F262" s="24">
        <v>160</v>
      </c>
      <c r="G262" s="24">
        <v>160</v>
      </c>
      <c r="H262" s="24">
        <v>160</v>
      </c>
      <c r="I262" s="24">
        <v>160</v>
      </c>
      <c r="J262" s="24">
        <v>160</v>
      </c>
      <c r="K262" s="16"/>
      <c r="L262" s="84">
        <v>2330</v>
      </c>
      <c r="M262" s="84">
        <v>29778</v>
      </c>
      <c r="N262" s="84">
        <v>32626</v>
      </c>
      <c r="O262" s="84">
        <f>SUM(L262:N262)</f>
        <v>64734</v>
      </c>
      <c r="P262" s="26">
        <v>17984</v>
      </c>
      <c r="Q262" s="26">
        <v>56950</v>
      </c>
      <c r="R262" s="84">
        <f>SUM(P262:Q262)</f>
        <v>74934</v>
      </c>
      <c r="S262" s="84">
        <v>86752</v>
      </c>
      <c r="T262" s="84">
        <v>100449</v>
      </c>
      <c r="U262" s="84">
        <v>116325</v>
      </c>
      <c r="V262" s="16"/>
      <c r="W262" s="28">
        <f t="shared" si="123"/>
        <v>372800</v>
      </c>
      <c r="X262" s="28">
        <f t="shared" si="123"/>
        <v>4764480</v>
      </c>
      <c r="Y262" s="28">
        <f t="shared" si="123"/>
        <v>5220160</v>
      </c>
      <c r="Z262" s="28">
        <f>W262+X262+Y262</f>
        <v>10357440</v>
      </c>
      <c r="AA262" s="28">
        <f t="shared" si="124"/>
        <v>2877440</v>
      </c>
      <c r="AB262" s="28">
        <f t="shared" si="124"/>
        <v>9112000</v>
      </c>
      <c r="AC262" s="28">
        <f>SUM(AA262:AB262)</f>
        <v>11989440</v>
      </c>
      <c r="AD262" s="77">
        <f t="shared" si="125"/>
        <v>13880320</v>
      </c>
      <c r="AE262" s="77">
        <f t="shared" si="125"/>
        <v>16071840</v>
      </c>
      <c r="AF262" s="99">
        <f t="shared" si="125"/>
        <v>18612000</v>
      </c>
    </row>
    <row r="263" spans="1:32" x14ac:dyDescent="0.3">
      <c r="A263" s="55" t="s">
        <v>95</v>
      </c>
      <c r="B263" s="33"/>
      <c r="C263" s="36"/>
      <c r="D263" s="23"/>
      <c r="E263" s="37"/>
      <c r="F263" s="37"/>
      <c r="G263" s="37"/>
      <c r="H263" s="37"/>
      <c r="I263" s="37"/>
      <c r="J263" s="37"/>
      <c r="K263" s="16"/>
      <c r="L263" s="25"/>
      <c r="M263" s="25"/>
      <c r="N263" s="25"/>
      <c r="O263" s="25"/>
      <c r="P263" s="26"/>
      <c r="Q263" s="26"/>
      <c r="R263" s="27"/>
      <c r="S263" s="27"/>
      <c r="T263" s="27"/>
      <c r="U263" s="27"/>
      <c r="V263" s="16"/>
      <c r="W263" s="28">
        <f>SUM(W260:W262)</f>
        <v>642500</v>
      </c>
      <c r="X263" s="28">
        <f t="shared" ref="X263:AF263" si="126">SUM(X260:X262)</f>
        <v>8269800</v>
      </c>
      <c r="Y263" s="28">
        <f t="shared" si="126"/>
        <v>9083180</v>
      </c>
      <c r="Z263" s="28">
        <f t="shared" si="126"/>
        <v>17995480</v>
      </c>
      <c r="AA263" s="28">
        <f t="shared" si="126"/>
        <v>4808640</v>
      </c>
      <c r="AB263" s="28">
        <f t="shared" si="126"/>
        <v>15229260</v>
      </c>
      <c r="AC263" s="28">
        <f t="shared" si="126"/>
        <v>20037900</v>
      </c>
      <c r="AD263" s="28">
        <f t="shared" si="126"/>
        <v>22331620</v>
      </c>
      <c r="AE263" s="28">
        <f t="shared" si="126"/>
        <v>24943680</v>
      </c>
      <c r="AF263" s="99">
        <f t="shared" si="126"/>
        <v>27916980</v>
      </c>
    </row>
    <row r="264" spans="1:32" x14ac:dyDescent="0.3">
      <c r="A264" s="55"/>
      <c r="B264" s="33"/>
      <c r="C264" s="36"/>
      <c r="D264" s="23"/>
      <c r="E264" s="37"/>
      <c r="F264" s="37"/>
      <c r="G264" s="37"/>
      <c r="H264" s="37"/>
      <c r="I264" s="37"/>
      <c r="J264" s="37"/>
      <c r="K264" s="16"/>
      <c r="L264" s="25"/>
      <c r="M264" s="25"/>
      <c r="N264" s="25"/>
      <c r="O264" s="25"/>
      <c r="P264" s="26"/>
      <c r="Q264" s="26"/>
      <c r="R264" s="25"/>
      <c r="S264" s="27"/>
      <c r="T264" s="27"/>
      <c r="U264" s="27"/>
      <c r="V264" s="16"/>
      <c r="W264" s="28"/>
      <c r="X264" s="28"/>
      <c r="Y264" s="28"/>
      <c r="Z264" s="28"/>
      <c r="AA264" s="28"/>
      <c r="AB264" s="28"/>
      <c r="AC264" s="28"/>
      <c r="AD264" s="77"/>
      <c r="AE264" s="28"/>
      <c r="AF264" s="99"/>
    </row>
    <row r="265" spans="1:32" x14ac:dyDescent="0.3">
      <c r="A265" s="55" t="s">
        <v>99</v>
      </c>
      <c r="B265" s="33"/>
      <c r="C265" s="36"/>
      <c r="D265" s="23"/>
      <c r="E265" s="37"/>
      <c r="F265" s="37"/>
      <c r="G265" s="37"/>
      <c r="H265" s="37"/>
      <c r="I265" s="37"/>
      <c r="J265" s="37"/>
      <c r="K265" s="16"/>
      <c r="L265" s="25"/>
      <c r="M265" s="25"/>
      <c r="N265" s="25"/>
      <c r="O265" s="25"/>
      <c r="P265" s="26"/>
      <c r="Q265" s="26"/>
      <c r="R265" s="27"/>
      <c r="S265" s="27"/>
      <c r="T265" s="27"/>
      <c r="U265" s="27"/>
      <c r="V265" s="16"/>
      <c r="W265" s="28"/>
      <c r="X265" s="28"/>
      <c r="Y265" s="28"/>
      <c r="Z265" s="28"/>
      <c r="AA265" s="28"/>
      <c r="AB265" s="28"/>
      <c r="AC265" s="28"/>
      <c r="AD265" s="77"/>
      <c r="AE265" s="28"/>
      <c r="AF265" s="99"/>
    </row>
    <row r="266" spans="1:32" x14ac:dyDescent="0.3">
      <c r="A266" s="21">
        <v>2452</v>
      </c>
      <c r="B266" s="22" t="s">
        <v>96</v>
      </c>
      <c r="C266" s="36">
        <v>310</v>
      </c>
      <c r="D266" s="23">
        <v>315</v>
      </c>
      <c r="E266" s="37">
        <v>320</v>
      </c>
      <c r="F266" s="24">
        <v>320</v>
      </c>
      <c r="G266" s="24">
        <v>320</v>
      </c>
      <c r="H266" s="24">
        <v>320</v>
      </c>
      <c r="I266" s="24">
        <v>320</v>
      </c>
      <c r="J266" s="24">
        <v>320</v>
      </c>
      <c r="K266" s="16"/>
      <c r="L266" s="84">
        <v>5</v>
      </c>
      <c r="M266" s="84">
        <v>67</v>
      </c>
      <c r="N266" s="84">
        <v>73</v>
      </c>
      <c r="O266" s="84">
        <f>SUM(L266:N266)</f>
        <v>145</v>
      </c>
      <c r="P266" s="26">
        <v>38</v>
      </c>
      <c r="Q266" s="26">
        <v>121</v>
      </c>
      <c r="R266" s="84">
        <f>SUM(P266:Q266)</f>
        <v>159</v>
      </c>
      <c r="S266" s="84">
        <v>168</v>
      </c>
      <c r="T266" s="84">
        <v>169</v>
      </c>
      <c r="U266" s="84">
        <v>155</v>
      </c>
      <c r="V266" s="16"/>
      <c r="W266" s="28">
        <f t="shared" ref="W266:Y268" si="127">L266*C266</f>
        <v>1550</v>
      </c>
      <c r="X266" s="28">
        <f t="shared" si="127"/>
        <v>21105</v>
      </c>
      <c r="Y266" s="28">
        <f t="shared" si="127"/>
        <v>23360</v>
      </c>
      <c r="Z266" s="28">
        <f>W266+X266+Y266</f>
        <v>46015</v>
      </c>
      <c r="AA266" s="28">
        <f t="shared" ref="AA266:AB268" si="128">F266*P266</f>
        <v>12160</v>
      </c>
      <c r="AB266" s="28">
        <f t="shared" si="128"/>
        <v>38720</v>
      </c>
      <c r="AC266" s="28">
        <f>SUM(AA266:AB266)</f>
        <v>50880</v>
      </c>
      <c r="AD266" s="77">
        <f t="shared" ref="AD266:AF268" si="129">H266*S266</f>
        <v>53760</v>
      </c>
      <c r="AE266" s="77">
        <f t="shared" si="129"/>
        <v>54080</v>
      </c>
      <c r="AF266" s="99">
        <f t="shared" si="129"/>
        <v>49600</v>
      </c>
    </row>
    <row r="267" spans="1:32" x14ac:dyDescent="0.3">
      <c r="A267" s="21">
        <v>2453</v>
      </c>
      <c r="B267" s="22" t="s">
        <v>97</v>
      </c>
      <c r="C267" s="36">
        <v>930</v>
      </c>
      <c r="D267" s="23">
        <v>945</v>
      </c>
      <c r="E267" s="37">
        <v>950</v>
      </c>
      <c r="F267" s="24">
        <v>950</v>
      </c>
      <c r="G267" s="24">
        <v>950</v>
      </c>
      <c r="H267" s="24">
        <v>950</v>
      </c>
      <c r="I267" s="24">
        <v>950</v>
      </c>
      <c r="J267" s="24">
        <v>950</v>
      </c>
      <c r="K267" s="16"/>
      <c r="L267" s="84">
        <v>109</v>
      </c>
      <c r="M267" s="84">
        <v>1391</v>
      </c>
      <c r="N267" s="84">
        <v>1524</v>
      </c>
      <c r="O267" s="84">
        <f>SUM(L267:N267)</f>
        <v>3024</v>
      </c>
      <c r="P267" s="26">
        <v>762</v>
      </c>
      <c r="Q267" s="26">
        <v>2413</v>
      </c>
      <c r="R267" s="84">
        <f>SUM(P267:Q267)</f>
        <v>3175</v>
      </c>
      <c r="S267" s="84">
        <v>3334</v>
      </c>
      <c r="T267" s="84">
        <v>3500</v>
      </c>
      <c r="U267" s="84">
        <v>3675</v>
      </c>
      <c r="V267" s="16"/>
      <c r="W267" s="28">
        <f t="shared" si="127"/>
        <v>101370</v>
      </c>
      <c r="X267" s="28">
        <f t="shared" si="127"/>
        <v>1314495</v>
      </c>
      <c r="Y267" s="28">
        <f t="shared" si="127"/>
        <v>1447800</v>
      </c>
      <c r="Z267" s="28">
        <f>W267+X267+Y267</f>
        <v>2863665</v>
      </c>
      <c r="AA267" s="28">
        <f t="shared" si="128"/>
        <v>723900</v>
      </c>
      <c r="AB267" s="28">
        <f t="shared" si="128"/>
        <v>2292350</v>
      </c>
      <c r="AC267" s="28">
        <f>SUM(AA267:AB267)</f>
        <v>3016250</v>
      </c>
      <c r="AD267" s="28">
        <f t="shared" si="129"/>
        <v>3167300</v>
      </c>
      <c r="AE267" s="28">
        <f t="shared" si="129"/>
        <v>3325000</v>
      </c>
      <c r="AF267" s="99">
        <f t="shared" si="129"/>
        <v>3491250</v>
      </c>
    </row>
    <row r="268" spans="1:32" x14ac:dyDescent="0.3">
      <c r="A268" s="21">
        <v>2814</v>
      </c>
      <c r="B268" s="22" t="s">
        <v>98</v>
      </c>
      <c r="C268" s="36">
        <v>80</v>
      </c>
      <c r="D268" s="23">
        <v>80</v>
      </c>
      <c r="E268" s="37">
        <v>0</v>
      </c>
      <c r="F268" s="24">
        <v>0</v>
      </c>
      <c r="G268" s="24">
        <v>0</v>
      </c>
      <c r="H268" s="24">
        <v>0</v>
      </c>
      <c r="I268" s="24">
        <v>0</v>
      </c>
      <c r="J268" s="24">
        <v>0</v>
      </c>
      <c r="K268" s="16"/>
      <c r="L268" s="84">
        <v>0</v>
      </c>
      <c r="M268" s="84">
        <v>0</v>
      </c>
      <c r="N268" s="84">
        <v>0</v>
      </c>
      <c r="O268" s="84">
        <f>SUM(L268:N268)</f>
        <v>0</v>
      </c>
      <c r="P268" s="26">
        <v>0</v>
      </c>
      <c r="Q268" s="26">
        <v>0</v>
      </c>
      <c r="R268" s="84">
        <f>SUM(P268:Q268)</f>
        <v>0</v>
      </c>
      <c r="S268" s="84">
        <v>0</v>
      </c>
      <c r="T268" s="84">
        <v>0</v>
      </c>
      <c r="U268" s="84">
        <v>0</v>
      </c>
      <c r="V268" s="16"/>
      <c r="W268" s="28">
        <f t="shared" si="127"/>
        <v>0</v>
      </c>
      <c r="X268" s="28">
        <f t="shared" si="127"/>
        <v>0</v>
      </c>
      <c r="Y268" s="28">
        <f t="shared" si="127"/>
        <v>0</v>
      </c>
      <c r="Z268" s="28">
        <f>W268+X268+Y268</f>
        <v>0</v>
      </c>
      <c r="AA268" s="28">
        <f t="shared" si="128"/>
        <v>0</v>
      </c>
      <c r="AB268" s="28">
        <f t="shared" si="128"/>
        <v>0</v>
      </c>
      <c r="AC268" s="28">
        <f>SUM(AA268:AB268)</f>
        <v>0</v>
      </c>
      <c r="AD268" s="77">
        <f t="shared" si="129"/>
        <v>0</v>
      </c>
      <c r="AE268" s="77">
        <f t="shared" si="129"/>
        <v>0</v>
      </c>
      <c r="AF268" s="99">
        <f t="shared" si="129"/>
        <v>0</v>
      </c>
    </row>
    <row r="269" spans="1:32" x14ac:dyDescent="0.3">
      <c r="A269" s="32" t="s">
        <v>99</v>
      </c>
      <c r="B269" s="33"/>
      <c r="C269" s="36"/>
      <c r="D269" s="36"/>
      <c r="E269" s="37"/>
      <c r="F269" s="37"/>
      <c r="G269" s="37"/>
      <c r="H269" s="37"/>
      <c r="I269" s="37"/>
      <c r="J269" s="37"/>
      <c r="K269" s="16"/>
      <c r="L269" s="84"/>
      <c r="M269" s="84"/>
      <c r="N269" s="84"/>
      <c r="O269" s="84"/>
      <c r="P269" s="26"/>
      <c r="Q269" s="26"/>
      <c r="R269" s="84"/>
      <c r="S269" s="84"/>
      <c r="T269" s="84"/>
      <c r="U269" s="84"/>
      <c r="V269" s="16"/>
      <c r="W269" s="35">
        <f>SUM(W266:W268)</f>
        <v>102920</v>
      </c>
      <c r="X269" s="35">
        <f t="shared" ref="X269:AF269" si="130">SUM(X266:X268)</f>
        <v>1335600</v>
      </c>
      <c r="Y269" s="35">
        <f t="shared" si="130"/>
        <v>1471160</v>
      </c>
      <c r="Z269" s="35">
        <f t="shared" si="130"/>
        <v>2909680</v>
      </c>
      <c r="AA269" s="35">
        <f t="shared" si="130"/>
        <v>736060</v>
      </c>
      <c r="AB269" s="35">
        <f t="shared" si="130"/>
        <v>2331070</v>
      </c>
      <c r="AC269" s="35">
        <f t="shared" si="130"/>
        <v>3067130</v>
      </c>
      <c r="AD269" s="35">
        <f t="shared" si="130"/>
        <v>3221060</v>
      </c>
      <c r="AE269" s="35">
        <f t="shared" si="130"/>
        <v>3379080</v>
      </c>
      <c r="AF269" s="106">
        <f t="shared" si="130"/>
        <v>3540850</v>
      </c>
    </row>
    <row r="270" spans="1:32" x14ac:dyDescent="0.3">
      <c r="A270" s="32"/>
      <c r="B270" s="33"/>
      <c r="C270" s="36"/>
      <c r="D270" s="36"/>
      <c r="E270" s="37"/>
      <c r="F270" s="37"/>
      <c r="G270" s="37"/>
      <c r="H270" s="37"/>
      <c r="I270" s="37"/>
      <c r="J270" s="37"/>
      <c r="K270" s="16"/>
      <c r="L270" s="84"/>
      <c r="M270" s="84"/>
      <c r="N270" s="84"/>
      <c r="O270" s="84"/>
      <c r="P270" s="26"/>
      <c r="Q270" s="26"/>
      <c r="R270" s="84"/>
      <c r="S270" s="84"/>
      <c r="T270" s="84"/>
      <c r="U270" s="84"/>
      <c r="V270" s="16"/>
      <c r="W270" s="28"/>
      <c r="X270" s="28"/>
      <c r="Y270" s="28"/>
      <c r="Z270" s="28"/>
      <c r="AA270" s="28"/>
      <c r="AB270" s="28"/>
      <c r="AC270" s="28"/>
      <c r="AD270" s="77"/>
      <c r="AE270" s="28"/>
      <c r="AF270" s="99"/>
    </row>
    <row r="271" spans="1:32" s="136" customFormat="1" x14ac:dyDescent="0.3">
      <c r="A271" s="137" t="s">
        <v>100</v>
      </c>
      <c r="B271" s="33"/>
      <c r="C271" s="37"/>
      <c r="D271" s="37"/>
      <c r="E271" s="37"/>
      <c r="F271" s="37"/>
      <c r="G271" s="37"/>
      <c r="H271" s="37"/>
      <c r="I271" s="37"/>
      <c r="J271" s="37"/>
      <c r="K271" s="1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16"/>
      <c r="W271" s="134"/>
      <c r="X271" s="134"/>
      <c r="Y271" s="134"/>
      <c r="Z271" s="134"/>
      <c r="AA271" s="134"/>
      <c r="AB271" s="134"/>
      <c r="AC271" s="134"/>
      <c r="AD271" s="78"/>
      <c r="AE271" s="134"/>
      <c r="AF271" s="135"/>
    </row>
    <row r="272" spans="1:32" s="136" customFormat="1" x14ac:dyDescent="0.3">
      <c r="A272" s="29">
        <v>3452</v>
      </c>
      <c r="B272" s="22" t="s">
        <v>96</v>
      </c>
      <c r="C272" s="37"/>
      <c r="D272" s="37"/>
      <c r="E272" s="37">
        <v>160</v>
      </c>
      <c r="F272" s="24">
        <v>160</v>
      </c>
      <c r="G272" s="24">
        <v>160</v>
      </c>
      <c r="H272" s="24">
        <v>160</v>
      </c>
      <c r="I272" s="24">
        <v>160</v>
      </c>
      <c r="J272" s="24">
        <v>160</v>
      </c>
      <c r="K272" s="16"/>
      <c r="L272" s="26"/>
      <c r="M272" s="26"/>
      <c r="N272" s="26">
        <v>65</v>
      </c>
      <c r="O272" s="84">
        <f>SUM(L272:N272)</f>
        <v>65</v>
      </c>
      <c r="P272" s="26">
        <v>17</v>
      </c>
      <c r="Q272" s="26">
        <v>54</v>
      </c>
      <c r="R272" s="84">
        <f>SUM(P272:Q272)</f>
        <v>71</v>
      </c>
      <c r="S272" s="26">
        <v>75</v>
      </c>
      <c r="T272" s="26">
        <v>76</v>
      </c>
      <c r="U272" s="26">
        <v>70</v>
      </c>
      <c r="V272" s="16"/>
      <c r="W272" s="134">
        <f t="shared" ref="W272:Y273" si="131">L272*C272</f>
        <v>0</v>
      </c>
      <c r="X272" s="134">
        <f t="shared" si="131"/>
        <v>0</v>
      </c>
      <c r="Y272" s="134">
        <f t="shared" si="131"/>
        <v>10400</v>
      </c>
      <c r="Z272" s="28">
        <f>W272+X272+Y272</f>
        <v>10400</v>
      </c>
      <c r="AA272" s="134">
        <f>F272*P272</f>
        <v>2720</v>
      </c>
      <c r="AB272" s="134">
        <f>G272*Q272</f>
        <v>8640</v>
      </c>
      <c r="AC272" s="134">
        <f>SUM(AA272:AB272)</f>
        <v>11360</v>
      </c>
      <c r="AD272" s="78">
        <f t="shared" ref="AD272:AF273" si="132">H272*S272</f>
        <v>12000</v>
      </c>
      <c r="AE272" s="78">
        <f t="shared" si="132"/>
        <v>12160</v>
      </c>
      <c r="AF272" s="135">
        <f t="shared" si="132"/>
        <v>11200</v>
      </c>
    </row>
    <row r="273" spans="1:32" s="136" customFormat="1" x14ac:dyDescent="0.3">
      <c r="A273" s="29">
        <v>3453</v>
      </c>
      <c r="B273" s="22" t="s">
        <v>97</v>
      </c>
      <c r="C273" s="37"/>
      <c r="D273" s="37"/>
      <c r="E273" s="37">
        <v>475</v>
      </c>
      <c r="F273" s="24">
        <v>475</v>
      </c>
      <c r="G273" s="24">
        <v>475</v>
      </c>
      <c r="H273" s="24">
        <v>475</v>
      </c>
      <c r="I273" s="24">
        <v>475</v>
      </c>
      <c r="J273" s="24">
        <v>475</v>
      </c>
      <c r="K273" s="16"/>
      <c r="L273" s="26"/>
      <c r="M273" s="26"/>
      <c r="N273" s="26">
        <v>1358</v>
      </c>
      <c r="O273" s="84">
        <f>SUM(L273:N273)</f>
        <v>1358</v>
      </c>
      <c r="P273" s="26">
        <v>342</v>
      </c>
      <c r="Q273" s="26">
        <v>1084</v>
      </c>
      <c r="R273" s="84">
        <f>SUM(P273:Q273)</f>
        <v>1426</v>
      </c>
      <c r="S273" s="26">
        <v>1498</v>
      </c>
      <c r="T273" s="26">
        <v>1573</v>
      </c>
      <c r="U273" s="26">
        <v>1651</v>
      </c>
      <c r="V273" s="16"/>
      <c r="W273" s="134">
        <f t="shared" si="131"/>
        <v>0</v>
      </c>
      <c r="X273" s="134">
        <f t="shared" si="131"/>
        <v>0</v>
      </c>
      <c r="Y273" s="134">
        <f t="shared" si="131"/>
        <v>645050</v>
      </c>
      <c r="Z273" s="28">
        <f>W273+X273+Y273</f>
        <v>645050</v>
      </c>
      <c r="AA273" s="134">
        <f>F273*P273</f>
        <v>162450</v>
      </c>
      <c r="AB273" s="134">
        <f>G273*Q273</f>
        <v>514900</v>
      </c>
      <c r="AC273" s="134">
        <f>SUM(AA273:AB273)</f>
        <v>677350</v>
      </c>
      <c r="AD273" s="78">
        <f t="shared" si="132"/>
        <v>711550</v>
      </c>
      <c r="AE273" s="78">
        <f t="shared" si="132"/>
        <v>747175</v>
      </c>
      <c r="AF273" s="135">
        <f t="shared" si="132"/>
        <v>784225</v>
      </c>
    </row>
    <row r="274" spans="1:32" s="136" customFormat="1" x14ac:dyDescent="0.3">
      <c r="A274" s="138" t="s">
        <v>100</v>
      </c>
      <c r="B274" s="33"/>
      <c r="C274" s="37"/>
      <c r="D274" s="37"/>
      <c r="E274" s="37"/>
      <c r="F274" s="37"/>
      <c r="G274" s="37"/>
      <c r="H274" s="37"/>
      <c r="I274" s="37"/>
      <c r="J274" s="37"/>
      <c r="K274" s="16"/>
      <c r="L274" s="26"/>
      <c r="M274" s="26"/>
      <c r="N274" s="26"/>
      <c r="O274" s="26"/>
      <c r="P274" s="26"/>
      <c r="Q274" s="26"/>
      <c r="R274" s="53"/>
      <c r="S274" s="54"/>
      <c r="T274" s="54"/>
      <c r="U274" s="54"/>
      <c r="V274" s="16"/>
      <c r="W274" s="134">
        <f>SUM(W272:W273)</f>
        <v>0</v>
      </c>
      <c r="X274" s="134">
        <f t="shared" ref="X274:AF274" si="133">SUM(X272:X273)</f>
        <v>0</v>
      </c>
      <c r="Y274" s="134">
        <f t="shared" si="133"/>
        <v>655450</v>
      </c>
      <c r="Z274" s="134">
        <f t="shared" si="133"/>
        <v>655450</v>
      </c>
      <c r="AA274" s="134">
        <f t="shared" si="133"/>
        <v>165170</v>
      </c>
      <c r="AB274" s="134">
        <f t="shared" si="133"/>
        <v>523540</v>
      </c>
      <c r="AC274" s="134">
        <f t="shared" si="133"/>
        <v>688710</v>
      </c>
      <c r="AD274" s="134">
        <f t="shared" si="133"/>
        <v>723550</v>
      </c>
      <c r="AE274" s="134">
        <f t="shared" si="133"/>
        <v>759335</v>
      </c>
      <c r="AF274" s="135">
        <f t="shared" si="133"/>
        <v>795425</v>
      </c>
    </row>
    <row r="275" spans="1:32" s="136" customFormat="1" x14ac:dyDescent="0.3">
      <c r="A275" s="138" t="s">
        <v>101</v>
      </c>
      <c r="B275" s="33"/>
      <c r="C275" s="37"/>
      <c r="D275" s="37"/>
      <c r="E275" s="37"/>
      <c r="F275" s="37"/>
      <c r="G275" s="37"/>
      <c r="H275" s="37"/>
      <c r="I275" s="37"/>
      <c r="J275" s="37"/>
      <c r="K275" s="16"/>
      <c r="L275" s="26"/>
      <c r="M275" s="26"/>
      <c r="N275" s="26"/>
      <c r="O275" s="26"/>
      <c r="P275" s="26"/>
      <c r="Q275" s="26"/>
      <c r="R275" s="22"/>
      <c r="S275" s="54"/>
      <c r="T275" s="54"/>
      <c r="U275" s="54"/>
      <c r="V275" s="16"/>
      <c r="W275" s="35">
        <f>SUM(W274,W269,W263)</f>
        <v>745420</v>
      </c>
      <c r="X275" s="35">
        <f t="shared" ref="X275:AF275" si="134">SUM(X274,X269,X263)</f>
        <v>9605400</v>
      </c>
      <c r="Y275" s="35">
        <f t="shared" si="134"/>
        <v>11209790</v>
      </c>
      <c r="Z275" s="35">
        <f t="shared" si="134"/>
        <v>21560610</v>
      </c>
      <c r="AA275" s="35">
        <f t="shared" si="134"/>
        <v>5709870</v>
      </c>
      <c r="AB275" s="35">
        <f t="shared" si="134"/>
        <v>18083870</v>
      </c>
      <c r="AC275" s="35">
        <f t="shared" si="134"/>
        <v>23793740</v>
      </c>
      <c r="AD275" s="35">
        <f t="shared" si="134"/>
        <v>26276230</v>
      </c>
      <c r="AE275" s="35">
        <f t="shared" si="134"/>
        <v>29082095</v>
      </c>
      <c r="AF275" s="106">
        <f t="shared" si="134"/>
        <v>32253255</v>
      </c>
    </row>
    <row r="276" spans="1:32" s="136" customFormat="1" ht="8.25" customHeight="1" x14ac:dyDescent="0.3">
      <c r="A276" s="138"/>
      <c r="B276" s="33"/>
      <c r="C276" s="37"/>
      <c r="D276" s="37"/>
      <c r="E276" s="37"/>
      <c r="F276" s="37"/>
      <c r="G276" s="37"/>
      <c r="H276" s="37"/>
      <c r="I276" s="37"/>
      <c r="J276" s="37"/>
      <c r="K276" s="16"/>
      <c r="L276" s="26"/>
      <c r="M276" s="26"/>
      <c r="N276" s="26"/>
      <c r="O276" s="26"/>
      <c r="P276" s="26"/>
      <c r="Q276" s="26"/>
      <c r="R276" s="53"/>
      <c r="S276" s="54"/>
      <c r="T276" s="54"/>
      <c r="U276" s="54"/>
      <c r="V276" s="16"/>
      <c r="W276" s="134"/>
      <c r="X276" s="134"/>
      <c r="Y276" s="134"/>
      <c r="Z276" s="134"/>
      <c r="AA276" s="134"/>
      <c r="AB276" s="134"/>
      <c r="AC276" s="134"/>
      <c r="AD276" s="78"/>
      <c r="AE276" s="134"/>
      <c r="AF276" s="135"/>
    </row>
    <row r="277" spans="1:32" s="136" customFormat="1" x14ac:dyDescent="0.3">
      <c r="A277" s="138" t="s">
        <v>102</v>
      </c>
      <c r="B277" s="33"/>
      <c r="C277" s="56"/>
      <c r="D277" s="56"/>
      <c r="E277" s="56"/>
      <c r="F277" s="56"/>
      <c r="G277" s="56"/>
      <c r="H277" s="56"/>
      <c r="I277" s="56"/>
      <c r="J277" s="56"/>
      <c r="K277" s="16"/>
      <c r="L277" s="26"/>
      <c r="M277" s="26"/>
      <c r="N277" s="26"/>
      <c r="O277" s="26"/>
      <c r="P277" s="26"/>
      <c r="Q277" s="26"/>
      <c r="R277" s="50"/>
      <c r="S277" s="26"/>
      <c r="T277" s="26"/>
      <c r="U277" s="26"/>
      <c r="V277" s="16"/>
      <c r="W277" s="134"/>
      <c r="X277" s="134"/>
      <c r="Y277" s="134"/>
      <c r="Z277" s="134"/>
      <c r="AA277" s="134"/>
      <c r="AB277" s="134"/>
      <c r="AC277" s="134"/>
      <c r="AD277" s="78"/>
      <c r="AE277" s="134"/>
      <c r="AF277" s="135"/>
    </row>
    <row r="278" spans="1:32" s="136" customFormat="1" x14ac:dyDescent="0.3">
      <c r="A278" s="29">
        <v>1631</v>
      </c>
      <c r="B278" s="22" t="s">
        <v>103</v>
      </c>
      <c r="C278" s="24">
        <v>380</v>
      </c>
      <c r="D278" s="24">
        <v>390</v>
      </c>
      <c r="E278" s="24">
        <v>280</v>
      </c>
      <c r="F278" s="24">
        <v>280</v>
      </c>
      <c r="G278" s="24">
        <v>280</v>
      </c>
      <c r="H278" s="24">
        <v>280</v>
      </c>
      <c r="I278" s="24">
        <v>280</v>
      </c>
      <c r="J278" s="24">
        <v>280</v>
      </c>
      <c r="K278" s="16"/>
      <c r="L278" s="26">
        <v>1955</v>
      </c>
      <c r="M278" s="26">
        <v>38222</v>
      </c>
      <c r="N278" s="26">
        <v>14116</v>
      </c>
      <c r="O278" s="84">
        <f t="shared" ref="O278:O290" si="135">SUM(L278:N278)</f>
        <v>54293</v>
      </c>
      <c r="P278" s="26">
        <v>13494</v>
      </c>
      <c r="Q278" s="26">
        <v>42733</v>
      </c>
      <c r="R278" s="84">
        <f t="shared" ref="R278:R290" si="136">SUM(P278:Q278)</f>
        <v>56227</v>
      </c>
      <c r="S278" s="26">
        <v>58219</v>
      </c>
      <c r="T278" s="26">
        <v>61130</v>
      </c>
      <c r="U278" s="26">
        <v>64187</v>
      </c>
      <c r="V278" s="16"/>
      <c r="W278" s="134">
        <f t="shared" ref="W278:W290" si="137">L278*C278</f>
        <v>742900</v>
      </c>
      <c r="X278" s="134">
        <f t="shared" ref="X278:X290" si="138">M278*D278</f>
        <v>14906580</v>
      </c>
      <c r="Y278" s="134">
        <f t="shared" ref="Y278:Y290" si="139">N278*E278</f>
        <v>3952480</v>
      </c>
      <c r="Z278" s="28">
        <f t="shared" ref="Z278:Z290" si="140">W278+X278+Y278</f>
        <v>19601960</v>
      </c>
      <c r="AA278" s="134">
        <f t="shared" ref="AA278:AA290" si="141">F278*P278</f>
        <v>3778320</v>
      </c>
      <c r="AB278" s="134">
        <f t="shared" ref="AB278:AB290" si="142">G278*Q278</f>
        <v>11965240</v>
      </c>
      <c r="AC278" s="134">
        <f>SUM(AA278:AB278)</f>
        <v>15743560</v>
      </c>
      <c r="AD278" s="78">
        <f t="shared" ref="AD278:AD290" si="143">H278*S278</f>
        <v>16301320</v>
      </c>
      <c r="AE278" s="78">
        <f t="shared" ref="AE278:AE290" si="144">I278*T278</f>
        <v>17116400</v>
      </c>
      <c r="AF278" s="135">
        <f t="shared" ref="AF278:AF290" si="145">J278*U278</f>
        <v>17972360</v>
      </c>
    </row>
    <row r="279" spans="1:32" s="136" customFormat="1" x14ac:dyDescent="0.3">
      <c r="A279" s="29">
        <v>1632</v>
      </c>
      <c r="B279" s="22" t="s">
        <v>104</v>
      </c>
      <c r="C279" s="24">
        <v>620</v>
      </c>
      <c r="D279" s="24">
        <v>630</v>
      </c>
      <c r="E279" s="24">
        <v>600</v>
      </c>
      <c r="F279" s="24">
        <v>600</v>
      </c>
      <c r="G279" s="24">
        <v>600</v>
      </c>
      <c r="H279" s="24">
        <v>600</v>
      </c>
      <c r="I279" s="24">
        <v>600</v>
      </c>
      <c r="J279" s="24">
        <v>600</v>
      </c>
      <c r="K279" s="16"/>
      <c r="L279" s="26">
        <v>21</v>
      </c>
      <c r="M279" s="26">
        <v>409</v>
      </c>
      <c r="N279" s="26">
        <v>151</v>
      </c>
      <c r="O279" s="84">
        <f t="shared" si="135"/>
        <v>581</v>
      </c>
      <c r="P279" s="26">
        <v>144</v>
      </c>
      <c r="Q279" s="26">
        <v>458</v>
      </c>
      <c r="R279" s="84">
        <f t="shared" si="136"/>
        <v>602</v>
      </c>
      <c r="S279" s="26">
        <v>623</v>
      </c>
      <c r="T279" s="26">
        <v>654</v>
      </c>
      <c r="U279" s="26">
        <v>687</v>
      </c>
      <c r="V279" s="16"/>
      <c r="W279" s="134">
        <f t="shared" si="137"/>
        <v>13020</v>
      </c>
      <c r="X279" s="134">
        <f t="shared" si="138"/>
        <v>257670</v>
      </c>
      <c r="Y279" s="134">
        <f t="shared" si="139"/>
        <v>90600</v>
      </c>
      <c r="Z279" s="28">
        <f t="shared" si="140"/>
        <v>361290</v>
      </c>
      <c r="AA279" s="134">
        <f t="shared" si="141"/>
        <v>86400</v>
      </c>
      <c r="AB279" s="134">
        <f t="shared" si="142"/>
        <v>274800</v>
      </c>
      <c r="AC279" s="134">
        <f t="shared" ref="AC279:AC284" si="146">SUM(AA279:AB279)</f>
        <v>361200</v>
      </c>
      <c r="AD279" s="78">
        <f t="shared" si="143"/>
        <v>373800</v>
      </c>
      <c r="AE279" s="78">
        <f t="shared" si="144"/>
        <v>392400</v>
      </c>
      <c r="AF279" s="135">
        <f t="shared" si="145"/>
        <v>412200</v>
      </c>
    </row>
    <row r="280" spans="1:32" s="136" customFormat="1" x14ac:dyDescent="0.3">
      <c r="A280" s="29">
        <v>1640</v>
      </c>
      <c r="B280" s="22" t="s">
        <v>105</v>
      </c>
      <c r="C280" s="24">
        <v>0</v>
      </c>
      <c r="D280" s="24">
        <v>0</v>
      </c>
      <c r="E280" s="24">
        <v>0</v>
      </c>
      <c r="F280" s="24">
        <v>0</v>
      </c>
      <c r="G280" s="24">
        <v>0</v>
      </c>
      <c r="H280" s="24">
        <v>0</v>
      </c>
      <c r="I280" s="24">
        <v>0</v>
      </c>
      <c r="J280" s="24">
        <v>0</v>
      </c>
      <c r="K280" s="16"/>
      <c r="L280" s="26">
        <v>29</v>
      </c>
      <c r="M280" s="26">
        <v>569</v>
      </c>
      <c r="N280" s="26">
        <v>210</v>
      </c>
      <c r="O280" s="84">
        <f t="shared" si="135"/>
        <v>808</v>
      </c>
      <c r="P280" s="26">
        <v>194</v>
      </c>
      <c r="Q280" s="26">
        <v>614</v>
      </c>
      <c r="R280" s="84">
        <f t="shared" si="136"/>
        <v>808</v>
      </c>
      <c r="S280" s="26">
        <v>808</v>
      </c>
      <c r="T280" s="26">
        <v>808</v>
      </c>
      <c r="U280" s="26">
        <v>808</v>
      </c>
      <c r="V280" s="16"/>
      <c r="W280" s="134">
        <f t="shared" si="137"/>
        <v>0</v>
      </c>
      <c r="X280" s="134">
        <f t="shared" si="138"/>
        <v>0</v>
      </c>
      <c r="Y280" s="134">
        <f t="shared" si="139"/>
        <v>0</v>
      </c>
      <c r="Z280" s="28">
        <f t="shared" si="140"/>
        <v>0</v>
      </c>
      <c r="AA280" s="134">
        <f t="shared" si="141"/>
        <v>0</v>
      </c>
      <c r="AB280" s="134">
        <f t="shared" si="142"/>
        <v>0</v>
      </c>
      <c r="AC280" s="134">
        <f t="shared" si="146"/>
        <v>0</v>
      </c>
      <c r="AD280" s="78">
        <f t="shared" si="143"/>
        <v>0</v>
      </c>
      <c r="AE280" s="78">
        <f t="shared" si="144"/>
        <v>0</v>
      </c>
      <c r="AF280" s="135">
        <f t="shared" si="145"/>
        <v>0</v>
      </c>
    </row>
    <row r="281" spans="1:32" s="136" customFormat="1" x14ac:dyDescent="0.3">
      <c r="A281" s="29">
        <v>1641</v>
      </c>
      <c r="B281" s="22" t="s">
        <v>106</v>
      </c>
      <c r="C281" s="24">
        <v>120</v>
      </c>
      <c r="D281" s="24">
        <v>120</v>
      </c>
      <c r="E281" s="24">
        <v>120</v>
      </c>
      <c r="F281" s="24">
        <v>120</v>
      </c>
      <c r="G281" s="24">
        <v>120</v>
      </c>
      <c r="H281" s="24">
        <v>120</v>
      </c>
      <c r="I281" s="24">
        <v>120</v>
      </c>
      <c r="J281" s="24">
        <v>120</v>
      </c>
      <c r="K281" s="16"/>
      <c r="L281" s="26">
        <v>86</v>
      </c>
      <c r="M281" s="26">
        <v>1682</v>
      </c>
      <c r="N281" s="26">
        <v>621</v>
      </c>
      <c r="O281" s="84">
        <f t="shared" si="135"/>
        <v>2389</v>
      </c>
      <c r="P281" s="26">
        <v>594</v>
      </c>
      <c r="Q281" s="26">
        <v>1880</v>
      </c>
      <c r="R281" s="84">
        <f t="shared" si="136"/>
        <v>2474</v>
      </c>
      <c r="S281" s="26">
        <v>2562</v>
      </c>
      <c r="T281" s="26">
        <v>2690</v>
      </c>
      <c r="U281" s="26">
        <v>2824</v>
      </c>
      <c r="V281" s="16"/>
      <c r="W281" s="134">
        <f t="shared" si="137"/>
        <v>10320</v>
      </c>
      <c r="X281" s="134">
        <f t="shared" si="138"/>
        <v>201840</v>
      </c>
      <c r="Y281" s="134">
        <f t="shared" si="139"/>
        <v>74520</v>
      </c>
      <c r="Z281" s="28">
        <f t="shared" si="140"/>
        <v>286680</v>
      </c>
      <c r="AA281" s="134">
        <f t="shared" si="141"/>
        <v>71280</v>
      </c>
      <c r="AB281" s="134">
        <f t="shared" si="142"/>
        <v>225600</v>
      </c>
      <c r="AC281" s="134">
        <f t="shared" si="146"/>
        <v>296880</v>
      </c>
      <c r="AD281" s="78">
        <f t="shared" si="143"/>
        <v>307440</v>
      </c>
      <c r="AE281" s="78">
        <f t="shared" si="144"/>
        <v>322800</v>
      </c>
      <c r="AF281" s="135">
        <f t="shared" si="145"/>
        <v>338880</v>
      </c>
    </row>
    <row r="282" spans="1:32" s="136" customFormat="1" x14ac:dyDescent="0.3">
      <c r="A282" s="29">
        <v>1642</v>
      </c>
      <c r="B282" s="22" t="s">
        <v>107</v>
      </c>
      <c r="C282" s="24">
        <v>490</v>
      </c>
      <c r="D282" s="24">
        <v>500</v>
      </c>
      <c r="E282" s="24">
        <v>480</v>
      </c>
      <c r="F282" s="24">
        <v>480</v>
      </c>
      <c r="G282" s="24">
        <v>480</v>
      </c>
      <c r="H282" s="24">
        <v>480</v>
      </c>
      <c r="I282" s="24">
        <v>480</v>
      </c>
      <c r="J282" s="24">
        <v>480</v>
      </c>
      <c r="K282" s="16"/>
      <c r="L282" s="26">
        <v>1837</v>
      </c>
      <c r="M282" s="26">
        <v>35928</v>
      </c>
      <c r="N282" s="26">
        <v>13269</v>
      </c>
      <c r="O282" s="84">
        <f t="shared" si="135"/>
        <v>51034</v>
      </c>
      <c r="P282" s="26">
        <v>12685</v>
      </c>
      <c r="Q282" s="26">
        <v>40168</v>
      </c>
      <c r="R282" s="84">
        <f t="shared" si="136"/>
        <v>52853</v>
      </c>
      <c r="S282" s="26">
        <v>54726</v>
      </c>
      <c r="T282" s="26">
        <v>57463</v>
      </c>
      <c r="U282" s="26">
        <v>60336</v>
      </c>
      <c r="V282" s="16"/>
      <c r="W282" s="134">
        <f t="shared" si="137"/>
        <v>900130</v>
      </c>
      <c r="X282" s="134">
        <f t="shared" si="138"/>
        <v>17964000</v>
      </c>
      <c r="Y282" s="134">
        <f t="shared" si="139"/>
        <v>6369120</v>
      </c>
      <c r="Z282" s="28">
        <f t="shared" si="140"/>
        <v>25233250</v>
      </c>
      <c r="AA282" s="134">
        <f t="shared" si="141"/>
        <v>6088800</v>
      </c>
      <c r="AB282" s="134">
        <f t="shared" si="142"/>
        <v>19280640</v>
      </c>
      <c r="AC282" s="134">
        <f t="shared" si="146"/>
        <v>25369440</v>
      </c>
      <c r="AD282" s="78">
        <f t="shared" si="143"/>
        <v>26268480</v>
      </c>
      <c r="AE282" s="78">
        <f t="shared" si="144"/>
        <v>27582240</v>
      </c>
      <c r="AF282" s="135">
        <f t="shared" si="145"/>
        <v>28961280</v>
      </c>
    </row>
    <row r="283" spans="1:32" s="136" customFormat="1" x14ac:dyDescent="0.3">
      <c r="A283" s="29">
        <v>1633</v>
      </c>
      <c r="B283" s="22" t="s">
        <v>108</v>
      </c>
      <c r="C283" s="24">
        <v>250</v>
      </c>
      <c r="D283" s="24">
        <v>250</v>
      </c>
      <c r="E283" s="24">
        <v>720</v>
      </c>
      <c r="F283" s="24">
        <v>720</v>
      </c>
      <c r="G283" s="24">
        <v>720</v>
      </c>
      <c r="H283" s="24">
        <v>720</v>
      </c>
      <c r="I283" s="24">
        <v>720</v>
      </c>
      <c r="J283" s="24">
        <v>720</v>
      </c>
      <c r="K283" s="16"/>
      <c r="L283" s="26">
        <v>1953</v>
      </c>
      <c r="M283" s="26">
        <v>38184</v>
      </c>
      <c r="N283" s="26">
        <v>14102</v>
      </c>
      <c r="O283" s="84">
        <f t="shared" si="135"/>
        <v>54239</v>
      </c>
      <c r="P283" s="26">
        <v>13481</v>
      </c>
      <c r="Q283" s="26">
        <v>42690</v>
      </c>
      <c r="R283" s="84">
        <f t="shared" si="136"/>
        <v>56171</v>
      </c>
      <c r="S283" s="26">
        <v>58161</v>
      </c>
      <c r="T283" s="26">
        <v>61069</v>
      </c>
      <c r="U283" s="26">
        <v>64123</v>
      </c>
      <c r="V283" s="16"/>
      <c r="W283" s="134">
        <f t="shared" si="137"/>
        <v>488250</v>
      </c>
      <c r="X283" s="134">
        <f t="shared" si="138"/>
        <v>9546000</v>
      </c>
      <c r="Y283" s="134">
        <f t="shared" si="139"/>
        <v>10153440</v>
      </c>
      <c r="Z283" s="28">
        <f t="shared" si="140"/>
        <v>20187690</v>
      </c>
      <c r="AA283" s="134">
        <f t="shared" si="141"/>
        <v>9706320</v>
      </c>
      <c r="AB283" s="134">
        <f t="shared" si="142"/>
        <v>30736800</v>
      </c>
      <c r="AC283" s="134">
        <f t="shared" si="146"/>
        <v>40443120</v>
      </c>
      <c r="AD283" s="78">
        <f t="shared" si="143"/>
        <v>41875920</v>
      </c>
      <c r="AE283" s="78">
        <f t="shared" si="144"/>
        <v>43969680</v>
      </c>
      <c r="AF283" s="135">
        <f t="shared" si="145"/>
        <v>46168560</v>
      </c>
    </row>
    <row r="284" spans="1:32" s="136" customFormat="1" x14ac:dyDescent="0.3">
      <c r="A284" s="29">
        <v>1643</v>
      </c>
      <c r="B284" s="22" t="s">
        <v>109</v>
      </c>
      <c r="C284" s="24">
        <v>0</v>
      </c>
      <c r="D284" s="24">
        <v>0</v>
      </c>
      <c r="E284" s="24">
        <v>0</v>
      </c>
      <c r="F284" s="24">
        <v>0</v>
      </c>
      <c r="G284" s="24">
        <v>0</v>
      </c>
      <c r="H284" s="24">
        <v>0</v>
      </c>
      <c r="I284" s="24">
        <v>0</v>
      </c>
      <c r="J284" s="24">
        <v>0</v>
      </c>
      <c r="K284" s="16"/>
      <c r="L284" s="26">
        <v>29</v>
      </c>
      <c r="M284" s="26">
        <v>569</v>
      </c>
      <c r="N284" s="26">
        <v>210</v>
      </c>
      <c r="O284" s="84">
        <f t="shared" si="135"/>
        <v>808</v>
      </c>
      <c r="P284" s="26">
        <v>194</v>
      </c>
      <c r="Q284" s="26">
        <v>614</v>
      </c>
      <c r="R284" s="84">
        <f t="shared" si="136"/>
        <v>808</v>
      </c>
      <c r="S284" s="26">
        <v>808</v>
      </c>
      <c r="T284" s="26">
        <v>808</v>
      </c>
      <c r="U284" s="26">
        <v>808</v>
      </c>
      <c r="V284" s="16"/>
      <c r="W284" s="134">
        <f t="shared" si="137"/>
        <v>0</v>
      </c>
      <c r="X284" s="134">
        <f t="shared" si="138"/>
        <v>0</v>
      </c>
      <c r="Y284" s="134">
        <f t="shared" si="139"/>
        <v>0</v>
      </c>
      <c r="Z284" s="28">
        <f t="shared" si="140"/>
        <v>0</v>
      </c>
      <c r="AA284" s="134">
        <f t="shared" si="141"/>
        <v>0</v>
      </c>
      <c r="AB284" s="134">
        <f t="shared" si="142"/>
        <v>0</v>
      </c>
      <c r="AC284" s="134">
        <f t="shared" si="146"/>
        <v>0</v>
      </c>
      <c r="AD284" s="78">
        <f t="shared" si="143"/>
        <v>0</v>
      </c>
      <c r="AE284" s="78">
        <f t="shared" si="144"/>
        <v>0</v>
      </c>
      <c r="AF284" s="135">
        <f t="shared" si="145"/>
        <v>0</v>
      </c>
    </row>
    <row r="285" spans="1:32" s="136" customFormat="1" x14ac:dyDescent="0.3">
      <c r="A285" s="29">
        <v>1614</v>
      </c>
      <c r="B285" s="22" t="s">
        <v>41</v>
      </c>
      <c r="C285" s="24">
        <v>250</v>
      </c>
      <c r="D285" s="24">
        <v>250</v>
      </c>
      <c r="E285" s="24">
        <v>420</v>
      </c>
      <c r="F285" s="24">
        <v>420</v>
      </c>
      <c r="G285" s="24">
        <v>420</v>
      </c>
      <c r="H285" s="24">
        <v>420</v>
      </c>
      <c r="I285" s="24">
        <v>420</v>
      </c>
      <c r="J285" s="24">
        <v>420</v>
      </c>
      <c r="K285" s="16"/>
      <c r="L285" s="26">
        <v>782</v>
      </c>
      <c r="M285" s="26">
        <v>15285</v>
      </c>
      <c r="N285" s="26">
        <v>5645</v>
      </c>
      <c r="O285" s="84">
        <f t="shared" si="135"/>
        <v>21712</v>
      </c>
      <c r="P285" s="26">
        <v>5213</v>
      </c>
      <c r="Q285" s="26">
        <v>16507</v>
      </c>
      <c r="R285" s="84">
        <f t="shared" si="136"/>
        <v>21720</v>
      </c>
      <c r="S285" s="26">
        <v>21698</v>
      </c>
      <c r="T285" s="26">
        <v>21951</v>
      </c>
      <c r="U285" s="26">
        <v>23048</v>
      </c>
      <c r="V285" s="16"/>
      <c r="W285" s="134">
        <f t="shared" si="137"/>
        <v>195500</v>
      </c>
      <c r="X285" s="134">
        <f t="shared" si="138"/>
        <v>3821250</v>
      </c>
      <c r="Y285" s="134">
        <f t="shared" si="139"/>
        <v>2370900</v>
      </c>
      <c r="Z285" s="28">
        <f t="shared" si="140"/>
        <v>6387650</v>
      </c>
      <c r="AA285" s="134">
        <f t="shared" si="141"/>
        <v>2189460</v>
      </c>
      <c r="AB285" s="134">
        <f t="shared" si="142"/>
        <v>6932940</v>
      </c>
      <c r="AC285" s="134">
        <f t="shared" ref="AC285:AC290" si="147">SUM(AA285:AB285)</f>
        <v>9122400</v>
      </c>
      <c r="AD285" s="78">
        <f t="shared" si="143"/>
        <v>9113160</v>
      </c>
      <c r="AE285" s="78">
        <f t="shared" si="144"/>
        <v>9219420</v>
      </c>
      <c r="AF285" s="135">
        <f t="shared" si="145"/>
        <v>9680160</v>
      </c>
    </row>
    <row r="286" spans="1:32" s="136" customFormat="1" x14ac:dyDescent="0.3">
      <c r="A286" s="29">
        <v>1615</v>
      </c>
      <c r="B286" s="22" t="s">
        <v>42</v>
      </c>
      <c r="C286" s="24">
        <v>60</v>
      </c>
      <c r="D286" s="24">
        <v>62</v>
      </c>
      <c r="E286" s="24">
        <v>80</v>
      </c>
      <c r="F286" s="24">
        <v>80</v>
      </c>
      <c r="G286" s="24">
        <v>80</v>
      </c>
      <c r="H286" s="24">
        <v>80</v>
      </c>
      <c r="I286" s="24">
        <v>80</v>
      </c>
      <c r="J286" s="24">
        <v>80</v>
      </c>
      <c r="K286" s="16"/>
      <c r="L286" s="26">
        <v>4290</v>
      </c>
      <c r="M286" s="26">
        <v>83897</v>
      </c>
      <c r="N286" s="26">
        <v>30985</v>
      </c>
      <c r="O286" s="84">
        <f t="shared" si="135"/>
        <v>119172</v>
      </c>
      <c r="P286" s="26">
        <v>28613</v>
      </c>
      <c r="Q286" s="26">
        <v>90607</v>
      </c>
      <c r="R286" s="84">
        <f t="shared" si="136"/>
        <v>119220</v>
      </c>
      <c r="S286" s="26">
        <v>119098</v>
      </c>
      <c r="T286" s="26">
        <v>120488</v>
      </c>
      <c r="U286" s="26">
        <v>126512</v>
      </c>
      <c r="V286" s="16"/>
      <c r="W286" s="134">
        <f t="shared" si="137"/>
        <v>257400</v>
      </c>
      <c r="X286" s="134">
        <f t="shared" si="138"/>
        <v>5201614</v>
      </c>
      <c r="Y286" s="134">
        <f t="shared" si="139"/>
        <v>2478800</v>
      </c>
      <c r="Z286" s="28">
        <f t="shared" si="140"/>
        <v>7937814</v>
      </c>
      <c r="AA286" s="134">
        <f t="shared" si="141"/>
        <v>2289040</v>
      </c>
      <c r="AB286" s="134">
        <f t="shared" si="142"/>
        <v>7248560</v>
      </c>
      <c r="AC286" s="134">
        <f t="shared" si="147"/>
        <v>9537600</v>
      </c>
      <c r="AD286" s="78">
        <f t="shared" si="143"/>
        <v>9527840</v>
      </c>
      <c r="AE286" s="78">
        <f t="shared" si="144"/>
        <v>9639040</v>
      </c>
      <c r="AF286" s="135">
        <f t="shared" si="145"/>
        <v>10120960</v>
      </c>
    </row>
    <row r="287" spans="1:32" s="136" customFormat="1" x14ac:dyDescent="0.3">
      <c r="A287" s="29">
        <v>1616</v>
      </c>
      <c r="B287" s="22" t="s">
        <v>43</v>
      </c>
      <c r="C287" s="24">
        <v>450</v>
      </c>
      <c r="D287" s="24">
        <v>460</v>
      </c>
      <c r="E287" s="24">
        <v>780</v>
      </c>
      <c r="F287" s="24">
        <v>780</v>
      </c>
      <c r="G287" s="24">
        <v>780</v>
      </c>
      <c r="H287" s="24">
        <v>780</v>
      </c>
      <c r="I287" s="24">
        <v>780</v>
      </c>
      <c r="J287" s="24">
        <v>780</v>
      </c>
      <c r="K287" s="16"/>
      <c r="L287" s="26">
        <v>109</v>
      </c>
      <c r="M287" s="26">
        <v>2129</v>
      </c>
      <c r="N287" s="26">
        <v>786</v>
      </c>
      <c r="O287" s="84">
        <f t="shared" si="135"/>
        <v>3024</v>
      </c>
      <c r="P287" s="26">
        <v>726</v>
      </c>
      <c r="Q287" s="26">
        <v>2300</v>
      </c>
      <c r="R287" s="84">
        <f t="shared" si="136"/>
        <v>3026</v>
      </c>
      <c r="S287" s="26">
        <v>3022</v>
      </c>
      <c r="T287" s="26">
        <v>3058</v>
      </c>
      <c r="U287" s="26">
        <v>3211</v>
      </c>
      <c r="V287" s="16"/>
      <c r="W287" s="134">
        <f t="shared" si="137"/>
        <v>49050</v>
      </c>
      <c r="X287" s="134">
        <f t="shared" si="138"/>
        <v>979340</v>
      </c>
      <c r="Y287" s="134">
        <f t="shared" si="139"/>
        <v>613080</v>
      </c>
      <c r="Z287" s="28">
        <f t="shared" si="140"/>
        <v>1641470</v>
      </c>
      <c r="AA287" s="134">
        <f t="shared" si="141"/>
        <v>566280</v>
      </c>
      <c r="AB287" s="134">
        <f t="shared" si="142"/>
        <v>1794000</v>
      </c>
      <c r="AC287" s="134">
        <f t="shared" si="147"/>
        <v>2360280</v>
      </c>
      <c r="AD287" s="78">
        <f t="shared" si="143"/>
        <v>2357160</v>
      </c>
      <c r="AE287" s="78">
        <f t="shared" si="144"/>
        <v>2385240</v>
      </c>
      <c r="AF287" s="135">
        <f t="shared" si="145"/>
        <v>2504580</v>
      </c>
    </row>
    <row r="288" spans="1:32" s="136" customFormat="1" x14ac:dyDescent="0.3">
      <c r="A288" s="29">
        <v>1617</v>
      </c>
      <c r="B288" s="22" t="s">
        <v>110</v>
      </c>
      <c r="C288" s="37">
        <v>130</v>
      </c>
      <c r="D288" s="24">
        <v>130</v>
      </c>
      <c r="E288" s="24">
        <v>140</v>
      </c>
      <c r="F288" s="24">
        <v>140</v>
      </c>
      <c r="G288" s="24">
        <v>140</v>
      </c>
      <c r="H288" s="24">
        <v>140</v>
      </c>
      <c r="I288" s="24">
        <v>140</v>
      </c>
      <c r="J288" s="24">
        <v>140</v>
      </c>
      <c r="K288" s="16"/>
      <c r="L288" s="26">
        <v>876</v>
      </c>
      <c r="M288" s="26">
        <v>17133</v>
      </c>
      <c r="N288" s="26">
        <v>6328</v>
      </c>
      <c r="O288" s="84">
        <f t="shared" si="135"/>
        <v>24337</v>
      </c>
      <c r="P288" s="26">
        <v>6046</v>
      </c>
      <c r="Q288" s="26">
        <v>19146</v>
      </c>
      <c r="R288" s="84">
        <f t="shared" si="136"/>
        <v>25192</v>
      </c>
      <c r="S288" s="26">
        <v>26072</v>
      </c>
      <c r="T288" s="26">
        <v>27358</v>
      </c>
      <c r="U288" s="26">
        <v>28708</v>
      </c>
      <c r="V288" s="16"/>
      <c r="W288" s="134">
        <f t="shared" si="137"/>
        <v>113880</v>
      </c>
      <c r="X288" s="134">
        <f t="shared" si="138"/>
        <v>2227290</v>
      </c>
      <c r="Y288" s="134">
        <f t="shared" si="139"/>
        <v>885920</v>
      </c>
      <c r="Z288" s="28">
        <f t="shared" si="140"/>
        <v>3227090</v>
      </c>
      <c r="AA288" s="134">
        <f t="shared" si="141"/>
        <v>846440</v>
      </c>
      <c r="AB288" s="134">
        <f t="shared" si="142"/>
        <v>2680440</v>
      </c>
      <c r="AC288" s="134">
        <f t="shared" si="147"/>
        <v>3526880</v>
      </c>
      <c r="AD288" s="78">
        <f t="shared" si="143"/>
        <v>3650080</v>
      </c>
      <c r="AE288" s="78">
        <f t="shared" si="144"/>
        <v>3830120</v>
      </c>
      <c r="AF288" s="135">
        <f t="shared" si="145"/>
        <v>4019120</v>
      </c>
    </row>
    <row r="289" spans="1:32" s="136" customFormat="1" x14ac:dyDescent="0.3">
      <c r="A289" s="29">
        <v>1618</v>
      </c>
      <c r="B289" s="22" t="s">
        <v>111</v>
      </c>
      <c r="C289" s="37">
        <v>130</v>
      </c>
      <c r="D289" s="24">
        <v>130</v>
      </c>
      <c r="E289" s="24">
        <v>140</v>
      </c>
      <c r="F289" s="24">
        <v>140</v>
      </c>
      <c r="G289" s="24">
        <v>140</v>
      </c>
      <c r="H289" s="24">
        <v>140</v>
      </c>
      <c r="I289" s="24">
        <v>140</v>
      </c>
      <c r="J289" s="24">
        <v>140</v>
      </c>
      <c r="K289" s="16"/>
      <c r="L289" s="26">
        <v>66</v>
      </c>
      <c r="M289" s="26">
        <v>1285</v>
      </c>
      <c r="N289" s="26">
        <v>475</v>
      </c>
      <c r="O289" s="84">
        <f t="shared" si="135"/>
        <v>1826</v>
      </c>
      <c r="P289" s="26">
        <v>460</v>
      </c>
      <c r="Q289" s="26">
        <v>1456</v>
      </c>
      <c r="R289" s="84">
        <f t="shared" si="136"/>
        <v>1916</v>
      </c>
      <c r="S289" s="26">
        <v>2012</v>
      </c>
      <c r="T289" s="26">
        <v>2113</v>
      </c>
      <c r="U289" s="26">
        <v>2218</v>
      </c>
      <c r="V289" s="16"/>
      <c r="W289" s="134">
        <f t="shared" si="137"/>
        <v>8580</v>
      </c>
      <c r="X289" s="134">
        <f t="shared" si="138"/>
        <v>167050</v>
      </c>
      <c r="Y289" s="134">
        <f t="shared" si="139"/>
        <v>66500</v>
      </c>
      <c r="Z289" s="28">
        <f t="shared" si="140"/>
        <v>242130</v>
      </c>
      <c r="AA289" s="134">
        <f t="shared" si="141"/>
        <v>64400</v>
      </c>
      <c r="AB289" s="134">
        <f t="shared" si="142"/>
        <v>203840</v>
      </c>
      <c r="AC289" s="134">
        <f t="shared" si="147"/>
        <v>268240</v>
      </c>
      <c r="AD289" s="78">
        <f t="shared" si="143"/>
        <v>281680</v>
      </c>
      <c r="AE289" s="78">
        <f t="shared" si="144"/>
        <v>295820</v>
      </c>
      <c r="AF289" s="135">
        <f t="shared" si="145"/>
        <v>310520</v>
      </c>
    </row>
    <row r="290" spans="1:32" s="136" customFormat="1" x14ac:dyDescent="0.3">
      <c r="A290" s="29">
        <v>1681</v>
      </c>
      <c r="B290" s="22" t="s">
        <v>112</v>
      </c>
      <c r="C290" s="24">
        <v>310</v>
      </c>
      <c r="D290" s="24">
        <v>320</v>
      </c>
      <c r="E290" s="24">
        <v>400</v>
      </c>
      <c r="F290" s="24">
        <v>400</v>
      </c>
      <c r="G290" s="24">
        <v>400</v>
      </c>
      <c r="H290" s="24">
        <v>400</v>
      </c>
      <c r="I290" s="24">
        <v>400</v>
      </c>
      <c r="J290" s="24">
        <v>400</v>
      </c>
      <c r="K290" s="16"/>
      <c r="L290" s="26">
        <v>141</v>
      </c>
      <c r="M290" s="26">
        <v>2756</v>
      </c>
      <c r="N290" s="26">
        <v>1018</v>
      </c>
      <c r="O290" s="84">
        <f t="shared" si="135"/>
        <v>3915</v>
      </c>
      <c r="P290" s="26">
        <v>960</v>
      </c>
      <c r="Q290" s="26">
        <v>3039</v>
      </c>
      <c r="R290" s="84">
        <f t="shared" si="136"/>
        <v>3999</v>
      </c>
      <c r="S290" s="26">
        <v>4083</v>
      </c>
      <c r="T290" s="26">
        <v>4287</v>
      </c>
      <c r="U290" s="26">
        <v>4501</v>
      </c>
      <c r="V290" s="16"/>
      <c r="W290" s="134">
        <f t="shared" si="137"/>
        <v>43710</v>
      </c>
      <c r="X290" s="134">
        <f t="shared" si="138"/>
        <v>881920</v>
      </c>
      <c r="Y290" s="134">
        <f t="shared" si="139"/>
        <v>407200</v>
      </c>
      <c r="Z290" s="28">
        <f t="shared" si="140"/>
        <v>1332830</v>
      </c>
      <c r="AA290" s="134">
        <f t="shared" si="141"/>
        <v>384000</v>
      </c>
      <c r="AB290" s="134">
        <f t="shared" si="142"/>
        <v>1215600</v>
      </c>
      <c r="AC290" s="134">
        <f t="shared" si="147"/>
        <v>1599600</v>
      </c>
      <c r="AD290" s="78">
        <f t="shared" si="143"/>
        <v>1633200</v>
      </c>
      <c r="AE290" s="78">
        <f t="shared" si="144"/>
        <v>1714800</v>
      </c>
      <c r="AF290" s="135">
        <f t="shared" si="145"/>
        <v>1800400</v>
      </c>
    </row>
    <row r="291" spans="1:32" s="136" customFormat="1" ht="15" thickBot="1" x14ac:dyDescent="0.35">
      <c r="A291" s="195" t="s">
        <v>102</v>
      </c>
      <c r="B291" s="168"/>
      <c r="C291" s="196"/>
      <c r="D291" s="196"/>
      <c r="E291" s="196"/>
      <c r="F291" s="196"/>
      <c r="G291" s="196"/>
      <c r="H291" s="196"/>
      <c r="I291" s="196"/>
      <c r="J291" s="196"/>
      <c r="K291" s="109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109"/>
      <c r="W291" s="66">
        <f>SUM(W278:W290)</f>
        <v>2822740</v>
      </c>
      <c r="X291" s="66">
        <f t="shared" ref="X291:AF291" si="148">SUM(X278:X290)</f>
        <v>56154554</v>
      </c>
      <c r="Y291" s="66">
        <f t="shared" si="148"/>
        <v>27462560</v>
      </c>
      <c r="Z291" s="66">
        <f t="shared" si="148"/>
        <v>86439854</v>
      </c>
      <c r="AA291" s="66">
        <f t="shared" si="148"/>
        <v>26070740</v>
      </c>
      <c r="AB291" s="66">
        <f t="shared" si="148"/>
        <v>82558460</v>
      </c>
      <c r="AC291" s="66">
        <f t="shared" si="148"/>
        <v>108629200</v>
      </c>
      <c r="AD291" s="66">
        <f t="shared" si="148"/>
        <v>111690080</v>
      </c>
      <c r="AE291" s="66">
        <f t="shared" si="148"/>
        <v>116467960</v>
      </c>
      <c r="AF291" s="197">
        <f t="shared" si="148"/>
        <v>122289020</v>
      </c>
    </row>
    <row r="292" spans="1:32" s="136" customFormat="1" x14ac:dyDescent="0.3">
      <c r="A292" s="198"/>
      <c r="B292" s="174"/>
      <c r="C292" s="199"/>
      <c r="D292" s="199"/>
      <c r="E292" s="199"/>
      <c r="F292" s="199"/>
      <c r="G292" s="199"/>
      <c r="H292" s="199"/>
      <c r="I292" s="199"/>
      <c r="J292" s="199"/>
      <c r="K292" s="163"/>
      <c r="L292" s="177"/>
      <c r="M292" s="177"/>
      <c r="N292" s="177"/>
      <c r="O292" s="177"/>
      <c r="P292" s="177"/>
      <c r="Q292" s="177"/>
      <c r="R292" s="177"/>
      <c r="S292" s="177"/>
      <c r="T292" s="177"/>
      <c r="U292" s="177"/>
      <c r="V292" s="163"/>
      <c r="W292" s="189"/>
      <c r="X292" s="189"/>
      <c r="Y292" s="189"/>
      <c r="Z292" s="189"/>
      <c r="AA292" s="189"/>
      <c r="AB292" s="189"/>
      <c r="AC292" s="189"/>
      <c r="AD292" s="200"/>
      <c r="AE292" s="189"/>
      <c r="AF292" s="190"/>
    </row>
    <row r="293" spans="1:32" s="136" customFormat="1" x14ac:dyDescent="0.3">
      <c r="A293" s="137" t="s">
        <v>113</v>
      </c>
      <c r="B293" s="33"/>
      <c r="C293" s="24"/>
      <c r="D293" s="24"/>
      <c r="E293" s="24"/>
      <c r="F293" s="24"/>
      <c r="G293" s="24"/>
      <c r="H293" s="24"/>
      <c r="I293" s="24"/>
      <c r="J293" s="24"/>
      <c r="K293" s="1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16"/>
      <c r="W293" s="134"/>
      <c r="X293" s="134"/>
      <c r="Y293" s="134"/>
      <c r="Z293" s="134"/>
      <c r="AA293" s="134"/>
      <c r="AB293" s="134"/>
      <c r="AC293" s="134"/>
      <c r="AD293" s="78"/>
      <c r="AE293" s="134"/>
      <c r="AF293" s="135"/>
    </row>
    <row r="294" spans="1:32" s="136" customFormat="1" x14ac:dyDescent="0.3">
      <c r="A294" s="29">
        <v>2631</v>
      </c>
      <c r="B294" s="22" t="s">
        <v>103</v>
      </c>
      <c r="C294" s="24">
        <v>190</v>
      </c>
      <c r="D294" s="24">
        <v>195</v>
      </c>
      <c r="E294" s="24">
        <v>140</v>
      </c>
      <c r="F294" s="24">
        <v>140</v>
      </c>
      <c r="G294" s="24">
        <v>140</v>
      </c>
      <c r="H294" s="24">
        <v>140</v>
      </c>
      <c r="I294" s="24">
        <v>140</v>
      </c>
      <c r="J294" s="24">
        <v>140</v>
      </c>
      <c r="K294" s="16"/>
      <c r="L294" s="26">
        <v>432</v>
      </c>
      <c r="M294" s="26">
        <v>8444</v>
      </c>
      <c r="N294" s="26">
        <v>3118</v>
      </c>
      <c r="O294" s="84">
        <f t="shared" ref="O294:O306" si="149">SUM(L294:N294)</f>
        <v>11994</v>
      </c>
      <c r="P294" s="26">
        <v>2981</v>
      </c>
      <c r="Q294" s="26">
        <v>9441</v>
      </c>
      <c r="R294" s="84">
        <f t="shared" ref="R294:R306" si="150">SUM(P294:Q294)</f>
        <v>12422</v>
      </c>
      <c r="S294" s="26">
        <v>12862</v>
      </c>
      <c r="T294" s="26">
        <v>13505</v>
      </c>
      <c r="U294" s="26">
        <v>14180</v>
      </c>
      <c r="V294" s="16"/>
      <c r="W294" s="134">
        <f t="shared" ref="W294:W306" si="151">L294*C294</f>
        <v>82080</v>
      </c>
      <c r="X294" s="134">
        <f t="shared" ref="X294:X306" si="152">M294*D294</f>
        <v>1646580</v>
      </c>
      <c r="Y294" s="134">
        <f t="shared" ref="Y294:Y306" si="153">N294*E294</f>
        <v>436520</v>
      </c>
      <c r="Z294" s="28">
        <f t="shared" ref="Z294:Z306" si="154">W294+X294+Y294</f>
        <v>2165180</v>
      </c>
      <c r="AA294" s="134">
        <f t="shared" ref="AA294:AA306" si="155">F294*P294</f>
        <v>417340</v>
      </c>
      <c r="AB294" s="134">
        <f t="shared" ref="AB294:AB306" si="156">G294*Q294</f>
        <v>1321740</v>
      </c>
      <c r="AC294" s="134">
        <f>SUM(AA294:AB294)</f>
        <v>1739080</v>
      </c>
      <c r="AD294" s="78">
        <f t="shared" ref="AD294:AD306" si="157">H294*S294</f>
        <v>1800680</v>
      </c>
      <c r="AE294" s="78">
        <f t="shared" ref="AE294:AE306" si="158">I294*T294</f>
        <v>1890700</v>
      </c>
      <c r="AF294" s="135">
        <f t="shared" ref="AF294:AF306" si="159">J294*U294</f>
        <v>1985200</v>
      </c>
    </row>
    <row r="295" spans="1:32" s="136" customFormat="1" x14ac:dyDescent="0.3">
      <c r="A295" s="29">
        <v>2632</v>
      </c>
      <c r="B295" s="22" t="s">
        <v>104</v>
      </c>
      <c r="C295" s="24">
        <v>310</v>
      </c>
      <c r="D295" s="24">
        <v>315</v>
      </c>
      <c r="E295" s="24">
        <v>300</v>
      </c>
      <c r="F295" s="24">
        <v>300</v>
      </c>
      <c r="G295" s="24">
        <v>300</v>
      </c>
      <c r="H295" s="24">
        <v>300</v>
      </c>
      <c r="I295" s="24">
        <v>300</v>
      </c>
      <c r="J295" s="24">
        <v>300</v>
      </c>
      <c r="K295" s="16"/>
      <c r="L295" s="26">
        <v>5</v>
      </c>
      <c r="M295" s="26">
        <v>90</v>
      </c>
      <c r="N295" s="26">
        <v>33</v>
      </c>
      <c r="O295" s="84">
        <f t="shared" si="149"/>
        <v>128</v>
      </c>
      <c r="P295" s="26">
        <v>32</v>
      </c>
      <c r="Q295" s="26">
        <v>101</v>
      </c>
      <c r="R295" s="84">
        <f t="shared" si="150"/>
        <v>133</v>
      </c>
      <c r="S295" s="26">
        <v>138</v>
      </c>
      <c r="T295" s="26">
        <v>145</v>
      </c>
      <c r="U295" s="26">
        <v>152</v>
      </c>
      <c r="V295" s="16"/>
      <c r="W295" s="134">
        <f t="shared" si="151"/>
        <v>1550</v>
      </c>
      <c r="X295" s="134">
        <f t="shared" si="152"/>
        <v>28350</v>
      </c>
      <c r="Y295" s="134">
        <f t="shared" si="153"/>
        <v>9900</v>
      </c>
      <c r="Z295" s="28">
        <f t="shared" si="154"/>
        <v>39800</v>
      </c>
      <c r="AA295" s="134">
        <f t="shared" si="155"/>
        <v>9600</v>
      </c>
      <c r="AB295" s="134">
        <f t="shared" si="156"/>
        <v>30300</v>
      </c>
      <c r="AC295" s="134">
        <f>SUM(AA295:AB295)</f>
        <v>39900</v>
      </c>
      <c r="AD295" s="78">
        <f t="shared" si="157"/>
        <v>41400</v>
      </c>
      <c r="AE295" s="78">
        <f t="shared" si="158"/>
        <v>43500</v>
      </c>
      <c r="AF295" s="135">
        <f t="shared" si="159"/>
        <v>45600</v>
      </c>
    </row>
    <row r="296" spans="1:32" s="136" customFormat="1" x14ac:dyDescent="0.3">
      <c r="A296" s="29">
        <v>2640</v>
      </c>
      <c r="B296" s="22" t="s">
        <v>105</v>
      </c>
      <c r="C296" s="24">
        <v>0</v>
      </c>
      <c r="D296" s="24">
        <v>0</v>
      </c>
      <c r="E296" s="24">
        <v>0</v>
      </c>
      <c r="F296" s="24">
        <v>0</v>
      </c>
      <c r="G296" s="24">
        <v>0</v>
      </c>
      <c r="H296" s="24">
        <v>0</v>
      </c>
      <c r="I296" s="24">
        <v>0</v>
      </c>
      <c r="J296" s="24">
        <v>0</v>
      </c>
      <c r="K296" s="16"/>
      <c r="L296" s="26">
        <v>5</v>
      </c>
      <c r="M296" s="26">
        <v>98</v>
      </c>
      <c r="N296" s="26">
        <v>36</v>
      </c>
      <c r="O296" s="84">
        <f t="shared" si="149"/>
        <v>139</v>
      </c>
      <c r="P296" s="26">
        <v>33</v>
      </c>
      <c r="Q296" s="26">
        <v>106</v>
      </c>
      <c r="R296" s="84">
        <f t="shared" si="150"/>
        <v>139</v>
      </c>
      <c r="S296" s="26">
        <v>139</v>
      </c>
      <c r="T296" s="26">
        <v>139</v>
      </c>
      <c r="U296" s="26">
        <v>139</v>
      </c>
      <c r="V296" s="16"/>
      <c r="W296" s="134">
        <f t="shared" si="151"/>
        <v>0</v>
      </c>
      <c r="X296" s="134">
        <f t="shared" si="152"/>
        <v>0</v>
      </c>
      <c r="Y296" s="134">
        <f t="shared" si="153"/>
        <v>0</v>
      </c>
      <c r="Z296" s="28">
        <f t="shared" si="154"/>
        <v>0</v>
      </c>
      <c r="AA296" s="134">
        <f t="shared" si="155"/>
        <v>0</v>
      </c>
      <c r="AB296" s="134">
        <f t="shared" si="156"/>
        <v>0</v>
      </c>
      <c r="AC296" s="134">
        <f>SUM(AA296:AB296)</f>
        <v>0</v>
      </c>
      <c r="AD296" s="78">
        <f t="shared" si="157"/>
        <v>0</v>
      </c>
      <c r="AE296" s="78">
        <f t="shared" si="158"/>
        <v>0</v>
      </c>
      <c r="AF296" s="135">
        <f t="shared" si="159"/>
        <v>0</v>
      </c>
    </row>
    <row r="297" spans="1:32" s="136" customFormat="1" x14ac:dyDescent="0.3">
      <c r="A297" s="29">
        <v>2641</v>
      </c>
      <c r="B297" s="22" t="s">
        <v>106</v>
      </c>
      <c r="C297" s="24">
        <v>60</v>
      </c>
      <c r="D297" s="24">
        <v>60</v>
      </c>
      <c r="E297" s="24">
        <v>60</v>
      </c>
      <c r="F297" s="24">
        <v>60</v>
      </c>
      <c r="G297" s="24">
        <v>60</v>
      </c>
      <c r="H297" s="24">
        <v>60</v>
      </c>
      <c r="I297" s="24">
        <v>60</v>
      </c>
      <c r="J297" s="24">
        <v>60</v>
      </c>
      <c r="K297" s="16"/>
      <c r="L297" s="26">
        <v>76</v>
      </c>
      <c r="M297" s="26">
        <v>1478</v>
      </c>
      <c r="N297" s="26">
        <v>546</v>
      </c>
      <c r="O297" s="84">
        <f t="shared" si="149"/>
        <v>2100</v>
      </c>
      <c r="P297" s="26">
        <v>522</v>
      </c>
      <c r="Q297" s="26">
        <v>1652</v>
      </c>
      <c r="R297" s="84">
        <f t="shared" si="150"/>
        <v>2174</v>
      </c>
      <c r="S297" s="26">
        <v>2251</v>
      </c>
      <c r="T297" s="26">
        <v>2363</v>
      </c>
      <c r="U297" s="26">
        <v>2482</v>
      </c>
      <c r="V297" s="16"/>
      <c r="W297" s="134">
        <f t="shared" si="151"/>
        <v>4560</v>
      </c>
      <c r="X297" s="134">
        <f t="shared" si="152"/>
        <v>88680</v>
      </c>
      <c r="Y297" s="134">
        <f t="shared" si="153"/>
        <v>32760</v>
      </c>
      <c r="Z297" s="28">
        <f t="shared" si="154"/>
        <v>126000</v>
      </c>
      <c r="AA297" s="134">
        <f t="shared" si="155"/>
        <v>31320</v>
      </c>
      <c r="AB297" s="134">
        <f t="shared" si="156"/>
        <v>99120</v>
      </c>
      <c r="AC297" s="134">
        <f t="shared" ref="AC297:AC305" si="160">SUM(AA297:AB297)</f>
        <v>130440</v>
      </c>
      <c r="AD297" s="78">
        <f t="shared" si="157"/>
        <v>135060</v>
      </c>
      <c r="AE297" s="78">
        <f t="shared" si="158"/>
        <v>141780</v>
      </c>
      <c r="AF297" s="135">
        <f t="shared" si="159"/>
        <v>148920</v>
      </c>
    </row>
    <row r="298" spans="1:32" s="136" customFormat="1" x14ac:dyDescent="0.3">
      <c r="A298" s="29">
        <v>2642</v>
      </c>
      <c r="B298" s="22" t="s">
        <v>107</v>
      </c>
      <c r="C298" s="24">
        <v>245</v>
      </c>
      <c r="D298" s="24">
        <v>250</v>
      </c>
      <c r="E298" s="24">
        <v>240</v>
      </c>
      <c r="F298" s="24">
        <v>240</v>
      </c>
      <c r="G298" s="24">
        <v>240</v>
      </c>
      <c r="H298" s="24">
        <v>240</v>
      </c>
      <c r="I298" s="24">
        <v>240</v>
      </c>
      <c r="J298" s="24">
        <v>240</v>
      </c>
      <c r="K298" s="16"/>
      <c r="L298" s="26">
        <v>350</v>
      </c>
      <c r="M298" s="26">
        <v>6839</v>
      </c>
      <c r="N298" s="26">
        <v>2526</v>
      </c>
      <c r="O298" s="84">
        <f t="shared" si="149"/>
        <v>9715</v>
      </c>
      <c r="P298" s="26">
        <v>2415</v>
      </c>
      <c r="Q298" s="26">
        <v>7646</v>
      </c>
      <c r="R298" s="84">
        <f t="shared" si="150"/>
        <v>10061</v>
      </c>
      <c r="S298" s="26">
        <v>10418</v>
      </c>
      <c r="T298" s="26">
        <v>10939</v>
      </c>
      <c r="U298" s="26">
        <v>11486</v>
      </c>
      <c r="V298" s="16"/>
      <c r="W298" s="134">
        <f t="shared" si="151"/>
        <v>85750</v>
      </c>
      <c r="X298" s="134">
        <f t="shared" si="152"/>
        <v>1709750</v>
      </c>
      <c r="Y298" s="134">
        <f t="shared" si="153"/>
        <v>606240</v>
      </c>
      <c r="Z298" s="28">
        <f t="shared" si="154"/>
        <v>2401740</v>
      </c>
      <c r="AA298" s="134">
        <f t="shared" si="155"/>
        <v>579600</v>
      </c>
      <c r="AB298" s="134">
        <f t="shared" si="156"/>
        <v>1835040</v>
      </c>
      <c r="AC298" s="134">
        <f t="shared" si="160"/>
        <v>2414640</v>
      </c>
      <c r="AD298" s="78">
        <f t="shared" si="157"/>
        <v>2500320</v>
      </c>
      <c r="AE298" s="78">
        <f t="shared" si="158"/>
        <v>2625360</v>
      </c>
      <c r="AF298" s="135">
        <f t="shared" si="159"/>
        <v>2756640</v>
      </c>
    </row>
    <row r="299" spans="1:32" s="136" customFormat="1" x14ac:dyDescent="0.3">
      <c r="A299" s="29">
        <v>2633</v>
      </c>
      <c r="B299" s="22" t="s">
        <v>108</v>
      </c>
      <c r="C299" s="24">
        <v>125</v>
      </c>
      <c r="D299" s="24">
        <v>125</v>
      </c>
      <c r="E299" s="24">
        <v>360</v>
      </c>
      <c r="F299" s="24">
        <v>360</v>
      </c>
      <c r="G299" s="24">
        <v>360</v>
      </c>
      <c r="H299" s="24">
        <v>360</v>
      </c>
      <c r="I299" s="24">
        <v>360</v>
      </c>
      <c r="J299" s="24">
        <v>360</v>
      </c>
      <c r="K299" s="16"/>
      <c r="L299" s="26">
        <v>427</v>
      </c>
      <c r="M299" s="26">
        <v>8359</v>
      </c>
      <c r="N299" s="26">
        <v>3087</v>
      </c>
      <c r="O299" s="84">
        <f t="shared" si="149"/>
        <v>11873</v>
      </c>
      <c r="P299" s="26">
        <v>2951</v>
      </c>
      <c r="Q299" s="26">
        <v>9346</v>
      </c>
      <c r="R299" s="84">
        <f t="shared" si="150"/>
        <v>12297</v>
      </c>
      <c r="S299" s="26">
        <v>12733</v>
      </c>
      <c r="T299" s="26">
        <v>13370</v>
      </c>
      <c r="U299" s="26">
        <v>14038</v>
      </c>
      <c r="V299" s="16"/>
      <c r="W299" s="134">
        <f t="shared" si="151"/>
        <v>53375</v>
      </c>
      <c r="X299" s="134">
        <f t="shared" si="152"/>
        <v>1044875</v>
      </c>
      <c r="Y299" s="134">
        <f t="shared" si="153"/>
        <v>1111320</v>
      </c>
      <c r="Z299" s="28">
        <f t="shared" si="154"/>
        <v>2209570</v>
      </c>
      <c r="AA299" s="134">
        <f t="shared" si="155"/>
        <v>1062360</v>
      </c>
      <c r="AB299" s="134">
        <f t="shared" si="156"/>
        <v>3364560</v>
      </c>
      <c r="AC299" s="134">
        <f t="shared" si="160"/>
        <v>4426920</v>
      </c>
      <c r="AD299" s="78">
        <f t="shared" si="157"/>
        <v>4583880</v>
      </c>
      <c r="AE299" s="78">
        <f t="shared" si="158"/>
        <v>4813200</v>
      </c>
      <c r="AF299" s="135">
        <f t="shared" si="159"/>
        <v>5053680</v>
      </c>
    </row>
    <row r="300" spans="1:32" s="136" customFormat="1" x14ac:dyDescent="0.3">
      <c r="A300" s="29">
        <v>2643</v>
      </c>
      <c r="B300" s="22" t="s">
        <v>109</v>
      </c>
      <c r="C300" s="24">
        <v>0</v>
      </c>
      <c r="D300" s="24">
        <v>0</v>
      </c>
      <c r="E300" s="24">
        <v>0</v>
      </c>
      <c r="F300" s="24">
        <v>0</v>
      </c>
      <c r="G300" s="24">
        <v>0</v>
      </c>
      <c r="H300" s="24">
        <v>0</v>
      </c>
      <c r="I300" s="24">
        <v>0</v>
      </c>
      <c r="J300" s="24">
        <v>0</v>
      </c>
      <c r="K300" s="16"/>
      <c r="L300" s="26">
        <v>5</v>
      </c>
      <c r="M300" s="26">
        <v>98</v>
      </c>
      <c r="N300" s="26">
        <v>36</v>
      </c>
      <c r="O300" s="84">
        <f t="shared" si="149"/>
        <v>139</v>
      </c>
      <c r="P300" s="26">
        <v>33</v>
      </c>
      <c r="Q300" s="26">
        <v>106</v>
      </c>
      <c r="R300" s="84">
        <f t="shared" si="150"/>
        <v>139</v>
      </c>
      <c r="S300" s="26">
        <v>139</v>
      </c>
      <c r="T300" s="26">
        <v>139</v>
      </c>
      <c r="U300" s="26">
        <v>139</v>
      </c>
      <c r="V300" s="16"/>
      <c r="W300" s="134">
        <f t="shared" si="151"/>
        <v>0</v>
      </c>
      <c r="X300" s="134">
        <f t="shared" si="152"/>
        <v>0</v>
      </c>
      <c r="Y300" s="134">
        <f t="shared" si="153"/>
        <v>0</v>
      </c>
      <c r="Z300" s="28">
        <f t="shared" si="154"/>
        <v>0</v>
      </c>
      <c r="AA300" s="134">
        <f t="shared" si="155"/>
        <v>0</v>
      </c>
      <c r="AB300" s="134">
        <f t="shared" si="156"/>
        <v>0</v>
      </c>
      <c r="AC300" s="134">
        <f t="shared" si="160"/>
        <v>0</v>
      </c>
      <c r="AD300" s="78">
        <f t="shared" si="157"/>
        <v>0</v>
      </c>
      <c r="AE300" s="78">
        <f t="shared" si="158"/>
        <v>0</v>
      </c>
      <c r="AF300" s="135">
        <f t="shared" si="159"/>
        <v>0</v>
      </c>
    </row>
    <row r="301" spans="1:32" s="136" customFormat="1" x14ac:dyDescent="0.3">
      <c r="A301" s="29">
        <v>2614</v>
      </c>
      <c r="B301" s="22" t="s">
        <v>41</v>
      </c>
      <c r="C301" s="37">
        <v>125</v>
      </c>
      <c r="D301" s="24">
        <v>125</v>
      </c>
      <c r="E301" s="37">
        <v>210</v>
      </c>
      <c r="F301" s="37">
        <v>210</v>
      </c>
      <c r="G301" s="37">
        <v>210</v>
      </c>
      <c r="H301" s="37">
        <v>210</v>
      </c>
      <c r="I301" s="37">
        <v>210</v>
      </c>
      <c r="J301" s="37">
        <v>210</v>
      </c>
      <c r="K301" s="16"/>
      <c r="L301" s="26">
        <v>225</v>
      </c>
      <c r="M301" s="26">
        <v>4406</v>
      </c>
      <c r="N301" s="26">
        <v>1627</v>
      </c>
      <c r="O301" s="84">
        <f t="shared" si="149"/>
        <v>6258</v>
      </c>
      <c r="P301" s="26">
        <v>1502</v>
      </c>
      <c r="Q301" s="26">
        <v>4758</v>
      </c>
      <c r="R301" s="84">
        <f t="shared" si="150"/>
        <v>6260</v>
      </c>
      <c r="S301" s="26">
        <v>6254</v>
      </c>
      <c r="T301" s="26">
        <v>6327</v>
      </c>
      <c r="U301" s="26">
        <v>6643</v>
      </c>
      <c r="V301" s="16"/>
      <c r="W301" s="134">
        <f t="shared" si="151"/>
        <v>28125</v>
      </c>
      <c r="X301" s="134">
        <f t="shared" si="152"/>
        <v>550750</v>
      </c>
      <c r="Y301" s="134">
        <f t="shared" si="153"/>
        <v>341670</v>
      </c>
      <c r="Z301" s="28">
        <f t="shared" si="154"/>
        <v>920545</v>
      </c>
      <c r="AA301" s="134">
        <f t="shared" si="155"/>
        <v>315420</v>
      </c>
      <c r="AB301" s="134">
        <f t="shared" si="156"/>
        <v>999180</v>
      </c>
      <c r="AC301" s="134">
        <f t="shared" si="160"/>
        <v>1314600</v>
      </c>
      <c r="AD301" s="78">
        <f t="shared" si="157"/>
        <v>1313340</v>
      </c>
      <c r="AE301" s="78">
        <f t="shared" si="158"/>
        <v>1328670</v>
      </c>
      <c r="AF301" s="135">
        <f t="shared" si="159"/>
        <v>1395030</v>
      </c>
    </row>
    <row r="302" spans="1:32" s="136" customFormat="1" x14ac:dyDescent="0.3">
      <c r="A302" s="29">
        <v>2615</v>
      </c>
      <c r="B302" s="22" t="s">
        <v>42</v>
      </c>
      <c r="C302" s="37">
        <v>30</v>
      </c>
      <c r="D302" s="24">
        <v>31</v>
      </c>
      <c r="E302" s="37">
        <v>40</v>
      </c>
      <c r="F302" s="37">
        <v>40</v>
      </c>
      <c r="G302" s="37">
        <v>40</v>
      </c>
      <c r="H302" s="37">
        <v>40</v>
      </c>
      <c r="I302" s="37">
        <v>40</v>
      </c>
      <c r="J302" s="37">
        <v>40</v>
      </c>
      <c r="K302" s="16"/>
      <c r="L302" s="26">
        <v>1899</v>
      </c>
      <c r="M302" s="26">
        <v>37137</v>
      </c>
      <c r="N302" s="26">
        <v>13715</v>
      </c>
      <c r="O302" s="84">
        <f t="shared" si="149"/>
        <v>52751</v>
      </c>
      <c r="P302" s="26">
        <v>12665</v>
      </c>
      <c r="Q302" s="26">
        <v>40107</v>
      </c>
      <c r="R302" s="84">
        <f t="shared" si="150"/>
        <v>52772</v>
      </c>
      <c r="S302" s="26">
        <v>52718</v>
      </c>
      <c r="T302" s="26">
        <v>53333</v>
      </c>
      <c r="U302" s="26">
        <v>56000</v>
      </c>
      <c r="V302" s="16"/>
      <c r="W302" s="134">
        <f t="shared" si="151"/>
        <v>56970</v>
      </c>
      <c r="X302" s="134">
        <f t="shared" si="152"/>
        <v>1151247</v>
      </c>
      <c r="Y302" s="134">
        <f t="shared" si="153"/>
        <v>548600</v>
      </c>
      <c r="Z302" s="28">
        <f t="shared" si="154"/>
        <v>1756817</v>
      </c>
      <c r="AA302" s="134">
        <f t="shared" si="155"/>
        <v>506600</v>
      </c>
      <c r="AB302" s="134">
        <f t="shared" si="156"/>
        <v>1604280</v>
      </c>
      <c r="AC302" s="134">
        <f t="shared" si="160"/>
        <v>2110880</v>
      </c>
      <c r="AD302" s="78">
        <f t="shared" si="157"/>
        <v>2108720</v>
      </c>
      <c r="AE302" s="78">
        <f t="shared" si="158"/>
        <v>2133320</v>
      </c>
      <c r="AF302" s="135">
        <f t="shared" si="159"/>
        <v>2240000</v>
      </c>
    </row>
    <row r="303" spans="1:32" s="136" customFormat="1" x14ac:dyDescent="0.3">
      <c r="A303" s="29">
        <v>2616</v>
      </c>
      <c r="B303" s="22" t="s">
        <v>43</v>
      </c>
      <c r="C303" s="37">
        <v>225</v>
      </c>
      <c r="D303" s="24">
        <v>230</v>
      </c>
      <c r="E303" s="37">
        <v>390</v>
      </c>
      <c r="F303" s="37">
        <v>390</v>
      </c>
      <c r="G303" s="37">
        <v>390</v>
      </c>
      <c r="H303" s="37">
        <v>390</v>
      </c>
      <c r="I303" s="37">
        <v>390</v>
      </c>
      <c r="J303" s="37">
        <v>390</v>
      </c>
      <c r="K303" s="16"/>
      <c r="L303" s="26">
        <v>30</v>
      </c>
      <c r="M303" s="26">
        <v>582</v>
      </c>
      <c r="N303" s="26">
        <v>215</v>
      </c>
      <c r="O303" s="84">
        <f t="shared" si="149"/>
        <v>827</v>
      </c>
      <c r="P303" s="26">
        <v>198</v>
      </c>
      <c r="Q303" s="26">
        <v>628</v>
      </c>
      <c r="R303" s="84">
        <f t="shared" si="150"/>
        <v>826</v>
      </c>
      <c r="S303" s="26">
        <v>825</v>
      </c>
      <c r="T303" s="26">
        <v>835</v>
      </c>
      <c r="U303" s="26">
        <v>877</v>
      </c>
      <c r="V303" s="16"/>
      <c r="W303" s="134">
        <f t="shared" si="151"/>
        <v>6750</v>
      </c>
      <c r="X303" s="134">
        <f t="shared" si="152"/>
        <v>133860</v>
      </c>
      <c r="Y303" s="134">
        <f t="shared" si="153"/>
        <v>83850</v>
      </c>
      <c r="Z303" s="28">
        <f t="shared" si="154"/>
        <v>224460</v>
      </c>
      <c r="AA303" s="134">
        <f t="shared" si="155"/>
        <v>77220</v>
      </c>
      <c r="AB303" s="134">
        <f t="shared" si="156"/>
        <v>244920</v>
      </c>
      <c r="AC303" s="134">
        <f t="shared" si="160"/>
        <v>322140</v>
      </c>
      <c r="AD303" s="78">
        <f t="shared" si="157"/>
        <v>321750</v>
      </c>
      <c r="AE303" s="78">
        <f t="shared" si="158"/>
        <v>325650</v>
      </c>
      <c r="AF303" s="135">
        <f t="shared" si="159"/>
        <v>342030</v>
      </c>
    </row>
    <row r="304" spans="1:32" s="136" customFormat="1" x14ac:dyDescent="0.3">
      <c r="A304" s="29">
        <v>2617</v>
      </c>
      <c r="B304" s="22" t="s">
        <v>110</v>
      </c>
      <c r="C304" s="37">
        <v>65</v>
      </c>
      <c r="D304" s="24">
        <v>65</v>
      </c>
      <c r="E304" s="24">
        <v>70</v>
      </c>
      <c r="F304" s="24">
        <v>70</v>
      </c>
      <c r="G304" s="24">
        <v>70</v>
      </c>
      <c r="H304" s="24">
        <v>70</v>
      </c>
      <c r="I304" s="24">
        <v>70</v>
      </c>
      <c r="J304" s="24">
        <v>70</v>
      </c>
      <c r="K304" s="16"/>
      <c r="L304" s="26">
        <v>182</v>
      </c>
      <c r="M304" s="26">
        <v>3551</v>
      </c>
      <c r="N304" s="26">
        <v>1311</v>
      </c>
      <c r="O304" s="84">
        <f t="shared" si="149"/>
        <v>5044</v>
      </c>
      <c r="P304" s="26">
        <v>1253</v>
      </c>
      <c r="Q304" s="26">
        <v>3969</v>
      </c>
      <c r="R304" s="84">
        <f t="shared" si="150"/>
        <v>5222</v>
      </c>
      <c r="S304" s="26">
        <v>5405</v>
      </c>
      <c r="T304" s="26">
        <v>5672</v>
      </c>
      <c r="U304" s="26">
        <v>5953</v>
      </c>
      <c r="V304" s="16"/>
      <c r="W304" s="134">
        <f t="shared" si="151"/>
        <v>11830</v>
      </c>
      <c r="X304" s="134">
        <f t="shared" si="152"/>
        <v>230815</v>
      </c>
      <c r="Y304" s="134">
        <f t="shared" si="153"/>
        <v>91770</v>
      </c>
      <c r="Z304" s="28">
        <f t="shared" si="154"/>
        <v>334415</v>
      </c>
      <c r="AA304" s="134">
        <f t="shared" si="155"/>
        <v>87710</v>
      </c>
      <c r="AB304" s="134">
        <f t="shared" si="156"/>
        <v>277830</v>
      </c>
      <c r="AC304" s="134">
        <f t="shared" si="160"/>
        <v>365540</v>
      </c>
      <c r="AD304" s="78">
        <f t="shared" si="157"/>
        <v>378350</v>
      </c>
      <c r="AE304" s="78">
        <f t="shared" si="158"/>
        <v>397040</v>
      </c>
      <c r="AF304" s="135">
        <f t="shared" si="159"/>
        <v>416710</v>
      </c>
    </row>
    <row r="305" spans="1:32" s="136" customFormat="1" x14ac:dyDescent="0.3">
      <c r="A305" s="29">
        <v>2618</v>
      </c>
      <c r="B305" s="22" t="s">
        <v>111</v>
      </c>
      <c r="C305" s="37"/>
      <c r="D305" s="24"/>
      <c r="E305" s="24">
        <v>70</v>
      </c>
      <c r="F305" s="24">
        <v>70</v>
      </c>
      <c r="G305" s="24">
        <v>70</v>
      </c>
      <c r="H305" s="24">
        <v>70</v>
      </c>
      <c r="I305" s="24">
        <v>70</v>
      </c>
      <c r="J305" s="24">
        <v>70</v>
      </c>
      <c r="K305" s="16"/>
      <c r="L305" s="26">
        <v>14</v>
      </c>
      <c r="M305" s="26">
        <v>271</v>
      </c>
      <c r="N305" s="26">
        <v>100</v>
      </c>
      <c r="O305" s="84">
        <f t="shared" si="149"/>
        <v>385</v>
      </c>
      <c r="P305" s="26">
        <v>97</v>
      </c>
      <c r="Q305" s="26">
        <v>307</v>
      </c>
      <c r="R305" s="84">
        <f t="shared" si="150"/>
        <v>404</v>
      </c>
      <c r="S305" s="26">
        <v>424</v>
      </c>
      <c r="T305" s="26">
        <v>445</v>
      </c>
      <c r="U305" s="26">
        <v>468</v>
      </c>
      <c r="V305" s="16"/>
      <c r="W305" s="134">
        <f t="shared" si="151"/>
        <v>0</v>
      </c>
      <c r="X305" s="134">
        <f t="shared" si="152"/>
        <v>0</v>
      </c>
      <c r="Y305" s="134">
        <f t="shared" si="153"/>
        <v>7000</v>
      </c>
      <c r="Z305" s="28">
        <f t="shared" si="154"/>
        <v>7000</v>
      </c>
      <c r="AA305" s="134">
        <f t="shared" si="155"/>
        <v>6790</v>
      </c>
      <c r="AB305" s="134">
        <f t="shared" si="156"/>
        <v>21490</v>
      </c>
      <c r="AC305" s="134">
        <f t="shared" si="160"/>
        <v>28280</v>
      </c>
      <c r="AD305" s="78">
        <f t="shared" si="157"/>
        <v>29680</v>
      </c>
      <c r="AE305" s="78">
        <f t="shared" si="158"/>
        <v>31150</v>
      </c>
      <c r="AF305" s="135">
        <f t="shared" si="159"/>
        <v>32760</v>
      </c>
    </row>
    <row r="306" spans="1:32" s="136" customFormat="1" x14ac:dyDescent="0.3">
      <c r="A306" s="29">
        <v>2681</v>
      </c>
      <c r="B306" s="22" t="s">
        <v>112</v>
      </c>
      <c r="C306" s="37">
        <v>155</v>
      </c>
      <c r="D306" s="24">
        <v>160</v>
      </c>
      <c r="E306" s="37">
        <v>200</v>
      </c>
      <c r="F306" s="37">
        <v>200</v>
      </c>
      <c r="G306" s="37">
        <v>200</v>
      </c>
      <c r="H306" s="37">
        <v>200</v>
      </c>
      <c r="I306" s="37">
        <v>200</v>
      </c>
      <c r="J306" s="37">
        <v>200</v>
      </c>
      <c r="K306" s="16"/>
      <c r="L306" s="26">
        <v>37</v>
      </c>
      <c r="M306" s="26">
        <v>714</v>
      </c>
      <c r="N306" s="26">
        <v>264</v>
      </c>
      <c r="O306" s="84">
        <f t="shared" si="149"/>
        <v>1015</v>
      </c>
      <c r="P306" s="26">
        <v>249</v>
      </c>
      <c r="Q306" s="26">
        <v>787</v>
      </c>
      <c r="R306" s="84">
        <f t="shared" si="150"/>
        <v>1036</v>
      </c>
      <c r="S306" s="26">
        <v>1058</v>
      </c>
      <c r="T306" s="26">
        <v>1111</v>
      </c>
      <c r="U306" s="26">
        <v>1166</v>
      </c>
      <c r="V306" s="16"/>
      <c r="W306" s="134">
        <f t="shared" si="151"/>
        <v>5735</v>
      </c>
      <c r="X306" s="134">
        <f t="shared" si="152"/>
        <v>114240</v>
      </c>
      <c r="Y306" s="134">
        <f t="shared" si="153"/>
        <v>52800</v>
      </c>
      <c r="Z306" s="28">
        <f t="shared" si="154"/>
        <v>172775</v>
      </c>
      <c r="AA306" s="134">
        <f t="shared" si="155"/>
        <v>49800</v>
      </c>
      <c r="AB306" s="134">
        <f t="shared" si="156"/>
        <v>157400</v>
      </c>
      <c r="AC306" s="134">
        <f>SUM(AA306:AB306)</f>
        <v>207200</v>
      </c>
      <c r="AD306" s="78">
        <f t="shared" si="157"/>
        <v>211600</v>
      </c>
      <c r="AE306" s="78">
        <f t="shared" si="158"/>
        <v>222200</v>
      </c>
      <c r="AF306" s="135">
        <f t="shared" si="159"/>
        <v>233200</v>
      </c>
    </row>
    <row r="307" spans="1:32" s="136" customFormat="1" x14ac:dyDescent="0.3">
      <c r="A307" s="138" t="s">
        <v>113</v>
      </c>
      <c r="B307" s="33"/>
      <c r="C307" s="37"/>
      <c r="D307" s="37"/>
      <c r="E307" s="37"/>
      <c r="F307" s="37"/>
      <c r="G307" s="37"/>
      <c r="H307" s="37"/>
      <c r="I307" s="37"/>
      <c r="J307" s="37"/>
      <c r="K307" s="1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16"/>
      <c r="W307" s="35">
        <f>SUM(W294:W306)</f>
        <v>336725</v>
      </c>
      <c r="X307" s="35">
        <f t="shared" ref="X307:AF307" si="161">SUM(X294:X306)</f>
        <v>6699147</v>
      </c>
      <c r="Y307" s="35">
        <f t="shared" si="161"/>
        <v>3322430</v>
      </c>
      <c r="Z307" s="35">
        <f t="shared" si="161"/>
        <v>10358302</v>
      </c>
      <c r="AA307" s="35">
        <f t="shared" si="161"/>
        <v>3143760</v>
      </c>
      <c r="AB307" s="35">
        <f t="shared" si="161"/>
        <v>9955860</v>
      </c>
      <c r="AC307" s="35">
        <f t="shared" si="161"/>
        <v>13099620</v>
      </c>
      <c r="AD307" s="35">
        <f t="shared" si="161"/>
        <v>13424780</v>
      </c>
      <c r="AE307" s="35">
        <f t="shared" si="161"/>
        <v>13952570</v>
      </c>
      <c r="AF307" s="135">
        <f t="shared" si="161"/>
        <v>14649770</v>
      </c>
    </row>
    <row r="308" spans="1:32" s="136" customFormat="1" x14ac:dyDescent="0.3">
      <c r="A308" s="138"/>
      <c r="B308" s="33"/>
      <c r="C308" s="37"/>
      <c r="D308" s="37"/>
      <c r="E308" s="37"/>
      <c r="F308" s="37"/>
      <c r="G308" s="37"/>
      <c r="H308" s="37"/>
      <c r="I308" s="37"/>
      <c r="J308" s="37"/>
      <c r="K308" s="1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16"/>
      <c r="W308" s="134"/>
      <c r="X308" s="134"/>
      <c r="Y308" s="134"/>
      <c r="Z308" s="134"/>
      <c r="AA308" s="134"/>
      <c r="AB308" s="134"/>
      <c r="AC308" s="134"/>
      <c r="AD308" s="78"/>
      <c r="AE308" s="134"/>
      <c r="AF308" s="135"/>
    </row>
    <row r="309" spans="1:32" s="136" customFormat="1" x14ac:dyDescent="0.3">
      <c r="A309" s="137" t="s">
        <v>114</v>
      </c>
      <c r="B309" s="33"/>
      <c r="C309" s="24"/>
      <c r="D309" s="24"/>
      <c r="E309" s="24"/>
      <c r="F309" s="24"/>
      <c r="G309" s="24"/>
      <c r="H309" s="24"/>
      <c r="I309" s="24"/>
      <c r="J309" s="24"/>
      <c r="K309" s="1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16"/>
      <c r="W309" s="134"/>
      <c r="X309" s="134"/>
      <c r="Y309" s="134"/>
      <c r="Z309" s="134"/>
      <c r="AA309" s="134"/>
      <c r="AB309" s="134"/>
      <c r="AC309" s="134"/>
      <c r="AD309" s="78"/>
      <c r="AE309" s="134"/>
      <c r="AF309" s="135"/>
    </row>
    <row r="310" spans="1:32" s="136" customFormat="1" x14ac:dyDescent="0.3">
      <c r="A310" s="29">
        <v>3631</v>
      </c>
      <c r="B310" s="22" t="s">
        <v>103</v>
      </c>
      <c r="C310" s="24"/>
      <c r="D310" s="24"/>
      <c r="E310" s="24">
        <v>70</v>
      </c>
      <c r="F310" s="24">
        <v>70</v>
      </c>
      <c r="G310" s="24">
        <v>70</v>
      </c>
      <c r="H310" s="24">
        <v>70</v>
      </c>
      <c r="I310" s="24">
        <v>70</v>
      </c>
      <c r="J310" s="24">
        <v>70</v>
      </c>
      <c r="K310" s="16"/>
      <c r="L310" s="26"/>
      <c r="M310" s="26"/>
      <c r="N310" s="26">
        <v>5389</v>
      </c>
      <c r="O310" s="84">
        <f t="shared" ref="O310:O322" si="162">SUM(L310:N310)</f>
        <v>5389</v>
      </c>
      <c r="P310" s="26">
        <v>1339</v>
      </c>
      <c r="Q310" s="26">
        <v>4242</v>
      </c>
      <c r="R310" s="84">
        <f t="shared" ref="R310:R322" si="163">SUM(P310:Q310)</f>
        <v>5581</v>
      </c>
      <c r="S310" s="26">
        <v>5778</v>
      </c>
      <c r="T310" s="26">
        <v>6067</v>
      </c>
      <c r="U310" s="26">
        <v>6371</v>
      </c>
      <c r="V310" s="16"/>
      <c r="W310" s="134">
        <f t="shared" ref="W310:W322" si="164">L310*C310</f>
        <v>0</v>
      </c>
      <c r="X310" s="134">
        <f t="shared" ref="X310:X322" si="165">M310*D310</f>
        <v>0</v>
      </c>
      <c r="Y310" s="134">
        <f t="shared" ref="Y310:Y322" si="166">N310*E310</f>
        <v>377230</v>
      </c>
      <c r="Z310" s="28">
        <f t="shared" ref="Z310:Z322" si="167">W310+X310+Y310</f>
        <v>377230</v>
      </c>
      <c r="AA310" s="134">
        <f t="shared" ref="AA310:AA322" si="168">F310*P310</f>
        <v>93730</v>
      </c>
      <c r="AB310" s="134">
        <f t="shared" ref="AB310:AB322" si="169">G310*Q310</f>
        <v>296940</v>
      </c>
      <c r="AC310" s="134">
        <f t="shared" ref="AC310:AC315" si="170">SUM(AA310:AB310)</f>
        <v>390670</v>
      </c>
      <c r="AD310" s="78">
        <f t="shared" ref="AD310:AD322" si="171">H310*S310</f>
        <v>404460</v>
      </c>
      <c r="AE310" s="78">
        <f t="shared" ref="AE310:AE322" si="172">I310*T310</f>
        <v>424690</v>
      </c>
      <c r="AF310" s="135">
        <f t="shared" ref="AF310:AF322" si="173">J310*U310</f>
        <v>445970</v>
      </c>
    </row>
    <row r="311" spans="1:32" s="136" customFormat="1" x14ac:dyDescent="0.3">
      <c r="A311" s="29">
        <v>3632</v>
      </c>
      <c r="B311" s="22" t="s">
        <v>104</v>
      </c>
      <c r="C311" s="24"/>
      <c r="D311" s="24"/>
      <c r="E311" s="24">
        <v>150</v>
      </c>
      <c r="F311" s="24">
        <v>150</v>
      </c>
      <c r="G311" s="24">
        <v>150</v>
      </c>
      <c r="H311" s="24">
        <v>150</v>
      </c>
      <c r="I311" s="24">
        <v>150</v>
      </c>
      <c r="J311" s="24">
        <v>150</v>
      </c>
      <c r="K311" s="16"/>
      <c r="L311" s="26"/>
      <c r="M311" s="26"/>
      <c r="N311" s="26">
        <v>58</v>
      </c>
      <c r="O311" s="84">
        <f t="shared" si="162"/>
        <v>58</v>
      </c>
      <c r="P311" s="26">
        <v>14</v>
      </c>
      <c r="Q311" s="26">
        <v>46</v>
      </c>
      <c r="R311" s="84">
        <f t="shared" si="163"/>
        <v>60</v>
      </c>
      <c r="S311" s="26">
        <v>62</v>
      </c>
      <c r="T311" s="26">
        <v>65</v>
      </c>
      <c r="U311" s="26">
        <v>68</v>
      </c>
      <c r="V311" s="16"/>
      <c r="W311" s="134">
        <f t="shared" si="164"/>
        <v>0</v>
      </c>
      <c r="X311" s="134">
        <f t="shared" si="165"/>
        <v>0</v>
      </c>
      <c r="Y311" s="134">
        <f t="shared" si="166"/>
        <v>8700</v>
      </c>
      <c r="Z311" s="28">
        <f t="shared" si="167"/>
        <v>8700</v>
      </c>
      <c r="AA311" s="134">
        <f t="shared" si="168"/>
        <v>2100</v>
      </c>
      <c r="AB311" s="134">
        <f t="shared" si="169"/>
        <v>6900</v>
      </c>
      <c r="AC311" s="134">
        <f t="shared" si="170"/>
        <v>9000</v>
      </c>
      <c r="AD311" s="78">
        <f t="shared" si="171"/>
        <v>9300</v>
      </c>
      <c r="AE311" s="78">
        <f t="shared" si="172"/>
        <v>9750</v>
      </c>
      <c r="AF311" s="135">
        <f t="shared" si="173"/>
        <v>10200</v>
      </c>
    </row>
    <row r="312" spans="1:32" s="136" customFormat="1" x14ac:dyDescent="0.3">
      <c r="A312" s="29">
        <v>3640</v>
      </c>
      <c r="B312" s="22" t="s">
        <v>105</v>
      </c>
      <c r="C312" s="24"/>
      <c r="D312" s="24"/>
      <c r="E312" s="24">
        <v>0</v>
      </c>
      <c r="F312" s="24">
        <v>0</v>
      </c>
      <c r="G312" s="24">
        <v>0</v>
      </c>
      <c r="H312" s="24">
        <v>0</v>
      </c>
      <c r="I312" s="24">
        <v>0</v>
      </c>
      <c r="J312" s="24">
        <v>0</v>
      </c>
      <c r="K312" s="16"/>
      <c r="L312" s="26"/>
      <c r="M312" s="26"/>
      <c r="N312" s="26">
        <v>63</v>
      </c>
      <c r="O312" s="84">
        <f t="shared" si="162"/>
        <v>63</v>
      </c>
      <c r="P312" s="26">
        <v>16</v>
      </c>
      <c r="Q312" s="26">
        <v>47</v>
      </c>
      <c r="R312" s="84">
        <f t="shared" si="163"/>
        <v>63</v>
      </c>
      <c r="S312" s="26">
        <v>63</v>
      </c>
      <c r="T312" s="26">
        <v>63</v>
      </c>
      <c r="U312" s="26">
        <v>63</v>
      </c>
      <c r="V312" s="16"/>
      <c r="W312" s="134">
        <f t="shared" si="164"/>
        <v>0</v>
      </c>
      <c r="X312" s="134">
        <f t="shared" si="165"/>
        <v>0</v>
      </c>
      <c r="Y312" s="134">
        <f t="shared" si="166"/>
        <v>0</v>
      </c>
      <c r="Z312" s="28">
        <f t="shared" si="167"/>
        <v>0</v>
      </c>
      <c r="AA312" s="134">
        <f t="shared" si="168"/>
        <v>0</v>
      </c>
      <c r="AB312" s="134">
        <f t="shared" si="169"/>
        <v>0</v>
      </c>
      <c r="AC312" s="134">
        <f t="shared" si="170"/>
        <v>0</v>
      </c>
      <c r="AD312" s="78">
        <f t="shared" si="171"/>
        <v>0</v>
      </c>
      <c r="AE312" s="78">
        <f t="shared" si="172"/>
        <v>0</v>
      </c>
      <c r="AF312" s="135">
        <f t="shared" si="173"/>
        <v>0</v>
      </c>
    </row>
    <row r="313" spans="1:32" s="136" customFormat="1" x14ac:dyDescent="0.3">
      <c r="A313" s="29">
        <v>3641</v>
      </c>
      <c r="B313" s="22" t="s">
        <v>106</v>
      </c>
      <c r="C313" s="24"/>
      <c r="D313" s="24"/>
      <c r="E313" s="24">
        <v>30</v>
      </c>
      <c r="F313" s="24">
        <v>30</v>
      </c>
      <c r="G313" s="24">
        <v>30</v>
      </c>
      <c r="H313" s="24">
        <v>30</v>
      </c>
      <c r="I313" s="24">
        <v>30</v>
      </c>
      <c r="J313" s="24">
        <v>30</v>
      </c>
      <c r="K313" s="16"/>
      <c r="L313" s="26"/>
      <c r="M313" s="26"/>
      <c r="N313" s="26">
        <v>943</v>
      </c>
      <c r="O313" s="84">
        <f t="shared" si="162"/>
        <v>943</v>
      </c>
      <c r="P313" s="26">
        <v>234</v>
      </c>
      <c r="Q313" s="26">
        <v>743</v>
      </c>
      <c r="R313" s="84">
        <f t="shared" si="163"/>
        <v>977</v>
      </c>
      <c r="S313" s="26">
        <v>1011</v>
      </c>
      <c r="T313" s="26">
        <v>1062</v>
      </c>
      <c r="U313" s="26">
        <v>1115</v>
      </c>
      <c r="V313" s="16"/>
      <c r="W313" s="134">
        <f t="shared" si="164"/>
        <v>0</v>
      </c>
      <c r="X313" s="134">
        <f t="shared" si="165"/>
        <v>0</v>
      </c>
      <c r="Y313" s="134">
        <f t="shared" si="166"/>
        <v>28290</v>
      </c>
      <c r="Z313" s="28">
        <f t="shared" si="167"/>
        <v>28290</v>
      </c>
      <c r="AA313" s="134">
        <f t="shared" si="168"/>
        <v>7020</v>
      </c>
      <c r="AB313" s="134">
        <f t="shared" si="169"/>
        <v>22290</v>
      </c>
      <c r="AC313" s="134">
        <f t="shared" si="170"/>
        <v>29310</v>
      </c>
      <c r="AD313" s="78">
        <f t="shared" si="171"/>
        <v>30330</v>
      </c>
      <c r="AE313" s="78">
        <f t="shared" si="172"/>
        <v>31860</v>
      </c>
      <c r="AF313" s="135">
        <f t="shared" si="173"/>
        <v>33450</v>
      </c>
    </row>
    <row r="314" spans="1:32" s="136" customFormat="1" x14ac:dyDescent="0.3">
      <c r="A314" s="29">
        <v>3642</v>
      </c>
      <c r="B314" s="22" t="s">
        <v>107</v>
      </c>
      <c r="C314" s="24"/>
      <c r="D314" s="24"/>
      <c r="E314" s="24">
        <v>120</v>
      </c>
      <c r="F314" s="24">
        <v>120</v>
      </c>
      <c r="G314" s="24">
        <v>120</v>
      </c>
      <c r="H314" s="24">
        <v>120</v>
      </c>
      <c r="I314" s="24">
        <v>120</v>
      </c>
      <c r="J314" s="24">
        <v>120</v>
      </c>
      <c r="K314" s="16"/>
      <c r="L314" s="26"/>
      <c r="M314" s="26"/>
      <c r="N314" s="26">
        <v>4365</v>
      </c>
      <c r="O314" s="84">
        <f t="shared" si="162"/>
        <v>4365</v>
      </c>
      <c r="P314" s="26">
        <v>1085</v>
      </c>
      <c r="Q314" s="26">
        <v>3435</v>
      </c>
      <c r="R314" s="84">
        <f t="shared" si="163"/>
        <v>4520</v>
      </c>
      <c r="S314" s="26">
        <v>4681</v>
      </c>
      <c r="T314" s="26">
        <v>4915</v>
      </c>
      <c r="U314" s="26">
        <v>5160</v>
      </c>
      <c r="V314" s="16"/>
      <c r="W314" s="134">
        <f t="shared" si="164"/>
        <v>0</v>
      </c>
      <c r="X314" s="134">
        <f t="shared" si="165"/>
        <v>0</v>
      </c>
      <c r="Y314" s="134">
        <f t="shared" si="166"/>
        <v>523800</v>
      </c>
      <c r="Z314" s="28">
        <f t="shared" si="167"/>
        <v>523800</v>
      </c>
      <c r="AA314" s="134">
        <f t="shared" si="168"/>
        <v>130200</v>
      </c>
      <c r="AB314" s="134">
        <f t="shared" si="169"/>
        <v>412200</v>
      </c>
      <c r="AC314" s="134">
        <f t="shared" si="170"/>
        <v>542400</v>
      </c>
      <c r="AD314" s="78">
        <f t="shared" si="171"/>
        <v>561720</v>
      </c>
      <c r="AE314" s="78">
        <f t="shared" si="172"/>
        <v>589800</v>
      </c>
      <c r="AF314" s="135">
        <f t="shared" si="173"/>
        <v>619200</v>
      </c>
    </row>
    <row r="315" spans="1:32" s="136" customFormat="1" x14ac:dyDescent="0.3">
      <c r="A315" s="29">
        <v>3633</v>
      </c>
      <c r="B315" s="22" t="s">
        <v>108</v>
      </c>
      <c r="C315" s="24"/>
      <c r="D315" s="24"/>
      <c r="E315" s="24">
        <v>180</v>
      </c>
      <c r="F315" s="24">
        <v>180</v>
      </c>
      <c r="G315" s="24">
        <v>180</v>
      </c>
      <c r="H315" s="24">
        <v>180</v>
      </c>
      <c r="I315" s="24">
        <v>180</v>
      </c>
      <c r="J315" s="24">
        <v>180</v>
      </c>
      <c r="K315" s="16"/>
      <c r="L315" s="26"/>
      <c r="M315" s="26"/>
      <c r="N315" s="26">
        <v>5335</v>
      </c>
      <c r="O315" s="84">
        <f t="shared" si="162"/>
        <v>5335</v>
      </c>
      <c r="P315" s="26">
        <v>1326</v>
      </c>
      <c r="Q315" s="26">
        <v>4199</v>
      </c>
      <c r="R315" s="84">
        <f t="shared" si="163"/>
        <v>5525</v>
      </c>
      <c r="S315" s="26">
        <v>5721</v>
      </c>
      <c r="T315" s="26">
        <v>6007</v>
      </c>
      <c r="U315" s="26">
        <v>6307</v>
      </c>
      <c r="V315" s="16"/>
      <c r="W315" s="134">
        <f t="shared" si="164"/>
        <v>0</v>
      </c>
      <c r="X315" s="134">
        <f t="shared" si="165"/>
        <v>0</v>
      </c>
      <c r="Y315" s="134">
        <f t="shared" si="166"/>
        <v>960300</v>
      </c>
      <c r="Z315" s="28">
        <f t="shared" si="167"/>
        <v>960300</v>
      </c>
      <c r="AA315" s="134">
        <f t="shared" si="168"/>
        <v>238680</v>
      </c>
      <c r="AB315" s="134">
        <f t="shared" si="169"/>
        <v>755820</v>
      </c>
      <c r="AC315" s="134">
        <f t="shared" si="170"/>
        <v>994500</v>
      </c>
      <c r="AD315" s="78">
        <f t="shared" si="171"/>
        <v>1029780</v>
      </c>
      <c r="AE315" s="78">
        <f t="shared" si="172"/>
        <v>1081260</v>
      </c>
      <c r="AF315" s="135">
        <f t="shared" si="173"/>
        <v>1135260</v>
      </c>
    </row>
    <row r="316" spans="1:32" s="136" customFormat="1" x14ac:dyDescent="0.3">
      <c r="A316" s="29">
        <v>3643</v>
      </c>
      <c r="B316" s="22" t="s">
        <v>109</v>
      </c>
      <c r="C316" s="24"/>
      <c r="D316" s="24"/>
      <c r="E316" s="24">
        <v>0</v>
      </c>
      <c r="F316" s="24">
        <v>0</v>
      </c>
      <c r="G316" s="24">
        <v>0</v>
      </c>
      <c r="H316" s="24">
        <v>0</v>
      </c>
      <c r="I316" s="24">
        <v>0</v>
      </c>
      <c r="J316" s="24">
        <v>0</v>
      </c>
      <c r="K316" s="16"/>
      <c r="L316" s="26"/>
      <c r="M316" s="26"/>
      <c r="N316" s="26">
        <v>63</v>
      </c>
      <c r="O316" s="84">
        <f t="shared" si="162"/>
        <v>63</v>
      </c>
      <c r="P316" s="26">
        <v>15</v>
      </c>
      <c r="Q316" s="26">
        <v>48</v>
      </c>
      <c r="R316" s="84">
        <f t="shared" si="163"/>
        <v>63</v>
      </c>
      <c r="S316" s="26">
        <v>63</v>
      </c>
      <c r="T316" s="26">
        <v>63</v>
      </c>
      <c r="U316" s="26">
        <v>63</v>
      </c>
      <c r="V316" s="16"/>
      <c r="W316" s="134">
        <f t="shared" si="164"/>
        <v>0</v>
      </c>
      <c r="X316" s="134">
        <f t="shared" si="165"/>
        <v>0</v>
      </c>
      <c r="Y316" s="134">
        <f t="shared" si="166"/>
        <v>0</v>
      </c>
      <c r="Z316" s="28">
        <f t="shared" si="167"/>
        <v>0</v>
      </c>
      <c r="AA316" s="134">
        <f t="shared" si="168"/>
        <v>0</v>
      </c>
      <c r="AB316" s="134">
        <f t="shared" si="169"/>
        <v>0</v>
      </c>
      <c r="AC316" s="134">
        <f t="shared" ref="AC316:AC322" si="174">SUM(AA316:AB316)</f>
        <v>0</v>
      </c>
      <c r="AD316" s="78">
        <f t="shared" si="171"/>
        <v>0</v>
      </c>
      <c r="AE316" s="78">
        <f t="shared" si="172"/>
        <v>0</v>
      </c>
      <c r="AF316" s="135">
        <f t="shared" si="173"/>
        <v>0</v>
      </c>
    </row>
    <row r="317" spans="1:32" x14ac:dyDescent="0.3">
      <c r="A317" s="21">
        <v>3614</v>
      </c>
      <c r="B317" s="22" t="s">
        <v>41</v>
      </c>
      <c r="C317" s="36"/>
      <c r="D317" s="36"/>
      <c r="E317" s="24">
        <v>105</v>
      </c>
      <c r="F317" s="24">
        <v>105</v>
      </c>
      <c r="G317" s="24">
        <v>105</v>
      </c>
      <c r="H317" s="24">
        <v>105</v>
      </c>
      <c r="I317" s="24">
        <v>105</v>
      </c>
      <c r="J317" s="24">
        <v>105</v>
      </c>
      <c r="K317" s="16"/>
      <c r="L317" s="84"/>
      <c r="M317" s="84"/>
      <c r="N317" s="84">
        <v>2812</v>
      </c>
      <c r="O317" s="84">
        <f t="shared" si="162"/>
        <v>2812</v>
      </c>
      <c r="P317" s="26">
        <v>675</v>
      </c>
      <c r="Q317" s="26">
        <v>2138</v>
      </c>
      <c r="R317" s="84">
        <f t="shared" si="163"/>
        <v>2813</v>
      </c>
      <c r="S317" s="84">
        <v>2810</v>
      </c>
      <c r="T317" s="84">
        <v>2843</v>
      </c>
      <c r="U317" s="84">
        <v>2985</v>
      </c>
      <c r="V317" s="16"/>
      <c r="W317" s="28">
        <f t="shared" si="164"/>
        <v>0</v>
      </c>
      <c r="X317" s="28">
        <f t="shared" si="165"/>
        <v>0</v>
      </c>
      <c r="Y317" s="28">
        <f t="shared" si="166"/>
        <v>295260</v>
      </c>
      <c r="Z317" s="28">
        <f t="shared" si="167"/>
        <v>295260</v>
      </c>
      <c r="AA317" s="28">
        <f t="shared" si="168"/>
        <v>70875</v>
      </c>
      <c r="AB317" s="28">
        <f t="shared" si="169"/>
        <v>224490</v>
      </c>
      <c r="AC317" s="28">
        <f t="shared" si="174"/>
        <v>295365</v>
      </c>
      <c r="AD317" s="77">
        <f t="shared" si="171"/>
        <v>295050</v>
      </c>
      <c r="AE317" s="77">
        <f t="shared" si="172"/>
        <v>298515</v>
      </c>
      <c r="AF317" s="99">
        <f t="shared" si="173"/>
        <v>313425</v>
      </c>
    </row>
    <row r="318" spans="1:32" x14ac:dyDescent="0.3">
      <c r="A318" s="21">
        <v>3615</v>
      </c>
      <c r="B318" s="22" t="s">
        <v>42</v>
      </c>
      <c r="C318" s="36"/>
      <c r="D318" s="36"/>
      <c r="E318" s="24">
        <v>20</v>
      </c>
      <c r="F318" s="24">
        <v>20</v>
      </c>
      <c r="G318" s="24">
        <v>20</v>
      </c>
      <c r="H318" s="24">
        <v>20</v>
      </c>
      <c r="I318" s="24">
        <v>20</v>
      </c>
      <c r="J318" s="24">
        <v>20</v>
      </c>
      <c r="K318" s="16"/>
      <c r="L318" s="84"/>
      <c r="M318" s="84"/>
      <c r="N318" s="84">
        <v>23700</v>
      </c>
      <c r="O318" s="84">
        <f t="shared" si="162"/>
        <v>23700</v>
      </c>
      <c r="P318" s="26">
        <v>5690</v>
      </c>
      <c r="Q318" s="26">
        <v>18019</v>
      </c>
      <c r="R318" s="84">
        <f t="shared" si="163"/>
        <v>23709</v>
      </c>
      <c r="S318" s="84">
        <v>23685</v>
      </c>
      <c r="T318" s="84">
        <v>23961</v>
      </c>
      <c r="U318" s="84">
        <v>25160</v>
      </c>
      <c r="V318" s="16"/>
      <c r="W318" s="28">
        <f t="shared" si="164"/>
        <v>0</v>
      </c>
      <c r="X318" s="28">
        <f t="shared" si="165"/>
        <v>0</v>
      </c>
      <c r="Y318" s="28">
        <f t="shared" si="166"/>
        <v>474000</v>
      </c>
      <c r="Z318" s="28">
        <f t="shared" si="167"/>
        <v>474000</v>
      </c>
      <c r="AA318" s="28">
        <f t="shared" si="168"/>
        <v>113800</v>
      </c>
      <c r="AB318" s="28">
        <f t="shared" si="169"/>
        <v>360380</v>
      </c>
      <c r="AC318" s="28">
        <f t="shared" si="174"/>
        <v>474180</v>
      </c>
      <c r="AD318" s="77">
        <f t="shared" si="171"/>
        <v>473700</v>
      </c>
      <c r="AE318" s="77">
        <f t="shared" si="172"/>
        <v>479220</v>
      </c>
      <c r="AF318" s="99">
        <f t="shared" si="173"/>
        <v>503200</v>
      </c>
    </row>
    <row r="319" spans="1:32" x14ac:dyDescent="0.3">
      <c r="A319" s="21">
        <v>3616</v>
      </c>
      <c r="B319" s="22" t="s">
        <v>43</v>
      </c>
      <c r="C319" s="36"/>
      <c r="D319" s="36"/>
      <c r="E319" s="24">
        <v>195</v>
      </c>
      <c r="F319" s="24">
        <v>195</v>
      </c>
      <c r="G319" s="24">
        <v>195</v>
      </c>
      <c r="H319" s="24">
        <v>195</v>
      </c>
      <c r="I319" s="24">
        <v>195</v>
      </c>
      <c r="J319" s="24">
        <v>195</v>
      </c>
      <c r="K319" s="16"/>
      <c r="L319" s="84"/>
      <c r="M319" s="84"/>
      <c r="N319" s="84">
        <v>371</v>
      </c>
      <c r="O319" s="84">
        <f t="shared" si="162"/>
        <v>371</v>
      </c>
      <c r="P319" s="26">
        <v>89</v>
      </c>
      <c r="Q319" s="26">
        <v>282</v>
      </c>
      <c r="R319" s="84">
        <f t="shared" si="163"/>
        <v>371</v>
      </c>
      <c r="S319" s="84">
        <v>371</v>
      </c>
      <c r="T319" s="84">
        <v>375</v>
      </c>
      <c r="U319" s="84">
        <v>394</v>
      </c>
      <c r="V319" s="16"/>
      <c r="W319" s="28">
        <f t="shared" si="164"/>
        <v>0</v>
      </c>
      <c r="X319" s="28">
        <f t="shared" si="165"/>
        <v>0</v>
      </c>
      <c r="Y319" s="28">
        <f t="shared" si="166"/>
        <v>72345</v>
      </c>
      <c r="Z319" s="28">
        <f t="shared" si="167"/>
        <v>72345</v>
      </c>
      <c r="AA319" s="28">
        <f t="shared" si="168"/>
        <v>17355</v>
      </c>
      <c r="AB319" s="28">
        <f t="shared" si="169"/>
        <v>54990</v>
      </c>
      <c r="AC319" s="28">
        <f t="shared" si="174"/>
        <v>72345</v>
      </c>
      <c r="AD319" s="77">
        <f t="shared" si="171"/>
        <v>72345</v>
      </c>
      <c r="AE319" s="77">
        <f t="shared" si="172"/>
        <v>73125</v>
      </c>
      <c r="AF319" s="99">
        <f t="shared" si="173"/>
        <v>76830</v>
      </c>
    </row>
    <row r="320" spans="1:32" x14ac:dyDescent="0.3">
      <c r="A320" s="21">
        <v>3617</v>
      </c>
      <c r="B320" s="22" t="s">
        <v>110</v>
      </c>
      <c r="C320" s="36"/>
      <c r="D320" s="36"/>
      <c r="E320" s="24">
        <v>35</v>
      </c>
      <c r="F320" s="24">
        <v>35</v>
      </c>
      <c r="G320" s="24">
        <v>35</v>
      </c>
      <c r="H320" s="24">
        <v>35</v>
      </c>
      <c r="I320" s="24">
        <v>35</v>
      </c>
      <c r="J320" s="24">
        <v>35</v>
      </c>
      <c r="K320" s="16"/>
      <c r="L320" s="84"/>
      <c r="M320" s="84"/>
      <c r="N320" s="84">
        <v>2266</v>
      </c>
      <c r="O320" s="84">
        <f t="shared" si="162"/>
        <v>2266</v>
      </c>
      <c r="P320" s="26">
        <v>563</v>
      </c>
      <c r="Q320" s="26">
        <v>1783</v>
      </c>
      <c r="R320" s="84">
        <f t="shared" si="163"/>
        <v>2346</v>
      </c>
      <c r="S320" s="84">
        <v>2428</v>
      </c>
      <c r="T320" s="84">
        <v>2548</v>
      </c>
      <c r="U320" s="84">
        <v>2675</v>
      </c>
      <c r="V320" s="16"/>
      <c r="W320" s="28">
        <f t="shared" si="164"/>
        <v>0</v>
      </c>
      <c r="X320" s="28">
        <f t="shared" si="165"/>
        <v>0</v>
      </c>
      <c r="Y320" s="28">
        <f t="shared" si="166"/>
        <v>79310</v>
      </c>
      <c r="Z320" s="28">
        <f t="shared" si="167"/>
        <v>79310</v>
      </c>
      <c r="AA320" s="28">
        <f t="shared" si="168"/>
        <v>19705</v>
      </c>
      <c r="AB320" s="28">
        <f t="shared" si="169"/>
        <v>62405</v>
      </c>
      <c r="AC320" s="28">
        <f t="shared" si="174"/>
        <v>82110</v>
      </c>
      <c r="AD320" s="77">
        <f t="shared" si="171"/>
        <v>84980</v>
      </c>
      <c r="AE320" s="77">
        <f t="shared" si="172"/>
        <v>89180</v>
      </c>
      <c r="AF320" s="99">
        <f t="shared" si="173"/>
        <v>93625</v>
      </c>
    </row>
    <row r="321" spans="1:32" x14ac:dyDescent="0.3">
      <c r="A321" s="21">
        <v>3618</v>
      </c>
      <c r="B321" s="22" t="s">
        <v>111</v>
      </c>
      <c r="C321" s="36"/>
      <c r="D321" s="36"/>
      <c r="E321" s="24">
        <v>35</v>
      </c>
      <c r="F321" s="24">
        <v>35</v>
      </c>
      <c r="G321" s="24">
        <v>35</v>
      </c>
      <c r="H321" s="24">
        <v>35</v>
      </c>
      <c r="I321" s="24">
        <v>35</v>
      </c>
      <c r="J321" s="24">
        <v>35</v>
      </c>
      <c r="K321" s="16"/>
      <c r="L321" s="84"/>
      <c r="M321" s="84"/>
      <c r="N321" s="84">
        <v>173</v>
      </c>
      <c r="O321" s="84">
        <f t="shared" si="162"/>
        <v>173</v>
      </c>
      <c r="P321" s="26">
        <v>43</v>
      </c>
      <c r="Q321" s="26">
        <v>138</v>
      </c>
      <c r="R321" s="84">
        <f t="shared" si="163"/>
        <v>181</v>
      </c>
      <c r="S321" s="84">
        <v>191</v>
      </c>
      <c r="T321" s="84">
        <v>200</v>
      </c>
      <c r="U321" s="84">
        <v>210</v>
      </c>
      <c r="V321" s="16"/>
      <c r="W321" s="28">
        <f t="shared" si="164"/>
        <v>0</v>
      </c>
      <c r="X321" s="28">
        <f t="shared" si="165"/>
        <v>0</v>
      </c>
      <c r="Y321" s="28">
        <f t="shared" si="166"/>
        <v>6055</v>
      </c>
      <c r="Z321" s="28">
        <f t="shared" si="167"/>
        <v>6055</v>
      </c>
      <c r="AA321" s="28">
        <f t="shared" si="168"/>
        <v>1505</v>
      </c>
      <c r="AB321" s="28">
        <f t="shared" si="169"/>
        <v>4830</v>
      </c>
      <c r="AC321" s="28">
        <f t="shared" si="174"/>
        <v>6335</v>
      </c>
      <c r="AD321" s="77">
        <f t="shared" si="171"/>
        <v>6685</v>
      </c>
      <c r="AE321" s="77">
        <f t="shared" si="172"/>
        <v>7000</v>
      </c>
      <c r="AF321" s="99">
        <f t="shared" si="173"/>
        <v>7350</v>
      </c>
    </row>
    <row r="322" spans="1:32" x14ac:dyDescent="0.3">
      <c r="A322" s="21">
        <v>3681</v>
      </c>
      <c r="B322" s="22" t="s">
        <v>112</v>
      </c>
      <c r="C322" s="36"/>
      <c r="D322" s="36"/>
      <c r="E322" s="24">
        <v>100</v>
      </c>
      <c r="F322" s="24">
        <v>100</v>
      </c>
      <c r="G322" s="24">
        <v>100</v>
      </c>
      <c r="H322" s="24">
        <v>100</v>
      </c>
      <c r="I322" s="24">
        <v>100</v>
      </c>
      <c r="J322" s="24">
        <v>100</v>
      </c>
      <c r="K322" s="16"/>
      <c r="L322" s="84"/>
      <c r="M322" s="84"/>
      <c r="N322" s="84">
        <v>456</v>
      </c>
      <c r="O322" s="84">
        <f t="shared" si="162"/>
        <v>456</v>
      </c>
      <c r="P322" s="26">
        <v>112</v>
      </c>
      <c r="Q322" s="26">
        <v>353</v>
      </c>
      <c r="R322" s="84">
        <f t="shared" si="163"/>
        <v>465</v>
      </c>
      <c r="S322" s="84">
        <v>475</v>
      </c>
      <c r="T322" s="84">
        <v>499</v>
      </c>
      <c r="U322" s="84">
        <v>524</v>
      </c>
      <c r="V322" s="16"/>
      <c r="W322" s="28">
        <f t="shared" si="164"/>
        <v>0</v>
      </c>
      <c r="X322" s="28">
        <f t="shared" si="165"/>
        <v>0</v>
      </c>
      <c r="Y322" s="28">
        <f t="shared" si="166"/>
        <v>45600</v>
      </c>
      <c r="Z322" s="28">
        <f t="shared" si="167"/>
        <v>45600</v>
      </c>
      <c r="AA322" s="28">
        <f t="shared" si="168"/>
        <v>11200</v>
      </c>
      <c r="AB322" s="28">
        <f t="shared" si="169"/>
        <v>35300</v>
      </c>
      <c r="AC322" s="28">
        <f t="shared" si="174"/>
        <v>46500</v>
      </c>
      <c r="AD322" s="77">
        <f t="shared" si="171"/>
        <v>47500</v>
      </c>
      <c r="AE322" s="77">
        <f t="shared" si="172"/>
        <v>49900</v>
      </c>
      <c r="AF322" s="99">
        <f t="shared" si="173"/>
        <v>52400</v>
      </c>
    </row>
    <row r="323" spans="1:32" x14ac:dyDescent="0.3">
      <c r="A323" s="32" t="s">
        <v>114</v>
      </c>
      <c r="B323" s="33"/>
      <c r="C323" s="36"/>
      <c r="D323" s="36"/>
      <c r="E323" s="36"/>
      <c r="F323" s="36"/>
      <c r="G323" s="36"/>
      <c r="H323" s="36"/>
      <c r="I323" s="36"/>
      <c r="J323" s="36"/>
      <c r="K323" s="16"/>
      <c r="L323" s="84"/>
      <c r="M323" s="84"/>
      <c r="N323" s="84"/>
      <c r="O323" s="84"/>
      <c r="P323" s="26"/>
      <c r="Q323" s="26"/>
      <c r="R323" s="41"/>
      <c r="S323" s="27"/>
      <c r="T323" s="27"/>
      <c r="U323" s="27"/>
      <c r="V323" s="16"/>
      <c r="W323" s="35">
        <f>SUM(W310:W322)</f>
        <v>0</v>
      </c>
      <c r="X323" s="35">
        <f t="shared" ref="X323:AF323" si="175">SUM(X310:X322)</f>
        <v>0</v>
      </c>
      <c r="Y323" s="35">
        <f t="shared" si="175"/>
        <v>2870890</v>
      </c>
      <c r="Z323" s="35">
        <f t="shared" si="175"/>
        <v>2870890</v>
      </c>
      <c r="AA323" s="35">
        <f t="shared" si="175"/>
        <v>706170</v>
      </c>
      <c r="AB323" s="35">
        <f t="shared" si="175"/>
        <v>2236545</v>
      </c>
      <c r="AC323" s="35">
        <f t="shared" si="175"/>
        <v>2942715</v>
      </c>
      <c r="AD323" s="35">
        <f t="shared" si="175"/>
        <v>3015850</v>
      </c>
      <c r="AE323" s="35">
        <f t="shared" si="175"/>
        <v>3134300</v>
      </c>
      <c r="AF323" s="99">
        <f t="shared" si="175"/>
        <v>3290910</v>
      </c>
    </row>
    <row r="324" spans="1:32" x14ac:dyDescent="0.3">
      <c r="A324" s="32"/>
      <c r="B324" s="33"/>
      <c r="C324" s="36"/>
      <c r="D324" s="36"/>
      <c r="E324" s="36"/>
      <c r="F324" s="36"/>
      <c r="G324" s="36"/>
      <c r="H324" s="36"/>
      <c r="I324" s="36"/>
      <c r="J324" s="36"/>
      <c r="K324" s="16"/>
      <c r="L324" s="84"/>
      <c r="M324" s="84"/>
      <c r="N324" s="84"/>
      <c r="O324" s="84"/>
      <c r="P324" s="26"/>
      <c r="Q324" s="26"/>
      <c r="R324" s="48"/>
      <c r="S324" s="54"/>
      <c r="T324" s="54"/>
      <c r="U324" s="54"/>
      <c r="V324" s="16"/>
      <c r="W324" s="28"/>
      <c r="X324" s="28"/>
      <c r="Y324" s="28"/>
      <c r="Z324" s="28"/>
      <c r="AA324" s="28"/>
      <c r="AB324" s="28"/>
      <c r="AC324" s="28"/>
      <c r="AD324" s="77"/>
      <c r="AE324" s="28"/>
      <c r="AF324" s="99"/>
    </row>
    <row r="325" spans="1:32" x14ac:dyDescent="0.3">
      <c r="A325" s="32" t="s">
        <v>115</v>
      </c>
      <c r="B325" s="33"/>
      <c r="C325" s="36"/>
      <c r="D325" s="36"/>
      <c r="E325" s="36"/>
      <c r="F325" s="36"/>
      <c r="G325" s="36"/>
      <c r="H325" s="36"/>
      <c r="I325" s="36"/>
      <c r="J325" s="36"/>
      <c r="K325" s="16"/>
      <c r="L325" s="84"/>
      <c r="M325" s="84"/>
      <c r="N325" s="84"/>
      <c r="O325" s="84"/>
      <c r="P325" s="26"/>
      <c r="Q325" s="26"/>
      <c r="R325" s="41"/>
      <c r="S325" s="27"/>
      <c r="T325" s="27"/>
      <c r="U325" s="27"/>
      <c r="V325" s="16"/>
      <c r="W325" s="28"/>
      <c r="X325" s="28"/>
      <c r="Y325" s="28"/>
      <c r="Z325" s="28"/>
      <c r="AA325" s="28"/>
      <c r="AB325" s="28"/>
      <c r="AC325" s="28"/>
      <c r="AD325" s="77"/>
      <c r="AE325" s="28"/>
      <c r="AF325" s="99"/>
    </row>
    <row r="326" spans="1:32" x14ac:dyDescent="0.3">
      <c r="A326" s="21">
        <v>1601</v>
      </c>
      <c r="B326" s="30" t="s">
        <v>116</v>
      </c>
      <c r="C326" s="36">
        <v>240</v>
      </c>
      <c r="D326" s="36">
        <v>240</v>
      </c>
      <c r="E326" s="36">
        <v>240</v>
      </c>
      <c r="F326" s="36">
        <v>240</v>
      </c>
      <c r="G326" s="36">
        <v>240</v>
      </c>
      <c r="H326" s="36">
        <v>240</v>
      </c>
      <c r="I326" s="36">
        <v>240</v>
      </c>
      <c r="J326" s="36">
        <v>240</v>
      </c>
      <c r="K326" s="16"/>
      <c r="L326" s="84">
        <v>1396</v>
      </c>
      <c r="M326" s="84">
        <v>27293</v>
      </c>
      <c r="N326" s="84">
        <v>10080</v>
      </c>
      <c r="O326" s="84">
        <f t="shared" ref="O326:O331" si="176">SUM(L326:N326)</f>
        <v>38769</v>
      </c>
      <c r="P326" s="26">
        <v>9676</v>
      </c>
      <c r="Q326" s="26">
        <v>30642</v>
      </c>
      <c r="R326" s="84">
        <f t="shared" ref="R326:R331" si="177">SUM(P326:Q326)</f>
        <v>40318</v>
      </c>
      <c r="S326" s="84">
        <v>41931</v>
      </c>
      <c r="T326" s="84">
        <v>43608</v>
      </c>
      <c r="U326" s="84">
        <v>45353</v>
      </c>
      <c r="V326" s="16"/>
      <c r="W326" s="28">
        <f t="shared" ref="W326:Y331" si="178">L326*C326</f>
        <v>335040</v>
      </c>
      <c r="X326" s="28">
        <f t="shared" si="178"/>
        <v>6550320</v>
      </c>
      <c r="Y326" s="28">
        <f t="shared" si="178"/>
        <v>2419200</v>
      </c>
      <c r="Z326" s="28">
        <f t="shared" ref="Z326:Z334" si="179">W326+X326+Y326</f>
        <v>9304560</v>
      </c>
      <c r="AA326" s="28">
        <f t="shared" ref="AA326:AB331" si="180">F326*P326</f>
        <v>2322240</v>
      </c>
      <c r="AB326" s="28">
        <f t="shared" si="180"/>
        <v>7354080</v>
      </c>
      <c r="AC326" s="28">
        <f t="shared" ref="AC326:AC331" si="181">SUM(AA326:AB326)</f>
        <v>9676320</v>
      </c>
      <c r="AD326" s="77">
        <f t="shared" ref="AD326:AF331" si="182">H326*S326</f>
        <v>10063440</v>
      </c>
      <c r="AE326" s="77">
        <f t="shared" si="182"/>
        <v>10465920</v>
      </c>
      <c r="AF326" s="99">
        <f t="shared" si="182"/>
        <v>10884720</v>
      </c>
    </row>
    <row r="327" spans="1:32" x14ac:dyDescent="0.3">
      <c r="A327" s="21">
        <v>1602</v>
      </c>
      <c r="B327" s="22" t="s">
        <v>117</v>
      </c>
      <c r="C327" s="36">
        <v>2080</v>
      </c>
      <c r="D327" s="36">
        <v>2080</v>
      </c>
      <c r="E327" s="36">
        <v>2080</v>
      </c>
      <c r="F327" s="36">
        <v>2080</v>
      </c>
      <c r="G327" s="36">
        <v>2080</v>
      </c>
      <c r="H327" s="36">
        <v>2080</v>
      </c>
      <c r="I327" s="36">
        <v>2080</v>
      </c>
      <c r="J327" s="36">
        <v>2080</v>
      </c>
      <c r="K327" s="16"/>
      <c r="L327" s="84">
        <v>479</v>
      </c>
      <c r="M327" s="84">
        <v>9366</v>
      </c>
      <c r="N327" s="84">
        <v>3459</v>
      </c>
      <c r="O327" s="84">
        <f t="shared" si="176"/>
        <v>13304</v>
      </c>
      <c r="P327" s="26">
        <v>3321</v>
      </c>
      <c r="Q327" s="26">
        <v>10515</v>
      </c>
      <c r="R327" s="84">
        <f t="shared" si="177"/>
        <v>13836</v>
      </c>
      <c r="S327" s="84">
        <v>14390</v>
      </c>
      <c r="T327" s="84">
        <v>14965</v>
      </c>
      <c r="U327" s="84">
        <v>15564</v>
      </c>
      <c r="V327" s="16"/>
      <c r="W327" s="28">
        <f t="shared" si="178"/>
        <v>996320</v>
      </c>
      <c r="X327" s="28">
        <f t="shared" si="178"/>
        <v>19481280</v>
      </c>
      <c r="Y327" s="28">
        <f t="shared" si="178"/>
        <v>7194720</v>
      </c>
      <c r="Z327" s="28">
        <f t="shared" si="179"/>
        <v>27672320</v>
      </c>
      <c r="AA327" s="28">
        <f t="shared" si="180"/>
        <v>6907680</v>
      </c>
      <c r="AB327" s="28">
        <f t="shared" si="180"/>
        <v>21871200</v>
      </c>
      <c r="AC327" s="28">
        <f t="shared" si="181"/>
        <v>28778880</v>
      </c>
      <c r="AD327" s="77">
        <f t="shared" si="182"/>
        <v>29931200</v>
      </c>
      <c r="AE327" s="77">
        <f t="shared" si="182"/>
        <v>31127200</v>
      </c>
      <c r="AF327" s="99">
        <f t="shared" si="182"/>
        <v>32373120</v>
      </c>
    </row>
    <row r="328" spans="1:32" x14ac:dyDescent="0.3">
      <c r="A328" s="21">
        <v>1604</v>
      </c>
      <c r="B328" s="22" t="s">
        <v>118</v>
      </c>
      <c r="C328" s="36">
        <v>2080</v>
      </c>
      <c r="D328" s="36">
        <v>2080</v>
      </c>
      <c r="E328" s="36">
        <v>2080</v>
      </c>
      <c r="F328" s="36">
        <v>2080</v>
      </c>
      <c r="G328" s="36">
        <v>2080</v>
      </c>
      <c r="H328" s="36">
        <v>2080</v>
      </c>
      <c r="I328" s="36">
        <v>2080</v>
      </c>
      <c r="J328" s="36">
        <v>2080</v>
      </c>
      <c r="K328" s="16"/>
      <c r="L328" s="84">
        <v>14</v>
      </c>
      <c r="M328" s="84">
        <v>273</v>
      </c>
      <c r="N328" s="84">
        <v>101</v>
      </c>
      <c r="O328" s="84">
        <f t="shared" si="176"/>
        <v>388</v>
      </c>
      <c r="P328" s="26">
        <v>97</v>
      </c>
      <c r="Q328" s="26">
        <v>306</v>
      </c>
      <c r="R328" s="84">
        <f t="shared" si="177"/>
        <v>403</v>
      </c>
      <c r="S328" s="84">
        <v>419</v>
      </c>
      <c r="T328" s="84">
        <v>436</v>
      </c>
      <c r="U328" s="84">
        <v>454</v>
      </c>
      <c r="V328" s="16"/>
      <c r="W328" s="28">
        <f t="shared" si="178"/>
        <v>29120</v>
      </c>
      <c r="X328" s="28">
        <f t="shared" si="178"/>
        <v>567840</v>
      </c>
      <c r="Y328" s="28">
        <f t="shared" si="178"/>
        <v>210080</v>
      </c>
      <c r="Z328" s="28">
        <f t="shared" si="179"/>
        <v>807040</v>
      </c>
      <c r="AA328" s="28">
        <f t="shared" si="180"/>
        <v>201760</v>
      </c>
      <c r="AB328" s="28">
        <f t="shared" si="180"/>
        <v>636480</v>
      </c>
      <c r="AC328" s="28">
        <f t="shared" si="181"/>
        <v>838240</v>
      </c>
      <c r="AD328" s="77">
        <f t="shared" si="182"/>
        <v>871520</v>
      </c>
      <c r="AE328" s="77">
        <f t="shared" si="182"/>
        <v>906880</v>
      </c>
      <c r="AF328" s="99">
        <f t="shared" si="182"/>
        <v>944320</v>
      </c>
    </row>
    <row r="329" spans="1:32" x14ac:dyDescent="0.3">
      <c r="A329" s="21">
        <v>1605</v>
      </c>
      <c r="B329" s="22" t="s">
        <v>119</v>
      </c>
      <c r="C329" s="36">
        <v>600</v>
      </c>
      <c r="D329" s="36">
        <v>600</v>
      </c>
      <c r="E329" s="36">
        <v>600</v>
      </c>
      <c r="F329" s="36">
        <v>600</v>
      </c>
      <c r="G329" s="36">
        <v>600</v>
      </c>
      <c r="H329" s="36">
        <v>600</v>
      </c>
      <c r="I329" s="36">
        <v>600</v>
      </c>
      <c r="J329" s="36">
        <v>600</v>
      </c>
      <c r="K329" s="16"/>
      <c r="L329" s="84">
        <v>40</v>
      </c>
      <c r="M329" s="84">
        <v>785</v>
      </c>
      <c r="N329" s="84">
        <v>290</v>
      </c>
      <c r="O329" s="84">
        <f t="shared" si="176"/>
        <v>1115</v>
      </c>
      <c r="P329" s="26">
        <v>268</v>
      </c>
      <c r="Q329" s="26">
        <v>847</v>
      </c>
      <c r="R329" s="84">
        <f t="shared" si="177"/>
        <v>1115</v>
      </c>
      <c r="S329" s="84">
        <v>1115</v>
      </c>
      <c r="T329" s="84">
        <v>1115</v>
      </c>
      <c r="U329" s="84">
        <v>1115</v>
      </c>
      <c r="V329" s="16"/>
      <c r="W329" s="28">
        <f t="shared" si="178"/>
        <v>24000</v>
      </c>
      <c r="X329" s="28">
        <f t="shared" si="178"/>
        <v>471000</v>
      </c>
      <c r="Y329" s="28">
        <f t="shared" si="178"/>
        <v>174000</v>
      </c>
      <c r="Z329" s="28">
        <f t="shared" si="179"/>
        <v>669000</v>
      </c>
      <c r="AA329" s="28">
        <f t="shared" si="180"/>
        <v>160800</v>
      </c>
      <c r="AB329" s="28">
        <f t="shared" si="180"/>
        <v>508200</v>
      </c>
      <c r="AC329" s="28">
        <f t="shared" si="181"/>
        <v>669000</v>
      </c>
      <c r="AD329" s="77">
        <f t="shared" si="182"/>
        <v>669000</v>
      </c>
      <c r="AE329" s="77">
        <f t="shared" si="182"/>
        <v>669000</v>
      </c>
      <c r="AF329" s="99">
        <f t="shared" si="182"/>
        <v>669000</v>
      </c>
    </row>
    <row r="330" spans="1:32" x14ac:dyDescent="0.3">
      <c r="A330" s="21">
        <v>1606</v>
      </c>
      <c r="B330" s="22" t="s">
        <v>120</v>
      </c>
      <c r="C330" s="36">
        <v>750</v>
      </c>
      <c r="D330" s="36">
        <v>750</v>
      </c>
      <c r="E330" s="36">
        <v>750</v>
      </c>
      <c r="F330" s="36">
        <v>750</v>
      </c>
      <c r="G330" s="36">
        <v>760</v>
      </c>
      <c r="H330" s="36">
        <v>760</v>
      </c>
      <c r="I330" s="36">
        <v>760</v>
      </c>
      <c r="J330" s="36">
        <v>760</v>
      </c>
      <c r="K330" s="16"/>
      <c r="L330" s="84">
        <v>12</v>
      </c>
      <c r="M330" s="84">
        <v>227</v>
      </c>
      <c r="N330" s="84">
        <v>84</v>
      </c>
      <c r="O330" s="84">
        <f t="shared" si="176"/>
        <v>323</v>
      </c>
      <c r="P330" s="26">
        <v>77</v>
      </c>
      <c r="Q330" s="26">
        <v>245</v>
      </c>
      <c r="R330" s="84">
        <f t="shared" si="177"/>
        <v>322</v>
      </c>
      <c r="S330" s="84">
        <v>322</v>
      </c>
      <c r="T330" s="84">
        <v>322</v>
      </c>
      <c r="U330" s="84">
        <v>322</v>
      </c>
      <c r="V330" s="16"/>
      <c r="W330" s="28">
        <f t="shared" si="178"/>
        <v>9000</v>
      </c>
      <c r="X330" s="28">
        <f t="shared" si="178"/>
        <v>170250</v>
      </c>
      <c r="Y330" s="28">
        <f t="shared" si="178"/>
        <v>63000</v>
      </c>
      <c r="Z330" s="28">
        <f t="shared" si="179"/>
        <v>242250</v>
      </c>
      <c r="AA330" s="28">
        <f t="shared" si="180"/>
        <v>57750</v>
      </c>
      <c r="AB330" s="28">
        <f t="shared" si="180"/>
        <v>186200</v>
      </c>
      <c r="AC330" s="28">
        <f t="shared" si="181"/>
        <v>243950</v>
      </c>
      <c r="AD330" s="77">
        <f t="shared" si="182"/>
        <v>244720</v>
      </c>
      <c r="AE330" s="77">
        <f t="shared" si="182"/>
        <v>244720</v>
      </c>
      <c r="AF330" s="99">
        <f t="shared" si="182"/>
        <v>244720</v>
      </c>
    </row>
    <row r="331" spans="1:32" x14ac:dyDescent="0.3">
      <c r="A331" s="21">
        <v>1607</v>
      </c>
      <c r="B331" s="22" t="s">
        <v>121</v>
      </c>
      <c r="C331" s="36">
        <v>600</v>
      </c>
      <c r="D331" s="36">
        <v>600</v>
      </c>
      <c r="E331" s="36">
        <v>600</v>
      </c>
      <c r="F331" s="36">
        <v>600</v>
      </c>
      <c r="G331" s="36">
        <v>600</v>
      </c>
      <c r="H331" s="36">
        <v>600</v>
      </c>
      <c r="I331" s="36">
        <v>600</v>
      </c>
      <c r="J331" s="36">
        <v>600</v>
      </c>
      <c r="K331" s="16"/>
      <c r="L331" s="84">
        <v>0</v>
      </c>
      <c r="M331" s="84">
        <v>5</v>
      </c>
      <c r="N331" s="84">
        <v>2</v>
      </c>
      <c r="O331" s="84">
        <f t="shared" si="176"/>
        <v>7</v>
      </c>
      <c r="P331" s="26">
        <v>2</v>
      </c>
      <c r="Q331" s="26">
        <v>5</v>
      </c>
      <c r="R331" s="84">
        <f t="shared" si="177"/>
        <v>7</v>
      </c>
      <c r="S331" s="84">
        <v>7</v>
      </c>
      <c r="T331" s="84">
        <v>7</v>
      </c>
      <c r="U331" s="84">
        <v>7</v>
      </c>
      <c r="V331" s="16"/>
      <c r="W331" s="28">
        <f t="shared" si="178"/>
        <v>0</v>
      </c>
      <c r="X331" s="28">
        <f t="shared" si="178"/>
        <v>3000</v>
      </c>
      <c r="Y331" s="28">
        <f t="shared" si="178"/>
        <v>1200</v>
      </c>
      <c r="Z331" s="28">
        <f t="shared" si="179"/>
        <v>4200</v>
      </c>
      <c r="AA331" s="28">
        <f t="shared" si="180"/>
        <v>1200</v>
      </c>
      <c r="AB331" s="28">
        <f t="shared" si="180"/>
        <v>3000</v>
      </c>
      <c r="AC331" s="28">
        <f t="shared" si="181"/>
        <v>4200</v>
      </c>
      <c r="AD331" s="77">
        <f t="shared" si="182"/>
        <v>4200</v>
      </c>
      <c r="AE331" s="77">
        <f t="shared" si="182"/>
        <v>4200</v>
      </c>
      <c r="AF331" s="99">
        <f t="shared" si="182"/>
        <v>4200</v>
      </c>
    </row>
    <row r="332" spans="1:32" x14ac:dyDescent="0.3">
      <c r="A332" s="21">
        <v>1619</v>
      </c>
      <c r="B332" s="22" t="s">
        <v>122</v>
      </c>
      <c r="C332" s="152" t="s">
        <v>268</v>
      </c>
      <c r="D332" s="152" t="s">
        <v>268</v>
      </c>
      <c r="E332" s="152" t="s">
        <v>268</v>
      </c>
      <c r="F332" s="152" t="s">
        <v>268</v>
      </c>
      <c r="G332" s="152" t="s">
        <v>268</v>
      </c>
      <c r="H332" s="152" t="s">
        <v>268</v>
      </c>
      <c r="I332" s="152" t="s">
        <v>268</v>
      </c>
      <c r="J332" s="153" t="s">
        <v>268</v>
      </c>
      <c r="K332" s="16"/>
      <c r="L332" s="84">
        <v>0</v>
      </c>
      <c r="M332" s="84">
        <v>93328</v>
      </c>
      <c r="N332" s="84">
        <v>130658</v>
      </c>
      <c r="O332" s="84">
        <f>SUM(L332:N332)</f>
        <v>223986</v>
      </c>
      <c r="P332" s="26">
        <v>13122</v>
      </c>
      <c r="Q332" s="26">
        <v>39366</v>
      </c>
      <c r="R332" s="84">
        <f>SUM(P332:Q332)</f>
        <v>52488</v>
      </c>
      <c r="S332" s="84">
        <v>118188</v>
      </c>
      <c r="T332" s="84">
        <v>186512</v>
      </c>
      <c r="U332" s="84">
        <v>257573</v>
      </c>
      <c r="V332" s="16"/>
      <c r="W332" s="28">
        <f>L332</f>
        <v>0</v>
      </c>
      <c r="X332" s="28">
        <f>M332</f>
        <v>93328</v>
      </c>
      <c r="Y332" s="28">
        <f>N332</f>
        <v>130658</v>
      </c>
      <c r="Z332" s="28">
        <f t="shared" si="179"/>
        <v>223986</v>
      </c>
      <c r="AA332" s="28">
        <f>P332</f>
        <v>13122</v>
      </c>
      <c r="AB332" s="28">
        <f>Q332</f>
        <v>39366</v>
      </c>
      <c r="AC332" s="28">
        <f>SUM(AA332:AB332)</f>
        <v>52488</v>
      </c>
      <c r="AD332" s="77">
        <f>S332</f>
        <v>118188</v>
      </c>
      <c r="AE332" s="77">
        <f>T332</f>
        <v>186512</v>
      </c>
      <c r="AF332" s="99">
        <f>U332</f>
        <v>257573</v>
      </c>
    </row>
    <row r="333" spans="1:32" s="136" customFormat="1" x14ac:dyDescent="0.3">
      <c r="A333" s="133">
        <v>1621</v>
      </c>
      <c r="B333" s="86" t="s">
        <v>202</v>
      </c>
      <c r="C333" s="87">
        <v>240</v>
      </c>
      <c r="D333" s="87">
        <v>240</v>
      </c>
      <c r="E333" s="87">
        <v>240</v>
      </c>
      <c r="F333" s="87">
        <v>240</v>
      </c>
      <c r="G333" s="87">
        <v>240</v>
      </c>
      <c r="H333" s="87">
        <v>240</v>
      </c>
      <c r="I333" s="87">
        <v>240</v>
      </c>
      <c r="J333" s="87">
        <v>240</v>
      </c>
      <c r="K333" s="16"/>
      <c r="L333" s="84">
        <v>3</v>
      </c>
      <c r="M333" s="84">
        <v>53</v>
      </c>
      <c r="N333" s="84">
        <v>20</v>
      </c>
      <c r="O333" s="84">
        <f>SUM(L333:N333)</f>
        <v>76</v>
      </c>
      <c r="P333" s="26">
        <v>18</v>
      </c>
      <c r="Q333" s="26">
        <v>57</v>
      </c>
      <c r="R333" s="84">
        <f>SUM(P333:Q333)</f>
        <v>75</v>
      </c>
      <c r="S333" s="84">
        <v>75</v>
      </c>
      <c r="T333" s="84">
        <v>75</v>
      </c>
      <c r="U333" s="84">
        <v>75</v>
      </c>
      <c r="V333" s="16"/>
      <c r="W333" s="28">
        <f>L333*C333</f>
        <v>720</v>
      </c>
      <c r="X333" s="28">
        <f>M333*D333</f>
        <v>12720</v>
      </c>
      <c r="Y333" s="28">
        <f>N333*E333</f>
        <v>4800</v>
      </c>
      <c r="Z333" s="28">
        <f t="shared" si="179"/>
        <v>18240</v>
      </c>
      <c r="AA333" s="28">
        <f>F333*P333</f>
        <v>4320</v>
      </c>
      <c r="AB333" s="28">
        <f>G333*Q333</f>
        <v>13680</v>
      </c>
      <c r="AC333" s="28">
        <f>SUM(AA333:AB333)</f>
        <v>18000</v>
      </c>
      <c r="AD333" s="77">
        <f>H333*S333</f>
        <v>18000</v>
      </c>
      <c r="AE333" s="77">
        <f>I333*T333</f>
        <v>18000</v>
      </c>
      <c r="AF333" s="99">
        <f>J333*U333</f>
        <v>18000</v>
      </c>
    </row>
    <row r="334" spans="1:32" x14ac:dyDescent="0.3">
      <c r="A334" s="21">
        <v>1624</v>
      </c>
      <c r="B334" s="22" t="s">
        <v>224</v>
      </c>
      <c r="C334" s="152" t="s">
        <v>268</v>
      </c>
      <c r="D334" s="152" t="s">
        <v>268</v>
      </c>
      <c r="E334" s="152" t="s">
        <v>268</v>
      </c>
      <c r="F334" s="152" t="s">
        <v>268</v>
      </c>
      <c r="G334" s="152" t="s">
        <v>268</v>
      </c>
      <c r="H334" s="152" t="s">
        <v>268</v>
      </c>
      <c r="I334" s="152" t="s">
        <v>268</v>
      </c>
      <c r="J334" s="153" t="s">
        <v>268</v>
      </c>
      <c r="K334" s="16"/>
      <c r="L334" s="84">
        <v>0</v>
      </c>
      <c r="M334" s="84">
        <v>500000</v>
      </c>
      <c r="N334" s="84">
        <v>500000</v>
      </c>
      <c r="O334" s="84">
        <f>SUM(L334:N334)</f>
        <v>1000000</v>
      </c>
      <c r="P334" s="26">
        <v>250000</v>
      </c>
      <c r="Q334" s="26">
        <v>750000</v>
      </c>
      <c r="R334" s="84">
        <f>SUM(P334:Q334)</f>
        <v>1000000</v>
      </c>
      <c r="S334" s="84">
        <v>1000000</v>
      </c>
      <c r="T334" s="84">
        <v>1000000</v>
      </c>
      <c r="U334" s="84">
        <v>1000000</v>
      </c>
      <c r="V334" s="16"/>
      <c r="W334" s="28">
        <f>L334</f>
        <v>0</v>
      </c>
      <c r="X334" s="28">
        <f>M334</f>
        <v>500000</v>
      </c>
      <c r="Y334" s="28">
        <f>N334</f>
        <v>500000</v>
      </c>
      <c r="Z334" s="28">
        <f t="shared" si="179"/>
        <v>1000000</v>
      </c>
      <c r="AA334" s="28">
        <f>P334</f>
        <v>250000</v>
      </c>
      <c r="AB334" s="28">
        <f>Q334</f>
        <v>750000</v>
      </c>
      <c r="AC334" s="28">
        <f>SUM(AA334:AB334)</f>
        <v>1000000</v>
      </c>
      <c r="AD334" s="77">
        <f>S334</f>
        <v>1000000</v>
      </c>
      <c r="AE334" s="77">
        <f>T334</f>
        <v>1000000</v>
      </c>
      <c r="AF334" s="99">
        <f>U334</f>
        <v>1000000</v>
      </c>
    </row>
    <row r="335" spans="1:32" x14ac:dyDescent="0.3">
      <c r="A335" s="32" t="s">
        <v>115</v>
      </c>
      <c r="B335" s="33"/>
      <c r="C335" s="51"/>
      <c r="D335" s="51"/>
      <c r="E335" s="56"/>
      <c r="F335" s="56"/>
      <c r="G335" s="56"/>
      <c r="H335" s="56"/>
      <c r="I335" s="56"/>
      <c r="J335" s="56"/>
      <c r="K335" s="16"/>
      <c r="L335" s="25"/>
      <c r="M335" s="25"/>
      <c r="N335" s="25"/>
      <c r="O335" s="25"/>
      <c r="P335" s="26"/>
      <c r="Q335" s="26"/>
      <c r="R335" s="22"/>
      <c r="S335" s="49"/>
      <c r="T335" s="49"/>
      <c r="U335" s="49"/>
      <c r="V335" s="16"/>
      <c r="W335" s="28">
        <f>SUM(W326:W334)</f>
        <v>1394200</v>
      </c>
      <c r="X335" s="28">
        <f t="shared" ref="X335:AF335" si="183">SUM(X326:X334)</f>
        <v>27849738</v>
      </c>
      <c r="Y335" s="28">
        <f t="shared" si="183"/>
        <v>10697658</v>
      </c>
      <c r="Z335" s="28">
        <f t="shared" si="183"/>
        <v>39941596</v>
      </c>
      <c r="AA335" s="28">
        <f t="shared" si="183"/>
        <v>9918872</v>
      </c>
      <c r="AB335" s="28">
        <f t="shared" si="183"/>
        <v>31362206</v>
      </c>
      <c r="AC335" s="28">
        <f t="shared" si="183"/>
        <v>41281078</v>
      </c>
      <c r="AD335" s="77">
        <f t="shared" si="183"/>
        <v>42920268</v>
      </c>
      <c r="AE335" s="77">
        <f t="shared" si="183"/>
        <v>44622432</v>
      </c>
      <c r="AF335" s="99">
        <f t="shared" si="183"/>
        <v>46395653</v>
      </c>
    </row>
    <row r="336" spans="1:32" x14ac:dyDescent="0.3">
      <c r="A336" s="32"/>
      <c r="B336" s="33"/>
      <c r="C336" s="51"/>
      <c r="D336" s="51"/>
      <c r="E336" s="56"/>
      <c r="F336" s="56"/>
      <c r="G336" s="56"/>
      <c r="H336" s="56"/>
      <c r="I336" s="56"/>
      <c r="J336" s="56"/>
      <c r="K336" s="16"/>
      <c r="L336" s="25"/>
      <c r="M336" s="25"/>
      <c r="N336" s="25"/>
      <c r="O336" s="25"/>
      <c r="P336" s="26"/>
      <c r="Q336" s="26"/>
      <c r="R336" s="48"/>
      <c r="S336" s="49"/>
      <c r="T336" s="49"/>
      <c r="U336" s="49"/>
      <c r="V336" s="16"/>
      <c r="W336" s="35">
        <f>SUM(W335,W307,W291)</f>
        <v>4553665</v>
      </c>
      <c r="X336" s="35">
        <f t="shared" ref="X336:AF336" si="184">SUM(X335,X307,X291)</f>
        <v>90703439</v>
      </c>
      <c r="Y336" s="35">
        <f t="shared" si="184"/>
        <v>41482648</v>
      </c>
      <c r="Z336" s="35">
        <f t="shared" si="184"/>
        <v>136739752</v>
      </c>
      <c r="AA336" s="35">
        <f t="shared" si="184"/>
        <v>39133372</v>
      </c>
      <c r="AB336" s="35">
        <f t="shared" si="184"/>
        <v>123876526</v>
      </c>
      <c r="AC336" s="35">
        <f t="shared" si="184"/>
        <v>163009898</v>
      </c>
      <c r="AD336" s="35">
        <f t="shared" si="184"/>
        <v>168035128</v>
      </c>
      <c r="AE336" s="35">
        <f t="shared" si="184"/>
        <v>175042962</v>
      </c>
      <c r="AF336" s="99">
        <f t="shared" si="184"/>
        <v>183334443</v>
      </c>
    </row>
    <row r="337" spans="1:32" x14ac:dyDescent="0.3">
      <c r="A337" s="32"/>
      <c r="B337" s="33"/>
      <c r="C337" s="36"/>
      <c r="D337" s="36"/>
      <c r="E337" s="37"/>
      <c r="F337" s="37"/>
      <c r="G337" s="37"/>
      <c r="H337" s="37"/>
      <c r="I337" s="37"/>
      <c r="J337" s="37"/>
      <c r="K337" s="16"/>
      <c r="L337" s="25"/>
      <c r="M337" s="25"/>
      <c r="N337" s="25"/>
      <c r="O337" s="25"/>
      <c r="P337" s="26"/>
      <c r="Q337" s="26"/>
      <c r="R337" s="53"/>
      <c r="S337" s="54"/>
      <c r="T337" s="54"/>
      <c r="U337" s="54"/>
      <c r="V337" s="16"/>
      <c r="W337" s="48"/>
      <c r="X337" s="48"/>
      <c r="Y337" s="48"/>
      <c r="Z337" s="48"/>
      <c r="AA337" s="48"/>
      <c r="AB337" s="48"/>
      <c r="AC337" s="48"/>
      <c r="AD337" s="79"/>
      <c r="AE337" s="48"/>
      <c r="AF337" s="107"/>
    </row>
    <row r="338" spans="1:32" x14ac:dyDescent="0.3">
      <c r="A338" s="32" t="s">
        <v>123</v>
      </c>
      <c r="B338" s="33"/>
      <c r="C338" s="36"/>
      <c r="D338" s="37"/>
      <c r="E338" s="37"/>
      <c r="F338" s="37"/>
      <c r="G338" s="37"/>
      <c r="H338" s="37"/>
      <c r="I338" s="37"/>
      <c r="J338" s="37"/>
      <c r="K338" s="16"/>
      <c r="L338" s="25"/>
      <c r="M338" s="25"/>
      <c r="N338" s="25"/>
      <c r="O338" s="25"/>
      <c r="P338" s="26"/>
      <c r="Q338" s="26"/>
      <c r="R338" s="53"/>
      <c r="S338" s="54"/>
      <c r="T338" s="54"/>
      <c r="U338" s="54"/>
      <c r="V338" s="16"/>
      <c r="W338" s="48"/>
      <c r="X338" s="48"/>
      <c r="Y338" s="48"/>
      <c r="Z338" s="48"/>
      <c r="AA338" s="48"/>
      <c r="AB338" s="48"/>
      <c r="AC338" s="48"/>
      <c r="AD338" s="79"/>
      <c r="AE338" s="48"/>
      <c r="AF338" s="107"/>
    </row>
    <row r="339" spans="1:32" x14ac:dyDescent="0.3">
      <c r="A339" s="69">
        <v>2601</v>
      </c>
      <c r="B339" s="30" t="s">
        <v>116</v>
      </c>
      <c r="C339" s="36"/>
      <c r="D339" s="37"/>
      <c r="E339" s="37">
        <v>240</v>
      </c>
      <c r="F339" s="37">
        <v>240</v>
      </c>
      <c r="G339" s="37">
        <v>120</v>
      </c>
      <c r="H339" s="37">
        <v>120</v>
      </c>
      <c r="I339" s="37">
        <v>120</v>
      </c>
      <c r="J339" s="37">
        <v>120</v>
      </c>
      <c r="K339" s="16"/>
      <c r="L339" s="25"/>
      <c r="M339" s="25"/>
      <c r="N339" s="84">
        <v>8172</v>
      </c>
      <c r="O339" s="84">
        <f t="shared" ref="O339:O345" si="185">SUM(L339:N339)</f>
        <v>8172</v>
      </c>
      <c r="P339" s="26">
        <v>2040</v>
      </c>
      <c r="Q339" s="26">
        <v>6458</v>
      </c>
      <c r="R339" s="84">
        <f t="shared" ref="R339:R345" si="186">SUM(P339:Q339)</f>
        <v>8498</v>
      </c>
      <c r="S339" s="84">
        <v>8838</v>
      </c>
      <c r="T339" s="84">
        <v>9192</v>
      </c>
      <c r="U339" s="84">
        <v>9560</v>
      </c>
      <c r="V339" s="16"/>
      <c r="W339" s="28">
        <f t="shared" ref="W339:Y345" si="187">L339*C339</f>
        <v>0</v>
      </c>
      <c r="X339" s="28">
        <f t="shared" si="187"/>
        <v>0</v>
      </c>
      <c r="Y339" s="28">
        <f t="shared" si="187"/>
        <v>1961280</v>
      </c>
      <c r="Z339" s="28">
        <f t="shared" ref="Z339:Z345" si="188">W339+X339+Y339</f>
        <v>1961280</v>
      </c>
      <c r="AA339" s="28">
        <f t="shared" ref="AA339:AB345" si="189">F339*P339</f>
        <v>489600</v>
      </c>
      <c r="AB339" s="28">
        <f t="shared" si="189"/>
        <v>774960</v>
      </c>
      <c r="AC339" s="28">
        <f t="shared" ref="AC339:AC345" si="190">SUM(AA339:AB339)</f>
        <v>1264560</v>
      </c>
      <c r="AD339" s="77">
        <f t="shared" ref="AD339:AF345" si="191">H339*S339</f>
        <v>1060560</v>
      </c>
      <c r="AE339" s="77">
        <f t="shared" si="191"/>
        <v>1103040</v>
      </c>
      <c r="AF339" s="99">
        <f t="shared" si="191"/>
        <v>1147200</v>
      </c>
    </row>
    <row r="340" spans="1:32" x14ac:dyDescent="0.3">
      <c r="A340" s="69">
        <v>2602</v>
      </c>
      <c r="B340" s="22" t="s">
        <v>117</v>
      </c>
      <c r="C340" s="36"/>
      <c r="D340" s="37"/>
      <c r="E340" s="37">
        <v>2080</v>
      </c>
      <c r="F340" s="37">
        <v>2080</v>
      </c>
      <c r="G340" s="37">
        <v>1040</v>
      </c>
      <c r="H340" s="37">
        <v>1040</v>
      </c>
      <c r="I340" s="37">
        <v>1040</v>
      </c>
      <c r="J340" s="37">
        <v>1040</v>
      </c>
      <c r="K340" s="16"/>
      <c r="L340" s="25"/>
      <c r="M340" s="25"/>
      <c r="N340" s="84">
        <v>2804</v>
      </c>
      <c r="O340" s="84">
        <f t="shared" si="185"/>
        <v>2804</v>
      </c>
      <c r="P340" s="26">
        <v>700</v>
      </c>
      <c r="Q340" s="26">
        <v>2216</v>
      </c>
      <c r="R340" s="84">
        <f t="shared" si="186"/>
        <v>2916</v>
      </c>
      <c r="S340" s="84">
        <v>3033</v>
      </c>
      <c r="T340" s="84">
        <v>3154</v>
      </c>
      <c r="U340" s="84">
        <v>3281</v>
      </c>
      <c r="V340" s="16"/>
      <c r="W340" s="28">
        <f t="shared" si="187"/>
        <v>0</v>
      </c>
      <c r="X340" s="28">
        <f t="shared" si="187"/>
        <v>0</v>
      </c>
      <c r="Y340" s="28">
        <f t="shared" si="187"/>
        <v>5832320</v>
      </c>
      <c r="Z340" s="28">
        <f t="shared" si="188"/>
        <v>5832320</v>
      </c>
      <c r="AA340" s="28">
        <f t="shared" si="189"/>
        <v>1456000</v>
      </c>
      <c r="AB340" s="28">
        <f t="shared" si="189"/>
        <v>2304640</v>
      </c>
      <c r="AC340" s="28">
        <f t="shared" si="190"/>
        <v>3760640</v>
      </c>
      <c r="AD340" s="77">
        <f t="shared" si="191"/>
        <v>3154320</v>
      </c>
      <c r="AE340" s="77">
        <f t="shared" si="191"/>
        <v>3280160</v>
      </c>
      <c r="AF340" s="99">
        <f t="shared" si="191"/>
        <v>3412240</v>
      </c>
    </row>
    <row r="341" spans="1:32" x14ac:dyDescent="0.3">
      <c r="A341" s="69">
        <v>2604</v>
      </c>
      <c r="B341" s="22" t="s">
        <v>118</v>
      </c>
      <c r="C341" s="36"/>
      <c r="D341" s="37"/>
      <c r="E341" s="37">
        <v>2080</v>
      </c>
      <c r="F341" s="37">
        <v>2080</v>
      </c>
      <c r="G341" s="37">
        <v>1040</v>
      </c>
      <c r="H341" s="37">
        <v>1040</v>
      </c>
      <c r="I341" s="37">
        <v>1040</v>
      </c>
      <c r="J341" s="37">
        <v>1040</v>
      </c>
      <c r="K341" s="16"/>
      <c r="L341" s="25"/>
      <c r="M341" s="25"/>
      <c r="N341" s="84">
        <v>82</v>
      </c>
      <c r="O341" s="84">
        <f t="shared" si="185"/>
        <v>82</v>
      </c>
      <c r="P341" s="26">
        <v>20</v>
      </c>
      <c r="Q341" s="26">
        <v>65</v>
      </c>
      <c r="R341" s="84">
        <f t="shared" si="186"/>
        <v>85</v>
      </c>
      <c r="S341" s="84">
        <v>88</v>
      </c>
      <c r="T341" s="84">
        <v>92</v>
      </c>
      <c r="U341" s="84">
        <v>96</v>
      </c>
      <c r="V341" s="16"/>
      <c r="W341" s="28">
        <f t="shared" si="187"/>
        <v>0</v>
      </c>
      <c r="X341" s="28">
        <f t="shared" si="187"/>
        <v>0</v>
      </c>
      <c r="Y341" s="28">
        <f t="shared" si="187"/>
        <v>170560</v>
      </c>
      <c r="Z341" s="28">
        <f t="shared" si="188"/>
        <v>170560</v>
      </c>
      <c r="AA341" s="28">
        <f t="shared" si="189"/>
        <v>41600</v>
      </c>
      <c r="AB341" s="28">
        <f t="shared" si="189"/>
        <v>67600</v>
      </c>
      <c r="AC341" s="28">
        <f t="shared" si="190"/>
        <v>109200</v>
      </c>
      <c r="AD341" s="77">
        <f t="shared" si="191"/>
        <v>91520</v>
      </c>
      <c r="AE341" s="77">
        <f t="shared" si="191"/>
        <v>95680</v>
      </c>
      <c r="AF341" s="99">
        <f t="shared" si="191"/>
        <v>99840</v>
      </c>
    </row>
    <row r="342" spans="1:32" x14ac:dyDescent="0.3">
      <c r="A342" s="69">
        <v>2605</v>
      </c>
      <c r="B342" s="22" t="s">
        <v>119</v>
      </c>
      <c r="C342" s="36"/>
      <c r="D342" s="37"/>
      <c r="E342" s="37">
        <v>600</v>
      </c>
      <c r="F342" s="37">
        <v>600</v>
      </c>
      <c r="G342" s="37">
        <v>300</v>
      </c>
      <c r="H342" s="37">
        <v>300</v>
      </c>
      <c r="I342" s="37">
        <v>300</v>
      </c>
      <c r="J342" s="37">
        <v>300</v>
      </c>
      <c r="K342" s="16"/>
      <c r="L342" s="25"/>
      <c r="M342" s="25"/>
      <c r="N342" s="84">
        <v>235</v>
      </c>
      <c r="O342" s="84">
        <f t="shared" si="185"/>
        <v>235</v>
      </c>
      <c r="P342" s="26">
        <v>56</v>
      </c>
      <c r="Q342" s="26">
        <v>179</v>
      </c>
      <c r="R342" s="84">
        <f t="shared" si="186"/>
        <v>235</v>
      </c>
      <c r="S342" s="84">
        <v>235</v>
      </c>
      <c r="T342" s="84">
        <v>235</v>
      </c>
      <c r="U342" s="84">
        <v>235</v>
      </c>
      <c r="V342" s="16"/>
      <c r="W342" s="28">
        <f t="shared" si="187"/>
        <v>0</v>
      </c>
      <c r="X342" s="28">
        <f t="shared" si="187"/>
        <v>0</v>
      </c>
      <c r="Y342" s="28">
        <f t="shared" si="187"/>
        <v>141000</v>
      </c>
      <c r="Z342" s="28">
        <f t="shared" si="188"/>
        <v>141000</v>
      </c>
      <c r="AA342" s="28">
        <f t="shared" si="189"/>
        <v>33600</v>
      </c>
      <c r="AB342" s="28">
        <f t="shared" si="189"/>
        <v>53700</v>
      </c>
      <c r="AC342" s="28">
        <f t="shared" si="190"/>
        <v>87300</v>
      </c>
      <c r="AD342" s="77">
        <f t="shared" si="191"/>
        <v>70500</v>
      </c>
      <c r="AE342" s="77">
        <f t="shared" si="191"/>
        <v>70500</v>
      </c>
      <c r="AF342" s="99">
        <f t="shared" si="191"/>
        <v>70500</v>
      </c>
    </row>
    <row r="343" spans="1:32" x14ac:dyDescent="0.3">
      <c r="A343" s="69">
        <v>2606</v>
      </c>
      <c r="B343" s="22" t="s">
        <v>120</v>
      </c>
      <c r="C343" s="36"/>
      <c r="D343" s="37"/>
      <c r="E343" s="37">
        <v>750</v>
      </c>
      <c r="F343" s="37">
        <v>750</v>
      </c>
      <c r="G343" s="37">
        <v>380</v>
      </c>
      <c r="H343" s="37">
        <v>380</v>
      </c>
      <c r="I343" s="37">
        <v>380</v>
      </c>
      <c r="J343" s="37">
        <v>380</v>
      </c>
      <c r="K343" s="16"/>
      <c r="L343" s="25"/>
      <c r="M343" s="25"/>
      <c r="N343" s="84">
        <v>68</v>
      </c>
      <c r="O343" s="84">
        <f t="shared" si="185"/>
        <v>68</v>
      </c>
      <c r="P343" s="26">
        <v>16</v>
      </c>
      <c r="Q343" s="26">
        <v>52</v>
      </c>
      <c r="R343" s="84">
        <f t="shared" si="186"/>
        <v>68</v>
      </c>
      <c r="S343" s="84">
        <v>68</v>
      </c>
      <c r="T343" s="84">
        <v>68</v>
      </c>
      <c r="U343" s="84">
        <v>68</v>
      </c>
      <c r="V343" s="16"/>
      <c r="W343" s="28">
        <f t="shared" si="187"/>
        <v>0</v>
      </c>
      <c r="X343" s="28">
        <f t="shared" si="187"/>
        <v>0</v>
      </c>
      <c r="Y343" s="28">
        <f t="shared" si="187"/>
        <v>51000</v>
      </c>
      <c r="Z343" s="28">
        <f t="shared" si="188"/>
        <v>51000</v>
      </c>
      <c r="AA343" s="28">
        <f t="shared" si="189"/>
        <v>12000</v>
      </c>
      <c r="AB343" s="28">
        <f t="shared" si="189"/>
        <v>19760</v>
      </c>
      <c r="AC343" s="28">
        <f t="shared" si="190"/>
        <v>31760</v>
      </c>
      <c r="AD343" s="77">
        <f t="shared" si="191"/>
        <v>25840</v>
      </c>
      <c r="AE343" s="77">
        <f t="shared" si="191"/>
        <v>25840</v>
      </c>
      <c r="AF343" s="99">
        <f t="shared" si="191"/>
        <v>25840</v>
      </c>
    </row>
    <row r="344" spans="1:32" x14ac:dyDescent="0.3">
      <c r="A344" s="69">
        <v>2607</v>
      </c>
      <c r="B344" s="22" t="s">
        <v>121</v>
      </c>
      <c r="C344" s="36"/>
      <c r="D344" s="37"/>
      <c r="E344" s="37">
        <v>600</v>
      </c>
      <c r="F344" s="37">
        <v>600</v>
      </c>
      <c r="G344" s="37">
        <v>300</v>
      </c>
      <c r="H344" s="37">
        <v>300</v>
      </c>
      <c r="I344" s="37">
        <v>300</v>
      </c>
      <c r="J344" s="37">
        <v>300</v>
      </c>
      <c r="K344" s="16"/>
      <c r="L344" s="25"/>
      <c r="M344" s="25"/>
      <c r="N344" s="84">
        <v>2</v>
      </c>
      <c r="O344" s="84">
        <f t="shared" si="185"/>
        <v>2</v>
      </c>
      <c r="P344" s="26">
        <v>0</v>
      </c>
      <c r="Q344" s="26">
        <v>2</v>
      </c>
      <c r="R344" s="84">
        <f t="shared" si="186"/>
        <v>2</v>
      </c>
      <c r="S344" s="84">
        <v>2</v>
      </c>
      <c r="T344" s="84">
        <v>2</v>
      </c>
      <c r="U344" s="84">
        <v>2</v>
      </c>
      <c r="V344" s="16"/>
      <c r="W344" s="28">
        <f t="shared" si="187"/>
        <v>0</v>
      </c>
      <c r="X344" s="28">
        <f t="shared" si="187"/>
        <v>0</v>
      </c>
      <c r="Y344" s="28">
        <f t="shared" si="187"/>
        <v>1200</v>
      </c>
      <c r="Z344" s="28">
        <f t="shared" si="188"/>
        <v>1200</v>
      </c>
      <c r="AA344" s="28">
        <f t="shared" si="189"/>
        <v>0</v>
      </c>
      <c r="AB344" s="28">
        <f t="shared" si="189"/>
        <v>600</v>
      </c>
      <c r="AC344" s="28">
        <f t="shared" si="190"/>
        <v>600</v>
      </c>
      <c r="AD344" s="77">
        <f t="shared" si="191"/>
        <v>600</v>
      </c>
      <c r="AE344" s="77">
        <f t="shared" si="191"/>
        <v>600</v>
      </c>
      <c r="AF344" s="99">
        <f t="shared" si="191"/>
        <v>600</v>
      </c>
    </row>
    <row r="345" spans="1:32" s="136" customFormat="1" x14ac:dyDescent="0.3">
      <c r="A345" s="133">
        <v>2621</v>
      </c>
      <c r="B345" s="86" t="s">
        <v>202</v>
      </c>
      <c r="C345" s="37"/>
      <c r="D345" s="37"/>
      <c r="E345" s="37">
        <v>240</v>
      </c>
      <c r="F345" s="37">
        <v>240</v>
      </c>
      <c r="G345" s="37">
        <v>120</v>
      </c>
      <c r="H345" s="37">
        <v>120</v>
      </c>
      <c r="I345" s="37">
        <v>120</v>
      </c>
      <c r="J345" s="37">
        <v>120</v>
      </c>
      <c r="K345" s="16"/>
      <c r="L345" s="31"/>
      <c r="M345" s="31"/>
      <c r="N345" s="26">
        <v>17</v>
      </c>
      <c r="O345" s="84">
        <f t="shared" si="185"/>
        <v>17</v>
      </c>
      <c r="P345" s="26">
        <v>4</v>
      </c>
      <c r="Q345" s="26">
        <v>13</v>
      </c>
      <c r="R345" s="84">
        <f t="shared" si="186"/>
        <v>17</v>
      </c>
      <c r="S345" s="26">
        <v>17</v>
      </c>
      <c r="T345" s="26">
        <v>17</v>
      </c>
      <c r="U345" s="26">
        <v>17</v>
      </c>
      <c r="V345" s="16"/>
      <c r="W345" s="134">
        <f t="shared" si="187"/>
        <v>0</v>
      </c>
      <c r="X345" s="134">
        <f t="shared" si="187"/>
        <v>0</v>
      </c>
      <c r="Y345" s="134">
        <f t="shared" si="187"/>
        <v>4080</v>
      </c>
      <c r="Z345" s="28">
        <f t="shared" si="188"/>
        <v>4080</v>
      </c>
      <c r="AA345" s="134">
        <f t="shared" si="189"/>
        <v>960</v>
      </c>
      <c r="AB345" s="134">
        <f t="shared" si="189"/>
        <v>1560</v>
      </c>
      <c r="AC345" s="134">
        <f t="shared" si="190"/>
        <v>2520</v>
      </c>
      <c r="AD345" s="78">
        <f t="shared" si="191"/>
        <v>2040</v>
      </c>
      <c r="AE345" s="78">
        <f t="shared" si="191"/>
        <v>2040</v>
      </c>
      <c r="AF345" s="135">
        <f t="shared" si="191"/>
        <v>2040</v>
      </c>
    </row>
    <row r="346" spans="1:32" x14ac:dyDescent="0.3">
      <c r="A346" s="32" t="s">
        <v>123</v>
      </c>
      <c r="B346" s="33"/>
      <c r="C346" s="36"/>
      <c r="D346" s="37"/>
      <c r="E346" s="37"/>
      <c r="F346" s="37"/>
      <c r="G346" s="37"/>
      <c r="H346" s="37"/>
      <c r="I346" s="37"/>
      <c r="J346" s="37"/>
      <c r="K346" s="16"/>
      <c r="L346" s="25"/>
      <c r="M346" s="25"/>
      <c r="N346" s="25"/>
      <c r="O346" s="25"/>
      <c r="P346" s="26"/>
      <c r="Q346" s="26"/>
      <c r="R346" s="53"/>
      <c r="S346" s="54"/>
      <c r="T346" s="54"/>
      <c r="U346" s="54"/>
      <c r="V346" s="16"/>
      <c r="W346" s="52">
        <f>SUM(W339:W345)</f>
        <v>0</v>
      </c>
      <c r="X346" s="52">
        <f>SUM(X339:X345)</f>
        <v>0</v>
      </c>
      <c r="Y346" s="52">
        <f>SUM(Y339:Y345)</f>
        <v>8161440</v>
      </c>
      <c r="Z346" s="52">
        <f t="shared" ref="Z346:AE346" si="192">SUM(Z339:Z345)</f>
        <v>8161440</v>
      </c>
      <c r="AA346" s="52">
        <f t="shared" si="192"/>
        <v>2033760</v>
      </c>
      <c r="AB346" s="52">
        <f t="shared" si="192"/>
        <v>3222820</v>
      </c>
      <c r="AC346" s="52">
        <f t="shared" si="192"/>
        <v>5256580</v>
      </c>
      <c r="AD346" s="52">
        <f t="shared" si="192"/>
        <v>4405380</v>
      </c>
      <c r="AE346" s="52">
        <f t="shared" si="192"/>
        <v>4577860</v>
      </c>
      <c r="AF346" s="99">
        <f>SUM(AF339:AF345)</f>
        <v>4758260</v>
      </c>
    </row>
    <row r="347" spans="1:32" x14ac:dyDescent="0.3">
      <c r="A347" s="32"/>
      <c r="B347" s="33"/>
      <c r="C347" s="36"/>
      <c r="D347" s="37"/>
      <c r="E347" s="37"/>
      <c r="F347" s="37"/>
      <c r="G347" s="37"/>
      <c r="H347" s="37"/>
      <c r="I347" s="37"/>
      <c r="J347" s="37"/>
      <c r="K347" s="16"/>
      <c r="L347" s="25"/>
      <c r="M347" s="25"/>
      <c r="N347" s="25"/>
      <c r="O347" s="25"/>
      <c r="P347" s="26"/>
      <c r="Q347" s="26"/>
      <c r="R347" s="53"/>
      <c r="S347" s="54"/>
      <c r="T347" s="54"/>
      <c r="U347" s="54"/>
      <c r="V347" s="16"/>
      <c r="W347" s="28"/>
      <c r="X347" s="28"/>
      <c r="Y347" s="28"/>
      <c r="Z347" s="28"/>
      <c r="AA347" s="28"/>
      <c r="AB347" s="28"/>
      <c r="AC347" s="28"/>
      <c r="AD347" s="77"/>
      <c r="AE347" s="28"/>
      <c r="AF347" s="99"/>
    </row>
    <row r="348" spans="1:32" x14ac:dyDescent="0.3">
      <c r="A348" s="32" t="s">
        <v>124</v>
      </c>
      <c r="B348" s="33"/>
      <c r="C348" s="36"/>
      <c r="D348" s="37"/>
      <c r="E348" s="37"/>
      <c r="F348" s="37"/>
      <c r="G348" s="37"/>
      <c r="H348" s="37"/>
      <c r="I348" s="37"/>
      <c r="J348" s="37"/>
      <c r="K348" s="16"/>
      <c r="L348" s="25"/>
      <c r="M348" s="25"/>
      <c r="N348" s="25"/>
      <c r="O348" s="25"/>
      <c r="P348" s="26"/>
      <c r="Q348" s="26"/>
      <c r="R348" s="53"/>
      <c r="S348" s="54"/>
      <c r="T348" s="54"/>
      <c r="U348" s="54"/>
      <c r="V348" s="16"/>
      <c r="W348" s="28"/>
      <c r="X348" s="28"/>
      <c r="Y348" s="28"/>
      <c r="Z348" s="28"/>
      <c r="AA348" s="28"/>
      <c r="AB348" s="28"/>
      <c r="AC348" s="28"/>
      <c r="AD348" s="77"/>
      <c r="AE348" s="28"/>
      <c r="AF348" s="99"/>
    </row>
    <row r="349" spans="1:32" x14ac:dyDescent="0.3">
      <c r="A349" s="21">
        <v>3601</v>
      </c>
      <c r="B349" s="30" t="s">
        <v>116</v>
      </c>
      <c r="C349" s="36"/>
      <c r="D349" s="37"/>
      <c r="E349" s="37">
        <v>240</v>
      </c>
      <c r="F349" s="37">
        <v>240</v>
      </c>
      <c r="G349" s="37">
        <v>60</v>
      </c>
      <c r="H349" s="37">
        <v>60</v>
      </c>
      <c r="I349" s="37">
        <v>60</v>
      </c>
      <c r="J349" s="37">
        <v>60</v>
      </c>
      <c r="K349" s="16"/>
      <c r="L349" s="25"/>
      <c r="M349" s="25"/>
      <c r="N349" s="84">
        <v>3671</v>
      </c>
      <c r="O349" s="84">
        <f t="shared" ref="O349:O355" si="193">SUM(L349:N349)</f>
        <v>3671</v>
      </c>
      <c r="P349" s="26">
        <v>916</v>
      </c>
      <c r="Q349" s="26">
        <v>2902</v>
      </c>
      <c r="R349" s="84">
        <f t="shared" ref="R349:R355" si="194">SUM(P349:Q349)</f>
        <v>3818</v>
      </c>
      <c r="S349" s="84">
        <v>3971</v>
      </c>
      <c r="T349" s="84">
        <v>4130</v>
      </c>
      <c r="U349" s="84">
        <v>4295</v>
      </c>
      <c r="V349" s="16"/>
      <c r="W349" s="28">
        <f t="shared" ref="W349:Y355" si="195">L349*C349</f>
        <v>0</v>
      </c>
      <c r="X349" s="28">
        <f t="shared" si="195"/>
        <v>0</v>
      </c>
      <c r="Y349" s="28">
        <f t="shared" si="195"/>
        <v>881040</v>
      </c>
      <c r="Z349" s="28">
        <f t="shared" ref="Z349:Z355" si="196">W349+X349+Y349</f>
        <v>881040</v>
      </c>
      <c r="AA349" s="28">
        <f t="shared" ref="AA349:AB355" si="197">F349*P349</f>
        <v>219840</v>
      </c>
      <c r="AB349" s="28">
        <f t="shared" si="197"/>
        <v>174120</v>
      </c>
      <c r="AC349" s="28">
        <f t="shared" ref="AC349:AC355" si="198">SUM(AA349:AB349)</f>
        <v>393960</v>
      </c>
      <c r="AD349" s="77">
        <f t="shared" ref="AD349:AF355" si="199">H349*S349</f>
        <v>238260</v>
      </c>
      <c r="AE349" s="77">
        <f t="shared" si="199"/>
        <v>247800</v>
      </c>
      <c r="AF349" s="99">
        <f t="shared" si="199"/>
        <v>257700</v>
      </c>
    </row>
    <row r="350" spans="1:32" x14ac:dyDescent="0.3">
      <c r="A350" s="21">
        <v>3602</v>
      </c>
      <c r="B350" s="22" t="s">
        <v>117</v>
      </c>
      <c r="C350" s="36"/>
      <c r="D350" s="37"/>
      <c r="E350" s="37">
        <v>2080</v>
      </c>
      <c r="F350" s="37">
        <v>2080</v>
      </c>
      <c r="G350" s="37">
        <v>520</v>
      </c>
      <c r="H350" s="37">
        <v>520</v>
      </c>
      <c r="I350" s="37">
        <v>520</v>
      </c>
      <c r="J350" s="37">
        <v>520</v>
      </c>
      <c r="K350" s="16"/>
      <c r="L350" s="25"/>
      <c r="M350" s="25"/>
      <c r="N350" s="84">
        <v>1260</v>
      </c>
      <c r="O350" s="84">
        <f t="shared" si="193"/>
        <v>1260</v>
      </c>
      <c r="P350" s="26">
        <v>314</v>
      </c>
      <c r="Q350" s="26">
        <v>996</v>
      </c>
      <c r="R350" s="84">
        <f t="shared" si="194"/>
        <v>1310</v>
      </c>
      <c r="S350" s="84">
        <v>1363</v>
      </c>
      <c r="T350" s="84">
        <v>1417</v>
      </c>
      <c r="U350" s="84">
        <v>1474</v>
      </c>
      <c r="V350" s="16"/>
      <c r="W350" s="28">
        <f t="shared" si="195"/>
        <v>0</v>
      </c>
      <c r="X350" s="28">
        <f t="shared" si="195"/>
        <v>0</v>
      </c>
      <c r="Y350" s="28">
        <f t="shared" si="195"/>
        <v>2620800</v>
      </c>
      <c r="Z350" s="28">
        <f t="shared" si="196"/>
        <v>2620800</v>
      </c>
      <c r="AA350" s="28">
        <f t="shared" si="197"/>
        <v>653120</v>
      </c>
      <c r="AB350" s="28">
        <f t="shared" si="197"/>
        <v>517920</v>
      </c>
      <c r="AC350" s="28">
        <f t="shared" si="198"/>
        <v>1171040</v>
      </c>
      <c r="AD350" s="77">
        <f t="shared" si="199"/>
        <v>708760</v>
      </c>
      <c r="AE350" s="77">
        <f t="shared" si="199"/>
        <v>736840</v>
      </c>
      <c r="AF350" s="99">
        <f t="shared" si="199"/>
        <v>766480</v>
      </c>
    </row>
    <row r="351" spans="1:32" x14ac:dyDescent="0.3">
      <c r="A351" s="21">
        <v>3604</v>
      </c>
      <c r="B351" s="22" t="s">
        <v>118</v>
      </c>
      <c r="C351" s="36"/>
      <c r="D351" s="37"/>
      <c r="E351" s="37">
        <v>2080</v>
      </c>
      <c r="F351" s="37">
        <v>2080</v>
      </c>
      <c r="G351" s="37">
        <v>520</v>
      </c>
      <c r="H351" s="37">
        <v>520</v>
      </c>
      <c r="I351" s="37">
        <v>520</v>
      </c>
      <c r="J351" s="37">
        <v>520</v>
      </c>
      <c r="K351" s="16"/>
      <c r="L351" s="25"/>
      <c r="M351" s="25"/>
      <c r="N351" s="84">
        <v>37</v>
      </c>
      <c r="O351" s="84">
        <f t="shared" si="193"/>
        <v>37</v>
      </c>
      <c r="P351" s="26">
        <v>9</v>
      </c>
      <c r="Q351" s="26">
        <v>29</v>
      </c>
      <c r="R351" s="84">
        <f t="shared" si="194"/>
        <v>38</v>
      </c>
      <c r="S351" s="84">
        <v>40</v>
      </c>
      <c r="T351" s="84">
        <v>41</v>
      </c>
      <c r="U351" s="84">
        <v>43</v>
      </c>
      <c r="V351" s="16"/>
      <c r="W351" s="28">
        <f t="shared" si="195"/>
        <v>0</v>
      </c>
      <c r="X351" s="28">
        <f t="shared" si="195"/>
        <v>0</v>
      </c>
      <c r="Y351" s="28">
        <f t="shared" si="195"/>
        <v>76960</v>
      </c>
      <c r="Z351" s="28">
        <f t="shared" si="196"/>
        <v>76960</v>
      </c>
      <c r="AA351" s="28">
        <f t="shared" si="197"/>
        <v>18720</v>
      </c>
      <c r="AB351" s="28">
        <f t="shared" si="197"/>
        <v>15080</v>
      </c>
      <c r="AC351" s="28">
        <f t="shared" si="198"/>
        <v>33800</v>
      </c>
      <c r="AD351" s="77">
        <f t="shared" si="199"/>
        <v>20800</v>
      </c>
      <c r="AE351" s="77">
        <f t="shared" si="199"/>
        <v>21320</v>
      </c>
      <c r="AF351" s="99">
        <f t="shared" si="199"/>
        <v>22360</v>
      </c>
    </row>
    <row r="352" spans="1:32" x14ac:dyDescent="0.3">
      <c r="A352" s="21">
        <v>3605</v>
      </c>
      <c r="B352" s="22" t="s">
        <v>119</v>
      </c>
      <c r="C352" s="36"/>
      <c r="D352" s="37"/>
      <c r="E352" s="37">
        <v>600</v>
      </c>
      <c r="F352" s="37">
        <v>600</v>
      </c>
      <c r="G352" s="37">
        <v>150</v>
      </c>
      <c r="H352" s="37">
        <v>150</v>
      </c>
      <c r="I352" s="37">
        <v>150</v>
      </c>
      <c r="J352" s="37">
        <v>150</v>
      </c>
      <c r="K352" s="16"/>
      <c r="L352" s="25"/>
      <c r="M352" s="25"/>
      <c r="N352" s="84">
        <v>106</v>
      </c>
      <c r="O352" s="84">
        <f t="shared" si="193"/>
        <v>106</v>
      </c>
      <c r="P352" s="26">
        <v>25</v>
      </c>
      <c r="Q352" s="26">
        <v>81</v>
      </c>
      <c r="R352" s="84">
        <f t="shared" si="194"/>
        <v>106</v>
      </c>
      <c r="S352" s="84">
        <v>106</v>
      </c>
      <c r="T352" s="84">
        <v>106</v>
      </c>
      <c r="U352" s="84">
        <v>106</v>
      </c>
      <c r="V352" s="16"/>
      <c r="W352" s="28">
        <f t="shared" si="195"/>
        <v>0</v>
      </c>
      <c r="X352" s="28">
        <f t="shared" si="195"/>
        <v>0</v>
      </c>
      <c r="Y352" s="28">
        <f t="shared" si="195"/>
        <v>63600</v>
      </c>
      <c r="Z352" s="28">
        <f t="shared" si="196"/>
        <v>63600</v>
      </c>
      <c r="AA352" s="28">
        <f t="shared" si="197"/>
        <v>15000</v>
      </c>
      <c r="AB352" s="28">
        <f t="shared" si="197"/>
        <v>12150</v>
      </c>
      <c r="AC352" s="28">
        <f t="shared" si="198"/>
        <v>27150</v>
      </c>
      <c r="AD352" s="77">
        <f t="shared" si="199"/>
        <v>15900</v>
      </c>
      <c r="AE352" s="77">
        <f t="shared" si="199"/>
        <v>15900</v>
      </c>
      <c r="AF352" s="99">
        <f t="shared" si="199"/>
        <v>15900</v>
      </c>
    </row>
    <row r="353" spans="1:32" x14ac:dyDescent="0.3">
      <c r="A353" s="21">
        <v>3606</v>
      </c>
      <c r="B353" s="22" t="s">
        <v>120</v>
      </c>
      <c r="C353" s="36"/>
      <c r="D353" s="37"/>
      <c r="E353" s="37">
        <v>750</v>
      </c>
      <c r="F353" s="37">
        <v>750</v>
      </c>
      <c r="G353" s="37">
        <v>190</v>
      </c>
      <c r="H353" s="37">
        <v>190</v>
      </c>
      <c r="I353" s="37">
        <v>190</v>
      </c>
      <c r="J353" s="37">
        <v>190</v>
      </c>
      <c r="K353" s="16"/>
      <c r="L353" s="25"/>
      <c r="M353" s="25"/>
      <c r="N353" s="84">
        <v>30</v>
      </c>
      <c r="O353" s="84">
        <f t="shared" si="193"/>
        <v>30</v>
      </c>
      <c r="P353" s="26">
        <v>7</v>
      </c>
      <c r="Q353" s="26">
        <v>23</v>
      </c>
      <c r="R353" s="84">
        <f t="shared" si="194"/>
        <v>30</v>
      </c>
      <c r="S353" s="84">
        <v>30</v>
      </c>
      <c r="T353" s="84">
        <v>30</v>
      </c>
      <c r="U353" s="84">
        <v>30</v>
      </c>
      <c r="V353" s="16"/>
      <c r="W353" s="28">
        <f t="shared" si="195"/>
        <v>0</v>
      </c>
      <c r="X353" s="28">
        <f t="shared" si="195"/>
        <v>0</v>
      </c>
      <c r="Y353" s="28">
        <f t="shared" si="195"/>
        <v>22500</v>
      </c>
      <c r="Z353" s="28">
        <f t="shared" si="196"/>
        <v>22500</v>
      </c>
      <c r="AA353" s="28">
        <f t="shared" si="197"/>
        <v>5250</v>
      </c>
      <c r="AB353" s="28">
        <f t="shared" si="197"/>
        <v>4370</v>
      </c>
      <c r="AC353" s="28">
        <f t="shared" si="198"/>
        <v>9620</v>
      </c>
      <c r="AD353" s="77">
        <f t="shared" si="199"/>
        <v>5700</v>
      </c>
      <c r="AE353" s="77">
        <f t="shared" si="199"/>
        <v>5700</v>
      </c>
      <c r="AF353" s="99">
        <f t="shared" si="199"/>
        <v>5700</v>
      </c>
    </row>
    <row r="354" spans="1:32" x14ac:dyDescent="0.3">
      <c r="A354" s="21">
        <v>3607</v>
      </c>
      <c r="B354" s="22" t="s">
        <v>121</v>
      </c>
      <c r="C354" s="36"/>
      <c r="D354" s="37"/>
      <c r="E354" s="37">
        <v>600</v>
      </c>
      <c r="F354" s="37">
        <v>600</v>
      </c>
      <c r="G354" s="37">
        <v>150</v>
      </c>
      <c r="H354" s="37">
        <v>150</v>
      </c>
      <c r="I354" s="37">
        <v>150</v>
      </c>
      <c r="J354" s="37">
        <v>150</v>
      </c>
      <c r="K354" s="16"/>
      <c r="L354" s="25"/>
      <c r="M354" s="25"/>
      <c r="N354" s="84">
        <v>1</v>
      </c>
      <c r="O354" s="84">
        <f t="shared" si="193"/>
        <v>1</v>
      </c>
      <c r="P354" s="26">
        <v>0</v>
      </c>
      <c r="Q354" s="26">
        <v>1</v>
      </c>
      <c r="R354" s="84">
        <f t="shared" si="194"/>
        <v>1</v>
      </c>
      <c r="S354" s="84">
        <v>1</v>
      </c>
      <c r="T354" s="84">
        <v>1</v>
      </c>
      <c r="U354" s="84">
        <v>1</v>
      </c>
      <c r="V354" s="16"/>
      <c r="W354" s="28">
        <f t="shared" si="195"/>
        <v>0</v>
      </c>
      <c r="X354" s="28">
        <f t="shared" si="195"/>
        <v>0</v>
      </c>
      <c r="Y354" s="28">
        <f t="shared" si="195"/>
        <v>600</v>
      </c>
      <c r="Z354" s="28">
        <f t="shared" si="196"/>
        <v>600</v>
      </c>
      <c r="AA354" s="28">
        <f t="shared" si="197"/>
        <v>0</v>
      </c>
      <c r="AB354" s="28">
        <f t="shared" si="197"/>
        <v>150</v>
      </c>
      <c r="AC354" s="28">
        <f t="shared" si="198"/>
        <v>150</v>
      </c>
      <c r="AD354" s="77">
        <f t="shared" si="199"/>
        <v>150</v>
      </c>
      <c r="AE354" s="77">
        <f t="shared" si="199"/>
        <v>150</v>
      </c>
      <c r="AF354" s="99">
        <f t="shared" si="199"/>
        <v>150</v>
      </c>
    </row>
    <row r="355" spans="1:32" s="136" customFormat="1" x14ac:dyDescent="0.3">
      <c r="A355" s="133">
        <v>3621</v>
      </c>
      <c r="B355" s="86" t="s">
        <v>202</v>
      </c>
      <c r="C355" s="37"/>
      <c r="D355" s="37"/>
      <c r="E355" s="37">
        <v>240</v>
      </c>
      <c r="F355" s="37">
        <v>240</v>
      </c>
      <c r="G355" s="37">
        <v>60</v>
      </c>
      <c r="H355" s="37">
        <v>60</v>
      </c>
      <c r="I355" s="37">
        <v>60</v>
      </c>
      <c r="J355" s="37">
        <v>60</v>
      </c>
      <c r="K355" s="16"/>
      <c r="L355" s="49"/>
      <c r="M355" s="49"/>
      <c r="N355" s="26">
        <v>8</v>
      </c>
      <c r="O355" s="84">
        <f t="shared" si="193"/>
        <v>8</v>
      </c>
      <c r="P355" s="26">
        <v>2</v>
      </c>
      <c r="Q355" s="26">
        <v>6</v>
      </c>
      <c r="R355" s="84">
        <f t="shared" si="194"/>
        <v>8</v>
      </c>
      <c r="S355" s="26">
        <v>8</v>
      </c>
      <c r="T355" s="26">
        <v>8</v>
      </c>
      <c r="U355" s="26">
        <v>8</v>
      </c>
      <c r="V355" s="16"/>
      <c r="W355" s="134">
        <f t="shared" si="195"/>
        <v>0</v>
      </c>
      <c r="X355" s="134">
        <f t="shared" si="195"/>
        <v>0</v>
      </c>
      <c r="Y355" s="134">
        <f t="shared" si="195"/>
        <v>1920</v>
      </c>
      <c r="Z355" s="28">
        <f t="shared" si="196"/>
        <v>1920</v>
      </c>
      <c r="AA355" s="134">
        <f t="shared" si="197"/>
        <v>480</v>
      </c>
      <c r="AB355" s="134">
        <f t="shared" si="197"/>
        <v>360</v>
      </c>
      <c r="AC355" s="134">
        <f t="shared" si="198"/>
        <v>840</v>
      </c>
      <c r="AD355" s="78">
        <f t="shared" si="199"/>
        <v>480</v>
      </c>
      <c r="AE355" s="78">
        <f t="shared" si="199"/>
        <v>480</v>
      </c>
      <c r="AF355" s="135">
        <f t="shared" si="199"/>
        <v>480</v>
      </c>
    </row>
    <row r="356" spans="1:32" x14ac:dyDescent="0.3">
      <c r="A356" s="32" t="s">
        <v>124</v>
      </c>
      <c r="B356" s="33"/>
      <c r="C356" s="36"/>
      <c r="D356" s="37"/>
      <c r="E356" s="37"/>
      <c r="F356" s="37"/>
      <c r="G356" s="37"/>
      <c r="H356" s="36"/>
      <c r="I356" s="36"/>
      <c r="J356" s="36"/>
      <c r="K356" s="16"/>
      <c r="L356" s="25"/>
      <c r="M356" s="25"/>
      <c r="N356" s="25"/>
      <c r="O356" s="25"/>
      <c r="P356" s="26"/>
      <c r="Q356" s="26"/>
      <c r="R356" s="53"/>
      <c r="S356" s="54"/>
      <c r="T356" s="54"/>
      <c r="U356" s="54"/>
      <c r="V356" s="16"/>
      <c r="W356" s="28">
        <f>SUM(W349:W355)</f>
        <v>0</v>
      </c>
      <c r="X356" s="28">
        <f>SUM(X349:X355)</f>
        <v>0</v>
      </c>
      <c r="Y356" s="28">
        <f>SUM(Y349:Y355)</f>
        <v>3667420</v>
      </c>
      <c r="Z356" s="28">
        <f t="shared" ref="Z356:AE356" si="200">SUM(Z349:Z355)</f>
        <v>3667420</v>
      </c>
      <c r="AA356" s="28">
        <f t="shared" si="200"/>
        <v>912410</v>
      </c>
      <c r="AB356" s="28">
        <f t="shared" si="200"/>
        <v>724150</v>
      </c>
      <c r="AC356" s="28">
        <f t="shared" si="200"/>
        <v>1636560</v>
      </c>
      <c r="AD356" s="28">
        <f t="shared" si="200"/>
        <v>990050</v>
      </c>
      <c r="AE356" s="28">
        <f t="shared" si="200"/>
        <v>1028190</v>
      </c>
      <c r="AF356" s="99">
        <f>SUM(AF349:AF355)</f>
        <v>1068770</v>
      </c>
    </row>
    <row r="357" spans="1:32" x14ac:dyDescent="0.3">
      <c r="A357" s="32" t="s">
        <v>125</v>
      </c>
      <c r="B357" s="33"/>
      <c r="C357" s="36"/>
      <c r="D357" s="36"/>
      <c r="E357" s="36"/>
      <c r="F357" s="36"/>
      <c r="G357" s="36"/>
      <c r="H357" s="36"/>
      <c r="I357" s="36"/>
      <c r="J357" s="36"/>
      <c r="K357" s="16"/>
      <c r="L357" s="25"/>
      <c r="M357" s="25"/>
      <c r="N357" s="25"/>
      <c r="O357" s="25"/>
      <c r="P357" s="26"/>
      <c r="Q357" s="26"/>
      <c r="R357" s="53"/>
      <c r="S357" s="54"/>
      <c r="T357" s="54"/>
      <c r="U357" s="54"/>
      <c r="V357" s="16"/>
      <c r="W357" s="52">
        <f>SUM(W356,W346,W335)</f>
        <v>1394200</v>
      </c>
      <c r="X357" s="52">
        <f t="shared" ref="X357:AF357" si="201">SUM(X356,X346,X335)</f>
        <v>27849738</v>
      </c>
      <c r="Y357" s="52">
        <f t="shared" si="201"/>
        <v>22526518</v>
      </c>
      <c r="Z357" s="52">
        <f t="shared" si="201"/>
        <v>51770456</v>
      </c>
      <c r="AA357" s="52">
        <f t="shared" si="201"/>
        <v>12865042</v>
      </c>
      <c r="AB357" s="52">
        <f t="shared" si="201"/>
        <v>35309176</v>
      </c>
      <c r="AC357" s="52">
        <f t="shared" si="201"/>
        <v>48174218</v>
      </c>
      <c r="AD357" s="52">
        <f t="shared" si="201"/>
        <v>48315698</v>
      </c>
      <c r="AE357" s="52">
        <f t="shared" si="201"/>
        <v>50228482</v>
      </c>
      <c r="AF357" s="99">
        <f t="shared" si="201"/>
        <v>52222683</v>
      </c>
    </row>
    <row r="358" spans="1:32" ht="15" thickBot="1" x14ac:dyDescent="0.35">
      <c r="A358" s="63" t="s">
        <v>126</v>
      </c>
      <c r="B358" s="168"/>
      <c r="C358" s="192"/>
      <c r="D358" s="192"/>
      <c r="E358" s="192"/>
      <c r="F358" s="192"/>
      <c r="G358" s="192"/>
      <c r="H358" s="192"/>
      <c r="I358" s="192"/>
      <c r="J358" s="192"/>
      <c r="K358" s="109"/>
      <c r="L358" s="39"/>
      <c r="M358" s="39"/>
      <c r="N358" s="39"/>
      <c r="O358" s="39"/>
      <c r="P358" s="40"/>
      <c r="Q358" s="40"/>
      <c r="R358" s="170"/>
      <c r="S358" s="201"/>
      <c r="T358" s="201"/>
      <c r="U358" s="201"/>
      <c r="V358" s="109"/>
      <c r="W358" s="185">
        <f>W291+W307+W323+W357</f>
        <v>4553665</v>
      </c>
      <c r="X358" s="185">
        <f t="shared" ref="X358:AF358" si="202">X291+X307+X323+X357</f>
        <v>90703439</v>
      </c>
      <c r="Y358" s="185">
        <f t="shared" si="202"/>
        <v>56182398</v>
      </c>
      <c r="Z358" s="185">
        <f t="shared" si="202"/>
        <v>151439502</v>
      </c>
      <c r="AA358" s="185">
        <f t="shared" si="202"/>
        <v>42785712</v>
      </c>
      <c r="AB358" s="185">
        <f t="shared" si="202"/>
        <v>130060041</v>
      </c>
      <c r="AC358" s="185">
        <f t="shared" si="202"/>
        <v>172845753</v>
      </c>
      <c r="AD358" s="185">
        <f t="shared" si="202"/>
        <v>176446408</v>
      </c>
      <c r="AE358" s="185">
        <f t="shared" si="202"/>
        <v>183783312</v>
      </c>
      <c r="AF358" s="172">
        <f t="shared" si="202"/>
        <v>192452383</v>
      </c>
    </row>
    <row r="359" spans="1:32" x14ac:dyDescent="0.3">
      <c r="A359" s="173"/>
      <c r="B359" s="174"/>
      <c r="C359" s="188"/>
      <c r="D359" s="188"/>
      <c r="E359" s="188"/>
      <c r="F359" s="188"/>
      <c r="G359" s="188"/>
      <c r="H359" s="188"/>
      <c r="I359" s="188"/>
      <c r="J359" s="188"/>
      <c r="K359" s="163"/>
      <c r="L359" s="176"/>
      <c r="M359" s="176"/>
      <c r="N359" s="176"/>
      <c r="O359" s="176"/>
      <c r="P359" s="177"/>
      <c r="Q359" s="177"/>
      <c r="R359" s="202"/>
      <c r="S359" s="203"/>
      <c r="T359" s="203"/>
      <c r="U359" s="203"/>
      <c r="V359" s="163"/>
      <c r="W359" s="204"/>
      <c r="X359" s="204"/>
      <c r="Y359" s="204"/>
      <c r="Z359" s="204"/>
      <c r="AA359" s="204"/>
      <c r="AB359" s="204"/>
      <c r="AC359" s="204"/>
      <c r="AD359" s="205"/>
      <c r="AE359" s="204"/>
      <c r="AF359" s="206"/>
    </row>
    <row r="360" spans="1:32" x14ac:dyDescent="0.3">
      <c r="A360" s="32" t="s">
        <v>127</v>
      </c>
      <c r="B360" s="33"/>
      <c r="C360" s="36"/>
      <c r="D360" s="36"/>
      <c r="E360" s="36"/>
      <c r="F360" s="36"/>
      <c r="G360" s="36"/>
      <c r="H360" s="36"/>
      <c r="I360" s="36"/>
      <c r="J360" s="36"/>
      <c r="K360" s="16"/>
      <c r="L360" s="25"/>
      <c r="M360" s="25"/>
      <c r="N360" s="25"/>
      <c r="O360" s="25"/>
      <c r="P360" s="26"/>
      <c r="Q360" s="26"/>
      <c r="R360" s="53"/>
      <c r="S360" s="54"/>
      <c r="T360" s="54"/>
      <c r="U360" s="54"/>
      <c r="V360" s="16"/>
      <c r="W360" s="57"/>
      <c r="X360" s="57"/>
      <c r="Y360" s="57"/>
      <c r="Z360" s="57"/>
      <c r="AA360" s="57"/>
      <c r="AB360" s="57"/>
      <c r="AC360" s="57"/>
      <c r="AD360" s="80"/>
      <c r="AE360" s="57"/>
      <c r="AF360" s="108"/>
    </row>
    <row r="361" spans="1:32" x14ac:dyDescent="0.3">
      <c r="A361" s="21">
        <v>1053</v>
      </c>
      <c r="B361" s="22" t="s">
        <v>128</v>
      </c>
      <c r="C361" s="36">
        <v>130</v>
      </c>
      <c r="D361" s="36">
        <v>130</v>
      </c>
      <c r="E361" s="37">
        <v>140</v>
      </c>
      <c r="F361" s="37">
        <v>140</v>
      </c>
      <c r="G361" s="37">
        <v>140</v>
      </c>
      <c r="H361" s="37">
        <v>140</v>
      </c>
      <c r="I361" s="37">
        <v>140</v>
      </c>
      <c r="J361" s="37">
        <v>140</v>
      </c>
      <c r="K361" s="16"/>
      <c r="L361" s="84">
        <v>25</v>
      </c>
      <c r="M361" s="84">
        <v>754</v>
      </c>
      <c r="N361" s="84">
        <v>791</v>
      </c>
      <c r="O361" s="84">
        <f t="shared" ref="O361:O391" si="203">SUM(L361:N361)</f>
        <v>1570</v>
      </c>
      <c r="P361" s="26">
        <v>359</v>
      </c>
      <c r="Q361" s="26">
        <v>1138</v>
      </c>
      <c r="R361" s="84">
        <f t="shared" ref="R361:R391" si="204">SUM(P361:Q361)</f>
        <v>1497</v>
      </c>
      <c r="S361" s="84">
        <v>1428</v>
      </c>
      <c r="T361" s="84">
        <v>1361</v>
      </c>
      <c r="U361" s="84">
        <v>1298</v>
      </c>
      <c r="V361" s="16"/>
      <c r="W361" s="28">
        <f t="shared" ref="W361:W389" si="205">L361*C361</f>
        <v>3250</v>
      </c>
      <c r="X361" s="28">
        <f t="shared" ref="X361:X389" si="206">M361*D361</f>
        <v>98020</v>
      </c>
      <c r="Y361" s="28">
        <f t="shared" ref="Y361:Y389" si="207">N361*E361</f>
        <v>110740</v>
      </c>
      <c r="Z361" s="28">
        <f t="shared" ref="Z361:Z391" si="208">W361+X361+Y361</f>
        <v>212010</v>
      </c>
      <c r="AA361" s="28">
        <f t="shared" ref="AA361:AA389" si="209">F361*P361</f>
        <v>50260</v>
      </c>
      <c r="AB361" s="28">
        <f t="shared" ref="AB361:AB389" si="210">G361*Q361</f>
        <v>159320</v>
      </c>
      <c r="AC361" s="28">
        <f>SUM(AA361:AB361)</f>
        <v>209580</v>
      </c>
      <c r="AD361" s="77">
        <f t="shared" ref="AD361:AD389" si="211">H361*S361</f>
        <v>199920</v>
      </c>
      <c r="AE361" s="77">
        <f t="shared" ref="AE361:AE389" si="212">I361*T361</f>
        <v>190540</v>
      </c>
      <c r="AF361" s="99">
        <f t="shared" ref="AF361:AF389" si="213">J361*U361</f>
        <v>181720</v>
      </c>
    </row>
    <row r="362" spans="1:32" x14ac:dyDescent="0.3">
      <c r="A362" s="21">
        <v>1451</v>
      </c>
      <c r="B362" s="22" t="s">
        <v>292</v>
      </c>
      <c r="C362" s="36">
        <v>1510</v>
      </c>
      <c r="D362" s="36">
        <v>1510</v>
      </c>
      <c r="E362" s="37">
        <v>0</v>
      </c>
      <c r="F362" s="37">
        <v>0</v>
      </c>
      <c r="G362" s="37">
        <v>0</v>
      </c>
      <c r="H362" s="37">
        <v>0</v>
      </c>
      <c r="I362" s="37">
        <v>0</v>
      </c>
      <c r="J362" s="37">
        <v>0</v>
      </c>
      <c r="K362" s="16"/>
      <c r="L362" s="84">
        <v>0</v>
      </c>
      <c r="M362" s="84">
        <v>4</v>
      </c>
      <c r="N362" s="84">
        <v>4</v>
      </c>
      <c r="O362" s="84">
        <f t="shared" si="203"/>
        <v>8</v>
      </c>
      <c r="P362" s="26">
        <v>2</v>
      </c>
      <c r="Q362" s="26">
        <v>6</v>
      </c>
      <c r="R362" s="84">
        <f t="shared" si="204"/>
        <v>8</v>
      </c>
      <c r="S362" s="84">
        <v>8</v>
      </c>
      <c r="T362" s="84">
        <v>8</v>
      </c>
      <c r="U362" s="84">
        <v>8</v>
      </c>
      <c r="V362" s="16"/>
      <c r="W362" s="28">
        <f t="shared" si="205"/>
        <v>0</v>
      </c>
      <c r="X362" s="28">
        <f t="shared" si="206"/>
        <v>6040</v>
      </c>
      <c r="Y362" s="28">
        <f t="shared" si="207"/>
        <v>0</v>
      </c>
      <c r="Z362" s="28">
        <f t="shared" si="208"/>
        <v>6040</v>
      </c>
      <c r="AA362" s="28">
        <f t="shared" si="209"/>
        <v>0</v>
      </c>
      <c r="AB362" s="28">
        <f t="shared" si="210"/>
        <v>0</v>
      </c>
      <c r="AC362" s="28">
        <f t="shared" ref="AC362:AC367" si="214">SUM(AA362:AB362)</f>
        <v>0</v>
      </c>
      <c r="AD362" s="77">
        <f t="shared" si="211"/>
        <v>0</v>
      </c>
      <c r="AE362" s="77">
        <f t="shared" si="212"/>
        <v>0</v>
      </c>
      <c r="AF362" s="99">
        <f t="shared" si="213"/>
        <v>0</v>
      </c>
    </row>
    <row r="363" spans="1:32" x14ac:dyDescent="0.3">
      <c r="A363" s="21">
        <v>1454</v>
      </c>
      <c r="B363" s="22" t="s">
        <v>129</v>
      </c>
      <c r="C363" s="23">
        <v>1410</v>
      </c>
      <c r="D363" s="36">
        <v>1410</v>
      </c>
      <c r="E363" s="37">
        <v>1420</v>
      </c>
      <c r="F363" s="37">
        <v>1420</v>
      </c>
      <c r="G363" s="37">
        <v>1420</v>
      </c>
      <c r="H363" s="37">
        <v>1420</v>
      </c>
      <c r="I363" s="37">
        <v>1420</v>
      </c>
      <c r="J363" s="37">
        <v>1420</v>
      </c>
      <c r="K363" s="16"/>
      <c r="L363" s="84">
        <v>11</v>
      </c>
      <c r="M363" s="84">
        <v>331</v>
      </c>
      <c r="N363" s="84">
        <v>347</v>
      </c>
      <c r="O363" s="84">
        <f t="shared" si="203"/>
        <v>689</v>
      </c>
      <c r="P363" s="26">
        <v>162</v>
      </c>
      <c r="Q363" s="26">
        <v>515</v>
      </c>
      <c r="R363" s="84">
        <f t="shared" si="204"/>
        <v>677</v>
      </c>
      <c r="S363" s="84">
        <v>665</v>
      </c>
      <c r="T363" s="84">
        <v>653</v>
      </c>
      <c r="U363" s="84">
        <v>641</v>
      </c>
      <c r="V363" s="16"/>
      <c r="W363" s="28">
        <f t="shared" si="205"/>
        <v>15510</v>
      </c>
      <c r="X363" s="28">
        <f t="shared" si="206"/>
        <v>466710</v>
      </c>
      <c r="Y363" s="28">
        <f t="shared" si="207"/>
        <v>492740</v>
      </c>
      <c r="Z363" s="28">
        <f t="shared" si="208"/>
        <v>974960</v>
      </c>
      <c r="AA363" s="28">
        <f t="shared" si="209"/>
        <v>230040</v>
      </c>
      <c r="AB363" s="28">
        <f t="shared" si="210"/>
        <v>731300</v>
      </c>
      <c r="AC363" s="28">
        <f t="shared" si="214"/>
        <v>961340</v>
      </c>
      <c r="AD363" s="77">
        <f t="shared" si="211"/>
        <v>944300</v>
      </c>
      <c r="AE363" s="77">
        <f t="shared" si="212"/>
        <v>927260</v>
      </c>
      <c r="AF363" s="99">
        <f t="shared" si="213"/>
        <v>910220</v>
      </c>
    </row>
    <row r="364" spans="1:32" x14ac:dyDescent="0.3">
      <c r="A364" s="21">
        <v>1455</v>
      </c>
      <c r="B364" s="22" t="s">
        <v>130</v>
      </c>
      <c r="C364" s="36">
        <v>200</v>
      </c>
      <c r="D364" s="36">
        <v>200</v>
      </c>
      <c r="E364" s="36">
        <v>200</v>
      </c>
      <c r="F364" s="36">
        <v>200</v>
      </c>
      <c r="G364" s="36">
        <v>200</v>
      </c>
      <c r="H364" s="36">
        <v>200</v>
      </c>
      <c r="I364" s="36">
        <v>200</v>
      </c>
      <c r="J364" s="36">
        <v>200</v>
      </c>
      <c r="K364" s="16"/>
      <c r="L364" s="84">
        <v>22</v>
      </c>
      <c r="M364" s="84">
        <v>656</v>
      </c>
      <c r="N364" s="84">
        <v>689</v>
      </c>
      <c r="O364" s="84">
        <f t="shared" si="203"/>
        <v>1367</v>
      </c>
      <c r="P364" s="26">
        <v>328</v>
      </c>
      <c r="Q364" s="26">
        <v>1039</v>
      </c>
      <c r="R364" s="84">
        <f t="shared" si="204"/>
        <v>1367</v>
      </c>
      <c r="S364" s="84">
        <v>1367</v>
      </c>
      <c r="T364" s="84">
        <v>11367</v>
      </c>
      <c r="U364" s="84">
        <v>21367</v>
      </c>
      <c r="V364" s="16"/>
      <c r="W364" s="28">
        <f t="shared" si="205"/>
        <v>4400</v>
      </c>
      <c r="X364" s="28">
        <f t="shared" si="206"/>
        <v>131200</v>
      </c>
      <c r="Y364" s="28">
        <f t="shared" si="207"/>
        <v>137800</v>
      </c>
      <c r="Z364" s="28">
        <f t="shared" si="208"/>
        <v>273400</v>
      </c>
      <c r="AA364" s="28">
        <f t="shared" si="209"/>
        <v>65600</v>
      </c>
      <c r="AB364" s="28">
        <f t="shared" si="210"/>
        <v>207800</v>
      </c>
      <c r="AC364" s="28">
        <f t="shared" si="214"/>
        <v>273400</v>
      </c>
      <c r="AD364" s="77">
        <f t="shared" si="211"/>
        <v>273400</v>
      </c>
      <c r="AE364" s="77">
        <f t="shared" si="212"/>
        <v>2273400</v>
      </c>
      <c r="AF364" s="99">
        <f t="shared" si="213"/>
        <v>4273400</v>
      </c>
    </row>
    <row r="365" spans="1:32" x14ac:dyDescent="0.3">
      <c r="A365" s="21">
        <v>1456</v>
      </c>
      <c r="B365" s="22" t="s">
        <v>131</v>
      </c>
      <c r="C365" s="36">
        <v>400</v>
      </c>
      <c r="D365" s="36">
        <v>400</v>
      </c>
      <c r="E365" s="36">
        <v>400</v>
      </c>
      <c r="F365" s="36">
        <v>400</v>
      </c>
      <c r="G365" s="36">
        <v>400</v>
      </c>
      <c r="H365" s="36">
        <v>400</v>
      </c>
      <c r="I365" s="36">
        <v>400</v>
      </c>
      <c r="J365" s="36">
        <v>400</v>
      </c>
      <c r="K365" s="16"/>
      <c r="L365" s="84">
        <v>0</v>
      </c>
      <c r="M365" s="84">
        <v>5</v>
      </c>
      <c r="N365" s="84">
        <v>5</v>
      </c>
      <c r="O365" s="84">
        <f t="shared" si="203"/>
        <v>10</v>
      </c>
      <c r="P365" s="26">
        <v>2</v>
      </c>
      <c r="Q365" s="26">
        <v>8</v>
      </c>
      <c r="R365" s="84">
        <f t="shared" si="204"/>
        <v>10</v>
      </c>
      <c r="S365" s="84">
        <v>10</v>
      </c>
      <c r="T365" s="84">
        <v>10</v>
      </c>
      <c r="U365" s="84">
        <v>10</v>
      </c>
      <c r="V365" s="16"/>
      <c r="W365" s="28">
        <f t="shared" si="205"/>
        <v>0</v>
      </c>
      <c r="X365" s="28">
        <f t="shared" si="206"/>
        <v>2000</v>
      </c>
      <c r="Y365" s="28">
        <f t="shared" si="207"/>
        <v>2000</v>
      </c>
      <c r="Z365" s="28">
        <f t="shared" si="208"/>
        <v>4000</v>
      </c>
      <c r="AA365" s="28">
        <f t="shared" si="209"/>
        <v>800</v>
      </c>
      <c r="AB365" s="28">
        <f t="shared" si="210"/>
        <v>3200</v>
      </c>
      <c r="AC365" s="28">
        <f t="shared" si="214"/>
        <v>4000</v>
      </c>
      <c r="AD365" s="77">
        <f t="shared" si="211"/>
        <v>4000</v>
      </c>
      <c r="AE365" s="77">
        <f t="shared" si="212"/>
        <v>4000</v>
      </c>
      <c r="AF365" s="99">
        <f t="shared" si="213"/>
        <v>4000</v>
      </c>
    </row>
    <row r="366" spans="1:32" x14ac:dyDescent="0.3">
      <c r="A366" s="21">
        <v>1457</v>
      </c>
      <c r="B366" s="22" t="s">
        <v>132</v>
      </c>
      <c r="C366" s="36">
        <v>1120</v>
      </c>
      <c r="D366" s="36">
        <v>1120</v>
      </c>
      <c r="E366" s="36">
        <v>1120</v>
      </c>
      <c r="F366" s="36">
        <v>1120</v>
      </c>
      <c r="G366" s="36">
        <v>1120</v>
      </c>
      <c r="H366" s="36">
        <v>1120</v>
      </c>
      <c r="I366" s="36">
        <v>1120</v>
      </c>
      <c r="J366" s="36">
        <v>1120</v>
      </c>
      <c r="K366" s="16"/>
      <c r="L366" s="84">
        <v>1</v>
      </c>
      <c r="M366" s="84">
        <v>29</v>
      </c>
      <c r="N366" s="84">
        <v>30</v>
      </c>
      <c r="O366" s="84">
        <f t="shared" si="203"/>
        <v>60</v>
      </c>
      <c r="P366" s="26">
        <v>14</v>
      </c>
      <c r="Q366" s="26">
        <v>46</v>
      </c>
      <c r="R366" s="84">
        <f t="shared" si="204"/>
        <v>60</v>
      </c>
      <c r="S366" s="84">
        <v>60</v>
      </c>
      <c r="T366" s="84">
        <v>60</v>
      </c>
      <c r="U366" s="84">
        <v>60</v>
      </c>
      <c r="V366" s="16"/>
      <c r="W366" s="28">
        <f t="shared" si="205"/>
        <v>1120</v>
      </c>
      <c r="X366" s="28">
        <f t="shared" si="206"/>
        <v>32480</v>
      </c>
      <c r="Y366" s="28">
        <f t="shared" si="207"/>
        <v>33600</v>
      </c>
      <c r="Z366" s="28">
        <f t="shared" si="208"/>
        <v>67200</v>
      </c>
      <c r="AA366" s="28">
        <f t="shared" si="209"/>
        <v>15680</v>
      </c>
      <c r="AB366" s="28">
        <f t="shared" si="210"/>
        <v>51520</v>
      </c>
      <c r="AC366" s="28">
        <f t="shared" si="214"/>
        <v>67200</v>
      </c>
      <c r="AD366" s="77">
        <f t="shared" si="211"/>
        <v>67200</v>
      </c>
      <c r="AE366" s="77">
        <f t="shared" si="212"/>
        <v>67200</v>
      </c>
      <c r="AF366" s="99">
        <f t="shared" si="213"/>
        <v>67200</v>
      </c>
    </row>
    <row r="367" spans="1:32" x14ac:dyDescent="0.3">
      <c r="A367" s="29">
        <v>1458</v>
      </c>
      <c r="B367" s="30" t="s">
        <v>133</v>
      </c>
      <c r="C367" s="36">
        <v>420</v>
      </c>
      <c r="D367" s="36">
        <v>420</v>
      </c>
      <c r="E367" s="36">
        <v>420</v>
      </c>
      <c r="F367" s="36">
        <v>420</v>
      </c>
      <c r="G367" s="36">
        <v>420</v>
      </c>
      <c r="H367" s="36">
        <v>420</v>
      </c>
      <c r="I367" s="36">
        <v>420</v>
      </c>
      <c r="J367" s="36">
        <v>420</v>
      </c>
      <c r="K367" s="16"/>
      <c r="L367" s="84">
        <v>0</v>
      </c>
      <c r="M367" s="84">
        <v>0</v>
      </c>
      <c r="N367" s="84">
        <v>1</v>
      </c>
      <c r="O367" s="84">
        <f t="shared" si="203"/>
        <v>1</v>
      </c>
      <c r="P367" s="26">
        <v>0</v>
      </c>
      <c r="Q367" s="26">
        <v>1</v>
      </c>
      <c r="R367" s="84">
        <f t="shared" si="204"/>
        <v>1</v>
      </c>
      <c r="S367" s="84">
        <v>1</v>
      </c>
      <c r="T367" s="84">
        <v>1</v>
      </c>
      <c r="U367" s="84">
        <v>1</v>
      </c>
      <c r="V367" s="16"/>
      <c r="W367" s="28">
        <f t="shared" si="205"/>
        <v>0</v>
      </c>
      <c r="X367" s="28">
        <f t="shared" si="206"/>
        <v>0</v>
      </c>
      <c r="Y367" s="28">
        <f t="shared" si="207"/>
        <v>420</v>
      </c>
      <c r="Z367" s="28">
        <f t="shared" si="208"/>
        <v>420</v>
      </c>
      <c r="AA367" s="28">
        <f t="shared" si="209"/>
        <v>0</v>
      </c>
      <c r="AB367" s="28">
        <f t="shared" si="210"/>
        <v>420</v>
      </c>
      <c r="AC367" s="28">
        <f t="shared" si="214"/>
        <v>420</v>
      </c>
      <c r="AD367" s="77">
        <f t="shared" si="211"/>
        <v>420</v>
      </c>
      <c r="AE367" s="77">
        <f t="shared" si="212"/>
        <v>420</v>
      </c>
      <c r="AF367" s="99">
        <f t="shared" si="213"/>
        <v>420</v>
      </c>
    </row>
    <row r="368" spans="1:32" x14ac:dyDescent="0.3">
      <c r="A368" s="29">
        <v>1459</v>
      </c>
      <c r="B368" s="30" t="s">
        <v>134</v>
      </c>
      <c r="C368" s="36">
        <v>220</v>
      </c>
      <c r="D368" s="36">
        <v>220</v>
      </c>
      <c r="E368" s="36">
        <v>220</v>
      </c>
      <c r="F368" s="36">
        <v>220</v>
      </c>
      <c r="G368" s="36">
        <v>220</v>
      </c>
      <c r="H368" s="36">
        <v>220</v>
      </c>
      <c r="I368" s="36">
        <v>220</v>
      </c>
      <c r="J368" s="36">
        <v>220</v>
      </c>
      <c r="K368" s="16"/>
      <c r="L368" s="84">
        <v>0</v>
      </c>
      <c r="M368" s="84">
        <v>0</v>
      </c>
      <c r="N368" s="84">
        <v>1</v>
      </c>
      <c r="O368" s="84">
        <f t="shared" si="203"/>
        <v>1</v>
      </c>
      <c r="P368" s="26">
        <v>0</v>
      </c>
      <c r="Q368" s="26">
        <v>1</v>
      </c>
      <c r="R368" s="84">
        <f t="shared" si="204"/>
        <v>1</v>
      </c>
      <c r="S368" s="84">
        <v>1</v>
      </c>
      <c r="T368" s="84">
        <v>1</v>
      </c>
      <c r="U368" s="84">
        <v>1</v>
      </c>
      <c r="V368" s="16"/>
      <c r="W368" s="28">
        <f t="shared" si="205"/>
        <v>0</v>
      </c>
      <c r="X368" s="28">
        <f t="shared" si="206"/>
        <v>0</v>
      </c>
      <c r="Y368" s="28">
        <f t="shared" si="207"/>
        <v>220</v>
      </c>
      <c r="Z368" s="28">
        <f t="shared" si="208"/>
        <v>220</v>
      </c>
      <c r="AA368" s="28">
        <f t="shared" si="209"/>
        <v>0</v>
      </c>
      <c r="AB368" s="28">
        <f t="shared" si="210"/>
        <v>220</v>
      </c>
      <c r="AC368" s="28">
        <f t="shared" ref="AC368:AC377" si="215">SUM(AA368:AB368)</f>
        <v>220</v>
      </c>
      <c r="AD368" s="77">
        <f t="shared" si="211"/>
        <v>220</v>
      </c>
      <c r="AE368" s="77">
        <f t="shared" si="212"/>
        <v>220</v>
      </c>
      <c r="AF368" s="99">
        <f t="shared" si="213"/>
        <v>220</v>
      </c>
    </row>
    <row r="369" spans="1:32" x14ac:dyDescent="0.3">
      <c r="A369" s="21">
        <v>1462</v>
      </c>
      <c r="B369" s="22" t="s">
        <v>135</v>
      </c>
      <c r="C369" s="36">
        <v>400</v>
      </c>
      <c r="D369" s="36">
        <v>400</v>
      </c>
      <c r="E369" s="37">
        <v>400</v>
      </c>
      <c r="F369" s="37">
        <v>400</v>
      </c>
      <c r="G369" s="37">
        <v>400</v>
      </c>
      <c r="H369" s="37">
        <v>400</v>
      </c>
      <c r="I369" s="37">
        <v>400</v>
      </c>
      <c r="J369" s="37">
        <v>400</v>
      </c>
      <c r="K369" s="16"/>
      <c r="L369" s="84">
        <v>37</v>
      </c>
      <c r="M369" s="84">
        <v>1112</v>
      </c>
      <c r="N369" s="84">
        <v>1168</v>
      </c>
      <c r="O369" s="84">
        <f t="shared" si="203"/>
        <v>2317</v>
      </c>
      <c r="P369" s="26">
        <v>584</v>
      </c>
      <c r="Q369" s="26">
        <v>1849</v>
      </c>
      <c r="R369" s="84">
        <f t="shared" si="204"/>
        <v>2433</v>
      </c>
      <c r="S369" s="84">
        <v>2554</v>
      </c>
      <c r="T369" s="84">
        <v>2682</v>
      </c>
      <c r="U369" s="84">
        <v>2816</v>
      </c>
      <c r="V369" s="16"/>
      <c r="W369" s="28">
        <f t="shared" si="205"/>
        <v>14800</v>
      </c>
      <c r="X369" s="28">
        <f t="shared" si="206"/>
        <v>444800</v>
      </c>
      <c r="Y369" s="28">
        <f t="shared" si="207"/>
        <v>467200</v>
      </c>
      <c r="Z369" s="28">
        <f t="shared" si="208"/>
        <v>926800</v>
      </c>
      <c r="AA369" s="28">
        <f t="shared" si="209"/>
        <v>233600</v>
      </c>
      <c r="AB369" s="28">
        <f t="shared" si="210"/>
        <v>739600</v>
      </c>
      <c r="AC369" s="28">
        <f t="shared" si="215"/>
        <v>973200</v>
      </c>
      <c r="AD369" s="77">
        <f t="shared" si="211"/>
        <v>1021600</v>
      </c>
      <c r="AE369" s="77">
        <f t="shared" si="212"/>
        <v>1072800</v>
      </c>
      <c r="AF369" s="99">
        <f t="shared" si="213"/>
        <v>1126400</v>
      </c>
    </row>
    <row r="370" spans="1:32" x14ac:dyDescent="0.3">
      <c r="A370" s="21">
        <v>1463</v>
      </c>
      <c r="B370" s="22" t="s">
        <v>136</v>
      </c>
      <c r="C370" s="36">
        <v>200</v>
      </c>
      <c r="D370" s="36">
        <v>200</v>
      </c>
      <c r="E370" s="37">
        <v>200</v>
      </c>
      <c r="F370" s="37">
        <v>200</v>
      </c>
      <c r="G370" s="37">
        <v>200</v>
      </c>
      <c r="H370" s="37">
        <v>200</v>
      </c>
      <c r="I370" s="37">
        <v>200</v>
      </c>
      <c r="J370" s="37">
        <v>200</v>
      </c>
      <c r="K370" s="16"/>
      <c r="L370" s="84">
        <v>95</v>
      </c>
      <c r="M370" s="84">
        <v>2838</v>
      </c>
      <c r="N370" s="84">
        <v>2980</v>
      </c>
      <c r="O370" s="84">
        <f t="shared" si="203"/>
        <v>5913</v>
      </c>
      <c r="P370" s="26">
        <v>1656</v>
      </c>
      <c r="Q370" s="26">
        <v>5244</v>
      </c>
      <c r="R370" s="84">
        <f t="shared" si="204"/>
        <v>6900</v>
      </c>
      <c r="S370" s="84">
        <v>8053</v>
      </c>
      <c r="T370" s="84">
        <v>9398</v>
      </c>
      <c r="U370" s="84">
        <v>10968</v>
      </c>
      <c r="V370" s="16"/>
      <c r="W370" s="28">
        <f t="shared" si="205"/>
        <v>19000</v>
      </c>
      <c r="X370" s="28">
        <f t="shared" si="206"/>
        <v>567600</v>
      </c>
      <c r="Y370" s="28">
        <f t="shared" si="207"/>
        <v>596000</v>
      </c>
      <c r="Z370" s="28">
        <f t="shared" si="208"/>
        <v>1182600</v>
      </c>
      <c r="AA370" s="28">
        <f t="shared" si="209"/>
        <v>331200</v>
      </c>
      <c r="AB370" s="28">
        <f t="shared" si="210"/>
        <v>1048800</v>
      </c>
      <c r="AC370" s="28">
        <f t="shared" si="215"/>
        <v>1380000</v>
      </c>
      <c r="AD370" s="77">
        <f t="shared" si="211"/>
        <v>1610600</v>
      </c>
      <c r="AE370" s="77">
        <f t="shared" si="212"/>
        <v>1879600</v>
      </c>
      <c r="AF370" s="99">
        <f t="shared" si="213"/>
        <v>2193600</v>
      </c>
    </row>
    <row r="371" spans="1:32" x14ac:dyDescent="0.3">
      <c r="A371" s="21">
        <v>1464</v>
      </c>
      <c r="B371" s="22" t="s">
        <v>137</v>
      </c>
      <c r="C371" s="36">
        <v>130</v>
      </c>
      <c r="D371" s="36">
        <v>130</v>
      </c>
      <c r="E371" s="37">
        <v>140</v>
      </c>
      <c r="F371" s="37">
        <v>140</v>
      </c>
      <c r="G371" s="37">
        <v>140</v>
      </c>
      <c r="H371" s="37">
        <v>140</v>
      </c>
      <c r="I371" s="37">
        <v>140</v>
      </c>
      <c r="J371" s="37">
        <v>140</v>
      </c>
      <c r="K371" s="16"/>
      <c r="L371" s="84">
        <v>186</v>
      </c>
      <c r="M371" s="84">
        <v>5577</v>
      </c>
      <c r="N371" s="84">
        <v>5855</v>
      </c>
      <c r="O371" s="84">
        <f t="shared" si="203"/>
        <v>11618</v>
      </c>
      <c r="P371" s="26">
        <v>2388</v>
      </c>
      <c r="Q371" s="26">
        <v>7561</v>
      </c>
      <c r="R371" s="84">
        <f t="shared" si="204"/>
        <v>9949</v>
      </c>
      <c r="S371" s="84">
        <v>6098</v>
      </c>
      <c r="T371" s="84">
        <v>5222</v>
      </c>
      <c r="U371" s="84">
        <v>4472</v>
      </c>
      <c r="V371" s="16"/>
      <c r="W371" s="28">
        <f t="shared" si="205"/>
        <v>24180</v>
      </c>
      <c r="X371" s="28">
        <f t="shared" si="206"/>
        <v>725010</v>
      </c>
      <c r="Y371" s="28">
        <f t="shared" si="207"/>
        <v>819700</v>
      </c>
      <c r="Z371" s="28">
        <f t="shared" si="208"/>
        <v>1568890</v>
      </c>
      <c r="AA371" s="28">
        <f t="shared" si="209"/>
        <v>334320</v>
      </c>
      <c r="AB371" s="28">
        <f t="shared" si="210"/>
        <v>1058540</v>
      </c>
      <c r="AC371" s="28">
        <f t="shared" si="215"/>
        <v>1392860</v>
      </c>
      <c r="AD371" s="77">
        <f t="shared" si="211"/>
        <v>853720</v>
      </c>
      <c r="AE371" s="77">
        <f t="shared" si="212"/>
        <v>731080</v>
      </c>
      <c r="AF371" s="99">
        <f t="shared" si="213"/>
        <v>626080</v>
      </c>
    </row>
    <row r="372" spans="1:32" x14ac:dyDescent="0.3">
      <c r="A372" s="29">
        <v>1802</v>
      </c>
      <c r="B372" s="22" t="s">
        <v>138</v>
      </c>
      <c r="C372" s="36">
        <v>900</v>
      </c>
      <c r="D372" s="36">
        <v>900</v>
      </c>
      <c r="E372" s="37">
        <v>900</v>
      </c>
      <c r="F372" s="37">
        <v>900</v>
      </c>
      <c r="G372" s="37">
        <v>900</v>
      </c>
      <c r="H372" s="37">
        <v>900</v>
      </c>
      <c r="I372" s="37">
        <v>900</v>
      </c>
      <c r="J372" s="37">
        <v>900</v>
      </c>
      <c r="K372" s="16"/>
      <c r="L372" s="84">
        <v>3</v>
      </c>
      <c r="M372" s="84">
        <v>87</v>
      </c>
      <c r="N372" s="84">
        <v>91</v>
      </c>
      <c r="O372" s="84">
        <f t="shared" si="203"/>
        <v>181</v>
      </c>
      <c r="P372" s="26">
        <v>43</v>
      </c>
      <c r="Q372" s="26">
        <v>137</v>
      </c>
      <c r="R372" s="84">
        <f t="shared" si="204"/>
        <v>180</v>
      </c>
      <c r="S372" s="84">
        <v>180</v>
      </c>
      <c r="T372" s="84">
        <v>183</v>
      </c>
      <c r="U372" s="84">
        <v>187</v>
      </c>
      <c r="V372" s="16"/>
      <c r="W372" s="28">
        <f t="shared" si="205"/>
        <v>2700</v>
      </c>
      <c r="X372" s="28">
        <f t="shared" si="206"/>
        <v>78300</v>
      </c>
      <c r="Y372" s="28">
        <f t="shared" si="207"/>
        <v>81900</v>
      </c>
      <c r="Z372" s="28">
        <f t="shared" si="208"/>
        <v>162900</v>
      </c>
      <c r="AA372" s="28">
        <f t="shared" si="209"/>
        <v>38700</v>
      </c>
      <c r="AB372" s="28">
        <f t="shared" si="210"/>
        <v>123300</v>
      </c>
      <c r="AC372" s="28">
        <f t="shared" si="215"/>
        <v>162000</v>
      </c>
      <c r="AD372" s="77">
        <f t="shared" si="211"/>
        <v>162000</v>
      </c>
      <c r="AE372" s="77">
        <f t="shared" si="212"/>
        <v>164700</v>
      </c>
      <c r="AF372" s="99">
        <f t="shared" si="213"/>
        <v>168300</v>
      </c>
    </row>
    <row r="373" spans="1:32" x14ac:dyDescent="0.3">
      <c r="A373" s="21">
        <v>1804</v>
      </c>
      <c r="B373" s="22" t="s">
        <v>293</v>
      </c>
      <c r="C373" s="36">
        <v>920</v>
      </c>
      <c r="D373" s="36">
        <v>920</v>
      </c>
      <c r="E373" s="37">
        <v>0</v>
      </c>
      <c r="F373" s="37">
        <v>0</v>
      </c>
      <c r="G373" s="37">
        <v>0</v>
      </c>
      <c r="H373" s="37">
        <v>0</v>
      </c>
      <c r="I373" s="37">
        <v>0</v>
      </c>
      <c r="J373" s="37">
        <v>0</v>
      </c>
      <c r="K373" s="16"/>
      <c r="L373" s="84">
        <v>0</v>
      </c>
      <c r="M373" s="84">
        <v>1</v>
      </c>
      <c r="N373" s="84">
        <v>2</v>
      </c>
      <c r="O373" s="84">
        <f t="shared" si="203"/>
        <v>3</v>
      </c>
      <c r="P373" s="26">
        <v>1</v>
      </c>
      <c r="Q373" s="26">
        <v>2</v>
      </c>
      <c r="R373" s="84">
        <f t="shared" si="204"/>
        <v>3</v>
      </c>
      <c r="S373" s="84">
        <v>3</v>
      </c>
      <c r="T373" s="84">
        <v>3</v>
      </c>
      <c r="U373" s="84">
        <v>3</v>
      </c>
      <c r="V373" s="16"/>
      <c r="W373" s="28">
        <f t="shared" si="205"/>
        <v>0</v>
      </c>
      <c r="X373" s="28">
        <f t="shared" si="206"/>
        <v>920</v>
      </c>
      <c r="Y373" s="28">
        <f t="shared" si="207"/>
        <v>0</v>
      </c>
      <c r="Z373" s="28">
        <f t="shared" si="208"/>
        <v>920</v>
      </c>
      <c r="AA373" s="28">
        <f t="shared" si="209"/>
        <v>0</v>
      </c>
      <c r="AB373" s="28">
        <f t="shared" si="210"/>
        <v>0</v>
      </c>
      <c r="AC373" s="28">
        <f t="shared" si="215"/>
        <v>0</v>
      </c>
      <c r="AD373" s="77">
        <f t="shared" si="211"/>
        <v>0</v>
      </c>
      <c r="AE373" s="77">
        <f t="shared" si="212"/>
        <v>0</v>
      </c>
      <c r="AF373" s="99">
        <f t="shared" si="213"/>
        <v>0</v>
      </c>
    </row>
    <row r="374" spans="1:32" x14ac:dyDescent="0.3">
      <c r="A374" s="21">
        <v>1805</v>
      </c>
      <c r="B374" s="22" t="s">
        <v>294</v>
      </c>
      <c r="C374" s="36">
        <v>1840</v>
      </c>
      <c r="D374" s="36">
        <v>1840</v>
      </c>
      <c r="E374" s="37">
        <v>0</v>
      </c>
      <c r="F374" s="37">
        <v>0</v>
      </c>
      <c r="G374" s="37">
        <v>0</v>
      </c>
      <c r="H374" s="37">
        <v>0</v>
      </c>
      <c r="I374" s="37">
        <v>0</v>
      </c>
      <c r="J374" s="37">
        <v>0</v>
      </c>
      <c r="K374" s="16"/>
      <c r="L374" s="84">
        <v>0</v>
      </c>
      <c r="M374" s="84">
        <v>0</v>
      </c>
      <c r="N374" s="84">
        <v>1</v>
      </c>
      <c r="O374" s="84">
        <f t="shared" si="203"/>
        <v>1</v>
      </c>
      <c r="P374" s="26">
        <v>0</v>
      </c>
      <c r="Q374" s="26">
        <v>1</v>
      </c>
      <c r="R374" s="84">
        <f t="shared" si="204"/>
        <v>1</v>
      </c>
      <c r="S374" s="84">
        <v>0</v>
      </c>
      <c r="T374" s="84">
        <v>0</v>
      </c>
      <c r="U374" s="84">
        <v>0</v>
      </c>
      <c r="V374" s="16"/>
      <c r="W374" s="28">
        <f t="shared" si="205"/>
        <v>0</v>
      </c>
      <c r="X374" s="28">
        <f t="shared" si="206"/>
        <v>0</v>
      </c>
      <c r="Y374" s="28">
        <f t="shared" si="207"/>
        <v>0</v>
      </c>
      <c r="Z374" s="28">
        <f t="shared" si="208"/>
        <v>0</v>
      </c>
      <c r="AA374" s="28">
        <f t="shared" si="209"/>
        <v>0</v>
      </c>
      <c r="AB374" s="28">
        <f t="shared" si="210"/>
        <v>0</v>
      </c>
      <c r="AC374" s="28">
        <f t="shared" si="215"/>
        <v>0</v>
      </c>
      <c r="AD374" s="77">
        <f t="shared" si="211"/>
        <v>0</v>
      </c>
      <c r="AE374" s="77">
        <f t="shared" si="212"/>
        <v>0</v>
      </c>
      <c r="AF374" s="99">
        <f t="shared" si="213"/>
        <v>0</v>
      </c>
    </row>
    <row r="375" spans="1:32" x14ac:dyDescent="0.3">
      <c r="A375" s="21">
        <v>1806</v>
      </c>
      <c r="B375" s="22" t="s">
        <v>139</v>
      </c>
      <c r="C375" s="36">
        <v>180</v>
      </c>
      <c r="D375" s="36">
        <v>180</v>
      </c>
      <c r="E375" s="37">
        <v>180</v>
      </c>
      <c r="F375" s="37">
        <v>180</v>
      </c>
      <c r="G375" s="37">
        <v>180</v>
      </c>
      <c r="H375" s="37">
        <v>180</v>
      </c>
      <c r="I375" s="37">
        <v>180</v>
      </c>
      <c r="J375" s="37">
        <v>180</v>
      </c>
      <c r="K375" s="16"/>
      <c r="L375" s="84">
        <v>1451</v>
      </c>
      <c r="M375" s="84">
        <v>43541</v>
      </c>
      <c r="N375" s="84">
        <v>45718</v>
      </c>
      <c r="O375" s="84">
        <f t="shared" si="203"/>
        <v>90710</v>
      </c>
      <c r="P375" s="26">
        <v>22600</v>
      </c>
      <c r="Q375" s="26">
        <v>71565</v>
      </c>
      <c r="R375" s="84">
        <f t="shared" si="204"/>
        <v>94165</v>
      </c>
      <c r="S375" s="84">
        <v>97751</v>
      </c>
      <c r="T375" s="84">
        <v>101474</v>
      </c>
      <c r="U375" s="84">
        <v>105339</v>
      </c>
      <c r="V375" s="16"/>
      <c r="W375" s="28">
        <f t="shared" si="205"/>
        <v>261180</v>
      </c>
      <c r="X375" s="28">
        <f t="shared" si="206"/>
        <v>7837380</v>
      </c>
      <c r="Y375" s="28">
        <f t="shared" si="207"/>
        <v>8229240</v>
      </c>
      <c r="Z375" s="28">
        <f t="shared" si="208"/>
        <v>16327800</v>
      </c>
      <c r="AA375" s="28">
        <f t="shared" si="209"/>
        <v>4068000</v>
      </c>
      <c r="AB375" s="28">
        <f t="shared" si="210"/>
        <v>12881700</v>
      </c>
      <c r="AC375" s="28">
        <f t="shared" si="215"/>
        <v>16949700</v>
      </c>
      <c r="AD375" s="77">
        <f t="shared" si="211"/>
        <v>17595180</v>
      </c>
      <c r="AE375" s="77">
        <f t="shared" si="212"/>
        <v>18265320</v>
      </c>
      <c r="AF375" s="99">
        <f t="shared" si="213"/>
        <v>18961020</v>
      </c>
    </row>
    <row r="376" spans="1:32" x14ac:dyDescent="0.3">
      <c r="A376" s="29">
        <v>1807</v>
      </c>
      <c r="B376" s="30" t="s">
        <v>140</v>
      </c>
      <c r="C376" s="36">
        <v>50</v>
      </c>
      <c r="D376" s="36">
        <v>50</v>
      </c>
      <c r="E376" s="37">
        <v>50</v>
      </c>
      <c r="F376" s="37">
        <v>50</v>
      </c>
      <c r="G376" s="37">
        <v>50</v>
      </c>
      <c r="H376" s="37">
        <v>50</v>
      </c>
      <c r="I376" s="37">
        <v>50</v>
      </c>
      <c r="J376" s="37">
        <v>50</v>
      </c>
      <c r="K376" s="16"/>
      <c r="L376" s="84">
        <v>41</v>
      </c>
      <c r="M376" s="84">
        <v>1238</v>
      </c>
      <c r="N376" s="84">
        <v>1300</v>
      </c>
      <c r="O376" s="84">
        <f t="shared" si="203"/>
        <v>2579</v>
      </c>
      <c r="P376" s="26">
        <v>675</v>
      </c>
      <c r="Q376" s="26">
        <v>2136</v>
      </c>
      <c r="R376" s="84">
        <f t="shared" si="204"/>
        <v>2811</v>
      </c>
      <c r="S376" s="84">
        <v>3064</v>
      </c>
      <c r="T376" s="84">
        <v>3339</v>
      </c>
      <c r="U376" s="84">
        <v>3639</v>
      </c>
      <c r="V376" s="16"/>
      <c r="W376" s="28">
        <f t="shared" si="205"/>
        <v>2050</v>
      </c>
      <c r="X376" s="28">
        <f t="shared" si="206"/>
        <v>61900</v>
      </c>
      <c r="Y376" s="28">
        <f t="shared" si="207"/>
        <v>65000</v>
      </c>
      <c r="Z376" s="28">
        <f t="shared" si="208"/>
        <v>128950</v>
      </c>
      <c r="AA376" s="28">
        <f t="shared" si="209"/>
        <v>33750</v>
      </c>
      <c r="AB376" s="28">
        <f t="shared" si="210"/>
        <v>106800</v>
      </c>
      <c r="AC376" s="28">
        <f t="shared" si="215"/>
        <v>140550</v>
      </c>
      <c r="AD376" s="77">
        <f t="shared" si="211"/>
        <v>153200</v>
      </c>
      <c r="AE376" s="77">
        <f t="shared" si="212"/>
        <v>166950</v>
      </c>
      <c r="AF376" s="99">
        <f t="shared" si="213"/>
        <v>181950</v>
      </c>
    </row>
    <row r="377" spans="1:32" x14ac:dyDescent="0.3">
      <c r="A377" s="21">
        <v>1811</v>
      </c>
      <c r="B377" s="22" t="s">
        <v>141</v>
      </c>
      <c r="C377" s="36">
        <v>100</v>
      </c>
      <c r="D377" s="36">
        <v>100</v>
      </c>
      <c r="E377" s="37">
        <v>100</v>
      </c>
      <c r="F377" s="37">
        <v>100</v>
      </c>
      <c r="G377" s="37">
        <v>100</v>
      </c>
      <c r="H377" s="37">
        <v>100</v>
      </c>
      <c r="I377" s="37">
        <v>100</v>
      </c>
      <c r="J377" s="37">
        <v>100</v>
      </c>
      <c r="K377" s="16"/>
      <c r="L377" s="84">
        <v>189</v>
      </c>
      <c r="M377" s="84">
        <v>5664</v>
      </c>
      <c r="N377" s="84">
        <v>5947</v>
      </c>
      <c r="O377" s="84">
        <f t="shared" si="203"/>
        <v>11800</v>
      </c>
      <c r="P377" s="26">
        <v>3115</v>
      </c>
      <c r="Q377" s="26">
        <v>9865</v>
      </c>
      <c r="R377" s="84">
        <f t="shared" si="204"/>
        <v>12980</v>
      </c>
      <c r="S377" s="84">
        <v>14279</v>
      </c>
      <c r="T377" s="84">
        <v>15708</v>
      </c>
      <c r="U377" s="84">
        <v>17280</v>
      </c>
      <c r="V377" s="16"/>
      <c r="W377" s="28">
        <f t="shared" si="205"/>
        <v>18900</v>
      </c>
      <c r="X377" s="28">
        <f t="shared" si="206"/>
        <v>566400</v>
      </c>
      <c r="Y377" s="28">
        <f t="shared" si="207"/>
        <v>594700</v>
      </c>
      <c r="Z377" s="28">
        <f t="shared" si="208"/>
        <v>1180000</v>
      </c>
      <c r="AA377" s="28">
        <f t="shared" si="209"/>
        <v>311500</v>
      </c>
      <c r="AB377" s="28">
        <f t="shared" si="210"/>
        <v>986500</v>
      </c>
      <c r="AC377" s="28">
        <f t="shared" si="215"/>
        <v>1298000</v>
      </c>
      <c r="AD377" s="77">
        <f t="shared" si="211"/>
        <v>1427900</v>
      </c>
      <c r="AE377" s="77">
        <f t="shared" si="212"/>
        <v>1570800</v>
      </c>
      <c r="AF377" s="99">
        <f t="shared" si="213"/>
        <v>1728000</v>
      </c>
    </row>
    <row r="378" spans="1:32" x14ac:dyDescent="0.3">
      <c r="A378" s="29">
        <v>1812</v>
      </c>
      <c r="B378" s="22" t="s">
        <v>142</v>
      </c>
      <c r="C378" s="37">
        <v>17750</v>
      </c>
      <c r="D378" s="36">
        <v>17750</v>
      </c>
      <c r="E378" s="37">
        <v>12000</v>
      </c>
      <c r="F378" s="37">
        <v>12000</v>
      </c>
      <c r="G378" s="37">
        <v>12000</v>
      </c>
      <c r="H378" s="37">
        <v>12000</v>
      </c>
      <c r="I378" s="37">
        <v>12000</v>
      </c>
      <c r="J378" s="37">
        <v>12000</v>
      </c>
      <c r="K378" s="16"/>
      <c r="L378" s="84">
        <v>7</v>
      </c>
      <c r="M378" s="84">
        <v>223</v>
      </c>
      <c r="N378" s="84">
        <v>234</v>
      </c>
      <c r="O378" s="84">
        <f t="shared" si="203"/>
        <v>464</v>
      </c>
      <c r="P378" s="26">
        <v>112</v>
      </c>
      <c r="Q378" s="26">
        <v>353</v>
      </c>
      <c r="R378" s="84">
        <f t="shared" si="204"/>
        <v>465</v>
      </c>
      <c r="S378" s="84">
        <v>465</v>
      </c>
      <c r="T378" s="84">
        <v>465</v>
      </c>
      <c r="U378" s="84">
        <v>465</v>
      </c>
      <c r="V378" s="16"/>
      <c r="W378" s="28">
        <f t="shared" si="205"/>
        <v>124250</v>
      </c>
      <c r="X378" s="28">
        <f t="shared" si="206"/>
        <v>3958250</v>
      </c>
      <c r="Y378" s="28">
        <f t="shared" si="207"/>
        <v>2808000</v>
      </c>
      <c r="Z378" s="28">
        <f t="shared" si="208"/>
        <v>6890500</v>
      </c>
      <c r="AA378" s="28">
        <f t="shared" si="209"/>
        <v>1344000</v>
      </c>
      <c r="AB378" s="28">
        <f t="shared" si="210"/>
        <v>4236000</v>
      </c>
      <c r="AC378" s="28">
        <f>SUM(AA378:AB378)</f>
        <v>5580000</v>
      </c>
      <c r="AD378" s="77">
        <f t="shared" si="211"/>
        <v>5580000</v>
      </c>
      <c r="AE378" s="77">
        <f t="shared" si="212"/>
        <v>5580000</v>
      </c>
      <c r="AF378" s="99">
        <f t="shared" si="213"/>
        <v>5580000</v>
      </c>
    </row>
    <row r="379" spans="1:32" x14ac:dyDescent="0.3">
      <c r="A379" s="88">
        <v>1824</v>
      </c>
      <c r="B379" s="72" t="s">
        <v>146</v>
      </c>
      <c r="C379" s="73">
        <v>1930</v>
      </c>
      <c r="D379" s="73">
        <v>1930</v>
      </c>
      <c r="E379" s="37">
        <v>1940</v>
      </c>
      <c r="F379" s="37">
        <v>1940</v>
      </c>
      <c r="G379" s="37">
        <v>1940</v>
      </c>
      <c r="H379" s="37">
        <v>1940</v>
      </c>
      <c r="I379" s="37">
        <v>1940</v>
      </c>
      <c r="J379" s="37">
        <v>1940</v>
      </c>
      <c r="K379" s="16"/>
      <c r="L379" s="84">
        <v>11</v>
      </c>
      <c r="M379" s="84">
        <v>322</v>
      </c>
      <c r="N379" s="84">
        <v>338</v>
      </c>
      <c r="O379" s="84">
        <f t="shared" si="203"/>
        <v>671</v>
      </c>
      <c r="P379" s="26">
        <v>161</v>
      </c>
      <c r="Q379" s="26">
        <v>510</v>
      </c>
      <c r="R379" s="84">
        <f t="shared" si="204"/>
        <v>671</v>
      </c>
      <c r="S379" s="84">
        <v>671</v>
      </c>
      <c r="T379" s="84">
        <v>671</v>
      </c>
      <c r="U379" s="84">
        <v>671</v>
      </c>
      <c r="V379" s="16"/>
      <c r="W379" s="28">
        <f t="shared" si="205"/>
        <v>21230</v>
      </c>
      <c r="X379" s="28">
        <f t="shared" si="206"/>
        <v>621460</v>
      </c>
      <c r="Y379" s="28">
        <f t="shared" si="207"/>
        <v>655720</v>
      </c>
      <c r="Z379" s="28">
        <f t="shared" si="208"/>
        <v>1298410</v>
      </c>
      <c r="AA379" s="28">
        <f t="shared" si="209"/>
        <v>312340</v>
      </c>
      <c r="AB379" s="28">
        <f t="shared" si="210"/>
        <v>989400</v>
      </c>
      <c r="AC379" s="28">
        <f t="shared" ref="AC379:AC385" si="216">SUM(AA379:AB379)</f>
        <v>1301740</v>
      </c>
      <c r="AD379" s="77">
        <f t="shared" si="211"/>
        <v>1301740</v>
      </c>
      <c r="AE379" s="77">
        <f t="shared" si="212"/>
        <v>1301740</v>
      </c>
      <c r="AF379" s="99">
        <f t="shared" si="213"/>
        <v>1301740</v>
      </c>
    </row>
    <row r="380" spans="1:32" x14ac:dyDescent="0.3">
      <c r="A380" s="209">
        <v>1812</v>
      </c>
      <c r="B380" s="210" t="s">
        <v>204</v>
      </c>
      <c r="C380" s="211">
        <v>4320</v>
      </c>
      <c r="D380" s="211">
        <v>4320</v>
      </c>
      <c r="E380" s="214">
        <v>3600</v>
      </c>
      <c r="F380" s="214">
        <v>3600</v>
      </c>
      <c r="G380" s="214">
        <v>3600</v>
      </c>
      <c r="H380" s="214">
        <v>3600</v>
      </c>
      <c r="I380" s="214">
        <v>3600</v>
      </c>
      <c r="J380" s="214">
        <v>3600</v>
      </c>
      <c r="K380" s="16"/>
      <c r="L380" s="84">
        <v>1</v>
      </c>
      <c r="M380" s="84">
        <v>25</v>
      </c>
      <c r="N380" s="84">
        <v>27</v>
      </c>
      <c r="O380" s="84">
        <f t="shared" si="203"/>
        <v>53</v>
      </c>
      <c r="P380" s="26">
        <v>13</v>
      </c>
      <c r="Q380" s="26">
        <v>40</v>
      </c>
      <c r="R380" s="84">
        <f t="shared" si="204"/>
        <v>53</v>
      </c>
      <c r="S380" s="84">
        <v>53</v>
      </c>
      <c r="T380" s="84">
        <v>53</v>
      </c>
      <c r="U380" s="84">
        <v>53</v>
      </c>
      <c r="V380" s="16"/>
      <c r="W380" s="92">
        <f t="shared" si="205"/>
        <v>4320</v>
      </c>
      <c r="X380" s="92">
        <f t="shared" si="206"/>
        <v>108000</v>
      </c>
      <c r="Y380" s="92">
        <f t="shared" si="207"/>
        <v>97200</v>
      </c>
      <c r="Z380" s="28">
        <f t="shared" si="208"/>
        <v>209520</v>
      </c>
      <c r="AA380" s="28">
        <f t="shared" si="209"/>
        <v>46800</v>
      </c>
      <c r="AB380" s="28">
        <f t="shared" si="210"/>
        <v>144000</v>
      </c>
      <c r="AC380" s="28">
        <f t="shared" si="216"/>
        <v>190800</v>
      </c>
      <c r="AD380" s="77">
        <f t="shared" si="211"/>
        <v>190800</v>
      </c>
      <c r="AE380" s="77">
        <f t="shared" si="212"/>
        <v>190800</v>
      </c>
      <c r="AF380" s="99">
        <f t="shared" si="213"/>
        <v>190800</v>
      </c>
    </row>
    <row r="381" spans="1:32" x14ac:dyDescent="0.3">
      <c r="A381" s="209">
        <v>1812</v>
      </c>
      <c r="B381" s="210" t="s">
        <v>254</v>
      </c>
      <c r="C381" s="212">
        <v>-13430</v>
      </c>
      <c r="D381" s="212">
        <f t="shared" ref="D381:J381" si="217">-(D378-D380)</f>
        <v>-13430</v>
      </c>
      <c r="E381" s="212">
        <f t="shared" si="217"/>
        <v>-8400</v>
      </c>
      <c r="F381" s="212">
        <f t="shared" si="217"/>
        <v>-8400</v>
      </c>
      <c r="G381" s="212">
        <f t="shared" si="217"/>
        <v>-8400</v>
      </c>
      <c r="H381" s="212">
        <f t="shared" si="217"/>
        <v>-8400</v>
      </c>
      <c r="I381" s="212">
        <f t="shared" si="217"/>
        <v>-8400</v>
      </c>
      <c r="J381" s="212">
        <f t="shared" si="217"/>
        <v>-8400</v>
      </c>
      <c r="K381" s="16"/>
      <c r="L381" s="84">
        <v>1</v>
      </c>
      <c r="M381" s="84">
        <v>25</v>
      </c>
      <c r="N381" s="84">
        <f t="shared" ref="N381:U381" si="218">N380</f>
        <v>27</v>
      </c>
      <c r="O381" s="84">
        <f t="shared" si="203"/>
        <v>53</v>
      </c>
      <c r="P381" s="84">
        <v>13</v>
      </c>
      <c r="Q381" s="84">
        <v>40</v>
      </c>
      <c r="R381" s="84">
        <f t="shared" si="204"/>
        <v>53</v>
      </c>
      <c r="S381" s="84">
        <f t="shared" si="218"/>
        <v>53</v>
      </c>
      <c r="T381" s="84">
        <f t="shared" si="218"/>
        <v>53</v>
      </c>
      <c r="U381" s="84">
        <f t="shared" si="218"/>
        <v>53</v>
      </c>
      <c r="V381" s="16"/>
      <c r="W381" s="92">
        <f t="shared" si="205"/>
        <v>-13430</v>
      </c>
      <c r="X381" s="92">
        <f t="shared" si="206"/>
        <v>-335750</v>
      </c>
      <c r="Y381" s="92">
        <f t="shared" si="207"/>
        <v>-226800</v>
      </c>
      <c r="Z381" s="28">
        <f t="shared" si="208"/>
        <v>-575980</v>
      </c>
      <c r="AA381" s="28">
        <f t="shared" si="209"/>
        <v>-109200</v>
      </c>
      <c r="AB381" s="28">
        <f t="shared" si="210"/>
        <v>-336000</v>
      </c>
      <c r="AC381" s="28">
        <f t="shared" si="216"/>
        <v>-445200</v>
      </c>
      <c r="AD381" s="77">
        <f t="shared" si="211"/>
        <v>-445200</v>
      </c>
      <c r="AE381" s="77">
        <f t="shared" si="212"/>
        <v>-445200</v>
      </c>
      <c r="AF381" s="99">
        <f t="shared" si="213"/>
        <v>-445200</v>
      </c>
    </row>
    <row r="382" spans="1:32" x14ac:dyDescent="0.3">
      <c r="A382" s="69">
        <v>1826</v>
      </c>
      <c r="B382" s="72" t="s">
        <v>147</v>
      </c>
      <c r="C382" s="73">
        <v>5140</v>
      </c>
      <c r="D382" s="73">
        <v>5140</v>
      </c>
      <c r="E382" s="37">
        <v>4400</v>
      </c>
      <c r="F382" s="37">
        <v>4400</v>
      </c>
      <c r="G382" s="37">
        <v>4400</v>
      </c>
      <c r="H382" s="37">
        <v>4400</v>
      </c>
      <c r="I382" s="37">
        <v>4400</v>
      </c>
      <c r="J382" s="37">
        <v>4400</v>
      </c>
      <c r="K382" s="16"/>
      <c r="L382" s="84">
        <v>23</v>
      </c>
      <c r="M382" s="84">
        <v>686</v>
      </c>
      <c r="N382" s="84">
        <v>721</v>
      </c>
      <c r="O382" s="84">
        <f t="shared" si="203"/>
        <v>1430</v>
      </c>
      <c r="P382" s="26">
        <v>343</v>
      </c>
      <c r="Q382" s="26">
        <v>1087</v>
      </c>
      <c r="R382" s="84">
        <f t="shared" si="204"/>
        <v>1430</v>
      </c>
      <c r="S382" s="84">
        <v>1430</v>
      </c>
      <c r="T382" s="84">
        <v>1430</v>
      </c>
      <c r="U382" s="84">
        <v>1430</v>
      </c>
      <c r="V382" s="16"/>
      <c r="W382" s="28">
        <f t="shared" si="205"/>
        <v>118220</v>
      </c>
      <c r="X382" s="28">
        <f t="shared" si="206"/>
        <v>3526040</v>
      </c>
      <c r="Y382" s="28">
        <f t="shared" si="207"/>
        <v>3172400</v>
      </c>
      <c r="Z382" s="28">
        <f t="shared" si="208"/>
        <v>6816660</v>
      </c>
      <c r="AA382" s="28">
        <f t="shared" si="209"/>
        <v>1509200</v>
      </c>
      <c r="AB382" s="28">
        <f t="shared" si="210"/>
        <v>4782800</v>
      </c>
      <c r="AC382" s="28">
        <f t="shared" si="216"/>
        <v>6292000</v>
      </c>
      <c r="AD382" s="28">
        <f t="shared" si="211"/>
        <v>6292000</v>
      </c>
      <c r="AE382" s="28">
        <f t="shared" si="212"/>
        <v>6292000</v>
      </c>
      <c r="AF382" s="99">
        <f t="shared" si="213"/>
        <v>6292000</v>
      </c>
    </row>
    <row r="383" spans="1:32" x14ac:dyDescent="0.3">
      <c r="A383" s="69">
        <v>1827</v>
      </c>
      <c r="B383" s="72" t="s">
        <v>148</v>
      </c>
      <c r="C383" s="73">
        <v>16120</v>
      </c>
      <c r="D383" s="73">
        <v>16120</v>
      </c>
      <c r="E383" s="37">
        <v>12100</v>
      </c>
      <c r="F383" s="37">
        <v>12100</v>
      </c>
      <c r="G383" s="37">
        <v>12100</v>
      </c>
      <c r="H383" s="37">
        <v>12100</v>
      </c>
      <c r="I383" s="37">
        <v>12100</v>
      </c>
      <c r="J383" s="37">
        <v>12100</v>
      </c>
      <c r="K383" s="16"/>
      <c r="L383" s="84">
        <v>23</v>
      </c>
      <c r="M383" s="84">
        <v>686</v>
      </c>
      <c r="N383" s="84">
        <v>721</v>
      </c>
      <c r="O383" s="84">
        <f t="shared" si="203"/>
        <v>1430</v>
      </c>
      <c r="P383" s="26">
        <v>343</v>
      </c>
      <c r="Q383" s="26">
        <v>1087</v>
      </c>
      <c r="R383" s="84">
        <f t="shared" si="204"/>
        <v>1430</v>
      </c>
      <c r="S383" s="84">
        <v>1430</v>
      </c>
      <c r="T383" s="84">
        <v>1430</v>
      </c>
      <c r="U383" s="84">
        <v>1430</v>
      </c>
      <c r="V383" s="16"/>
      <c r="W383" s="28">
        <f t="shared" si="205"/>
        <v>370760</v>
      </c>
      <c r="X383" s="28">
        <f t="shared" si="206"/>
        <v>11058320</v>
      </c>
      <c r="Y383" s="28">
        <f t="shared" si="207"/>
        <v>8724100</v>
      </c>
      <c r="Z383" s="28">
        <f t="shared" si="208"/>
        <v>20153180</v>
      </c>
      <c r="AA383" s="28">
        <f t="shared" si="209"/>
        <v>4150300</v>
      </c>
      <c r="AB383" s="28">
        <f t="shared" si="210"/>
        <v>13152700</v>
      </c>
      <c r="AC383" s="28">
        <f t="shared" si="216"/>
        <v>17303000</v>
      </c>
      <c r="AD383" s="77">
        <f t="shared" si="211"/>
        <v>17303000</v>
      </c>
      <c r="AE383" s="77">
        <f t="shared" si="212"/>
        <v>17303000</v>
      </c>
      <c r="AF383" s="99">
        <f t="shared" si="213"/>
        <v>17303000</v>
      </c>
    </row>
    <row r="384" spans="1:32" x14ac:dyDescent="0.3">
      <c r="A384" s="88">
        <v>1828</v>
      </c>
      <c r="B384" s="72" t="s">
        <v>211</v>
      </c>
      <c r="C384" s="73">
        <v>170</v>
      </c>
      <c r="D384" s="73">
        <v>170</v>
      </c>
      <c r="E384" s="37">
        <v>180</v>
      </c>
      <c r="F384" s="37">
        <v>180</v>
      </c>
      <c r="G384" s="37">
        <v>180</v>
      </c>
      <c r="H384" s="37">
        <v>180</v>
      </c>
      <c r="I384" s="37">
        <v>180</v>
      </c>
      <c r="J384" s="37">
        <v>180</v>
      </c>
      <c r="K384" s="16"/>
      <c r="L384" s="84">
        <v>2</v>
      </c>
      <c r="M384" s="84">
        <v>61</v>
      </c>
      <c r="N384" s="84">
        <v>64</v>
      </c>
      <c r="O384" s="84">
        <f t="shared" si="203"/>
        <v>127</v>
      </c>
      <c r="P384" s="26">
        <v>30</v>
      </c>
      <c r="Q384" s="26">
        <v>97</v>
      </c>
      <c r="R384" s="84">
        <f t="shared" si="204"/>
        <v>127</v>
      </c>
      <c r="S384" s="84">
        <v>127</v>
      </c>
      <c r="T384" s="84">
        <v>127</v>
      </c>
      <c r="U384" s="84">
        <v>127</v>
      </c>
      <c r="V384" s="16"/>
      <c r="W384" s="28">
        <f t="shared" si="205"/>
        <v>340</v>
      </c>
      <c r="X384" s="28">
        <f t="shared" si="206"/>
        <v>10370</v>
      </c>
      <c r="Y384" s="28">
        <f t="shared" si="207"/>
        <v>11520</v>
      </c>
      <c r="Z384" s="28">
        <f t="shared" si="208"/>
        <v>22230</v>
      </c>
      <c r="AA384" s="28">
        <f t="shared" si="209"/>
        <v>5400</v>
      </c>
      <c r="AB384" s="28">
        <f t="shared" si="210"/>
        <v>17460</v>
      </c>
      <c r="AC384" s="28">
        <f t="shared" si="216"/>
        <v>22860</v>
      </c>
      <c r="AD384" s="77">
        <f t="shared" si="211"/>
        <v>22860</v>
      </c>
      <c r="AE384" s="77">
        <f t="shared" si="212"/>
        <v>22860</v>
      </c>
      <c r="AF384" s="99">
        <f t="shared" si="213"/>
        <v>22860</v>
      </c>
    </row>
    <row r="385" spans="1:32" x14ac:dyDescent="0.3">
      <c r="A385" s="88">
        <v>1829</v>
      </c>
      <c r="B385" s="72" t="s">
        <v>210</v>
      </c>
      <c r="C385" s="73">
        <v>280</v>
      </c>
      <c r="D385" s="73">
        <v>280</v>
      </c>
      <c r="E385" s="74">
        <v>280</v>
      </c>
      <c r="F385" s="74">
        <v>280</v>
      </c>
      <c r="G385" s="74">
        <v>280</v>
      </c>
      <c r="H385" s="74">
        <v>280</v>
      </c>
      <c r="I385" s="74">
        <v>280</v>
      </c>
      <c r="J385" s="74">
        <v>280</v>
      </c>
      <c r="K385" s="16"/>
      <c r="L385" s="84">
        <v>0</v>
      </c>
      <c r="M385" s="84">
        <v>6</v>
      </c>
      <c r="N385" s="84">
        <v>6</v>
      </c>
      <c r="O385" s="84">
        <f t="shared" si="203"/>
        <v>12</v>
      </c>
      <c r="P385" s="26">
        <v>3</v>
      </c>
      <c r="Q385" s="26">
        <v>9</v>
      </c>
      <c r="R385" s="84">
        <f t="shared" si="204"/>
        <v>12</v>
      </c>
      <c r="S385" s="84">
        <v>12</v>
      </c>
      <c r="T385" s="84">
        <v>12</v>
      </c>
      <c r="U385" s="84">
        <v>12</v>
      </c>
      <c r="V385" s="16"/>
      <c r="W385" s="28">
        <f t="shared" si="205"/>
        <v>0</v>
      </c>
      <c r="X385" s="28">
        <f t="shared" si="206"/>
        <v>1680</v>
      </c>
      <c r="Y385" s="28">
        <f t="shared" si="207"/>
        <v>1680</v>
      </c>
      <c r="Z385" s="28">
        <f t="shared" si="208"/>
        <v>3360</v>
      </c>
      <c r="AA385" s="28">
        <f t="shared" si="209"/>
        <v>840</v>
      </c>
      <c r="AB385" s="28">
        <f t="shared" si="210"/>
        <v>2520</v>
      </c>
      <c r="AC385" s="28">
        <f t="shared" si="216"/>
        <v>3360</v>
      </c>
      <c r="AD385" s="77">
        <f t="shared" si="211"/>
        <v>3360</v>
      </c>
      <c r="AE385" s="77">
        <f t="shared" si="212"/>
        <v>3360</v>
      </c>
      <c r="AF385" s="99">
        <f t="shared" si="213"/>
        <v>3360</v>
      </c>
    </row>
    <row r="386" spans="1:32" x14ac:dyDescent="0.3">
      <c r="A386" s="21">
        <v>1816</v>
      </c>
      <c r="B386" s="105" t="s">
        <v>259</v>
      </c>
      <c r="C386" s="23">
        <v>130</v>
      </c>
      <c r="D386" s="23">
        <v>130</v>
      </c>
      <c r="E386" s="23">
        <v>130</v>
      </c>
      <c r="F386" s="23">
        <v>130</v>
      </c>
      <c r="G386" s="23">
        <v>130</v>
      </c>
      <c r="H386" s="23">
        <v>130</v>
      </c>
      <c r="I386" s="23">
        <v>130</v>
      </c>
      <c r="J386" s="23">
        <v>130</v>
      </c>
      <c r="K386" s="16"/>
      <c r="L386" s="84">
        <v>0</v>
      </c>
      <c r="M386" s="84">
        <v>0</v>
      </c>
      <c r="N386" s="84">
        <v>0</v>
      </c>
      <c r="O386" s="84">
        <f t="shared" si="203"/>
        <v>0</v>
      </c>
      <c r="P386" s="26">
        <v>0</v>
      </c>
      <c r="Q386" s="26">
        <v>0</v>
      </c>
      <c r="R386" s="84">
        <f t="shared" si="204"/>
        <v>0</v>
      </c>
      <c r="S386" s="84">
        <v>0</v>
      </c>
      <c r="T386" s="84">
        <v>0</v>
      </c>
      <c r="U386" s="84">
        <v>0</v>
      </c>
      <c r="V386" s="16"/>
      <c r="W386" s="28">
        <f t="shared" si="205"/>
        <v>0</v>
      </c>
      <c r="X386" s="28">
        <f t="shared" si="206"/>
        <v>0</v>
      </c>
      <c r="Y386" s="28">
        <f t="shared" si="207"/>
        <v>0</v>
      </c>
      <c r="Z386" s="28">
        <f t="shared" si="208"/>
        <v>0</v>
      </c>
      <c r="AA386" s="28">
        <f t="shared" si="209"/>
        <v>0</v>
      </c>
      <c r="AB386" s="28">
        <f t="shared" si="210"/>
        <v>0</v>
      </c>
      <c r="AC386" s="28">
        <f t="shared" ref="AC386:AC391" si="219">SUM(AA386:AB386)</f>
        <v>0</v>
      </c>
      <c r="AD386" s="77">
        <f t="shared" si="211"/>
        <v>0</v>
      </c>
      <c r="AE386" s="77">
        <f t="shared" si="212"/>
        <v>0</v>
      </c>
      <c r="AF386" s="99">
        <f t="shared" si="213"/>
        <v>0</v>
      </c>
    </row>
    <row r="387" spans="1:32" x14ac:dyDescent="0.3">
      <c r="A387" s="21">
        <v>8016</v>
      </c>
      <c r="B387" s="22" t="s">
        <v>143</v>
      </c>
      <c r="C387" s="36">
        <v>10</v>
      </c>
      <c r="D387" s="36">
        <v>10</v>
      </c>
      <c r="E387" s="36">
        <v>10</v>
      </c>
      <c r="F387" s="36">
        <v>10</v>
      </c>
      <c r="G387" s="36">
        <v>10</v>
      </c>
      <c r="H387" s="36">
        <v>10</v>
      </c>
      <c r="I387" s="36">
        <v>10</v>
      </c>
      <c r="J387" s="36">
        <v>10</v>
      </c>
      <c r="K387" s="16"/>
      <c r="L387" s="84">
        <v>1</v>
      </c>
      <c r="M387" s="84">
        <v>17</v>
      </c>
      <c r="N387" s="84">
        <v>18</v>
      </c>
      <c r="O387" s="84">
        <f t="shared" si="203"/>
        <v>36</v>
      </c>
      <c r="P387" s="26">
        <v>14</v>
      </c>
      <c r="Q387" s="26">
        <v>46</v>
      </c>
      <c r="R387" s="84">
        <f t="shared" si="204"/>
        <v>60</v>
      </c>
      <c r="S387" s="84">
        <v>104</v>
      </c>
      <c r="T387" s="84">
        <v>178</v>
      </c>
      <c r="U387" s="84">
        <v>305</v>
      </c>
      <c r="V387" s="16"/>
      <c r="W387" s="28">
        <f t="shared" si="205"/>
        <v>10</v>
      </c>
      <c r="X387" s="28">
        <f t="shared" si="206"/>
        <v>170</v>
      </c>
      <c r="Y387" s="28">
        <f t="shared" si="207"/>
        <v>180</v>
      </c>
      <c r="Z387" s="28">
        <f t="shared" si="208"/>
        <v>360</v>
      </c>
      <c r="AA387" s="28">
        <f t="shared" si="209"/>
        <v>140</v>
      </c>
      <c r="AB387" s="28">
        <f t="shared" si="210"/>
        <v>460</v>
      </c>
      <c r="AC387" s="28">
        <f t="shared" si="219"/>
        <v>600</v>
      </c>
      <c r="AD387" s="77">
        <f t="shared" si="211"/>
        <v>1040</v>
      </c>
      <c r="AE387" s="77">
        <f t="shared" si="212"/>
        <v>1780</v>
      </c>
      <c r="AF387" s="99">
        <f t="shared" si="213"/>
        <v>3050</v>
      </c>
    </row>
    <row r="388" spans="1:32" x14ac:dyDescent="0.3">
      <c r="A388" s="21">
        <v>8022</v>
      </c>
      <c r="B388" s="22" t="s">
        <v>144</v>
      </c>
      <c r="C388" s="36">
        <v>25</v>
      </c>
      <c r="D388" s="36">
        <v>25</v>
      </c>
      <c r="E388" s="36">
        <v>25</v>
      </c>
      <c r="F388" s="36">
        <v>25</v>
      </c>
      <c r="G388" s="36">
        <v>25</v>
      </c>
      <c r="H388" s="36">
        <v>25</v>
      </c>
      <c r="I388" s="36">
        <v>25</v>
      </c>
      <c r="J388" s="36">
        <v>25</v>
      </c>
      <c r="K388" s="16"/>
      <c r="L388" s="84">
        <v>3</v>
      </c>
      <c r="M388" s="84">
        <v>76</v>
      </c>
      <c r="N388" s="84">
        <v>80</v>
      </c>
      <c r="O388" s="84">
        <f t="shared" si="203"/>
        <v>159</v>
      </c>
      <c r="P388" s="26">
        <v>38</v>
      </c>
      <c r="Q388" s="26">
        <v>121</v>
      </c>
      <c r="R388" s="84">
        <f t="shared" si="204"/>
        <v>159</v>
      </c>
      <c r="S388" s="84">
        <v>159</v>
      </c>
      <c r="T388" s="84">
        <v>159</v>
      </c>
      <c r="U388" s="84">
        <v>159</v>
      </c>
      <c r="V388" s="16"/>
      <c r="W388" s="28">
        <f t="shared" si="205"/>
        <v>75</v>
      </c>
      <c r="X388" s="28">
        <f t="shared" si="206"/>
        <v>1900</v>
      </c>
      <c r="Y388" s="28">
        <f t="shared" si="207"/>
        <v>2000</v>
      </c>
      <c r="Z388" s="28">
        <f t="shared" si="208"/>
        <v>3975</v>
      </c>
      <c r="AA388" s="28">
        <f t="shared" si="209"/>
        <v>950</v>
      </c>
      <c r="AB388" s="28">
        <f t="shared" si="210"/>
        <v>3025</v>
      </c>
      <c r="AC388" s="28">
        <f t="shared" si="219"/>
        <v>3975</v>
      </c>
      <c r="AD388" s="77">
        <f t="shared" si="211"/>
        <v>3975</v>
      </c>
      <c r="AE388" s="77">
        <f t="shared" si="212"/>
        <v>3975</v>
      </c>
      <c r="AF388" s="99">
        <f t="shared" si="213"/>
        <v>3975</v>
      </c>
    </row>
    <row r="389" spans="1:32" x14ac:dyDescent="0.3">
      <c r="A389" s="21">
        <v>8026</v>
      </c>
      <c r="B389" s="22" t="s">
        <v>145</v>
      </c>
      <c r="C389" s="36">
        <v>130</v>
      </c>
      <c r="D389" s="36">
        <v>130</v>
      </c>
      <c r="E389" s="36">
        <v>130</v>
      </c>
      <c r="F389" s="36">
        <v>130</v>
      </c>
      <c r="G389" s="36">
        <v>130</v>
      </c>
      <c r="H389" s="36">
        <v>130</v>
      </c>
      <c r="I389" s="36">
        <v>130</v>
      </c>
      <c r="J389" s="36">
        <v>130</v>
      </c>
      <c r="K389" s="16"/>
      <c r="L389" s="84">
        <v>5</v>
      </c>
      <c r="M389" s="84">
        <v>164</v>
      </c>
      <c r="N389" s="84">
        <v>172</v>
      </c>
      <c r="O389" s="84">
        <f t="shared" si="203"/>
        <v>341</v>
      </c>
      <c r="P389" s="26">
        <v>73</v>
      </c>
      <c r="Q389" s="26">
        <v>231</v>
      </c>
      <c r="R389" s="84">
        <f t="shared" si="204"/>
        <v>304</v>
      </c>
      <c r="S389" s="84">
        <v>270</v>
      </c>
      <c r="T389" s="84">
        <v>241</v>
      </c>
      <c r="U389" s="84">
        <v>214</v>
      </c>
      <c r="V389" s="16"/>
      <c r="W389" s="28">
        <f t="shared" si="205"/>
        <v>650</v>
      </c>
      <c r="X389" s="28">
        <f t="shared" si="206"/>
        <v>21320</v>
      </c>
      <c r="Y389" s="28">
        <f t="shared" si="207"/>
        <v>22360</v>
      </c>
      <c r="Z389" s="28">
        <f t="shared" si="208"/>
        <v>44330</v>
      </c>
      <c r="AA389" s="28">
        <f t="shared" si="209"/>
        <v>9490</v>
      </c>
      <c r="AB389" s="28">
        <f t="shared" si="210"/>
        <v>30030</v>
      </c>
      <c r="AC389" s="28">
        <f t="shared" si="219"/>
        <v>39520</v>
      </c>
      <c r="AD389" s="77">
        <f t="shared" si="211"/>
        <v>35100</v>
      </c>
      <c r="AE389" s="77">
        <f t="shared" si="212"/>
        <v>31330</v>
      </c>
      <c r="AF389" s="99">
        <f t="shared" si="213"/>
        <v>27820</v>
      </c>
    </row>
    <row r="390" spans="1:32" x14ac:dyDescent="0.3">
      <c r="A390" s="21">
        <v>1815</v>
      </c>
      <c r="B390" s="22" t="s">
        <v>225</v>
      </c>
      <c r="C390" s="151" t="s">
        <v>268</v>
      </c>
      <c r="D390" s="151" t="s">
        <v>268</v>
      </c>
      <c r="E390" s="151" t="s">
        <v>268</v>
      </c>
      <c r="F390" s="151" t="s">
        <v>268</v>
      </c>
      <c r="G390" s="151" t="s">
        <v>268</v>
      </c>
      <c r="H390" s="151" t="s">
        <v>268</v>
      </c>
      <c r="I390" s="151" t="s">
        <v>268</v>
      </c>
      <c r="J390" s="151" t="s">
        <v>268</v>
      </c>
      <c r="K390" s="16"/>
      <c r="L390" s="84">
        <v>0</v>
      </c>
      <c r="M390" s="84">
        <v>20000</v>
      </c>
      <c r="N390" s="84">
        <v>25000</v>
      </c>
      <c r="O390" s="84">
        <f t="shared" si="203"/>
        <v>45000</v>
      </c>
      <c r="P390" s="26">
        <v>11250</v>
      </c>
      <c r="Q390" s="26">
        <v>33750</v>
      </c>
      <c r="R390" s="84">
        <f t="shared" si="204"/>
        <v>45000</v>
      </c>
      <c r="S390" s="84">
        <v>45000</v>
      </c>
      <c r="T390" s="84">
        <v>45000</v>
      </c>
      <c r="U390" s="84">
        <v>45000</v>
      </c>
      <c r="V390" s="16"/>
      <c r="W390" s="28">
        <f t="shared" ref="W390:Y391" si="220">L390</f>
        <v>0</v>
      </c>
      <c r="X390" s="28">
        <f t="shared" si="220"/>
        <v>20000</v>
      </c>
      <c r="Y390" s="28">
        <f t="shared" si="220"/>
        <v>25000</v>
      </c>
      <c r="Z390" s="28">
        <f t="shared" si="208"/>
        <v>45000</v>
      </c>
      <c r="AA390" s="28">
        <f>P390</f>
        <v>11250</v>
      </c>
      <c r="AB390" s="28">
        <f>Q390</f>
        <v>33750</v>
      </c>
      <c r="AC390" s="28">
        <f t="shared" si="219"/>
        <v>45000</v>
      </c>
      <c r="AD390" s="77">
        <f t="shared" ref="AD390:AF391" si="221">S390</f>
        <v>45000</v>
      </c>
      <c r="AE390" s="77">
        <f t="shared" si="221"/>
        <v>45000</v>
      </c>
      <c r="AF390" s="99">
        <f t="shared" si="221"/>
        <v>45000</v>
      </c>
    </row>
    <row r="391" spans="1:32" x14ac:dyDescent="0.3">
      <c r="A391" s="21">
        <v>1999</v>
      </c>
      <c r="B391" s="58" t="s">
        <v>226</v>
      </c>
      <c r="C391" s="152" t="s">
        <v>268</v>
      </c>
      <c r="D391" s="152" t="s">
        <v>268</v>
      </c>
      <c r="E391" s="152" t="s">
        <v>268</v>
      </c>
      <c r="F391" s="152" t="s">
        <v>268</v>
      </c>
      <c r="G391" s="152" t="s">
        <v>268</v>
      </c>
      <c r="H391" s="152" t="s">
        <v>268</v>
      </c>
      <c r="I391" s="152" t="s">
        <v>268</v>
      </c>
      <c r="J391" s="152" t="s">
        <v>268</v>
      </c>
      <c r="K391" s="16"/>
      <c r="L391" s="84">
        <v>0</v>
      </c>
      <c r="M391" s="84">
        <v>500000</v>
      </c>
      <c r="N391" s="84">
        <v>500000</v>
      </c>
      <c r="O391" s="84">
        <f t="shared" si="203"/>
        <v>1000000</v>
      </c>
      <c r="P391" s="26">
        <v>250000</v>
      </c>
      <c r="Q391" s="26">
        <v>750000</v>
      </c>
      <c r="R391" s="84">
        <f t="shared" si="204"/>
        <v>1000000</v>
      </c>
      <c r="S391" s="84">
        <v>1000000</v>
      </c>
      <c r="T391" s="84">
        <v>1000000</v>
      </c>
      <c r="U391" s="84">
        <v>1000000</v>
      </c>
      <c r="V391" s="16"/>
      <c r="W391" s="28">
        <f t="shared" si="220"/>
        <v>0</v>
      </c>
      <c r="X391" s="28">
        <f t="shared" si="220"/>
        <v>500000</v>
      </c>
      <c r="Y391" s="28">
        <f t="shared" si="220"/>
        <v>500000</v>
      </c>
      <c r="Z391" s="28">
        <f t="shared" si="208"/>
        <v>1000000</v>
      </c>
      <c r="AA391" s="28">
        <f>P391</f>
        <v>250000</v>
      </c>
      <c r="AB391" s="28">
        <f>Q391</f>
        <v>750000</v>
      </c>
      <c r="AC391" s="28">
        <f t="shared" si="219"/>
        <v>1000000</v>
      </c>
      <c r="AD391" s="77">
        <f t="shared" si="221"/>
        <v>1000000</v>
      </c>
      <c r="AE391" s="77">
        <f t="shared" si="221"/>
        <v>1000000</v>
      </c>
      <c r="AF391" s="99">
        <f t="shared" si="221"/>
        <v>1000000</v>
      </c>
    </row>
    <row r="392" spans="1:32" x14ac:dyDescent="0.3">
      <c r="A392" s="32" t="s">
        <v>127</v>
      </c>
      <c r="B392" s="33"/>
      <c r="C392" s="51"/>
      <c r="D392" s="51"/>
      <c r="E392" s="51"/>
      <c r="F392" s="51"/>
      <c r="G392" s="51"/>
      <c r="H392" s="51"/>
      <c r="I392" s="51"/>
      <c r="J392" s="51"/>
      <c r="K392" s="16"/>
      <c r="L392" s="25"/>
      <c r="M392" s="25"/>
      <c r="N392" s="25"/>
      <c r="O392" s="25"/>
      <c r="P392" s="26"/>
      <c r="Q392" s="26"/>
      <c r="R392" s="50"/>
      <c r="S392" s="26"/>
      <c r="T392" s="26"/>
      <c r="U392" s="26"/>
      <c r="V392" s="16"/>
      <c r="W392" s="35">
        <f t="shared" ref="W392:AF392" si="222">SUM(W361:W391)</f>
        <v>993515</v>
      </c>
      <c r="X392" s="35">
        <f t="shared" si="222"/>
        <v>30510520</v>
      </c>
      <c r="Y392" s="35">
        <f t="shared" si="222"/>
        <v>27424620</v>
      </c>
      <c r="Z392" s="35">
        <f t="shared" si="222"/>
        <v>58928655</v>
      </c>
      <c r="AA392" s="35">
        <f t="shared" si="222"/>
        <v>13244960</v>
      </c>
      <c r="AB392" s="35">
        <f t="shared" si="222"/>
        <v>41905165</v>
      </c>
      <c r="AC392" s="35">
        <f t="shared" si="222"/>
        <v>55150125</v>
      </c>
      <c r="AD392" s="35">
        <f t="shared" si="222"/>
        <v>55647335</v>
      </c>
      <c r="AE392" s="35">
        <f t="shared" si="222"/>
        <v>58644935</v>
      </c>
      <c r="AF392" s="106">
        <f t="shared" si="222"/>
        <v>61750935</v>
      </c>
    </row>
    <row r="393" spans="1:32" x14ac:dyDescent="0.3">
      <c r="A393" s="129"/>
      <c r="B393" s="115"/>
      <c r="C393" s="130"/>
      <c r="D393" s="130"/>
      <c r="E393" s="130"/>
      <c r="F393" s="130"/>
      <c r="G393" s="130"/>
      <c r="H393" s="130"/>
      <c r="I393" s="130"/>
      <c r="J393" s="130"/>
      <c r="K393" s="16"/>
      <c r="L393" s="127"/>
      <c r="M393" s="127"/>
      <c r="N393" s="127"/>
      <c r="O393" s="127"/>
      <c r="P393" s="110"/>
      <c r="Q393" s="110"/>
      <c r="R393" s="131"/>
      <c r="S393" s="110"/>
      <c r="T393" s="110"/>
      <c r="U393" s="110"/>
      <c r="V393" s="16"/>
      <c r="W393" s="111"/>
      <c r="X393" s="111"/>
      <c r="Y393" s="111"/>
      <c r="Z393" s="111"/>
      <c r="AA393" s="111"/>
      <c r="AB393" s="111"/>
      <c r="AC393" s="111"/>
      <c r="AD393" s="112"/>
      <c r="AE393" s="111"/>
      <c r="AF393" s="113"/>
    </row>
    <row r="394" spans="1:32" x14ac:dyDescent="0.3">
      <c r="A394" s="32" t="s">
        <v>149</v>
      </c>
      <c r="B394" s="33"/>
      <c r="C394" s="51"/>
      <c r="D394" s="51"/>
      <c r="E394" s="51"/>
      <c r="F394" s="51"/>
      <c r="G394" s="51"/>
      <c r="H394" s="51"/>
      <c r="I394" s="51"/>
      <c r="J394" s="51"/>
      <c r="K394" s="16"/>
      <c r="L394" s="25"/>
      <c r="M394" s="25"/>
      <c r="N394" s="25"/>
      <c r="O394" s="25"/>
      <c r="P394" s="26"/>
      <c r="Q394" s="26"/>
      <c r="R394" s="50"/>
      <c r="S394" s="26"/>
      <c r="T394" s="26"/>
      <c r="U394" s="26"/>
      <c r="V394" s="16"/>
      <c r="W394" s="28"/>
      <c r="X394" s="28"/>
      <c r="Y394" s="28"/>
      <c r="Z394" s="28"/>
      <c r="AA394" s="28"/>
      <c r="AB394" s="28"/>
      <c r="AC394" s="28"/>
      <c r="AD394" s="77"/>
      <c r="AE394" s="28"/>
      <c r="AF394" s="99"/>
    </row>
    <row r="395" spans="1:32" x14ac:dyDescent="0.3">
      <c r="A395" s="21">
        <v>2053</v>
      </c>
      <c r="B395" s="22" t="s">
        <v>128</v>
      </c>
      <c r="C395" s="51"/>
      <c r="D395" s="51"/>
      <c r="E395" s="24">
        <v>70</v>
      </c>
      <c r="F395" s="24">
        <v>70</v>
      </c>
      <c r="G395" s="24">
        <v>70</v>
      </c>
      <c r="H395" s="24">
        <v>70</v>
      </c>
      <c r="I395" s="24">
        <v>70</v>
      </c>
      <c r="J395" s="24">
        <v>70</v>
      </c>
      <c r="K395" s="16"/>
      <c r="L395" s="84">
        <v>4</v>
      </c>
      <c r="M395" s="84">
        <v>124</v>
      </c>
      <c r="N395" s="84">
        <v>131</v>
      </c>
      <c r="O395" s="84">
        <f t="shared" ref="O395:O410" si="223">SUM(L395:N395)</f>
        <v>259</v>
      </c>
      <c r="P395" s="26">
        <v>59</v>
      </c>
      <c r="Q395" s="26">
        <v>188</v>
      </c>
      <c r="R395" s="84">
        <f t="shared" ref="R395:R410" si="224">SUM(P395:Q395)</f>
        <v>247</v>
      </c>
      <c r="S395" s="84">
        <v>236</v>
      </c>
      <c r="T395" s="84">
        <v>225</v>
      </c>
      <c r="U395" s="84">
        <v>214</v>
      </c>
      <c r="V395" s="16"/>
      <c r="W395" s="28">
        <f t="shared" ref="W395:W410" si="225">L395*C395</f>
        <v>0</v>
      </c>
      <c r="X395" s="28">
        <f t="shared" ref="X395:X410" si="226">M395*D395</f>
        <v>0</v>
      </c>
      <c r="Y395" s="28">
        <f t="shared" ref="Y395:Y410" si="227">N395*E395</f>
        <v>9170</v>
      </c>
      <c r="Z395" s="28">
        <f t="shared" ref="Z395:Z410" si="228">W395+X395+Y395</f>
        <v>9170</v>
      </c>
      <c r="AA395" s="28">
        <f t="shared" ref="AA395:AA410" si="229">F395*P395</f>
        <v>4130</v>
      </c>
      <c r="AB395" s="28">
        <f t="shared" ref="AB395:AB410" si="230">G395*Q395</f>
        <v>13160</v>
      </c>
      <c r="AC395" s="28">
        <f>SUM(AA395:AB395)</f>
        <v>17290</v>
      </c>
      <c r="AD395" s="77">
        <f t="shared" ref="AD395:AD410" si="231">H395*S395</f>
        <v>16520</v>
      </c>
      <c r="AE395" s="77">
        <f t="shared" ref="AE395:AE410" si="232">I395*T395</f>
        <v>15750</v>
      </c>
      <c r="AF395" s="99">
        <f t="shared" ref="AF395:AF410" si="233">J395*U395</f>
        <v>14980</v>
      </c>
    </row>
    <row r="396" spans="1:32" x14ac:dyDescent="0.3">
      <c r="A396" s="21">
        <v>2451</v>
      </c>
      <c r="B396" s="22" t="s">
        <v>292</v>
      </c>
      <c r="C396" s="51"/>
      <c r="D396" s="51"/>
      <c r="E396" s="24">
        <v>0</v>
      </c>
      <c r="F396" s="24">
        <v>0</v>
      </c>
      <c r="G396" s="24">
        <v>0</v>
      </c>
      <c r="H396" s="24">
        <v>0</v>
      </c>
      <c r="I396" s="24">
        <v>0</v>
      </c>
      <c r="J396" s="24">
        <v>0</v>
      </c>
      <c r="K396" s="16"/>
      <c r="L396" s="84">
        <v>0</v>
      </c>
      <c r="M396" s="84">
        <v>0</v>
      </c>
      <c r="N396" s="84">
        <v>1</v>
      </c>
      <c r="O396" s="84">
        <f t="shared" si="223"/>
        <v>1</v>
      </c>
      <c r="P396" s="26">
        <v>0</v>
      </c>
      <c r="Q396" s="26">
        <v>1</v>
      </c>
      <c r="R396" s="84">
        <f t="shared" si="224"/>
        <v>1</v>
      </c>
      <c r="S396" s="84">
        <v>1</v>
      </c>
      <c r="T396" s="84">
        <v>1</v>
      </c>
      <c r="U396" s="84">
        <v>1</v>
      </c>
      <c r="V396" s="16"/>
      <c r="W396" s="28">
        <f t="shared" si="225"/>
        <v>0</v>
      </c>
      <c r="X396" s="28">
        <f t="shared" si="226"/>
        <v>0</v>
      </c>
      <c r="Y396" s="28">
        <f t="shared" si="227"/>
        <v>0</v>
      </c>
      <c r="Z396" s="28">
        <f t="shared" si="228"/>
        <v>0</v>
      </c>
      <c r="AA396" s="28">
        <f t="shared" si="229"/>
        <v>0</v>
      </c>
      <c r="AB396" s="28">
        <f t="shared" si="230"/>
        <v>0</v>
      </c>
      <c r="AC396" s="28">
        <f t="shared" ref="AC396:AC402" si="234">SUM(AA396:AB396)</f>
        <v>0</v>
      </c>
      <c r="AD396" s="77">
        <f t="shared" si="231"/>
        <v>0</v>
      </c>
      <c r="AE396" s="77">
        <f t="shared" si="232"/>
        <v>0</v>
      </c>
      <c r="AF396" s="99">
        <f t="shared" si="233"/>
        <v>0</v>
      </c>
    </row>
    <row r="397" spans="1:32" x14ac:dyDescent="0.3">
      <c r="A397" s="21">
        <v>2454</v>
      </c>
      <c r="B397" s="22" t="s">
        <v>129</v>
      </c>
      <c r="C397" s="51"/>
      <c r="D397" s="51"/>
      <c r="E397" s="24">
        <v>710</v>
      </c>
      <c r="F397" s="24">
        <v>710</v>
      </c>
      <c r="G397" s="24">
        <v>710</v>
      </c>
      <c r="H397" s="24">
        <v>710</v>
      </c>
      <c r="I397" s="24">
        <v>710</v>
      </c>
      <c r="J397" s="24">
        <v>710</v>
      </c>
      <c r="K397" s="16"/>
      <c r="L397" s="84">
        <v>2</v>
      </c>
      <c r="M397" s="84">
        <v>55</v>
      </c>
      <c r="N397" s="84">
        <v>57</v>
      </c>
      <c r="O397" s="84">
        <f t="shared" si="223"/>
        <v>114</v>
      </c>
      <c r="P397" s="26">
        <v>27</v>
      </c>
      <c r="Q397" s="26">
        <v>85</v>
      </c>
      <c r="R397" s="84">
        <f t="shared" si="224"/>
        <v>112</v>
      </c>
      <c r="S397" s="84">
        <v>110</v>
      </c>
      <c r="T397" s="84">
        <v>108</v>
      </c>
      <c r="U397" s="84">
        <v>106</v>
      </c>
      <c r="V397" s="16"/>
      <c r="W397" s="28">
        <f t="shared" si="225"/>
        <v>0</v>
      </c>
      <c r="X397" s="28">
        <f t="shared" si="226"/>
        <v>0</v>
      </c>
      <c r="Y397" s="28">
        <f t="shared" si="227"/>
        <v>40470</v>
      </c>
      <c r="Z397" s="28">
        <f t="shared" si="228"/>
        <v>40470</v>
      </c>
      <c r="AA397" s="28">
        <f t="shared" si="229"/>
        <v>19170</v>
      </c>
      <c r="AB397" s="28">
        <f t="shared" si="230"/>
        <v>60350</v>
      </c>
      <c r="AC397" s="28">
        <f t="shared" si="234"/>
        <v>79520</v>
      </c>
      <c r="AD397" s="77">
        <f t="shared" si="231"/>
        <v>78100</v>
      </c>
      <c r="AE397" s="77">
        <f t="shared" si="232"/>
        <v>76680</v>
      </c>
      <c r="AF397" s="99">
        <f t="shared" si="233"/>
        <v>75260</v>
      </c>
    </row>
    <row r="398" spans="1:32" x14ac:dyDescent="0.3">
      <c r="A398" s="21">
        <v>2462</v>
      </c>
      <c r="B398" s="22" t="s">
        <v>135</v>
      </c>
      <c r="C398" s="51"/>
      <c r="D398" s="51"/>
      <c r="E398" s="24">
        <v>200</v>
      </c>
      <c r="F398" s="24">
        <v>200</v>
      </c>
      <c r="G398" s="24">
        <v>200</v>
      </c>
      <c r="H398" s="24">
        <v>200</v>
      </c>
      <c r="I398" s="24">
        <v>200</v>
      </c>
      <c r="J398" s="24">
        <v>200</v>
      </c>
      <c r="K398" s="16"/>
      <c r="L398" s="84">
        <v>6</v>
      </c>
      <c r="M398" s="84">
        <v>183</v>
      </c>
      <c r="N398" s="84">
        <v>193</v>
      </c>
      <c r="O398" s="84">
        <f t="shared" si="223"/>
        <v>382</v>
      </c>
      <c r="P398" s="26">
        <v>96</v>
      </c>
      <c r="Q398" s="26">
        <v>305</v>
      </c>
      <c r="R398" s="84">
        <f t="shared" si="224"/>
        <v>401</v>
      </c>
      <c r="S398" s="84">
        <v>422</v>
      </c>
      <c r="T398" s="84">
        <v>443</v>
      </c>
      <c r="U398" s="84">
        <v>465</v>
      </c>
      <c r="V398" s="16"/>
      <c r="W398" s="28">
        <f t="shared" si="225"/>
        <v>0</v>
      </c>
      <c r="X398" s="28">
        <f t="shared" si="226"/>
        <v>0</v>
      </c>
      <c r="Y398" s="28">
        <f t="shared" si="227"/>
        <v>38600</v>
      </c>
      <c r="Z398" s="28">
        <f t="shared" si="228"/>
        <v>38600</v>
      </c>
      <c r="AA398" s="28">
        <f t="shared" si="229"/>
        <v>19200</v>
      </c>
      <c r="AB398" s="28">
        <f t="shared" si="230"/>
        <v>61000</v>
      </c>
      <c r="AC398" s="28">
        <f t="shared" si="234"/>
        <v>80200</v>
      </c>
      <c r="AD398" s="77">
        <f t="shared" si="231"/>
        <v>84400</v>
      </c>
      <c r="AE398" s="77">
        <f t="shared" si="232"/>
        <v>88600</v>
      </c>
      <c r="AF398" s="99">
        <f t="shared" si="233"/>
        <v>93000</v>
      </c>
    </row>
    <row r="399" spans="1:32" x14ac:dyDescent="0.3">
      <c r="A399" s="21">
        <v>2463</v>
      </c>
      <c r="B399" s="22" t="s">
        <v>136</v>
      </c>
      <c r="C399" s="51"/>
      <c r="D399" s="67"/>
      <c r="E399" s="24">
        <v>100</v>
      </c>
      <c r="F399" s="24">
        <v>100</v>
      </c>
      <c r="G399" s="24">
        <v>100</v>
      </c>
      <c r="H399" s="24">
        <v>100</v>
      </c>
      <c r="I399" s="24">
        <v>100</v>
      </c>
      <c r="J399" s="24">
        <v>100</v>
      </c>
      <c r="K399" s="16"/>
      <c r="L399" s="84">
        <v>16</v>
      </c>
      <c r="M399" s="84">
        <v>468</v>
      </c>
      <c r="N399" s="84">
        <v>492</v>
      </c>
      <c r="O399" s="84">
        <f t="shared" si="223"/>
        <v>976</v>
      </c>
      <c r="P399" s="26">
        <v>273</v>
      </c>
      <c r="Q399" s="26">
        <v>866</v>
      </c>
      <c r="R399" s="84">
        <f t="shared" si="224"/>
        <v>1139</v>
      </c>
      <c r="S399" s="84">
        <v>1329</v>
      </c>
      <c r="T399" s="84">
        <v>1551</v>
      </c>
      <c r="U399" s="84">
        <v>1810</v>
      </c>
      <c r="V399" s="16"/>
      <c r="W399" s="28">
        <f t="shared" si="225"/>
        <v>0</v>
      </c>
      <c r="X399" s="28">
        <f t="shared" si="226"/>
        <v>0</v>
      </c>
      <c r="Y399" s="28">
        <f t="shared" si="227"/>
        <v>49200</v>
      </c>
      <c r="Z399" s="28">
        <f t="shared" si="228"/>
        <v>49200</v>
      </c>
      <c r="AA399" s="28">
        <f t="shared" si="229"/>
        <v>27300</v>
      </c>
      <c r="AB399" s="28">
        <f t="shared" si="230"/>
        <v>86600</v>
      </c>
      <c r="AC399" s="28">
        <f t="shared" si="234"/>
        <v>113900</v>
      </c>
      <c r="AD399" s="77">
        <f t="shared" si="231"/>
        <v>132900</v>
      </c>
      <c r="AE399" s="77">
        <f t="shared" si="232"/>
        <v>155100</v>
      </c>
      <c r="AF399" s="99">
        <f t="shared" si="233"/>
        <v>181000</v>
      </c>
    </row>
    <row r="400" spans="1:32" x14ac:dyDescent="0.3">
      <c r="A400" s="21">
        <v>2464</v>
      </c>
      <c r="B400" s="22" t="s">
        <v>137</v>
      </c>
      <c r="C400" s="51"/>
      <c r="D400" s="51"/>
      <c r="E400" s="24">
        <v>70</v>
      </c>
      <c r="F400" s="24">
        <v>70</v>
      </c>
      <c r="G400" s="24">
        <v>70</v>
      </c>
      <c r="H400" s="24">
        <v>70</v>
      </c>
      <c r="I400" s="24">
        <v>70</v>
      </c>
      <c r="J400" s="24">
        <v>70</v>
      </c>
      <c r="K400" s="16"/>
      <c r="L400" s="84">
        <v>31</v>
      </c>
      <c r="M400" s="84">
        <v>920</v>
      </c>
      <c r="N400" s="84">
        <v>966</v>
      </c>
      <c r="O400" s="84">
        <f t="shared" si="223"/>
        <v>1917</v>
      </c>
      <c r="P400" s="26">
        <v>394</v>
      </c>
      <c r="Q400" s="26">
        <v>1248</v>
      </c>
      <c r="R400" s="84">
        <f t="shared" si="224"/>
        <v>1642</v>
      </c>
      <c r="S400" s="84">
        <v>1006</v>
      </c>
      <c r="T400" s="84">
        <v>862</v>
      </c>
      <c r="U400" s="84">
        <v>738</v>
      </c>
      <c r="V400" s="16"/>
      <c r="W400" s="28">
        <f t="shared" si="225"/>
        <v>0</v>
      </c>
      <c r="X400" s="28">
        <f t="shared" si="226"/>
        <v>0</v>
      </c>
      <c r="Y400" s="28">
        <f t="shared" si="227"/>
        <v>67620</v>
      </c>
      <c r="Z400" s="28">
        <f t="shared" si="228"/>
        <v>67620</v>
      </c>
      <c r="AA400" s="28">
        <f t="shared" si="229"/>
        <v>27580</v>
      </c>
      <c r="AB400" s="28">
        <f t="shared" si="230"/>
        <v>87360</v>
      </c>
      <c r="AC400" s="28">
        <f t="shared" si="234"/>
        <v>114940</v>
      </c>
      <c r="AD400" s="77">
        <f t="shared" si="231"/>
        <v>70420</v>
      </c>
      <c r="AE400" s="77">
        <f t="shared" si="232"/>
        <v>60340</v>
      </c>
      <c r="AF400" s="99">
        <f t="shared" si="233"/>
        <v>51660</v>
      </c>
    </row>
    <row r="401" spans="1:32" x14ac:dyDescent="0.3">
      <c r="A401" s="29">
        <v>2802</v>
      </c>
      <c r="B401" s="22" t="s">
        <v>138</v>
      </c>
      <c r="C401" s="51"/>
      <c r="D401" s="51"/>
      <c r="E401" s="24">
        <v>450</v>
      </c>
      <c r="F401" s="24">
        <v>450</v>
      </c>
      <c r="G401" s="24">
        <v>450</v>
      </c>
      <c r="H401" s="24">
        <v>450</v>
      </c>
      <c r="I401" s="24">
        <v>450</v>
      </c>
      <c r="J401" s="24">
        <v>450</v>
      </c>
      <c r="K401" s="16"/>
      <c r="L401" s="84">
        <v>0</v>
      </c>
      <c r="M401" s="84">
        <v>14</v>
      </c>
      <c r="N401" s="84">
        <v>15</v>
      </c>
      <c r="O401" s="84">
        <f t="shared" si="223"/>
        <v>29</v>
      </c>
      <c r="P401" s="26">
        <v>7</v>
      </c>
      <c r="Q401" s="26">
        <v>23</v>
      </c>
      <c r="R401" s="84">
        <f t="shared" si="224"/>
        <v>30</v>
      </c>
      <c r="S401" s="84">
        <v>30</v>
      </c>
      <c r="T401" s="84">
        <v>30</v>
      </c>
      <c r="U401" s="84">
        <v>31</v>
      </c>
      <c r="V401" s="16"/>
      <c r="W401" s="28">
        <f t="shared" si="225"/>
        <v>0</v>
      </c>
      <c r="X401" s="28">
        <f t="shared" si="226"/>
        <v>0</v>
      </c>
      <c r="Y401" s="28">
        <f t="shared" si="227"/>
        <v>6750</v>
      </c>
      <c r="Z401" s="28">
        <f t="shared" si="228"/>
        <v>6750</v>
      </c>
      <c r="AA401" s="28">
        <f t="shared" si="229"/>
        <v>3150</v>
      </c>
      <c r="AB401" s="28">
        <f t="shared" si="230"/>
        <v>10350</v>
      </c>
      <c r="AC401" s="28">
        <f t="shared" si="234"/>
        <v>13500</v>
      </c>
      <c r="AD401" s="77">
        <f t="shared" si="231"/>
        <v>13500</v>
      </c>
      <c r="AE401" s="77">
        <f t="shared" si="232"/>
        <v>13500</v>
      </c>
      <c r="AF401" s="99">
        <f t="shared" si="233"/>
        <v>13950</v>
      </c>
    </row>
    <row r="402" spans="1:32" x14ac:dyDescent="0.3">
      <c r="A402" s="21">
        <v>2806</v>
      </c>
      <c r="B402" s="22" t="s">
        <v>139</v>
      </c>
      <c r="C402" s="51"/>
      <c r="D402" s="51"/>
      <c r="E402" s="24">
        <v>90</v>
      </c>
      <c r="F402" s="24">
        <v>90</v>
      </c>
      <c r="G402" s="24">
        <v>90</v>
      </c>
      <c r="H402" s="24">
        <v>90</v>
      </c>
      <c r="I402" s="24">
        <v>90</v>
      </c>
      <c r="J402" s="24">
        <v>90</v>
      </c>
      <c r="K402" s="16"/>
      <c r="L402" s="84">
        <v>240</v>
      </c>
      <c r="M402" s="84">
        <v>7185</v>
      </c>
      <c r="N402" s="84">
        <v>7544</v>
      </c>
      <c r="O402" s="84">
        <f t="shared" si="223"/>
        <v>14969</v>
      </c>
      <c r="P402" s="26">
        <v>3729</v>
      </c>
      <c r="Q402" s="26">
        <v>11810</v>
      </c>
      <c r="R402" s="84">
        <f t="shared" si="224"/>
        <v>15539</v>
      </c>
      <c r="S402" s="84">
        <v>16131</v>
      </c>
      <c r="T402" s="84">
        <v>16745</v>
      </c>
      <c r="U402" s="84">
        <v>17383</v>
      </c>
      <c r="V402" s="16"/>
      <c r="W402" s="28">
        <f t="shared" si="225"/>
        <v>0</v>
      </c>
      <c r="X402" s="28">
        <f t="shared" si="226"/>
        <v>0</v>
      </c>
      <c r="Y402" s="28">
        <f t="shared" si="227"/>
        <v>678960</v>
      </c>
      <c r="Z402" s="28">
        <f t="shared" si="228"/>
        <v>678960</v>
      </c>
      <c r="AA402" s="28">
        <f t="shared" si="229"/>
        <v>335610</v>
      </c>
      <c r="AB402" s="28">
        <f t="shared" si="230"/>
        <v>1062900</v>
      </c>
      <c r="AC402" s="28">
        <f t="shared" si="234"/>
        <v>1398510</v>
      </c>
      <c r="AD402" s="77">
        <f t="shared" si="231"/>
        <v>1451790</v>
      </c>
      <c r="AE402" s="77">
        <f t="shared" si="232"/>
        <v>1507050</v>
      </c>
      <c r="AF402" s="99">
        <f t="shared" si="233"/>
        <v>1564470</v>
      </c>
    </row>
    <row r="403" spans="1:32" x14ac:dyDescent="0.3">
      <c r="A403" s="29">
        <v>2812</v>
      </c>
      <c r="B403" s="22" t="s">
        <v>142</v>
      </c>
      <c r="C403" s="51"/>
      <c r="D403" s="51"/>
      <c r="E403" s="24">
        <v>6000</v>
      </c>
      <c r="F403" s="24">
        <v>6000</v>
      </c>
      <c r="G403" s="24">
        <v>6000</v>
      </c>
      <c r="H403" s="24">
        <v>6000</v>
      </c>
      <c r="I403" s="24">
        <v>6000</v>
      </c>
      <c r="J403" s="24">
        <v>6000</v>
      </c>
      <c r="K403" s="16"/>
      <c r="L403" s="84">
        <v>2</v>
      </c>
      <c r="M403" s="84">
        <v>51</v>
      </c>
      <c r="N403" s="84">
        <v>54</v>
      </c>
      <c r="O403" s="84">
        <f t="shared" si="223"/>
        <v>107</v>
      </c>
      <c r="P403" s="26">
        <v>26</v>
      </c>
      <c r="Q403" s="26">
        <v>81</v>
      </c>
      <c r="R403" s="84">
        <f t="shared" si="224"/>
        <v>107</v>
      </c>
      <c r="S403" s="84">
        <v>107</v>
      </c>
      <c r="T403" s="84">
        <v>107</v>
      </c>
      <c r="U403" s="84">
        <v>107</v>
      </c>
      <c r="V403" s="16"/>
      <c r="W403" s="28">
        <f t="shared" si="225"/>
        <v>0</v>
      </c>
      <c r="X403" s="28">
        <f t="shared" si="226"/>
        <v>0</v>
      </c>
      <c r="Y403" s="28">
        <f t="shared" si="227"/>
        <v>324000</v>
      </c>
      <c r="Z403" s="28">
        <f t="shared" si="228"/>
        <v>324000</v>
      </c>
      <c r="AA403" s="28">
        <f t="shared" si="229"/>
        <v>156000</v>
      </c>
      <c r="AB403" s="28">
        <f t="shared" si="230"/>
        <v>486000</v>
      </c>
      <c r="AC403" s="28">
        <f t="shared" ref="AC403:AC410" si="235">SUM(AA403:AB403)</f>
        <v>642000</v>
      </c>
      <c r="AD403" s="77">
        <f t="shared" si="231"/>
        <v>642000</v>
      </c>
      <c r="AE403" s="77">
        <f t="shared" si="232"/>
        <v>642000</v>
      </c>
      <c r="AF403" s="99">
        <f t="shared" si="233"/>
        <v>642000</v>
      </c>
    </row>
    <row r="404" spans="1:32" x14ac:dyDescent="0.3">
      <c r="A404" s="29">
        <v>2824</v>
      </c>
      <c r="B404" s="59" t="s">
        <v>146</v>
      </c>
      <c r="C404" s="51"/>
      <c r="D404" s="51"/>
      <c r="E404" s="60">
        <v>970</v>
      </c>
      <c r="F404" s="60">
        <v>970</v>
      </c>
      <c r="G404" s="60">
        <v>970</v>
      </c>
      <c r="H404" s="60">
        <v>970</v>
      </c>
      <c r="I404" s="60">
        <v>970</v>
      </c>
      <c r="J404" s="60">
        <v>970</v>
      </c>
      <c r="K404" s="16"/>
      <c r="L404" s="84">
        <v>2</v>
      </c>
      <c r="M404" s="84">
        <v>53</v>
      </c>
      <c r="N404" s="84">
        <v>56</v>
      </c>
      <c r="O404" s="84">
        <f t="shared" si="223"/>
        <v>111</v>
      </c>
      <c r="P404" s="26">
        <v>27</v>
      </c>
      <c r="Q404" s="26">
        <v>84</v>
      </c>
      <c r="R404" s="84">
        <f t="shared" si="224"/>
        <v>111</v>
      </c>
      <c r="S404" s="84">
        <v>111</v>
      </c>
      <c r="T404" s="84">
        <v>111</v>
      </c>
      <c r="U404" s="84">
        <v>111</v>
      </c>
      <c r="V404" s="16"/>
      <c r="W404" s="28">
        <f t="shared" si="225"/>
        <v>0</v>
      </c>
      <c r="X404" s="28">
        <f t="shared" si="226"/>
        <v>0</v>
      </c>
      <c r="Y404" s="28">
        <f t="shared" si="227"/>
        <v>54320</v>
      </c>
      <c r="Z404" s="28">
        <f t="shared" si="228"/>
        <v>54320</v>
      </c>
      <c r="AA404" s="28">
        <f t="shared" si="229"/>
        <v>26190</v>
      </c>
      <c r="AB404" s="28">
        <f t="shared" si="230"/>
        <v>81480</v>
      </c>
      <c r="AC404" s="28">
        <f t="shared" si="235"/>
        <v>107670</v>
      </c>
      <c r="AD404" s="77">
        <f t="shared" si="231"/>
        <v>107670</v>
      </c>
      <c r="AE404" s="77">
        <f t="shared" si="232"/>
        <v>107670</v>
      </c>
      <c r="AF404" s="99">
        <f t="shared" si="233"/>
        <v>107670</v>
      </c>
    </row>
    <row r="405" spans="1:32" x14ac:dyDescent="0.3">
      <c r="A405" s="88">
        <v>2812</v>
      </c>
      <c r="B405" s="89" t="s">
        <v>204</v>
      </c>
      <c r="C405" s="51"/>
      <c r="D405" s="51"/>
      <c r="E405" s="60">
        <v>1800</v>
      </c>
      <c r="F405" s="60">
        <v>1800</v>
      </c>
      <c r="G405" s="60">
        <v>1800</v>
      </c>
      <c r="H405" s="60">
        <v>1800</v>
      </c>
      <c r="I405" s="60">
        <v>1800</v>
      </c>
      <c r="J405" s="60">
        <v>1800</v>
      </c>
      <c r="K405" s="16"/>
      <c r="L405" s="84">
        <v>0</v>
      </c>
      <c r="M405" s="84">
        <v>6</v>
      </c>
      <c r="N405" s="84">
        <v>6</v>
      </c>
      <c r="O405" s="84">
        <f t="shared" si="223"/>
        <v>12</v>
      </c>
      <c r="P405" s="26">
        <v>3</v>
      </c>
      <c r="Q405" s="26">
        <v>9</v>
      </c>
      <c r="R405" s="84">
        <f t="shared" si="224"/>
        <v>12</v>
      </c>
      <c r="S405" s="84">
        <v>12</v>
      </c>
      <c r="T405" s="84">
        <v>12</v>
      </c>
      <c r="U405" s="84">
        <v>12</v>
      </c>
      <c r="V405" s="16"/>
      <c r="W405" s="28">
        <f t="shared" si="225"/>
        <v>0</v>
      </c>
      <c r="X405" s="28">
        <f t="shared" si="226"/>
        <v>0</v>
      </c>
      <c r="Y405" s="28">
        <f t="shared" si="227"/>
        <v>10800</v>
      </c>
      <c r="Z405" s="28">
        <f t="shared" si="228"/>
        <v>10800</v>
      </c>
      <c r="AA405" s="28">
        <f t="shared" si="229"/>
        <v>5400</v>
      </c>
      <c r="AB405" s="28">
        <f t="shared" si="230"/>
        <v>16200</v>
      </c>
      <c r="AC405" s="28">
        <f t="shared" si="235"/>
        <v>21600</v>
      </c>
      <c r="AD405" s="77">
        <f t="shared" si="231"/>
        <v>21600</v>
      </c>
      <c r="AE405" s="77">
        <f t="shared" si="232"/>
        <v>21600</v>
      </c>
      <c r="AF405" s="99">
        <f t="shared" si="233"/>
        <v>21600</v>
      </c>
    </row>
    <row r="406" spans="1:32" x14ac:dyDescent="0.3">
      <c r="A406" s="88">
        <v>2812</v>
      </c>
      <c r="B406" s="89" t="s">
        <v>254</v>
      </c>
      <c r="C406" s="90"/>
      <c r="D406" s="91"/>
      <c r="E406" s="212">
        <f t="shared" ref="E406:J406" si="236">-(E403-E405)</f>
        <v>-4200</v>
      </c>
      <c r="F406" s="212">
        <f t="shared" si="236"/>
        <v>-4200</v>
      </c>
      <c r="G406" s="212">
        <f t="shared" si="236"/>
        <v>-4200</v>
      </c>
      <c r="H406" s="212">
        <f t="shared" si="236"/>
        <v>-4200</v>
      </c>
      <c r="I406" s="212">
        <f t="shared" si="236"/>
        <v>-4200</v>
      </c>
      <c r="J406" s="212">
        <f t="shared" si="236"/>
        <v>-4200</v>
      </c>
      <c r="K406" s="16"/>
      <c r="L406" s="84">
        <v>0</v>
      </c>
      <c r="M406" s="84">
        <f>M405</f>
        <v>6</v>
      </c>
      <c r="N406" s="84">
        <f>N405</f>
        <v>6</v>
      </c>
      <c r="O406" s="84">
        <f t="shared" si="223"/>
        <v>12</v>
      </c>
      <c r="P406" s="26">
        <v>3</v>
      </c>
      <c r="Q406" s="26">
        <v>9</v>
      </c>
      <c r="R406" s="84">
        <f t="shared" si="224"/>
        <v>12</v>
      </c>
      <c r="S406" s="84">
        <f>S405</f>
        <v>12</v>
      </c>
      <c r="T406" s="84">
        <f>T405</f>
        <v>12</v>
      </c>
      <c r="U406" s="84">
        <f>U405</f>
        <v>12</v>
      </c>
      <c r="V406" s="16"/>
      <c r="W406" s="92">
        <f t="shared" si="225"/>
        <v>0</v>
      </c>
      <c r="X406" s="92">
        <f t="shared" si="226"/>
        <v>0</v>
      </c>
      <c r="Y406" s="92">
        <f t="shared" si="227"/>
        <v>-25200</v>
      </c>
      <c r="Z406" s="28">
        <f t="shared" si="228"/>
        <v>-25200</v>
      </c>
      <c r="AA406" s="28">
        <f t="shared" si="229"/>
        <v>-12600</v>
      </c>
      <c r="AB406" s="28">
        <f t="shared" si="230"/>
        <v>-37800</v>
      </c>
      <c r="AC406" s="28">
        <f t="shared" si="235"/>
        <v>-50400</v>
      </c>
      <c r="AD406" s="77">
        <f t="shared" si="231"/>
        <v>-50400</v>
      </c>
      <c r="AE406" s="77">
        <f t="shared" si="232"/>
        <v>-50400</v>
      </c>
      <c r="AF406" s="99">
        <f t="shared" si="233"/>
        <v>-50400</v>
      </c>
    </row>
    <row r="407" spans="1:32" x14ac:dyDescent="0.3">
      <c r="A407" s="29">
        <v>2826</v>
      </c>
      <c r="B407" s="59" t="s">
        <v>147</v>
      </c>
      <c r="C407" s="51"/>
      <c r="D407" s="51"/>
      <c r="E407" s="60">
        <v>2200</v>
      </c>
      <c r="F407" s="60">
        <v>2200</v>
      </c>
      <c r="G407" s="60">
        <v>2200</v>
      </c>
      <c r="H407" s="60">
        <v>2200</v>
      </c>
      <c r="I407" s="60">
        <v>2200</v>
      </c>
      <c r="J407" s="60">
        <v>2200</v>
      </c>
      <c r="K407" s="16"/>
      <c r="L407" s="84">
        <v>3</v>
      </c>
      <c r="M407" s="84">
        <v>96</v>
      </c>
      <c r="N407" s="84">
        <v>101</v>
      </c>
      <c r="O407" s="84">
        <f t="shared" si="223"/>
        <v>200</v>
      </c>
      <c r="P407" s="26">
        <v>48</v>
      </c>
      <c r="Q407" s="26">
        <v>152</v>
      </c>
      <c r="R407" s="84">
        <f t="shared" si="224"/>
        <v>200</v>
      </c>
      <c r="S407" s="84">
        <v>200</v>
      </c>
      <c r="T407" s="84">
        <v>200</v>
      </c>
      <c r="U407" s="84">
        <v>200</v>
      </c>
      <c r="V407" s="16"/>
      <c r="W407" s="28">
        <f t="shared" si="225"/>
        <v>0</v>
      </c>
      <c r="X407" s="28">
        <f t="shared" si="226"/>
        <v>0</v>
      </c>
      <c r="Y407" s="28">
        <f t="shared" si="227"/>
        <v>222200</v>
      </c>
      <c r="Z407" s="28">
        <f t="shared" si="228"/>
        <v>222200</v>
      </c>
      <c r="AA407" s="28">
        <f t="shared" si="229"/>
        <v>105600</v>
      </c>
      <c r="AB407" s="28">
        <f t="shared" si="230"/>
        <v>334400</v>
      </c>
      <c r="AC407" s="28">
        <f t="shared" si="235"/>
        <v>440000</v>
      </c>
      <c r="AD407" s="77">
        <f t="shared" si="231"/>
        <v>440000</v>
      </c>
      <c r="AE407" s="77">
        <f t="shared" si="232"/>
        <v>440000</v>
      </c>
      <c r="AF407" s="99">
        <f t="shared" si="233"/>
        <v>440000</v>
      </c>
    </row>
    <row r="408" spans="1:32" x14ac:dyDescent="0.3">
      <c r="A408" s="29">
        <v>2827</v>
      </c>
      <c r="B408" s="59" t="s">
        <v>148</v>
      </c>
      <c r="C408" s="51"/>
      <c r="D408" s="51"/>
      <c r="E408" s="60">
        <v>6050</v>
      </c>
      <c r="F408" s="60">
        <v>6050</v>
      </c>
      <c r="G408" s="60">
        <v>6050</v>
      </c>
      <c r="H408" s="60">
        <v>6050</v>
      </c>
      <c r="I408" s="60">
        <v>6050</v>
      </c>
      <c r="J408" s="60">
        <v>6050</v>
      </c>
      <c r="K408" s="16"/>
      <c r="L408" s="84">
        <v>1</v>
      </c>
      <c r="M408" s="84">
        <v>33</v>
      </c>
      <c r="N408" s="84">
        <v>35</v>
      </c>
      <c r="O408" s="84">
        <f t="shared" si="223"/>
        <v>69</v>
      </c>
      <c r="P408" s="26">
        <v>17</v>
      </c>
      <c r="Q408" s="26">
        <v>52</v>
      </c>
      <c r="R408" s="84">
        <f t="shared" si="224"/>
        <v>69</v>
      </c>
      <c r="S408" s="84">
        <v>69</v>
      </c>
      <c r="T408" s="84">
        <v>69</v>
      </c>
      <c r="U408" s="84">
        <v>69</v>
      </c>
      <c r="V408" s="16"/>
      <c r="W408" s="28">
        <f t="shared" si="225"/>
        <v>0</v>
      </c>
      <c r="X408" s="28">
        <f t="shared" si="226"/>
        <v>0</v>
      </c>
      <c r="Y408" s="28">
        <f t="shared" si="227"/>
        <v>211750</v>
      </c>
      <c r="Z408" s="28">
        <f t="shared" si="228"/>
        <v>211750</v>
      </c>
      <c r="AA408" s="28">
        <f t="shared" si="229"/>
        <v>102850</v>
      </c>
      <c r="AB408" s="28">
        <f t="shared" si="230"/>
        <v>314600</v>
      </c>
      <c r="AC408" s="28">
        <f t="shared" si="235"/>
        <v>417450</v>
      </c>
      <c r="AD408" s="77">
        <f t="shared" si="231"/>
        <v>417450</v>
      </c>
      <c r="AE408" s="77">
        <f t="shared" si="232"/>
        <v>417450</v>
      </c>
      <c r="AF408" s="99">
        <f t="shared" si="233"/>
        <v>417450</v>
      </c>
    </row>
    <row r="409" spans="1:32" x14ac:dyDescent="0.3">
      <c r="A409" s="29">
        <v>2828</v>
      </c>
      <c r="B409" s="72" t="s">
        <v>211</v>
      </c>
      <c r="C409" s="51"/>
      <c r="D409" s="51"/>
      <c r="E409" s="60">
        <v>90</v>
      </c>
      <c r="F409" s="60">
        <v>90</v>
      </c>
      <c r="G409" s="60">
        <v>90</v>
      </c>
      <c r="H409" s="60">
        <v>90</v>
      </c>
      <c r="I409" s="60">
        <v>90</v>
      </c>
      <c r="J409" s="60">
        <v>90</v>
      </c>
      <c r="K409" s="16"/>
      <c r="L409" s="84">
        <v>0</v>
      </c>
      <c r="M409" s="84">
        <v>1</v>
      </c>
      <c r="N409" s="84">
        <v>2</v>
      </c>
      <c r="O409" s="84">
        <f t="shared" si="223"/>
        <v>3</v>
      </c>
      <c r="P409" s="26">
        <v>1</v>
      </c>
      <c r="Q409" s="26">
        <v>2</v>
      </c>
      <c r="R409" s="84">
        <f t="shared" si="224"/>
        <v>3</v>
      </c>
      <c r="S409" s="84">
        <v>3</v>
      </c>
      <c r="T409" s="84">
        <v>3</v>
      </c>
      <c r="U409" s="84">
        <v>3</v>
      </c>
      <c r="V409" s="16"/>
      <c r="W409" s="28">
        <f t="shared" si="225"/>
        <v>0</v>
      </c>
      <c r="X409" s="28">
        <f t="shared" si="226"/>
        <v>0</v>
      </c>
      <c r="Y409" s="28">
        <f t="shared" si="227"/>
        <v>180</v>
      </c>
      <c r="Z409" s="28">
        <f t="shared" si="228"/>
        <v>180</v>
      </c>
      <c r="AA409" s="28">
        <f t="shared" si="229"/>
        <v>90</v>
      </c>
      <c r="AB409" s="28">
        <f t="shared" si="230"/>
        <v>180</v>
      </c>
      <c r="AC409" s="28">
        <f t="shared" si="235"/>
        <v>270</v>
      </c>
      <c r="AD409" s="77">
        <f t="shared" si="231"/>
        <v>270</v>
      </c>
      <c r="AE409" s="77">
        <f t="shared" si="232"/>
        <v>270</v>
      </c>
      <c r="AF409" s="99">
        <f t="shared" si="233"/>
        <v>270</v>
      </c>
    </row>
    <row r="410" spans="1:32" x14ac:dyDescent="0.3">
      <c r="A410" s="29">
        <v>2829</v>
      </c>
      <c r="B410" s="72" t="s">
        <v>210</v>
      </c>
      <c r="C410" s="51"/>
      <c r="D410" s="51"/>
      <c r="E410" s="60">
        <v>140</v>
      </c>
      <c r="F410" s="60">
        <v>140</v>
      </c>
      <c r="G410" s="60">
        <v>140</v>
      </c>
      <c r="H410" s="60">
        <v>140</v>
      </c>
      <c r="I410" s="60">
        <v>140</v>
      </c>
      <c r="J410" s="60">
        <v>140</v>
      </c>
      <c r="K410" s="16"/>
      <c r="L410" s="84">
        <v>0</v>
      </c>
      <c r="M410" s="84">
        <v>0</v>
      </c>
      <c r="N410" s="84">
        <v>0</v>
      </c>
      <c r="O410" s="84">
        <f t="shared" si="223"/>
        <v>0</v>
      </c>
      <c r="P410" s="26">
        <v>0</v>
      </c>
      <c r="Q410" s="26">
        <v>0</v>
      </c>
      <c r="R410" s="84">
        <f t="shared" si="224"/>
        <v>0</v>
      </c>
      <c r="S410" s="84">
        <v>0</v>
      </c>
      <c r="T410" s="84">
        <v>0</v>
      </c>
      <c r="U410" s="84">
        <v>0</v>
      </c>
      <c r="V410" s="16"/>
      <c r="W410" s="28">
        <f t="shared" si="225"/>
        <v>0</v>
      </c>
      <c r="X410" s="28">
        <f t="shared" si="226"/>
        <v>0</v>
      </c>
      <c r="Y410" s="28">
        <f t="shared" si="227"/>
        <v>0</v>
      </c>
      <c r="Z410" s="28">
        <f t="shared" si="228"/>
        <v>0</v>
      </c>
      <c r="AA410" s="28">
        <f t="shared" si="229"/>
        <v>0</v>
      </c>
      <c r="AB410" s="28">
        <f t="shared" si="230"/>
        <v>0</v>
      </c>
      <c r="AC410" s="28">
        <f t="shared" si="235"/>
        <v>0</v>
      </c>
      <c r="AD410" s="77">
        <f t="shared" si="231"/>
        <v>0</v>
      </c>
      <c r="AE410" s="77">
        <f t="shared" si="232"/>
        <v>0</v>
      </c>
      <c r="AF410" s="99">
        <f t="shared" si="233"/>
        <v>0</v>
      </c>
    </row>
    <row r="411" spans="1:32" x14ac:dyDescent="0.3">
      <c r="A411" s="32" t="s">
        <v>149</v>
      </c>
      <c r="B411" s="33"/>
      <c r="C411" s="51"/>
      <c r="D411" s="51"/>
      <c r="E411" s="56"/>
      <c r="F411" s="56"/>
      <c r="G411" s="56"/>
      <c r="H411" s="56"/>
      <c r="I411" s="56"/>
      <c r="J411" s="56"/>
      <c r="K411" s="16"/>
      <c r="L411" s="84"/>
      <c r="M411" s="84"/>
      <c r="N411" s="84"/>
      <c r="O411" s="84"/>
      <c r="P411" s="26"/>
      <c r="Q411" s="26"/>
      <c r="R411" s="84"/>
      <c r="S411" s="84"/>
      <c r="T411" s="84"/>
      <c r="U411" s="84"/>
      <c r="V411" s="16"/>
      <c r="W411" s="52">
        <f t="shared" ref="W411:AF411" si="237">SUM(W395:W410)</f>
        <v>0</v>
      </c>
      <c r="X411" s="52">
        <f t="shared" si="237"/>
        <v>0</v>
      </c>
      <c r="Y411" s="52">
        <f t="shared" si="237"/>
        <v>1688820</v>
      </c>
      <c r="Z411" s="52">
        <f t="shared" si="237"/>
        <v>1688820</v>
      </c>
      <c r="AA411" s="52">
        <f t="shared" si="237"/>
        <v>819670</v>
      </c>
      <c r="AB411" s="52">
        <f t="shared" si="237"/>
        <v>2576780</v>
      </c>
      <c r="AC411" s="52">
        <f t="shared" si="237"/>
        <v>3396450</v>
      </c>
      <c r="AD411" s="52">
        <f t="shared" si="237"/>
        <v>3426220</v>
      </c>
      <c r="AE411" s="52">
        <f t="shared" si="237"/>
        <v>3495610</v>
      </c>
      <c r="AF411" s="99">
        <f t="shared" si="237"/>
        <v>3572910</v>
      </c>
    </row>
    <row r="412" spans="1:32" x14ac:dyDescent="0.3">
      <c r="A412" s="43"/>
      <c r="B412" s="33"/>
      <c r="C412" s="51"/>
      <c r="D412" s="51"/>
      <c r="E412" s="56"/>
      <c r="F412" s="56"/>
      <c r="G412" s="56"/>
      <c r="H412" s="56"/>
      <c r="I412" s="56"/>
      <c r="J412" s="56"/>
      <c r="K412" s="16"/>
      <c r="L412" s="25"/>
      <c r="M412" s="25"/>
      <c r="N412" s="25"/>
      <c r="O412" s="25"/>
      <c r="P412" s="26"/>
      <c r="Q412" s="26"/>
      <c r="R412" s="25"/>
      <c r="S412" s="25"/>
      <c r="T412" s="25"/>
      <c r="U412" s="25"/>
      <c r="V412" s="16"/>
      <c r="W412" s="28"/>
      <c r="X412" s="28"/>
      <c r="Y412" s="28"/>
      <c r="Z412" s="28"/>
      <c r="AA412" s="28"/>
      <c r="AB412" s="28"/>
      <c r="AC412" s="28"/>
      <c r="AD412" s="77"/>
      <c r="AE412" s="28"/>
      <c r="AF412" s="99"/>
    </row>
    <row r="413" spans="1:32" x14ac:dyDescent="0.3">
      <c r="A413" s="32" t="s">
        <v>150</v>
      </c>
      <c r="B413" s="33"/>
      <c r="C413" s="51"/>
      <c r="D413" s="51"/>
      <c r="E413" s="56"/>
      <c r="F413" s="56"/>
      <c r="G413" s="56"/>
      <c r="H413" s="56"/>
      <c r="I413" s="56"/>
      <c r="J413" s="56"/>
      <c r="K413" s="16"/>
      <c r="L413" s="84"/>
      <c r="M413" s="84"/>
      <c r="N413" s="84"/>
      <c r="O413" s="84"/>
      <c r="P413" s="26"/>
      <c r="Q413" s="26"/>
      <c r="R413" s="84"/>
      <c r="S413" s="84"/>
      <c r="T413" s="84"/>
      <c r="U413" s="84"/>
      <c r="V413" s="16"/>
      <c r="W413" s="28"/>
      <c r="X413" s="28"/>
      <c r="Y413" s="28"/>
      <c r="Z413" s="28"/>
      <c r="AA413" s="28"/>
      <c r="AB413" s="28"/>
      <c r="AC413" s="28"/>
      <c r="AD413" s="77"/>
      <c r="AE413" s="28"/>
      <c r="AF413" s="99"/>
    </row>
    <row r="414" spans="1:32" x14ac:dyDescent="0.3">
      <c r="A414" s="21">
        <v>3053</v>
      </c>
      <c r="B414" s="22" t="s">
        <v>128</v>
      </c>
      <c r="C414" s="51"/>
      <c r="D414" s="51"/>
      <c r="E414" s="24">
        <v>35</v>
      </c>
      <c r="F414" s="24">
        <v>35</v>
      </c>
      <c r="G414" s="24">
        <v>35</v>
      </c>
      <c r="H414" s="24">
        <v>35</v>
      </c>
      <c r="I414" s="24">
        <v>35</v>
      </c>
      <c r="J414" s="24">
        <v>35</v>
      </c>
      <c r="K414" s="16"/>
      <c r="L414" s="84"/>
      <c r="M414" s="84"/>
      <c r="N414" s="84">
        <v>116</v>
      </c>
      <c r="O414" s="84">
        <f t="shared" ref="O414:O429" si="238">SUM(L414:N414)</f>
        <v>116</v>
      </c>
      <c r="P414" s="26">
        <v>27</v>
      </c>
      <c r="Q414" s="26">
        <v>84</v>
      </c>
      <c r="R414" s="84">
        <f t="shared" ref="R414:R429" si="239">SUM(P414:Q414)</f>
        <v>111</v>
      </c>
      <c r="S414" s="84">
        <v>106</v>
      </c>
      <c r="T414" s="84">
        <v>101</v>
      </c>
      <c r="U414" s="84">
        <v>96</v>
      </c>
      <c r="V414" s="16"/>
      <c r="W414" s="28">
        <f t="shared" ref="W414:W423" si="240">L414*C414</f>
        <v>0</v>
      </c>
      <c r="X414" s="28">
        <f t="shared" ref="X414:X423" si="241">M414*D414</f>
        <v>0</v>
      </c>
      <c r="Y414" s="28">
        <f t="shared" ref="Y414:Y423" si="242">N414*E414</f>
        <v>4060</v>
      </c>
      <c r="Z414" s="28">
        <f t="shared" ref="Z414:Z429" si="243">W414+X414+Y414</f>
        <v>4060</v>
      </c>
      <c r="AA414" s="28">
        <f t="shared" ref="AA414:AA429" si="244">F414*P414</f>
        <v>945</v>
      </c>
      <c r="AB414" s="28">
        <f t="shared" ref="AB414:AB429" si="245">G414*Q414</f>
        <v>2940</v>
      </c>
      <c r="AC414" s="28">
        <f t="shared" ref="AC414:AC420" si="246">SUM(AA414:AB414)</f>
        <v>3885</v>
      </c>
      <c r="AD414" s="77">
        <f t="shared" ref="AD414:AD429" si="247">H414*S414</f>
        <v>3710</v>
      </c>
      <c r="AE414" s="77">
        <f t="shared" ref="AE414:AE429" si="248">I414*T414</f>
        <v>3535</v>
      </c>
      <c r="AF414" s="99">
        <f t="shared" ref="AF414:AF429" si="249">J414*U414</f>
        <v>3360</v>
      </c>
    </row>
    <row r="415" spans="1:32" x14ac:dyDescent="0.3">
      <c r="A415" s="21">
        <v>3451</v>
      </c>
      <c r="B415" s="22" t="s">
        <v>292</v>
      </c>
      <c r="C415" s="51"/>
      <c r="D415" s="51"/>
      <c r="E415" s="24">
        <v>0</v>
      </c>
      <c r="F415" s="24">
        <v>0</v>
      </c>
      <c r="G415" s="24">
        <v>0</v>
      </c>
      <c r="H415" s="24">
        <v>0</v>
      </c>
      <c r="I415" s="24">
        <v>0</v>
      </c>
      <c r="J415" s="24">
        <v>0</v>
      </c>
      <c r="K415" s="16"/>
      <c r="L415" s="84"/>
      <c r="M415" s="84"/>
      <c r="N415" s="84">
        <v>1</v>
      </c>
      <c r="O415" s="84">
        <f t="shared" si="238"/>
        <v>1</v>
      </c>
      <c r="P415" s="26">
        <v>0</v>
      </c>
      <c r="Q415" s="26">
        <v>1</v>
      </c>
      <c r="R415" s="84">
        <f t="shared" si="239"/>
        <v>1</v>
      </c>
      <c r="S415" s="84">
        <v>1</v>
      </c>
      <c r="T415" s="84">
        <v>1</v>
      </c>
      <c r="U415" s="84">
        <v>1</v>
      </c>
      <c r="V415" s="16"/>
      <c r="W415" s="28">
        <f t="shared" si="240"/>
        <v>0</v>
      </c>
      <c r="X415" s="28">
        <f t="shared" si="241"/>
        <v>0</v>
      </c>
      <c r="Y415" s="28">
        <f t="shared" si="242"/>
        <v>0</v>
      </c>
      <c r="Z415" s="28">
        <f t="shared" si="243"/>
        <v>0</v>
      </c>
      <c r="AA415" s="28">
        <f t="shared" si="244"/>
        <v>0</v>
      </c>
      <c r="AB415" s="28">
        <f t="shared" si="245"/>
        <v>0</v>
      </c>
      <c r="AC415" s="28">
        <f t="shared" si="246"/>
        <v>0</v>
      </c>
      <c r="AD415" s="77">
        <f t="shared" si="247"/>
        <v>0</v>
      </c>
      <c r="AE415" s="77">
        <f t="shared" si="248"/>
        <v>0</v>
      </c>
      <c r="AF415" s="99">
        <f t="shared" si="249"/>
        <v>0</v>
      </c>
    </row>
    <row r="416" spans="1:32" x14ac:dyDescent="0.3">
      <c r="A416" s="21">
        <v>3454</v>
      </c>
      <c r="B416" s="22" t="s">
        <v>129</v>
      </c>
      <c r="C416" s="51"/>
      <c r="D416" s="51"/>
      <c r="E416" s="24">
        <v>355</v>
      </c>
      <c r="F416" s="24">
        <v>355</v>
      </c>
      <c r="G416" s="24">
        <v>355</v>
      </c>
      <c r="H416" s="24">
        <v>355</v>
      </c>
      <c r="I416" s="24">
        <v>355</v>
      </c>
      <c r="J416" s="24">
        <v>355</v>
      </c>
      <c r="K416" s="16"/>
      <c r="L416" s="84"/>
      <c r="M416" s="84"/>
      <c r="N416" s="84">
        <v>51</v>
      </c>
      <c r="O416" s="84">
        <f t="shared" si="238"/>
        <v>51</v>
      </c>
      <c r="P416" s="26">
        <v>12</v>
      </c>
      <c r="Q416" s="26">
        <v>38</v>
      </c>
      <c r="R416" s="84">
        <f t="shared" si="239"/>
        <v>50</v>
      </c>
      <c r="S416" s="84">
        <v>49</v>
      </c>
      <c r="T416" s="84">
        <v>48</v>
      </c>
      <c r="U416" s="84">
        <v>48</v>
      </c>
      <c r="V416" s="16"/>
      <c r="W416" s="28">
        <f t="shared" si="240"/>
        <v>0</v>
      </c>
      <c r="X416" s="28">
        <f t="shared" si="241"/>
        <v>0</v>
      </c>
      <c r="Y416" s="28">
        <f t="shared" si="242"/>
        <v>18105</v>
      </c>
      <c r="Z416" s="28">
        <f t="shared" si="243"/>
        <v>18105</v>
      </c>
      <c r="AA416" s="28">
        <f t="shared" si="244"/>
        <v>4260</v>
      </c>
      <c r="AB416" s="28">
        <f t="shared" si="245"/>
        <v>13490</v>
      </c>
      <c r="AC416" s="28">
        <f t="shared" si="246"/>
        <v>17750</v>
      </c>
      <c r="AD416" s="77">
        <f t="shared" si="247"/>
        <v>17395</v>
      </c>
      <c r="AE416" s="77">
        <f t="shared" si="248"/>
        <v>17040</v>
      </c>
      <c r="AF416" s="99">
        <f t="shared" si="249"/>
        <v>17040</v>
      </c>
    </row>
    <row r="417" spans="1:32" x14ac:dyDescent="0.3">
      <c r="A417" s="21">
        <v>3462</v>
      </c>
      <c r="B417" s="22" t="s">
        <v>135</v>
      </c>
      <c r="C417" s="51"/>
      <c r="D417" s="51"/>
      <c r="E417" s="24">
        <v>100</v>
      </c>
      <c r="F417" s="24">
        <v>100</v>
      </c>
      <c r="G417" s="24">
        <v>100</v>
      </c>
      <c r="H417" s="24">
        <v>100</v>
      </c>
      <c r="I417" s="24">
        <v>100</v>
      </c>
      <c r="J417" s="24">
        <v>100</v>
      </c>
      <c r="K417" s="16"/>
      <c r="L417" s="84"/>
      <c r="M417" s="84"/>
      <c r="N417" s="84">
        <v>172</v>
      </c>
      <c r="O417" s="84">
        <f t="shared" si="238"/>
        <v>172</v>
      </c>
      <c r="P417" s="26">
        <v>43</v>
      </c>
      <c r="Q417" s="26">
        <v>137</v>
      </c>
      <c r="R417" s="84">
        <f t="shared" si="239"/>
        <v>180</v>
      </c>
      <c r="S417" s="84">
        <v>189</v>
      </c>
      <c r="T417" s="84">
        <v>199</v>
      </c>
      <c r="U417" s="84">
        <v>209</v>
      </c>
      <c r="V417" s="16"/>
      <c r="W417" s="28">
        <f t="shared" si="240"/>
        <v>0</v>
      </c>
      <c r="X417" s="28">
        <f t="shared" si="241"/>
        <v>0</v>
      </c>
      <c r="Y417" s="28">
        <f t="shared" si="242"/>
        <v>17200</v>
      </c>
      <c r="Z417" s="28">
        <f t="shared" si="243"/>
        <v>17200</v>
      </c>
      <c r="AA417" s="28">
        <f t="shared" si="244"/>
        <v>4300</v>
      </c>
      <c r="AB417" s="28">
        <f t="shared" si="245"/>
        <v>13700</v>
      </c>
      <c r="AC417" s="28">
        <f t="shared" si="246"/>
        <v>18000</v>
      </c>
      <c r="AD417" s="77">
        <f t="shared" si="247"/>
        <v>18900</v>
      </c>
      <c r="AE417" s="77">
        <f t="shared" si="248"/>
        <v>19900</v>
      </c>
      <c r="AF417" s="99">
        <f t="shared" si="249"/>
        <v>20900</v>
      </c>
    </row>
    <row r="418" spans="1:32" x14ac:dyDescent="0.3">
      <c r="A418" s="21">
        <v>3463</v>
      </c>
      <c r="B418" s="22" t="s">
        <v>136</v>
      </c>
      <c r="C418" s="51"/>
      <c r="D418" s="51"/>
      <c r="E418" s="24">
        <v>50</v>
      </c>
      <c r="F418" s="24">
        <v>50</v>
      </c>
      <c r="G418" s="24">
        <v>50</v>
      </c>
      <c r="H418" s="24">
        <v>50</v>
      </c>
      <c r="I418" s="24">
        <v>50</v>
      </c>
      <c r="J418" s="24">
        <v>50</v>
      </c>
      <c r="K418" s="16"/>
      <c r="L418" s="84"/>
      <c r="M418" s="84"/>
      <c r="N418" s="84">
        <v>438</v>
      </c>
      <c r="O418" s="84">
        <f t="shared" si="238"/>
        <v>438</v>
      </c>
      <c r="P418" s="26">
        <v>123</v>
      </c>
      <c r="Q418" s="26">
        <v>389</v>
      </c>
      <c r="R418" s="84">
        <f t="shared" si="239"/>
        <v>512</v>
      </c>
      <c r="S418" s="84">
        <v>597</v>
      </c>
      <c r="T418" s="84">
        <v>697</v>
      </c>
      <c r="U418" s="84">
        <v>813</v>
      </c>
      <c r="V418" s="16"/>
      <c r="W418" s="28">
        <f t="shared" si="240"/>
        <v>0</v>
      </c>
      <c r="X418" s="28">
        <f t="shared" si="241"/>
        <v>0</v>
      </c>
      <c r="Y418" s="28">
        <f t="shared" si="242"/>
        <v>21900</v>
      </c>
      <c r="Z418" s="28">
        <f t="shared" si="243"/>
        <v>21900</v>
      </c>
      <c r="AA418" s="28">
        <f t="shared" si="244"/>
        <v>6150</v>
      </c>
      <c r="AB418" s="28">
        <f t="shared" si="245"/>
        <v>19450</v>
      </c>
      <c r="AC418" s="28">
        <f t="shared" si="246"/>
        <v>25600</v>
      </c>
      <c r="AD418" s="77">
        <f t="shared" si="247"/>
        <v>29850</v>
      </c>
      <c r="AE418" s="77">
        <f t="shared" si="248"/>
        <v>34850</v>
      </c>
      <c r="AF418" s="99">
        <f t="shared" si="249"/>
        <v>40650</v>
      </c>
    </row>
    <row r="419" spans="1:32" x14ac:dyDescent="0.3">
      <c r="A419" s="21">
        <v>3464</v>
      </c>
      <c r="B419" s="22" t="s">
        <v>137</v>
      </c>
      <c r="C419" s="51"/>
      <c r="D419" s="51"/>
      <c r="E419" s="24">
        <v>35</v>
      </c>
      <c r="F419" s="24">
        <v>35</v>
      </c>
      <c r="G419" s="24">
        <v>35</v>
      </c>
      <c r="H419" s="24">
        <v>35</v>
      </c>
      <c r="I419" s="24">
        <v>35</v>
      </c>
      <c r="J419" s="24">
        <v>35</v>
      </c>
      <c r="K419" s="16"/>
      <c r="L419" s="84"/>
      <c r="M419" s="84"/>
      <c r="N419" s="84">
        <v>861</v>
      </c>
      <c r="O419" s="84">
        <f t="shared" si="238"/>
        <v>861</v>
      </c>
      <c r="P419" s="26">
        <v>177</v>
      </c>
      <c r="Q419" s="26">
        <v>561</v>
      </c>
      <c r="R419" s="84">
        <f t="shared" si="239"/>
        <v>738</v>
      </c>
      <c r="S419" s="84">
        <v>452</v>
      </c>
      <c r="T419" s="84">
        <v>387</v>
      </c>
      <c r="U419" s="84">
        <v>332</v>
      </c>
      <c r="V419" s="16"/>
      <c r="W419" s="28">
        <f t="shared" si="240"/>
        <v>0</v>
      </c>
      <c r="X419" s="28">
        <f t="shared" si="241"/>
        <v>0</v>
      </c>
      <c r="Y419" s="28">
        <f t="shared" si="242"/>
        <v>30135</v>
      </c>
      <c r="Z419" s="28">
        <f t="shared" si="243"/>
        <v>30135</v>
      </c>
      <c r="AA419" s="28">
        <f t="shared" si="244"/>
        <v>6195</v>
      </c>
      <c r="AB419" s="28">
        <f t="shared" si="245"/>
        <v>19635</v>
      </c>
      <c r="AC419" s="28">
        <f t="shared" si="246"/>
        <v>25830</v>
      </c>
      <c r="AD419" s="77">
        <f t="shared" si="247"/>
        <v>15820</v>
      </c>
      <c r="AE419" s="77">
        <f t="shared" si="248"/>
        <v>13545</v>
      </c>
      <c r="AF419" s="99">
        <f t="shared" si="249"/>
        <v>11620</v>
      </c>
    </row>
    <row r="420" spans="1:32" x14ac:dyDescent="0.3">
      <c r="A420" s="29">
        <v>3802</v>
      </c>
      <c r="B420" s="22" t="s">
        <v>138</v>
      </c>
      <c r="C420" s="51"/>
      <c r="D420" s="51"/>
      <c r="E420" s="24">
        <v>225</v>
      </c>
      <c r="F420" s="24">
        <v>225</v>
      </c>
      <c r="G420" s="24">
        <v>225</v>
      </c>
      <c r="H420" s="24">
        <v>225</v>
      </c>
      <c r="I420" s="24">
        <v>225</v>
      </c>
      <c r="J420" s="24">
        <v>225</v>
      </c>
      <c r="K420" s="16"/>
      <c r="L420" s="84"/>
      <c r="M420" s="84"/>
      <c r="N420" s="84">
        <v>13</v>
      </c>
      <c r="O420" s="84">
        <f t="shared" si="238"/>
        <v>13</v>
      </c>
      <c r="P420" s="26">
        <v>3</v>
      </c>
      <c r="Q420" s="26">
        <v>10</v>
      </c>
      <c r="R420" s="84">
        <f t="shared" si="239"/>
        <v>13</v>
      </c>
      <c r="S420" s="84">
        <v>13</v>
      </c>
      <c r="T420" s="84">
        <v>14</v>
      </c>
      <c r="U420" s="84">
        <v>14</v>
      </c>
      <c r="V420" s="16"/>
      <c r="W420" s="28">
        <f t="shared" si="240"/>
        <v>0</v>
      </c>
      <c r="X420" s="28">
        <f t="shared" si="241"/>
        <v>0</v>
      </c>
      <c r="Y420" s="28">
        <f t="shared" si="242"/>
        <v>2925</v>
      </c>
      <c r="Z420" s="28">
        <f t="shared" si="243"/>
        <v>2925</v>
      </c>
      <c r="AA420" s="28">
        <f t="shared" si="244"/>
        <v>675</v>
      </c>
      <c r="AB420" s="28">
        <f t="shared" si="245"/>
        <v>2250</v>
      </c>
      <c r="AC420" s="28">
        <f t="shared" si="246"/>
        <v>2925</v>
      </c>
      <c r="AD420" s="77">
        <f t="shared" si="247"/>
        <v>2925</v>
      </c>
      <c r="AE420" s="77">
        <f t="shared" si="248"/>
        <v>3150</v>
      </c>
      <c r="AF420" s="99">
        <f t="shared" si="249"/>
        <v>3150</v>
      </c>
    </row>
    <row r="421" spans="1:32" x14ac:dyDescent="0.3">
      <c r="A421" s="21">
        <v>3806</v>
      </c>
      <c r="B421" s="22" t="s">
        <v>139</v>
      </c>
      <c r="C421" s="51"/>
      <c r="D421" s="51"/>
      <c r="E421" s="24">
        <v>45</v>
      </c>
      <c r="F421" s="24">
        <v>45</v>
      </c>
      <c r="G421" s="24">
        <v>45</v>
      </c>
      <c r="H421" s="24">
        <v>45</v>
      </c>
      <c r="I421" s="24">
        <v>45</v>
      </c>
      <c r="J421" s="24">
        <v>45</v>
      </c>
      <c r="K421" s="16"/>
      <c r="L421" s="84"/>
      <c r="M421" s="84"/>
      <c r="N421" s="84">
        <v>6725</v>
      </c>
      <c r="O421" s="84">
        <f t="shared" si="238"/>
        <v>6725</v>
      </c>
      <c r="P421" s="26">
        <v>1675</v>
      </c>
      <c r="Q421" s="26">
        <v>5306</v>
      </c>
      <c r="R421" s="84">
        <f t="shared" si="239"/>
        <v>6981</v>
      </c>
      <c r="S421" s="84">
        <v>7247</v>
      </c>
      <c r="T421" s="84">
        <v>7523</v>
      </c>
      <c r="U421" s="84">
        <v>7810</v>
      </c>
      <c r="V421" s="16"/>
      <c r="W421" s="28">
        <f t="shared" si="240"/>
        <v>0</v>
      </c>
      <c r="X421" s="28">
        <f t="shared" si="241"/>
        <v>0</v>
      </c>
      <c r="Y421" s="28">
        <f t="shared" si="242"/>
        <v>302625</v>
      </c>
      <c r="Z421" s="28">
        <f t="shared" si="243"/>
        <v>302625</v>
      </c>
      <c r="AA421" s="28">
        <f t="shared" si="244"/>
        <v>75375</v>
      </c>
      <c r="AB421" s="28">
        <f t="shared" si="245"/>
        <v>238770</v>
      </c>
      <c r="AC421" s="28">
        <f t="shared" ref="AC421:AC429" si="250">SUM(AA421:AB421)</f>
        <v>314145</v>
      </c>
      <c r="AD421" s="77">
        <f t="shared" si="247"/>
        <v>326115</v>
      </c>
      <c r="AE421" s="77">
        <f t="shared" si="248"/>
        <v>338535</v>
      </c>
      <c r="AF421" s="99">
        <f t="shared" si="249"/>
        <v>351450</v>
      </c>
    </row>
    <row r="422" spans="1:32" x14ac:dyDescent="0.3">
      <c r="A422" s="29">
        <v>3812</v>
      </c>
      <c r="B422" s="22" t="s">
        <v>142</v>
      </c>
      <c r="C422" s="51"/>
      <c r="D422" s="51"/>
      <c r="E422" s="24">
        <v>3000</v>
      </c>
      <c r="F422" s="24">
        <v>3000</v>
      </c>
      <c r="G422" s="24">
        <v>3000</v>
      </c>
      <c r="H422" s="24">
        <v>3000</v>
      </c>
      <c r="I422" s="24">
        <v>3000</v>
      </c>
      <c r="J422" s="24">
        <v>3000</v>
      </c>
      <c r="K422" s="16"/>
      <c r="L422" s="84"/>
      <c r="M422" s="84"/>
      <c r="N422" s="84">
        <v>48</v>
      </c>
      <c r="O422" s="84">
        <f t="shared" si="238"/>
        <v>48</v>
      </c>
      <c r="P422" s="26">
        <v>12</v>
      </c>
      <c r="Q422" s="26">
        <v>36</v>
      </c>
      <c r="R422" s="84">
        <f t="shared" si="239"/>
        <v>48</v>
      </c>
      <c r="S422" s="84">
        <v>48</v>
      </c>
      <c r="T422" s="84">
        <v>48</v>
      </c>
      <c r="U422" s="84">
        <v>48</v>
      </c>
      <c r="V422" s="16"/>
      <c r="W422" s="28">
        <f t="shared" si="240"/>
        <v>0</v>
      </c>
      <c r="X422" s="28">
        <f t="shared" si="241"/>
        <v>0</v>
      </c>
      <c r="Y422" s="28">
        <f t="shared" si="242"/>
        <v>144000</v>
      </c>
      <c r="Z422" s="28">
        <f t="shared" si="243"/>
        <v>144000</v>
      </c>
      <c r="AA422" s="28">
        <f t="shared" si="244"/>
        <v>36000</v>
      </c>
      <c r="AB422" s="28">
        <f t="shared" si="245"/>
        <v>108000</v>
      </c>
      <c r="AC422" s="28">
        <f t="shared" si="250"/>
        <v>144000</v>
      </c>
      <c r="AD422" s="77">
        <f t="shared" si="247"/>
        <v>144000</v>
      </c>
      <c r="AE422" s="77">
        <f t="shared" si="248"/>
        <v>144000</v>
      </c>
      <c r="AF422" s="99">
        <f t="shared" si="249"/>
        <v>144000</v>
      </c>
    </row>
    <row r="423" spans="1:32" x14ac:dyDescent="0.3">
      <c r="A423" s="29">
        <v>3824</v>
      </c>
      <c r="B423" s="59" t="s">
        <v>146</v>
      </c>
      <c r="C423" s="51"/>
      <c r="D423" s="51"/>
      <c r="E423" s="60">
        <v>485</v>
      </c>
      <c r="F423" s="60">
        <v>485</v>
      </c>
      <c r="G423" s="60">
        <v>485</v>
      </c>
      <c r="H423" s="60">
        <v>485</v>
      </c>
      <c r="I423" s="60">
        <v>485</v>
      </c>
      <c r="J423" s="60">
        <v>485</v>
      </c>
      <c r="K423" s="16"/>
      <c r="L423" s="84"/>
      <c r="M423" s="84"/>
      <c r="N423" s="84">
        <v>50</v>
      </c>
      <c r="O423" s="84">
        <f t="shared" si="238"/>
        <v>50</v>
      </c>
      <c r="P423" s="26">
        <v>12</v>
      </c>
      <c r="Q423" s="26">
        <v>38</v>
      </c>
      <c r="R423" s="84">
        <f t="shared" si="239"/>
        <v>50</v>
      </c>
      <c r="S423" s="84">
        <v>50</v>
      </c>
      <c r="T423" s="84">
        <v>50</v>
      </c>
      <c r="U423" s="84">
        <v>50</v>
      </c>
      <c r="V423" s="16"/>
      <c r="W423" s="28">
        <f t="shared" si="240"/>
        <v>0</v>
      </c>
      <c r="X423" s="28">
        <f t="shared" si="241"/>
        <v>0</v>
      </c>
      <c r="Y423" s="28">
        <f t="shared" si="242"/>
        <v>24250</v>
      </c>
      <c r="Z423" s="28">
        <f t="shared" si="243"/>
        <v>24250</v>
      </c>
      <c r="AA423" s="28">
        <f t="shared" si="244"/>
        <v>5820</v>
      </c>
      <c r="AB423" s="28">
        <f t="shared" si="245"/>
        <v>18430</v>
      </c>
      <c r="AC423" s="28">
        <f t="shared" si="250"/>
        <v>24250</v>
      </c>
      <c r="AD423" s="77">
        <f t="shared" si="247"/>
        <v>24250</v>
      </c>
      <c r="AE423" s="77">
        <f t="shared" si="248"/>
        <v>24250</v>
      </c>
      <c r="AF423" s="99">
        <f t="shared" si="249"/>
        <v>24250</v>
      </c>
    </row>
    <row r="424" spans="1:32" x14ac:dyDescent="0.3">
      <c r="A424" s="88">
        <v>3812</v>
      </c>
      <c r="B424" s="89" t="s">
        <v>204</v>
      </c>
      <c r="C424" s="51"/>
      <c r="D424" s="51"/>
      <c r="E424" s="60">
        <v>900</v>
      </c>
      <c r="F424" s="60">
        <v>900</v>
      </c>
      <c r="G424" s="60">
        <v>900</v>
      </c>
      <c r="H424" s="60">
        <v>900</v>
      </c>
      <c r="I424" s="60">
        <v>900</v>
      </c>
      <c r="J424" s="60">
        <v>900</v>
      </c>
      <c r="K424" s="16"/>
      <c r="L424" s="25"/>
      <c r="M424" s="25"/>
      <c r="N424" s="84">
        <v>5</v>
      </c>
      <c r="O424" s="84">
        <f t="shared" si="238"/>
        <v>5</v>
      </c>
      <c r="P424" s="26">
        <v>1</v>
      </c>
      <c r="Q424" s="26">
        <v>4</v>
      </c>
      <c r="R424" s="84">
        <f t="shared" si="239"/>
        <v>5</v>
      </c>
      <c r="S424" s="84">
        <v>5</v>
      </c>
      <c r="T424" s="84">
        <v>5</v>
      </c>
      <c r="U424" s="84">
        <v>5</v>
      </c>
      <c r="V424" s="16"/>
      <c r="W424" s="28">
        <f>L424</f>
        <v>0</v>
      </c>
      <c r="X424" s="28">
        <f>M424</f>
        <v>0</v>
      </c>
      <c r="Y424" s="28">
        <f t="shared" ref="Y424:Y429" si="251">N424*E424</f>
        <v>4500</v>
      </c>
      <c r="Z424" s="28">
        <f t="shared" si="243"/>
        <v>4500</v>
      </c>
      <c r="AA424" s="28">
        <f t="shared" si="244"/>
        <v>900</v>
      </c>
      <c r="AB424" s="28">
        <f t="shared" si="245"/>
        <v>3600</v>
      </c>
      <c r="AC424" s="28">
        <f t="shared" si="250"/>
        <v>4500</v>
      </c>
      <c r="AD424" s="77">
        <f t="shared" si="247"/>
        <v>4500</v>
      </c>
      <c r="AE424" s="77">
        <f t="shared" si="248"/>
        <v>4500</v>
      </c>
      <c r="AF424" s="99">
        <f t="shared" si="249"/>
        <v>4500</v>
      </c>
    </row>
    <row r="425" spans="1:32" x14ac:dyDescent="0.3">
      <c r="A425" s="88">
        <v>3812</v>
      </c>
      <c r="B425" s="89" t="s">
        <v>254</v>
      </c>
      <c r="C425" s="90"/>
      <c r="D425" s="91"/>
      <c r="E425" s="212">
        <f t="shared" ref="E425:J425" si="252">-(E422-E424)</f>
        <v>-2100</v>
      </c>
      <c r="F425" s="212">
        <f t="shared" si="252"/>
        <v>-2100</v>
      </c>
      <c r="G425" s="212">
        <f t="shared" si="252"/>
        <v>-2100</v>
      </c>
      <c r="H425" s="212">
        <f t="shared" si="252"/>
        <v>-2100</v>
      </c>
      <c r="I425" s="212">
        <f t="shared" si="252"/>
        <v>-2100</v>
      </c>
      <c r="J425" s="212">
        <f t="shared" si="252"/>
        <v>-2100</v>
      </c>
      <c r="K425" s="16"/>
      <c r="L425" s="84"/>
      <c r="M425" s="84"/>
      <c r="N425" s="84">
        <f>N424</f>
        <v>5</v>
      </c>
      <c r="O425" s="84">
        <f t="shared" si="238"/>
        <v>5</v>
      </c>
      <c r="P425" s="26">
        <v>1</v>
      </c>
      <c r="Q425" s="26">
        <v>4</v>
      </c>
      <c r="R425" s="84">
        <f t="shared" si="239"/>
        <v>5</v>
      </c>
      <c r="S425" s="84">
        <f>S424</f>
        <v>5</v>
      </c>
      <c r="T425" s="84">
        <f>T424</f>
        <v>5</v>
      </c>
      <c r="U425" s="84">
        <f>U424</f>
        <v>5</v>
      </c>
      <c r="V425" s="16"/>
      <c r="W425" s="92">
        <f t="shared" ref="W425:X429" si="253">L425*C425</f>
        <v>0</v>
      </c>
      <c r="X425" s="92">
        <f t="shared" si="253"/>
        <v>0</v>
      </c>
      <c r="Y425" s="92">
        <f t="shared" si="251"/>
        <v>-10500</v>
      </c>
      <c r="Z425" s="28">
        <f t="shared" si="243"/>
        <v>-10500</v>
      </c>
      <c r="AA425" s="28">
        <f t="shared" si="244"/>
        <v>-2100</v>
      </c>
      <c r="AB425" s="28">
        <f t="shared" si="245"/>
        <v>-8400</v>
      </c>
      <c r="AC425" s="28">
        <f t="shared" si="250"/>
        <v>-10500</v>
      </c>
      <c r="AD425" s="77">
        <f t="shared" si="247"/>
        <v>-10500</v>
      </c>
      <c r="AE425" s="77">
        <f t="shared" si="248"/>
        <v>-10500</v>
      </c>
      <c r="AF425" s="99">
        <f t="shared" si="249"/>
        <v>-10500</v>
      </c>
    </row>
    <row r="426" spans="1:32" x14ac:dyDescent="0.3">
      <c r="A426" s="29">
        <v>3826</v>
      </c>
      <c r="B426" s="59" t="s">
        <v>147</v>
      </c>
      <c r="C426" s="51"/>
      <c r="D426" s="51"/>
      <c r="E426" s="60">
        <v>1100</v>
      </c>
      <c r="F426" s="60">
        <v>1100</v>
      </c>
      <c r="G426" s="60">
        <v>1100</v>
      </c>
      <c r="H426" s="60">
        <v>1100</v>
      </c>
      <c r="I426" s="60">
        <v>1100</v>
      </c>
      <c r="J426" s="60">
        <v>1100</v>
      </c>
      <c r="K426" s="16"/>
      <c r="L426" s="84"/>
      <c r="M426" s="84"/>
      <c r="N426" s="84">
        <v>90</v>
      </c>
      <c r="O426" s="84">
        <f t="shared" si="238"/>
        <v>90</v>
      </c>
      <c r="P426" s="26">
        <v>22</v>
      </c>
      <c r="Q426" s="26">
        <v>68</v>
      </c>
      <c r="R426" s="84">
        <f t="shared" si="239"/>
        <v>90</v>
      </c>
      <c r="S426" s="84">
        <v>90</v>
      </c>
      <c r="T426" s="84">
        <v>90</v>
      </c>
      <c r="U426" s="84">
        <v>90</v>
      </c>
      <c r="V426" s="16"/>
      <c r="W426" s="28">
        <f t="shared" si="253"/>
        <v>0</v>
      </c>
      <c r="X426" s="28">
        <f t="shared" si="253"/>
        <v>0</v>
      </c>
      <c r="Y426" s="28">
        <f t="shared" si="251"/>
        <v>99000</v>
      </c>
      <c r="Z426" s="28">
        <f t="shared" si="243"/>
        <v>99000</v>
      </c>
      <c r="AA426" s="28">
        <f t="shared" si="244"/>
        <v>24200</v>
      </c>
      <c r="AB426" s="28">
        <f t="shared" si="245"/>
        <v>74800</v>
      </c>
      <c r="AC426" s="28">
        <f t="shared" si="250"/>
        <v>99000</v>
      </c>
      <c r="AD426" s="77">
        <f t="shared" si="247"/>
        <v>99000</v>
      </c>
      <c r="AE426" s="77">
        <f t="shared" si="248"/>
        <v>99000</v>
      </c>
      <c r="AF426" s="99">
        <f t="shared" si="249"/>
        <v>99000</v>
      </c>
    </row>
    <row r="427" spans="1:32" x14ac:dyDescent="0.3">
      <c r="A427" s="29">
        <v>3827</v>
      </c>
      <c r="B427" s="59" t="s">
        <v>148</v>
      </c>
      <c r="C427" s="51"/>
      <c r="D427" s="51"/>
      <c r="E427" s="60">
        <v>3025</v>
      </c>
      <c r="F427" s="60">
        <v>3025</v>
      </c>
      <c r="G427" s="60">
        <v>3025</v>
      </c>
      <c r="H427" s="60">
        <v>3025</v>
      </c>
      <c r="I427" s="60">
        <v>3025</v>
      </c>
      <c r="J427" s="60">
        <v>3025</v>
      </c>
      <c r="K427" s="16"/>
      <c r="L427" s="84"/>
      <c r="M427" s="84"/>
      <c r="N427" s="84">
        <v>14</v>
      </c>
      <c r="O427" s="84">
        <f t="shared" si="238"/>
        <v>14</v>
      </c>
      <c r="P427" s="26">
        <v>3</v>
      </c>
      <c r="Q427" s="26">
        <v>11</v>
      </c>
      <c r="R427" s="84">
        <f t="shared" si="239"/>
        <v>14</v>
      </c>
      <c r="S427" s="84">
        <v>14</v>
      </c>
      <c r="T427" s="84">
        <v>14</v>
      </c>
      <c r="U427" s="84">
        <v>14</v>
      </c>
      <c r="V427" s="16"/>
      <c r="W427" s="28">
        <f t="shared" si="253"/>
        <v>0</v>
      </c>
      <c r="X427" s="28">
        <f t="shared" si="253"/>
        <v>0</v>
      </c>
      <c r="Y427" s="28">
        <f t="shared" si="251"/>
        <v>42350</v>
      </c>
      <c r="Z427" s="28">
        <f t="shared" si="243"/>
        <v>42350</v>
      </c>
      <c r="AA427" s="28">
        <f t="shared" si="244"/>
        <v>9075</v>
      </c>
      <c r="AB427" s="28">
        <f t="shared" si="245"/>
        <v>33275</v>
      </c>
      <c r="AC427" s="28">
        <f t="shared" si="250"/>
        <v>42350</v>
      </c>
      <c r="AD427" s="77">
        <f t="shared" si="247"/>
        <v>42350</v>
      </c>
      <c r="AE427" s="77">
        <f t="shared" si="248"/>
        <v>42350</v>
      </c>
      <c r="AF427" s="99">
        <f t="shared" si="249"/>
        <v>42350</v>
      </c>
    </row>
    <row r="428" spans="1:32" x14ac:dyDescent="0.3">
      <c r="A428" s="29">
        <v>3828</v>
      </c>
      <c r="B428" s="72" t="s">
        <v>211</v>
      </c>
      <c r="C428" s="51"/>
      <c r="D428" s="51"/>
      <c r="E428" s="60">
        <v>45</v>
      </c>
      <c r="F428" s="60">
        <v>45</v>
      </c>
      <c r="G428" s="60">
        <v>45</v>
      </c>
      <c r="H428" s="60">
        <v>45</v>
      </c>
      <c r="I428" s="60">
        <v>45</v>
      </c>
      <c r="J428" s="60">
        <v>45</v>
      </c>
      <c r="K428" s="16"/>
      <c r="L428" s="84"/>
      <c r="M428" s="84"/>
      <c r="N428" s="84">
        <v>1</v>
      </c>
      <c r="O428" s="84">
        <f t="shared" si="238"/>
        <v>1</v>
      </c>
      <c r="P428" s="26">
        <v>0</v>
      </c>
      <c r="Q428" s="26">
        <v>1</v>
      </c>
      <c r="R428" s="84">
        <f t="shared" si="239"/>
        <v>1</v>
      </c>
      <c r="S428" s="84">
        <v>1</v>
      </c>
      <c r="T428" s="84">
        <v>1</v>
      </c>
      <c r="U428" s="84">
        <v>1</v>
      </c>
      <c r="V428" s="16"/>
      <c r="W428" s="28">
        <f t="shared" si="253"/>
        <v>0</v>
      </c>
      <c r="X428" s="28">
        <f t="shared" si="253"/>
        <v>0</v>
      </c>
      <c r="Y428" s="28">
        <f t="shared" si="251"/>
        <v>45</v>
      </c>
      <c r="Z428" s="28">
        <f t="shared" si="243"/>
        <v>45</v>
      </c>
      <c r="AA428" s="28">
        <f t="shared" si="244"/>
        <v>0</v>
      </c>
      <c r="AB428" s="28">
        <f t="shared" si="245"/>
        <v>45</v>
      </c>
      <c r="AC428" s="28">
        <f t="shared" si="250"/>
        <v>45</v>
      </c>
      <c r="AD428" s="77">
        <f t="shared" si="247"/>
        <v>45</v>
      </c>
      <c r="AE428" s="77">
        <f t="shared" si="248"/>
        <v>45</v>
      </c>
      <c r="AF428" s="99">
        <f t="shared" si="249"/>
        <v>45</v>
      </c>
    </row>
    <row r="429" spans="1:32" x14ac:dyDescent="0.3">
      <c r="A429" s="29">
        <v>3829</v>
      </c>
      <c r="B429" s="72" t="s">
        <v>210</v>
      </c>
      <c r="C429" s="51"/>
      <c r="D429" s="51"/>
      <c r="E429" s="60">
        <v>70</v>
      </c>
      <c r="F429" s="60">
        <v>70</v>
      </c>
      <c r="G429" s="60">
        <v>70</v>
      </c>
      <c r="H429" s="60">
        <v>70</v>
      </c>
      <c r="I429" s="60">
        <v>70</v>
      </c>
      <c r="J429" s="60">
        <v>70</v>
      </c>
      <c r="K429" s="16"/>
      <c r="L429" s="84"/>
      <c r="M429" s="84"/>
      <c r="N429" s="84">
        <v>0</v>
      </c>
      <c r="O429" s="84">
        <f t="shared" si="238"/>
        <v>0</v>
      </c>
      <c r="P429" s="26">
        <v>0</v>
      </c>
      <c r="Q429" s="26">
        <v>0</v>
      </c>
      <c r="R429" s="84">
        <f t="shared" si="239"/>
        <v>0</v>
      </c>
      <c r="S429" s="84">
        <v>0</v>
      </c>
      <c r="T429" s="84">
        <v>0</v>
      </c>
      <c r="U429" s="84">
        <v>0</v>
      </c>
      <c r="V429" s="16"/>
      <c r="W429" s="28">
        <f t="shared" si="253"/>
        <v>0</v>
      </c>
      <c r="X429" s="28">
        <f t="shared" si="253"/>
        <v>0</v>
      </c>
      <c r="Y429" s="28">
        <f t="shared" si="251"/>
        <v>0</v>
      </c>
      <c r="Z429" s="28">
        <f t="shared" si="243"/>
        <v>0</v>
      </c>
      <c r="AA429" s="28">
        <f t="shared" si="244"/>
        <v>0</v>
      </c>
      <c r="AB429" s="28">
        <f t="shared" si="245"/>
        <v>0</v>
      </c>
      <c r="AC429" s="28">
        <f t="shared" si="250"/>
        <v>0</v>
      </c>
      <c r="AD429" s="77">
        <f t="shared" si="247"/>
        <v>0</v>
      </c>
      <c r="AE429" s="77">
        <f t="shared" si="248"/>
        <v>0</v>
      </c>
      <c r="AF429" s="99">
        <f t="shared" si="249"/>
        <v>0</v>
      </c>
    </row>
    <row r="430" spans="1:32" x14ac:dyDescent="0.3">
      <c r="A430" s="32" t="s">
        <v>150</v>
      </c>
      <c r="B430" s="33"/>
      <c r="C430" s="51"/>
      <c r="D430" s="51"/>
      <c r="E430" s="51"/>
      <c r="F430" s="51"/>
      <c r="G430" s="51"/>
      <c r="H430" s="51"/>
      <c r="I430" s="51"/>
      <c r="J430" s="51"/>
      <c r="K430" s="16"/>
      <c r="L430" s="25"/>
      <c r="M430" s="25"/>
      <c r="N430" s="25"/>
      <c r="O430" s="25"/>
      <c r="P430" s="26"/>
      <c r="Q430" s="26"/>
      <c r="R430" s="50"/>
      <c r="S430" s="26"/>
      <c r="T430" s="26"/>
      <c r="U430" s="26"/>
      <c r="V430" s="16"/>
      <c r="W430" s="28">
        <f t="shared" ref="W430:AF430" si="254">SUM(W414:W429)</f>
        <v>0</v>
      </c>
      <c r="X430" s="28">
        <f t="shared" si="254"/>
        <v>0</v>
      </c>
      <c r="Y430" s="28">
        <f t="shared" si="254"/>
        <v>700595</v>
      </c>
      <c r="Z430" s="28">
        <f t="shared" si="254"/>
        <v>700595</v>
      </c>
      <c r="AA430" s="28">
        <f t="shared" si="254"/>
        <v>171795</v>
      </c>
      <c r="AB430" s="28">
        <f t="shared" si="254"/>
        <v>539985</v>
      </c>
      <c r="AC430" s="28">
        <f t="shared" si="254"/>
        <v>711780</v>
      </c>
      <c r="AD430" s="28">
        <f t="shared" si="254"/>
        <v>718360</v>
      </c>
      <c r="AE430" s="28">
        <f t="shared" si="254"/>
        <v>734200</v>
      </c>
      <c r="AF430" s="99">
        <f t="shared" si="254"/>
        <v>751815</v>
      </c>
    </row>
    <row r="431" spans="1:32" ht="15" thickBot="1" x14ac:dyDescent="0.35">
      <c r="A431" s="63" t="s">
        <v>151</v>
      </c>
      <c r="B431" s="168"/>
      <c r="C431" s="183"/>
      <c r="D431" s="183"/>
      <c r="E431" s="183"/>
      <c r="F431" s="183"/>
      <c r="G431" s="183"/>
      <c r="H431" s="183"/>
      <c r="I431" s="183"/>
      <c r="J431" s="183"/>
      <c r="K431" s="109"/>
      <c r="L431" s="39"/>
      <c r="M431" s="39"/>
      <c r="N431" s="39"/>
      <c r="O431" s="39"/>
      <c r="P431" s="40"/>
      <c r="Q431" s="40"/>
      <c r="R431" s="184"/>
      <c r="S431" s="40"/>
      <c r="T431" s="40"/>
      <c r="U431" s="40"/>
      <c r="V431" s="109"/>
      <c r="W431" s="185">
        <f t="shared" ref="W431:AF431" si="255">W392+W411+W430</f>
        <v>993515</v>
      </c>
      <c r="X431" s="185">
        <f t="shared" si="255"/>
        <v>30510520</v>
      </c>
      <c r="Y431" s="185">
        <f t="shared" si="255"/>
        <v>29814035</v>
      </c>
      <c r="Z431" s="185">
        <f t="shared" si="255"/>
        <v>61318070</v>
      </c>
      <c r="AA431" s="185">
        <f t="shared" si="255"/>
        <v>14236425</v>
      </c>
      <c r="AB431" s="185">
        <f t="shared" si="255"/>
        <v>45021930</v>
      </c>
      <c r="AC431" s="185">
        <f t="shared" si="255"/>
        <v>59258355</v>
      </c>
      <c r="AD431" s="185">
        <f t="shared" si="255"/>
        <v>59791915</v>
      </c>
      <c r="AE431" s="185">
        <f t="shared" si="255"/>
        <v>62874745</v>
      </c>
      <c r="AF431" s="172">
        <f t="shared" si="255"/>
        <v>66075660</v>
      </c>
    </row>
    <row r="432" spans="1:32" x14ac:dyDescent="0.3">
      <c r="A432" s="187"/>
      <c r="B432" s="174"/>
      <c r="C432" s="207"/>
      <c r="D432" s="207"/>
      <c r="E432" s="207"/>
      <c r="F432" s="207"/>
      <c r="G432" s="207"/>
      <c r="H432" s="207"/>
      <c r="I432" s="207"/>
      <c r="J432" s="207"/>
      <c r="K432" s="163"/>
      <c r="L432" s="176"/>
      <c r="M432" s="176"/>
      <c r="N432" s="176"/>
      <c r="O432" s="176"/>
      <c r="P432" s="177"/>
      <c r="Q432" s="177"/>
      <c r="R432" s="208"/>
      <c r="S432" s="177"/>
      <c r="T432" s="177"/>
      <c r="U432" s="177"/>
      <c r="V432" s="163"/>
      <c r="W432" s="180"/>
      <c r="X432" s="180"/>
      <c r="Y432" s="180"/>
      <c r="Z432" s="180"/>
      <c r="AA432" s="180"/>
      <c r="AB432" s="180"/>
      <c r="AC432" s="180"/>
      <c r="AD432" s="181"/>
      <c r="AE432" s="180"/>
      <c r="AF432" s="182"/>
    </row>
    <row r="433" spans="1:32" x14ac:dyDescent="0.3">
      <c r="A433" s="45" t="s">
        <v>152</v>
      </c>
      <c r="B433" s="46"/>
      <c r="C433" s="23"/>
      <c r="D433" s="23"/>
      <c r="E433" s="23"/>
      <c r="F433" s="23"/>
      <c r="G433" s="23"/>
      <c r="H433" s="23"/>
      <c r="I433" s="23"/>
      <c r="J433" s="23"/>
      <c r="K433" s="16"/>
      <c r="L433" s="25"/>
      <c r="M433" s="25"/>
      <c r="N433" s="25"/>
      <c r="O433" s="25"/>
      <c r="P433" s="26"/>
      <c r="Q433" s="26"/>
      <c r="R433" s="61"/>
      <c r="S433" s="54"/>
      <c r="T433" s="54"/>
      <c r="U433" s="54"/>
      <c r="V433" s="16"/>
      <c r="W433" s="28"/>
      <c r="X433" s="28"/>
      <c r="Y433" s="28"/>
      <c r="Z433" s="28"/>
      <c r="AA433" s="28"/>
      <c r="AB433" s="28"/>
      <c r="AC433" s="28"/>
      <c r="AD433" s="77"/>
      <c r="AE433" s="28"/>
      <c r="AF433" s="99"/>
    </row>
    <row r="434" spans="1:32" x14ac:dyDescent="0.3">
      <c r="A434" s="21">
        <v>9001</v>
      </c>
      <c r="B434" s="22" t="s">
        <v>153</v>
      </c>
      <c r="C434" s="36">
        <v>40</v>
      </c>
      <c r="D434" s="36">
        <v>40</v>
      </c>
      <c r="E434" s="37">
        <v>40</v>
      </c>
      <c r="F434" s="37">
        <v>40</v>
      </c>
      <c r="G434" s="37">
        <v>40</v>
      </c>
      <c r="H434" s="37">
        <v>40</v>
      </c>
      <c r="I434" s="37">
        <v>40</v>
      </c>
      <c r="J434" s="37">
        <v>40</v>
      </c>
      <c r="K434" s="16"/>
      <c r="L434" s="84">
        <v>57</v>
      </c>
      <c r="M434" s="84">
        <v>1715</v>
      </c>
      <c r="N434" s="84">
        <v>1801</v>
      </c>
      <c r="O434" s="84">
        <f t="shared" ref="O434:O449" si="256">SUM(L434:N434)</f>
        <v>3573</v>
      </c>
      <c r="P434" s="26">
        <v>895</v>
      </c>
      <c r="Q434" s="26">
        <v>2835</v>
      </c>
      <c r="R434" s="84">
        <f t="shared" ref="R434:R449" si="257">SUM(P434:Q434)</f>
        <v>3730</v>
      </c>
      <c r="S434" s="27">
        <v>3887</v>
      </c>
      <c r="T434" s="27">
        <v>4044</v>
      </c>
      <c r="U434" s="27">
        <v>4201</v>
      </c>
      <c r="V434" s="16"/>
      <c r="W434" s="28">
        <f t="shared" ref="W434:W449" si="258">L434*C434</f>
        <v>2280</v>
      </c>
      <c r="X434" s="28">
        <f t="shared" ref="X434:X449" si="259">M434*D434</f>
        <v>68600</v>
      </c>
      <c r="Y434" s="28">
        <f t="shared" ref="Y434:Y449" si="260">N434*E434</f>
        <v>72040</v>
      </c>
      <c r="Z434" s="28">
        <f t="shared" ref="Z434:Z450" si="261">W434+X434+Y434</f>
        <v>142920</v>
      </c>
      <c r="AA434" s="28">
        <f t="shared" ref="AA434:AA449" si="262">F434*P434</f>
        <v>35800</v>
      </c>
      <c r="AB434" s="28">
        <f t="shared" ref="AB434:AB449" si="263">G434*Q434</f>
        <v>113400</v>
      </c>
      <c r="AC434" s="28">
        <f>SUM(AA434:AB434)</f>
        <v>149200</v>
      </c>
      <c r="AD434" s="77">
        <f t="shared" ref="AD434:AD449" si="264">H434*S434</f>
        <v>155480</v>
      </c>
      <c r="AE434" s="77">
        <f t="shared" ref="AE434:AE449" si="265">I434*T434</f>
        <v>161760</v>
      </c>
      <c r="AF434" s="99">
        <f t="shared" ref="AF434:AF449" si="266">J434*U434</f>
        <v>168040</v>
      </c>
    </row>
    <row r="435" spans="1:32" x14ac:dyDescent="0.3">
      <c r="A435" s="21">
        <v>9010</v>
      </c>
      <c r="B435" s="22" t="s">
        <v>154</v>
      </c>
      <c r="C435" s="36">
        <v>200</v>
      </c>
      <c r="D435" s="36">
        <v>200</v>
      </c>
      <c r="E435" s="37">
        <v>200</v>
      </c>
      <c r="F435" s="37">
        <v>200</v>
      </c>
      <c r="G435" s="37">
        <v>200</v>
      </c>
      <c r="H435" s="37">
        <v>200</v>
      </c>
      <c r="I435" s="37">
        <v>200</v>
      </c>
      <c r="J435" s="37">
        <v>200</v>
      </c>
      <c r="K435" s="16"/>
      <c r="L435" s="84">
        <v>54</v>
      </c>
      <c r="M435" s="84">
        <v>1612</v>
      </c>
      <c r="N435" s="84">
        <v>1693</v>
      </c>
      <c r="O435" s="84">
        <f t="shared" si="256"/>
        <v>3359</v>
      </c>
      <c r="P435" s="26">
        <v>842</v>
      </c>
      <c r="Q435" s="26">
        <v>2665</v>
      </c>
      <c r="R435" s="84">
        <f t="shared" si="257"/>
        <v>3507</v>
      </c>
      <c r="S435" s="27">
        <v>3654</v>
      </c>
      <c r="T435" s="27">
        <v>3802</v>
      </c>
      <c r="U435" s="27">
        <v>3950</v>
      </c>
      <c r="V435" s="16"/>
      <c r="W435" s="28">
        <f t="shared" si="258"/>
        <v>10800</v>
      </c>
      <c r="X435" s="28">
        <f t="shared" si="259"/>
        <v>322400</v>
      </c>
      <c r="Y435" s="28">
        <f t="shared" si="260"/>
        <v>338600</v>
      </c>
      <c r="Z435" s="28">
        <f t="shared" si="261"/>
        <v>671800</v>
      </c>
      <c r="AA435" s="28">
        <f t="shared" si="262"/>
        <v>168400</v>
      </c>
      <c r="AB435" s="28">
        <f t="shared" si="263"/>
        <v>533000</v>
      </c>
      <c r="AC435" s="28">
        <f t="shared" ref="AC435:AC440" si="267">SUM(AA435:AB435)</f>
        <v>701400</v>
      </c>
      <c r="AD435" s="77">
        <f t="shared" si="264"/>
        <v>730800</v>
      </c>
      <c r="AE435" s="77">
        <f t="shared" si="265"/>
        <v>760400</v>
      </c>
      <c r="AF435" s="99">
        <f t="shared" si="266"/>
        <v>790000</v>
      </c>
    </row>
    <row r="436" spans="1:32" x14ac:dyDescent="0.3">
      <c r="A436" s="21">
        <v>9011</v>
      </c>
      <c r="B436" s="22" t="s">
        <v>155</v>
      </c>
      <c r="C436" s="36">
        <v>450</v>
      </c>
      <c r="D436" s="36">
        <v>450</v>
      </c>
      <c r="E436" s="37">
        <v>450</v>
      </c>
      <c r="F436" s="37">
        <v>450</v>
      </c>
      <c r="G436" s="37">
        <v>450</v>
      </c>
      <c r="H436" s="37">
        <v>450</v>
      </c>
      <c r="I436" s="37">
        <v>450</v>
      </c>
      <c r="J436" s="37">
        <v>450</v>
      </c>
      <c r="K436" s="16"/>
      <c r="L436" s="84">
        <v>0</v>
      </c>
      <c r="M436" s="84">
        <v>0</v>
      </c>
      <c r="N436" s="84">
        <v>0</v>
      </c>
      <c r="O436" s="84">
        <f t="shared" si="256"/>
        <v>0</v>
      </c>
      <c r="P436" s="26">
        <v>0</v>
      </c>
      <c r="Q436" s="26">
        <v>0</v>
      </c>
      <c r="R436" s="84">
        <f t="shared" si="257"/>
        <v>0</v>
      </c>
      <c r="S436" s="27">
        <v>0</v>
      </c>
      <c r="T436" s="27">
        <v>0</v>
      </c>
      <c r="U436" s="27">
        <v>0</v>
      </c>
      <c r="V436" s="16"/>
      <c r="W436" s="28">
        <f t="shared" si="258"/>
        <v>0</v>
      </c>
      <c r="X436" s="28">
        <f t="shared" si="259"/>
        <v>0</v>
      </c>
      <c r="Y436" s="28">
        <f t="shared" si="260"/>
        <v>0</v>
      </c>
      <c r="Z436" s="28">
        <f t="shared" si="261"/>
        <v>0</v>
      </c>
      <c r="AA436" s="28">
        <f t="shared" si="262"/>
        <v>0</v>
      </c>
      <c r="AB436" s="28">
        <f t="shared" si="263"/>
        <v>0</v>
      </c>
      <c r="AC436" s="28">
        <f t="shared" si="267"/>
        <v>0</v>
      </c>
      <c r="AD436" s="77">
        <f t="shared" si="264"/>
        <v>0</v>
      </c>
      <c r="AE436" s="77">
        <f t="shared" si="265"/>
        <v>0</v>
      </c>
      <c r="AF436" s="99">
        <f t="shared" si="266"/>
        <v>0</v>
      </c>
    </row>
    <row r="437" spans="1:32" x14ac:dyDescent="0.3">
      <c r="A437" s="21">
        <v>9003</v>
      </c>
      <c r="B437" s="22" t="s">
        <v>156</v>
      </c>
      <c r="C437" s="36">
        <v>100</v>
      </c>
      <c r="D437" s="36">
        <v>100</v>
      </c>
      <c r="E437" s="37">
        <v>100</v>
      </c>
      <c r="F437" s="37">
        <v>100</v>
      </c>
      <c r="G437" s="37">
        <v>100</v>
      </c>
      <c r="H437" s="37">
        <v>100</v>
      </c>
      <c r="I437" s="37">
        <v>100</v>
      </c>
      <c r="J437" s="37">
        <v>100</v>
      </c>
      <c r="K437" s="16"/>
      <c r="L437" s="84">
        <v>32</v>
      </c>
      <c r="M437" s="84">
        <v>960</v>
      </c>
      <c r="N437" s="84">
        <v>1008</v>
      </c>
      <c r="O437" s="84">
        <f t="shared" si="256"/>
        <v>2000</v>
      </c>
      <c r="P437" s="26">
        <v>480</v>
      </c>
      <c r="Q437" s="26">
        <v>1520</v>
      </c>
      <c r="R437" s="84">
        <f t="shared" si="257"/>
        <v>2000</v>
      </c>
      <c r="S437" s="27">
        <v>2000</v>
      </c>
      <c r="T437" s="27">
        <v>2000</v>
      </c>
      <c r="U437" s="27">
        <v>2000</v>
      </c>
      <c r="V437" s="16"/>
      <c r="W437" s="28">
        <f t="shared" si="258"/>
        <v>3200</v>
      </c>
      <c r="X437" s="28">
        <f t="shared" si="259"/>
        <v>96000</v>
      </c>
      <c r="Y437" s="28">
        <f t="shared" si="260"/>
        <v>100800</v>
      </c>
      <c r="Z437" s="28">
        <f t="shared" si="261"/>
        <v>200000</v>
      </c>
      <c r="AA437" s="28">
        <f t="shared" si="262"/>
        <v>48000</v>
      </c>
      <c r="AB437" s="28">
        <f t="shared" si="263"/>
        <v>152000</v>
      </c>
      <c r="AC437" s="28">
        <f t="shared" si="267"/>
        <v>200000</v>
      </c>
      <c r="AD437" s="77">
        <f t="shared" si="264"/>
        <v>200000</v>
      </c>
      <c r="AE437" s="77">
        <f t="shared" si="265"/>
        <v>200000</v>
      </c>
      <c r="AF437" s="99">
        <f t="shared" si="266"/>
        <v>200000</v>
      </c>
    </row>
    <row r="438" spans="1:32" x14ac:dyDescent="0.3">
      <c r="A438" s="21">
        <v>9004</v>
      </c>
      <c r="B438" s="22" t="s">
        <v>157</v>
      </c>
      <c r="C438" s="36">
        <v>100</v>
      </c>
      <c r="D438" s="36">
        <v>100</v>
      </c>
      <c r="E438" s="37">
        <v>100</v>
      </c>
      <c r="F438" s="37">
        <v>100</v>
      </c>
      <c r="G438" s="37">
        <v>100</v>
      </c>
      <c r="H438" s="37">
        <v>100</v>
      </c>
      <c r="I438" s="37">
        <v>100</v>
      </c>
      <c r="J438" s="37">
        <v>100</v>
      </c>
      <c r="K438" s="16"/>
      <c r="L438" s="84">
        <v>0</v>
      </c>
      <c r="M438" s="84">
        <v>11</v>
      </c>
      <c r="N438" s="84">
        <v>11</v>
      </c>
      <c r="O438" s="84">
        <f t="shared" si="256"/>
        <v>22</v>
      </c>
      <c r="P438" s="26">
        <v>5</v>
      </c>
      <c r="Q438" s="26">
        <v>17</v>
      </c>
      <c r="R438" s="84">
        <f t="shared" si="257"/>
        <v>22</v>
      </c>
      <c r="S438" s="27">
        <v>22</v>
      </c>
      <c r="T438" s="27">
        <v>22</v>
      </c>
      <c r="U438" s="27">
        <v>22</v>
      </c>
      <c r="V438" s="16"/>
      <c r="W438" s="28">
        <f t="shared" si="258"/>
        <v>0</v>
      </c>
      <c r="X438" s="28">
        <f t="shared" si="259"/>
        <v>1100</v>
      </c>
      <c r="Y438" s="28">
        <f t="shared" si="260"/>
        <v>1100</v>
      </c>
      <c r="Z438" s="28">
        <f t="shared" si="261"/>
        <v>2200</v>
      </c>
      <c r="AA438" s="28">
        <f t="shared" si="262"/>
        <v>500</v>
      </c>
      <c r="AB438" s="28">
        <f t="shared" si="263"/>
        <v>1700</v>
      </c>
      <c r="AC438" s="28">
        <f t="shared" si="267"/>
        <v>2200</v>
      </c>
      <c r="AD438" s="77">
        <f t="shared" si="264"/>
        <v>2200</v>
      </c>
      <c r="AE438" s="77">
        <f t="shared" si="265"/>
        <v>2200</v>
      </c>
      <c r="AF438" s="99">
        <f t="shared" si="266"/>
        <v>2200</v>
      </c>
    </row>
    <row r="439" spans="1:32" x14ac:dyDescent="0.3">
      <c r="A439" s="21">
        <v>9005</v>
      </c>
      <c r="B439" s="22" t="s">
        <v>158</v>
      </c>
      <c r="C439" s="36">
        <v>10</v>
      </c>
      <c r="D439" s="36">
        <v>10</v>
      </c>
      <c r="E439" s="37">
        <v>10</v>
      </c>
      <c r="F439" s="37">
        <v>10</v>
      </c>
      <c r="G439" s="37">
        <v>10</v>
      </c>
      <c r="H439" s="37">
        <v>10</v>
      </c>
      <c r="I439" s="37">
        <v>10</v>
      </c>
      <c r="J439" s="37">
        <v>10</v>
      </c>
      <c r="K439" s="16"/>
      <c r="L439" s="84">
        <v>6</v>
      </c>
      <c r="M439" s="84">
        <v>167</v>
      </c>
      <c r="N439" s="84">
        <v>175</v>
      </c>
      <c r="O439" s="84">
        <f t="shared" si="256"/>
        <v>348</v>
      </c>
      <c r="P439" s="26">
        <v>84</v>
      </c>
      <c r="Q439" s="26">
        <v>264</v>
      </c>
      <c r="R439" s="84">
        <f t="shared" si="257"/>
        <v>348</v>
      </c>
      <c r="S439" s="27">
        <v>348</v>
      </c>
      <c r="T439" s="27">
        <v>348</v>
      </c>
      <c r="U439" s="27">
        <v>348</v>
      </c>
      <c r="V439" s="16"/>
      <c r="W439" s="28">
        <f t="shared" si="258"/>
        <v>60</v>
      </c>
      <c r="X439" s="28">
        <f t="shared" si="259"/>
        <v>1670</v>
      </c>
      <c r="Y439" s="28">
        <f t="shared" si="260"/>
        <v>1750</v>
      </c>
      <c r="Z439" s="28">
        <f t="shared" si="261"/>
        <v>3480</v>
      </c>
      <c r="AA439" s="28">
        <f t="shared" si="262"/>
        <v>840</v>
      </c>
      <c r="AB439" s="28">
        <f t="shared" si="263"/>
        <v>2640</v>
      </c>
      <c r="AC439" s="28">
        <f t="shared" si="267"/>
        <v>3480</v>
      </c>
      <c r="AD439" s="77">
        <f t="shared" si="264"/>
        <v>3480</v>
      </c>
      <c r="AE439" s="77">
        <f t="shared" si="265"/>
        <v>3480</v>
      </c>
      <c r="AF439" s="99">
        <f t="shared" si="266"/>
        <v>3480</v>
      </c>
    </row>
    <row r="440" spans="1:32" x14ac:dyDescent="0.3">
      <c r="A440" s="21">
        <v>9006</v>
      </c>
      <c r="B440" s="22" t="s">
        <v>159</v>
      </c>
      <c r="C440" s="36">
        <v>20</v>
      </c>
      <c r="D440" s="36">
        <v>20</v>
      </c>
      <c r="E440" s="37">
        <v>20</v>
      </c>
      <c r="F440" s="37">
        <v>20</v>
      </c>
      <c r="G440" s="37">
        <v>20</v>
      </c>
      <c r="H440" s="37">
        <v>20</v>
      </c>
      <c r="I440" s="37">
        <v>20</v>
      </c>
      <c r="J440" s="37">
        <v>20</v>
      </c>
      <c r="K440" s="16"/>
      <c r="L440" s="84">
        <v>0</v>
      </c>
      <c r="M440" s="84">
        <v>12</v>
      </c>
      <c r="N440" s="84">
        <v>13</v>
      </c>
      <c r="O440" s="84">
        <f t="shared" si="256"/>
        <v>25</v>
      </c>
      <c r="P440" s="26">
        <v>6</v>
      </c>
      <c r="Q440" s="26">
        <v>19</v>
      </c>
      <c r="R440" s="84">
        <f t="shared" si="257"/>
        <v>25</v>
      </c>
      <c r="S440" s="27">
        <v>25</v>
      </c>
      <c r="T440" s="27">
        <v>25</v>
      </c>
      <c r="U440" s="27">
        <v>25</v>
      </c>
      <c r="V440" s="16"/>
      <c r="W440" s="28">
        <f t="shared" si="258"/>
        <v>0</v>
      </c>
      <c r="X440" s="28">
        <f t="shared" si="259"/>
        <v>240</v>
      </c>
      <c r="Y440" s="28">
        <f t="shared" si="260"/>
        <v>260</v>
      </c>
      <c r="Z440" s="28">
        <f t="shared" si="261"/>
        <v>500</v>
      </c>
      <c r="AA440" s="28">
        <f t="shared" si="262"/>
        <v>120</v>
      </c>
      <c r="AB440" s="28">
        <f t="shared" si="263"/>
        <v>380</v>
      </c>
      <c r="AC440" s="28">
        <f t="shared" si="267"/>
        <v>500</v>
      </c>
      <c r="AD440" s="77">
        <f t="shared" si="264"/>
        <v>500</v>
      </c>
      <c r="AE440" s="77">
        <f t="shared" si="265"/>
        <v>500</v>
      </c>
      <c r="AF440" s="99">
        <f t="shared" si="266"/>
        <v>500</v>
      </c>
    </row>
    <row r="441" spans="1:32" x14ac:dyDescent="0.3">
      <c r="A441" s="21">
        <v>9012</v>
      </c>
      <c r="B441" s="22" t="s">
        <v>160</v>
      </c>
      <c r="C441" s="36">
        <v>130</v>
      </c>
      <c r="D441" s="36">
        <v>130</v>
      </c>
      <c r="E441" s="37">
        <v>130</v>
      </c>
      <c r="F441" s="37">
        <v>130</v>
      </c>
      <c r="G441" s="37">
        <v>130</v>
      </c>
      <c r="H441" s="37">
        <v>130</v>
      </c>
      <c r="I441" s="37">
        <v>130</v>
      </c>
      <c r="J441" s="37">
        <v>130</v>
      </c>
      <c r="K441" s="16"/>
      <c r="L441" s="84">
        <v>0</v>
      </c>
      <c r="M441" s="84">
        <v>6</v>
      </c>
      <c r="N441" s="84">
        <v>6</v>
      </c>
      <c r="O441" s="84">
        <f t="shared" si="256"/>
        <v>12</v>
      </c>
      <c r="P441" s="26">
        <v>3</v>
      </c>
      <c r="Q441" s="26">
        <v>10</v>
      </c>
      <c r="R441" s="84">
        <f t="shared" si="257"/>
        <v>13</v>
      </c>
      <c r="S441" s="27">
        <v>15</v>
      </c>
      <c r="T441" s="27">
        <v>18</v>
      </c>
      <c r="U441" s="27">
        <v>20</v>
      </c>
      <c r="V441" s="16"/>
      <c r="W441" s="28">
        <f t="shared" si="258"/>
        <v>0</v>
      </c>
      <c r="X441" s="28">
        <f t="shared" si="259"/>
        <v>780</v>
      </c>
      <c r="Y441" s="28">
        <f t="shared" si="260"/>
        <v>780</v>
      </c>
      <c r="Z441" s="28">
        <f t="shared" si="261"/>
        <v>1560</v>
      </c>
      <c r="AA441" s="28">
        <f t="shared" si="262"/>
        <v>390</v>
      </c>
      <c r="AB441" s="28">
        <f t="shared" si="263"/>
        <v>1300</v>
      </c>
      <c r="AC441" s="28">
        <f t="shared" ref="AC441:AC448" si="268">SUM(AA441:AB441)</f>
        <v>1690</v>
      </c>
      <c r="AD441" s="77">
        <f t="shared" si="264"/>
        <v>1950</v>
      </c>
      <c r="AE441" s="77">
        <f t="shared" si="265"/>
        <v>2340</v>
      </c>
      <c r="AF441" s="99">
        <f t="shared" si="266"/>
        <v>2600</v>
      </c>
    </row>
    <row r="442" spans="1:32" x14ac:dyDescent="0.3">
      <c r="A442" s="21">
        <v>9013</v>
      </c>
      <c r="B442" s="22" t="s">
        <v>161</v>
      </c>
      <c r="C442" s="36">
        <v>130</v>
      </c>
      <c r="D442" s="36">
        <v>130</v>
      </c>
      <c r="E442" s="37">
        <v>130</v>
      </c>
      <c r="F442" s="37">
        <v>130</v>
      </c>
      <c r="G442" s="37">
        <v>130</v>
      </c>
      <c r="H442" s="37">
        <v>130</v>
      </c>
      <c r="I442" s="37">
        <v>130</v>
      </c>
      <c r="J442" s="37">
        <v>130</v>
      </c>
      <c r="K442" s="16"/>
      <c r="L442" s="84">
        <v>0</v>
      </c>
      <c r="M442" s="84">
        <v>3</v>
      </c>
      <c r="N442" s="84">
        <v>3</v>
      </c>
      <c r="O442" s="84">
        <f t="shared" si="256"/>
        <v>6</v>
      </c>
      <c r="P442" s="26">
        <v>2</v>
      </c>
      <c r="Q442" s="26">
        <v>7</v>
      </c>
      <c r="R442" s="84">
        <f t="shared" si="257"/>
        <v>9</v>
      </c>
      <c r="S442" s="27">
        <v>9</v>
      </c>
      <c r="T442" s="27">
        <v>9</v>
      </c>
      <c r="U442" s="27">
        <v>9</v>
      </c>
      <c r="V442" s="16"/>
      <c r="W442" s="28">
        <f t="shared" si="258"/>
        <v>0</v>
      </c>
      <c r="X442" s="28">
        <f t="shared" si="259"/>
        <v>390</v>
      </c>
      <c r="Y442" s="28">
        <f t="shared" si="260"/>
        <v>390</v>
      </c>
      <c r="Z442" s="28">
        <f t="shared" si="261"/>
        <v>780</v>
      </c>
      <c r="AA442" s="28">
        <f t="shared" si="262"/>
        <v>260</v>
      </c>
      <c r="AB442" s="28">
        <f t="shared" si="263"/>
        <v>910</v>
      </c>
      <c r="AC442" s="28">
        <f t="shared" si="268"/>
        <v>1170</v>
      </c>
      <c r="AD442" s="77">
        <f t="shared" si="264"/>
        <v>1170</v>
      </c>
      <c r="AE442" s="77">
        <f t="shared" si="265"/>
        <v>1170</v>
      </c>
      <c r="AF442" s="99">
        <f t="shared" si="266"/>
        <v>1170</v>
      </c>
    </row>
    <row r="443" spans="1:32" x14ac:dyDescent="0.3">
      <c r="A443" s="21">
        <v>9015</v>
      </c>
      <c r="B443" s="22" t="s">
        <v>162</v>
      </c>
      <c r="C443" s="36">
        <v>118</v>
      </c>
      <c r="D443" s="36">
        <v>118</v>
      </c>
      <c r="E443" s="37">
        <v>120</v>
      </c>
      <c r="F443" s="37">
        <v>120</v>
      </c>
      <c r="G443" s="37">
        <v>120</v>
      </c>
      <c r="H443" s="37">
        <v>120</v>
      </c>
      <c r="I443" s="37">
        <v>120</v>
      </c>
      <c r="J443" s="37">
        <v>120</v>
      </c>
      <c r="K443" s="16"/>
      <c r="L443" s="84">
        <v>0</v>
      </c>
      <c r="M443" s="84">
        <v>0</v>
      </c>
      <c r="N443" s="84">
        <v>0</v>
      </c>
      <c r="O443" s="84">
        <f t="shared" si="256"/>
        <v>0</v>
      </c>
      <c r="P443" s="26">
        <v>0</v>
      </c>
      <c r="Q443" s="26">
        <v>0</v>
      </c>
      <c r="R443" s="84">
        <f t="shared" si="257"/>
        <v>0</v>
      </c>
      <c r="S443" s="27">
        <v>0</v>
      </c>
      <c r="T443" s="27">
        <v>0</v>
      </c>
      <c r="U443" s="27">
        <v>0</v>
      </c>
      <c r="V443" s="16"/>
      <c r="W443" s="28">
        <f t="shared" si="258"/>
        <v>0</v>
      </c>
      <c r="X443" s="28">
        <f t="shared" si="259"/>
        <v>0</v>
      </c>
      <c r="Y443" s="28">
        <f t="shared" si="260"/>
        <v>0</v>
      </c>
      <c r="Z443" s="28">
        <f t="shared" si="261"/>
        <v>0</v>
      </c>
      <c r="AA443" s="28">
        <f t="shared" si="262"/>
        <v>0</v>
      </c>
      <c r="AB443" s="28">
        <f t="shared" si="263"/>
        <v>0</v>
      </c>
      <c r="AC443" s="28">
        <f t="shared" si="268"/>
        <v>0</v>
      </c>
      <c r="AD443" s="77">
        <f t="shared" si="264"/>
        <v>0</v>
      </c>
      <c r="AE443" s="77">
        <f t="shared" si="265"/>
        <v>0</v>
      </c>
      <c r="AF443" s="99">
        <f t="shared" si="266"/>
        <v>0</v>
      </c>
    </row>
    <row r="444" spans="1:32" x14ac:dyDescent="0.3">
      <c r="A444" s="21">
        <v>9016</v>
      </c>
      <c r="B444" s="22" t="s">
        <v>163</v>
      </c>
      <c r="C444" s="36">
        <v>25</v>
      </c>
      <c r="D444" s="36">
        <v>25</v>
      </c>
      <c r="E444" s="37">
        <v>25</v>
      </c>
      <c r="F444" s="37">
        <v>25</v>
      </c>
      <c r="G444" s="37">
        <v>25</v>
      </c>
      <c r="H444" s="37">
        <v>25</v>
      </c>
      <c r="I444" s="37">
        <v>25</v>
      </c>
      <c r="J444" s="37">
        <v>25</v>
      </c>
      <c r="K444" s="16"/>
      <c r="L444" s="84">
        <v>0</v>
      </c>
      <c r="M444" s="84">
        <v>0</v>
      </c>
      <c r="N444" s="84">
        <v>0</v>
      </c>
      <c r="O444" s="84">
        <f t="shared" si="256"/>
        <v>0</v>
      </c>
      <c r="P444" s="26">
        <v>0</v>
      </c>
      <c r="Q444" s="26">
        <v>0</v>
      </c>
      <c r="R444" s="84">
        <f t="shared" si="257"/>
        <v>0</v>
      </c>
      <c r="S444" s="27">
        <v>0</v>
      </c>
      <c r="T444" s="27">
        <v>0</v>
      </c>
      <c r="U444" s="27">
        <v>0</v>
      </c>
      <c r="V444" s="16"/>
      <c r="W444" s="28">
        <f t="shared" si="258"/>
        <v>0</v>
      </c>
      <c r="X444" s="28">
        <f t="shared" si="259"/>
        <v>0</v>
      </c>
      <c r="Y444" s="28">
        <f t="shared" si="260"/>
        <v>0</v>
      </c>
      <c r="Z444" s="28">
        <f t="shared" si="261"/>
        <v>0</v>
      </c>
      <c r="AA444" s="28">
        <f t="shared" si="262"/>
        <v>0</v>
      </c>
      <c r="AB444" s="28">
        <f t="shared" si="263"/>
        <v>0</v>
      </c>
      <c r="AC444" s="28">
        <f t="shared" si="268"/>
        <v>0</v>
      </c>
      <c r="AD444" s="77">
        <f t="shared" si="264"/>
        <v>0</v>
      </c>
      <c r="AE444" s="77">
        <f t="shared" si="265"/>
        <v>0</v>
      </c>
      <c r="AF444" s="99">
        <f t="shared" si="266"/>
        <v>0</v>
      </c>
    </row>
    <row r="445" spans="1:32" x14ac:dyDescent="0.3">
      <c r="A445" s="21">
        <v>9017</v>
      </c>
      <c r="B445" s="22" t="s">
        <v>164</v>
      </c>
      <c r="C445" s="36">
        <v>50</v>
      </c>
      <c r="D445" s="36">
        <v>50</v>
      </c>
      <c r="E445" s="37">
        <v>50</v>
      </c>
      <c r="F445" s="37">
        <v>50</v>
      </c>
      <c r="G445" s="37">
        <v>50</v>
      </c>
      <c r="H445" s="37">
        <v>50</v>
      </c>
      <c r="I445" s="37">
        <v>50</v>
      </c>
      <c r="J445" s="37">
        <v>50</v>
      </c>
      <c r="K445" s="16"/>
      <c r="L445" s="84">
        <v>0</v>
      </c>
      <c r="M445" s="84">
        <v>0</v>
      </c>
      <c r="N445" s="84">
        <v>0</v>
      </c>
      <c r="O445" s="84">
        <f t="shared" si="256"/>
        <v>0</v>
      </c>
      <c r="P445" s="26">
        <v>0</v>
      </c>
      <c r="Q445" s="26">
        <v>0</v>
      </c>
      <c r="R445" s="84">
        <f t="shared" si="257"/>
        <v>0</v>
      </c>
      <c r="S445" s="27">
        <v>0</v>
      </c>
      <c r="T445" s="27">
        <v>0</v>
      </c>
      <c r="U445" s="27">
        <v>0</v>
      </c>
      <c r="V445" s="16"/>
      <c r="W445" s="28">
        <f t="shared" si="258"/>
        <v>0</v>
      </c>
      <c r="X445" s="28">
        <f t="shared" si="259"/>
        <v>0</v>
      </c>
      <c r="Y445" s="28">
        <f t="shared" si="260"/>
        <v>0</v>
      </c>
      <c r="Z445" s="28">
        <f t="shared" si="261"/>
        <v>0</v>
      </c>
      <c r="AA445" s="28">
        <f t="shared" si="262"/>
        <v>0</v>
      </c>
      <c r="AB445" s="28">
        <f t="shared" si="263"/>
        <v>0</v>
      </c>
      <c r="AC445" s="28">
        <f t="shared" si="268"/>
        <v>0</v>
      </c>
      <c r="AD445" s="77">
        <f t="shared" si="264"/>
        <v>0</v>
      </c>
      <c r="AE445" s="77">
        <f t="shared" si="265"/>
        <v>0</v>
      </c>
      <c r="AF445" s="99">
        <f t="shared" si="266"/>
        <v>0</v>
      </c>
    </row>
    <row r="446" spans="1:32" x14ac:dyDescent="0.3">
      <c r="A446" s="21">
        <v>9018</v>
      </c>
      <c r="B446" s="22" t="s">
        <v>165</v>
      </c>
      <c r="C446" s="36">
        <v>93</v>
      </c>
      <c r="D446" s="36">
        <v>93</v>
      </c>
      <c r="E446" s="37">
        <v>100</v>
      </c>
      <c r="F446" s="37">
        <v>100</v>
      </c>
      <c r="G446" s="37">
        <v>100</v>
      </c>
      <c r="H446" s="37">
        <v>100</v>
      </c>
      <c r="I446" s="37">
        <v>100</v>
      </c>
      <c r="J446" s="37">
        <v>100</v>
      </c>
      <c r="K446" s="16"/>
      <c r="L446" s="84">
        <v>0</v>
      </c>
      <c r="M446" s="84">
        <v>0</v>
      </c>
      <c r="N446" s="84">
        <v>0</v>
      </c>
      <c r="O446" s="84">
        <f t="shared" si="256"/>
        <v>0</v>
      </c>
      <c r="P446" s="26">
        <v>0</v>
      </c>
      <c r="Q446" s="26">
        <v>0</v>
      </c>
      <c r="R446" s="84">
        <f t="shared" si="257"/>
        <v>0</v>
      </c>
      <c r="S446" s="27">
        <v>0</v>
      </c>
      <c r="T446" s="27">
        <v>0</v>
      </c>
      <c r="U446" s="27">
        <v>0</v>
      </c>
      <c r="V446" s="16"/>
      <c r="W446" s="77">
        <f t="shared" si="258"/>
        <v>0</v>
      </c>
      <c r="X446" s="77">
        <f t="shared" si="259"/>
        <v>0</v>
      </c>
      <c r="Y446" s="28">
        <f t="shared" si="260"/>
        <v>0</v>
      </c>
      <c r="Z446" s="28">
        <f t="shared" si="261"/>
        <v>0</v>
      </c>
      <c r="AA446" s="28">
        <f t="shared" si="262"/>
        <v>0</v>
      </c>
      <c r="AB446" s="28">
        <f t="shared" si="263"/>
        <v>0</v>
      </c>
      <c r="AC446" s="28">
        <f t="shared" si="268"/>
        <v>0</v>
      </c>
      <c r="AD446" s="28">
        <f t="shared" si="264"/>
        <v>0</v>
      </c>
      <c r="AE446" s="28">
        <f t="shared" si="265"/>
        <v>0</v>
      </c>
      <c r="AF446" s="99">
        <f t="shared" si="266"/>
        <v>0</v>
      </c>
    </row>
    <row r="447" spans="1:32" x14ac:dyDescent="0.3">
      <c r="A447" s="21">
        <v>9019</v>
      </c>
      <c r="B447" s="22" t="s">
        <v>166</v>
      </c>
      <c r="C447" s="36">
        <v>118</v>
      </c>
      <c r="D447" s="36">
        <v>118</v>
      </c>
      <c r="E447" s="37">
        <v>120</v>
      </c>
      <c r="F447" s="37">
        <v>120</v>
      </c>
      <c r="G447" s="37">
        <v>120</v>
      </c>
      <c r="H447" s="37">
        <v>120</v>
      </c>
      <c r="I447" s="37">
        <v>120</v>
      </c>
      <c r="J447" s="37">
        <v>120</v>
      </c>
      <c r="K447" s="16"/>
      <c r="L447" s="84">
        <v>0</v>
      </c>
      <c r="M447" s="84">
        <v>0</v>
      </c>
      <c r="N447" s="84">
        <v>0</v>
      </c>
      <c r="O447" s="84">
        <f t="shared" si="256"/>
        <v>0</v>
      </c>
      <c r="P447" s="26">
        <v>0</v>
      </c>
      <c r="Q447" s="26">
        <v>0</v>
      </c>
      <c r="R447" s="84">
        <f t="shared" si="257"/>
        <v>0</v>
      </c>
      <c r="S447" s="27">
        <v>0</v>
      </c>
      <c r="T447" s="27">
        <v>0</v>
      </c>
      <c r="U447" s="27">
        <v>0</v>
      </c>
      <c r="V447" s="16"/>
      <c r="W447" s="28">
        <f t="shared" si="258"/>
        <v>0</v>
      </c>
      <c r="X447" s="28">
        <f t="shared" si="259"/>
        <v>0</v>
      </c>
      <c r="Y447" s="28">
        <f t="shared" si="260"/>
        <v>0</v>
      </c>
      <c r="Z447" s="28">
        <f t="shared" si="261"/>
        <v>0</v>
      </c>
      <c r="AA447" s="28">
        <f t="shared" si="262"/>
        <v>0</v>
      </c>
      <c r="AB447" s="28">
        <f t="shared" si="263"/>
        <v>0</v>
      </c>
      <c r="AC447" s="28">
        <f t="shared" si="268"/>
        <v>0</v>
      </c>
      <c r="AD447" s="77">
        <f t="shared" si="264"/>
        <v>0</v>
      </c>
      <c r="AE447" s="77">
        <f t="shared" si="265"/>
        <v>0</v>
      </c>
      <c r="AF447" s="99">
        <f t="shared" si="266"/>
        <v>0</v>
      </c>
    </row>
    <row r="448" spans="1:32" x14ac:dyDescent="0.3">
      <c r="A448" s="21">
        <v>9020</v>
      </c>
      <c r="B448" s="22" t="s">
        <v>167</v>
      </c>
      <c r="C448" s="36">
        <v>50</v>
      </c>
      <c r="D448" s="36">
        <v>50</v>
      </c>
      <c r="E448" s="37">
        <v>50</v>
      </c>
      <c r="F448" s="37">
        <v>50</v>
      </c>
      <c r="G448" s="37">
        <v>50</v>
      </c>
      <c r="H448" s="37">
        <v>50</v>
      </c>
      <c r="I448" s="37">
        <v>50</v>
      </c>
      <c r="J448" s="37">
        <v>50</v>
      </c>
      <c r="K448" s="16"/>
      <c r="L448" s="84">
        <v>0</v>
      </c>
      <c r="M448" s="84">
        <v>0</v>
      </c>
      <c r="N448" s="84">
        <v>0</v>
      </c>
      <c r="O448" s="84">
        <f t="shared" si="256"/>
        <v>0</v>
      </c>
      <c r="P448" s="26">
        <v>0</v>
      </c>
      <c r="Q448" s="26">
        <v>0</v>
      </c>
      <c r="R448" s="84">
        <f t="shared" si="257"/>
        <v>0</v>
      </c>
      <c r="S448" s="27">
        <v>0</v>
      </c>
      <c r="T448" s="27">
        <v>0</v>
      </c>
      <c r="U448" s="27">
        <v>0</v>
      </c>
      <c r="V448" s="16"/>
      <c r="W448" s="77">
        <f t="shared" si="258"/>
        <v>0</v>
      </c>
      <c r="X448" s="77">
        <f t="shared" si="259"/>
        <v>0</v>
      </c>
      <c r="Y448" s="28">
        <f t="shared" si="260"/>
        <v>0</v>
      </c>
      <c r="Z448" s="28">
        <f t="shared" si="261"/>
        <v>0</v>
      </c>
      <c r="AA448" s="28">
        <f t="shared" si="262"/>
        <v>0</v>
      </c>
      <c r="AB448" s="28">
        <f t="shared" si="263"/>
        <v>0</v>
      </c>
      <c r="AC448" s="28">
        <f t="shared" si="268"/>
        <v>0</v>
      </c>
      <c r="AD448" s="28">
        <f t="shared" si="264"/>
        <v>0</v>
      </c>
      <c r="AE448" s="28">
        <f t="shared" si="265"/>
        <v>0</v>
      </c>
      <c r="AF448" s="99">
        <f t="shared" si="266"/>
        <v>0</v>
      </c>
    </row>
    <row r="449" spans="1:32" x14ac:dyDescent="0.3">
      <c r="A449" s="21">
        <v>9014</v>
      </c>
      <c r="B449" s="22" t="s">
        <v>168</v>
      </c>
      <c r="C449" s="36">
        <v>1600</v>
      </c>
      <c r="D449" s="36">
        <v>1600</v>
      </c>
      <c r="E449" s="37">
        <v>1600</v>
      </c>
      <c r="F449" s="37">
        <v>1600</v>
      </c>
      <c r="G449" s="37">
        <v>1600</v>
      </c>
      <c r="H449" s="37">
        <v>1600</v>
      </c>
      <c r="I449" s="37">
        <v>1600</v>
      </c>
      <c r="J449" s="37">
        <v>1600</v>
      </c>
      <c r="K449" s="16"/>
      <c r="L449" s="84">
        <v>0</v>
      </c>
      <c r="M449" s="84">
        <v>6</v>
      </c>
      <c r="N449" s="84">
        <v>7</v>
      </c>
      <c r="O449" s="84">
        <f t="shared" si="256"/>
        <v>13</v>
      </c>
      <c r="P449" s="26">
        <v>3</v>
      </c>
      <c r="Q449" s="26">
        <v>10</v>
      </c>
      <c r="R449" s="84">
        <f t="shared" si="257"/>
        <v>13</v>
      </c>
      <c r="S449" s="27">
        <v>13</v>
      </c>
      <c r="T449" s="27">
        <v>13</v>
      </c>
      <c r="U449" s="27">
        <v>13</v>
      </c>
      <c r="V449" s="16"/>
      <c r="W449" s="77">
        <f t="shared" si="258"/>
        <v>0</v>
      </c>
      <c r="X449" s="77">
        <f t="shared" si="259"/>
        <v>9600</v>
      </c>
      <c r="Y449" s="28">
        <f t="shared" si="260"/>
        <v>11200</v>
      </c>
      <c r="Z449" s="28">
        <f t="shared" si="261"/>
        <v>20800</v>
      </c>
      <c r="AA449" s="28">
        <f t="shared" si="262"/>
        <v>4800</v>
      </c>
      <c r="AB449" s="28">
        <f t="shared" si="263"/>
        <v>16000</v>
      </c>
      <c r="AC449" s="28">
        <f>SUM(AA449:AB449)</f>
        <v>20800</v>
      </c>
      <c r="AD449" s="28">
        <f t="shared" si="264"/>
        <v>20800</v>
      </c>
      <c r="AE449" s="28">
        <f t="shared" si="265"/>
        <v>20800</v>
      </c>
      <c r="AF449" s="99">
        <f t="shared" si="266"/>
        <v>20800</v>
      </c>
    </row>
    <row r="450" spans="1:32" x14ac:dyDescent="0.3">
      <c r="A450" s="21">
        <v>9024</v>
      </c>
      <c r="B450" s="22" t="s">
        <v>169</v>
      </c>
      <c r="C450" s="151" t="s">
        <v>268</v>
      </c>
      <c r="D450" s="151" t="s">
        <v>268</v>
      </c>
      <c r="E450" s="151" t="s">
        <v>268</v>
      </c>
      <c r="F450" s="151" t="s">
        <v>268</v>
      </c>
      <c r="G450" s="151" t="s">
        <v>268</v>
      </c>
      <c r="H450" s="151" t="s">
        <v>268</v>
      </c>
      <c r="I450" s="151" t="s">
        <v>268</v>
      </c>
      <c r="J450" s="151" t="s">
        <v>268</v>
      </c>
      <c r="K450" s="16"/>
      <c r="L450" s="84">
        <v>0</v>
      </c>
      <c r="M450" s="84">
        <v>644</v>
      </c>
      <c r="N450" s="84">
        <v>644</v>
      </c>
      <c r="O450" s="84">
        <f>SUM(L450:N450)</f>
        <v>1288</v>
      </c>
      <c r="P450" s="26">
        <v>322</v>
      </c>
      <c r="Q450" s="26">
        <v>965</v>
      </c>
      <c r="R450" s="84">
        <f>SUM(P450:Q450)</f>
        <v>1287</v>
      </c>
      <c r="S450" s="27">
        <v>1287</v>
      </c>
      <c r="T450" s="27">
        <v>1287</v>
      </c>
      <c r="U450" s="27">
        <v>1287</v>
      </c>
      <c r="V450" s="16"/>
      <c r="W450" s="77">
        <f>L450</f>
        <v>0</v>
      </c>
      <c r="X450" s="77">
        <f>M450</f>
        <v>644</v>
      </c>
      <c r="Y450" s="28">
        <f>N450</f>
        <v>644</v>
      </c>
      <c r="Z450" s="28">
        <f t="shared" si="261"/>
        <v>1288</v>
      </c>
      <c r="AA450" s="28">
        <f>P450</f>
        <v>322</v>
      </c>
      <c r="AB450" s="28">
        <f>Q450</f>
        <v>965</v>
      </c>
      <c r="AC450" s="28">
        <f>SUM(AA450:AB450)</f>
        <v>1287</v>
      </c>
      <c r="AD450" s="28">
        <f>S450</f>
        <v>1287</v>
      </c>
      <c r="AE450" s="28">
        <f>T450</f>
        <v>1287</v>
      </c>
      <c r="AF450" s="99">
        <f>U450</f>
        <v>1287</v>
      </c>
    </row>
    <row r="451" spans="1:32" x14ac:dyDescent="0.3">
      <c r="A451" s="21">
        <v>9025</v>
      </c>
      <c r="B451" s="22" t="s">
        <v>156</v>
      </c>
      <c r="C451" s="36">
        <v>100</v>
      </c>
      <c r="D451" s="36">
        <v>100</v>
      </c>
      <c r="E451" s="37">
        <v>100</v>
      </c>
      <c r="F451" s="37">
        <v>100</v>
      </c>
      <c r="G451" s="37">
        <v>100</v>
      </c>
      <c r="H451" s="37">
        <v>100</v>
      </c>
      <c r="I451" s="37">
        <v>100</v>
      </c>
      <c r="J451" s="37">
        <v>100</v>
      </c>
      <c r="K451" s="16"/>
      <c r="L451" s="84">
        <v>10</v>
      </c>
      <c r="M451" s="84">
        <v>288</v>
      </c>
      <c r="N451" s="84">
        <v>302</v>
      </c>
      <c r="O451" s="84">
        <f>SUM(L451:N451)</f>
        <v>600</v>
      </c>
      <c r="P451" s="26">
        <v>144</v>
      </c>
      <c r="Q451" s="26">
        <v>456</v>
      </c>
      <c r="R451" s="84">
        <f>SUM(P451:Q451)</f>
        <v>600</v>
      </c>
      <c r="S451" s="27">
        <v>600</v>
      </c>
      <c r="T451" s="27">
        <v>600</v>
      </c>
      <c r="U451" s="27">
        <v>600</v>
      </c>
      <c r="V451" s="16"/>
      <c r="W451" s="28">
        <f>L451*C451</f>
        <v>1000</v>
      </c>
      <c r="X451" s="28">
        <f>M451*D451</f>
        <v>28800</v>
      </c>
      <c r="Y451" s="28">
        <f>N451*E451</f>
        <v>30200</v>
      </c>
      <c r="Z451" s="28">
        <f>W451+X451+Y451</f>
        <v>60000</v>
      </c>
      <c r="AA451" s="28">
        <f>F451*P451</f>
        <v>14400</v>
      </c>
      <c r="AB451" s="28">
        <f>G451*Q451</f>
        <v>45600</v>
      </c>
      <c r="AC451" s="28">
        <f>SUM(AA451:AB451)</f>
        <v>60000</v>
      </c>
      <c r="AD451" s="77">
        <f>H451*S451</f>
        <v>60000</v>
      </c>
      <c r="AE451" s="77">
        <f>I451*T451</f>
        <v>60000</v>
      </c>
      <c r="AF451" s="99">
        <f>J451*U451</f>
        <v>60000</v>
      </c>
    </row>
    <row r="452" spans="1:32" x14ac:dyDescent="0.3">
      <c r="A452" s="32" t="s">
        <v>152</v>
      </c>
      <c r="B452" s="33"/>
      <c r="C452" s="51"/>
      <c r="D452" s="51"/>
      <c r="E452" s="51"/>
      <c r="F452" s="51"/>
      <c r="G452" s="51"/>
      <c r="H452" s="51"/>
      <c r="I452" s="51"/>
      <c r="J452" s="51"/>
      <c r="K452" s="16"/>
      <c r="L452" s="25"/>
      <c r="M452" s="25"/>
      <c r="N452" s="25"/>
      <c r="O452" s="25"/>
      <c r="P452" s="26"/>
      <c r="Q452" s="26"/>
      <c r="R452" s="22"/>
      <c r="S452" s="49"/>
      <c r="T452" s="49"/>
      <c r="U452" s="49"/>
      <c r="V452" s="16"/>
      <c r="W452" s="35">
        <f>SUM(W434:W451)</f>
        <v>17340</v>
      </c>
      <c r="X452" s="35">
        <f t="shared" ref="X452:AF452" si="269">SUM(X434:X451)</f>
        <v>530224</v>
      </c>
      <c r="Y452" s="35">
        <f t="shared" si="269"/>
        <v>557764</v>
      </c>
      <c r="Z452" s="35">
        <f t="shared" si="269"/>
        <v>1105328</v>
      </c>
      <c r="AA452" s="35">
        <f t="shared" si="269"/>
        <v>273832</v>
      </c>
      <c r="AB452" s="35">
        <f t="shared" si="269"/>
        <v>867895</v>
      </c>
      <c r="AC452" s="35">
        <f t="shared" si="269"/>
        <v>1141727</v>
      </c>
      <c r="AD452" s="35">
        <f t="shared" si="269"/>
        <v>1177667</v>
      </c>
      <c r="AE452" s="35">
        <f t="shared" si="269"/>
        <v>1213937</v>
      </c>
      <c r="AF452" s="106">
        <f t="shared" si="269"/>
        <v>1250077</v>
      </c>
    </row>
    <row r="453" spans="1:32" x14ac:dyDescent="0.3">
      <c r="A453" s="43"/>
      <c r="B453" s="33"/>
      <c r="C453" s="51"/>
      <c r="D453" s="51"/>
      <c r="E453" s="51"/>
      <c r="F453" s="51"/>
      <c r="G453" s="51"/>
      <c r="H453" s="51"/>
      <c r="I453" s="51"/>
      <c r="J453" s="51"/>
      <c r="K453" s="16"/>
      <c r="L453" s="25"/>
      <c r="M453" s="25"/>
      <c r="N453" s="25"/>
      <c r="O453" s="25"/>
      <c r="P453" s="26"/>
      <c r="Q453" s="26"/>
      <c r="R453" s="50"/>
      <c r="S453" s="26"/>
      <c r="T453" s="26"/>
      <c r="U453" s="26"/>
      <c r="V453" s="16"/>
      <c r="W453" s="28"/>
      <c r="X453" s="28"/>
      <c r="Y453" s="28"/>
      <c r="Z453" s="28"/>
      <c r="AA453" s="28"/>
      <c r="AB453" s="28"/>
      <c r="AC453" s="28"/>
      <c r="AD453" s="77"/>
      <c r="AE453" s="28"/>
      <c r="AF453" s="99"/>
    </row>
    <row r="454" spans="1:32" x14ac:dyDescent="0.3">
      <c r="A454" s="114" t="s">
        <v>170</v>
      </c>
      <c r="B454" s="115"/>
      <c r="C454" s="130"/>
      <c r="D454" s="130"/>
      <c r="E454" s="130"/>
      <c r="F454" s="130"/>
      <c r="G454" s="130"/>
      <c r="H454" s="130"/>
      <c r="I454" s="130"/>
      <c r="J454" s="130"/>
      <c r="K454" s="16"/>
      <c r="L454" s="127"/>
      <c r="M454" s="127"/>
      <c r="N454" s="127"/>
      <c r="O454" s="127"/>
      <c r="P454" s="110"/>
      <c r="Q454" s="110"/>
      <c r="R454" s="131"/>
      <c r="S454" s="110"/>
      <c r="T454" s="110"/>
      <c r="U454" s="110"/>
      <c r="V454" s="16"/>
      <c r="W454" s="111"/>
      <c r="X454" s="111"/>
      <c r="Y454" s="111"/>
      <c r="Z454" s="111"/>
      <c r="AA454" s="111"/>
      <c r="AB454" s="111"/>
      <c r="AC454" s="111"/>
      <c r="AD454" s="112"/>
      <c r="AE454" s="111"/>
      <c r="AF454" s="113"/>
    </row>
    <row r="455" spans="1:32" x14ac:dyDescent="0.3">
      <c r="A455" s="29">
        <v>8001</v>
      </c>
      <c r="B455" s="22" t="s">
        <v>171</v>
      </c>
      <c r="C455" s="36">
        <v>3</v>
      </c>
      <c r="D455" s="36">
        <v>3</v>
      </c>
      <c r="E455" s="37">
        <v>3</v>
      </c>
      <c r="F455" s="37">
        <v>3</v>
      </c>
      <c r="G455" s="37">
        <v>3</v>
      </c>
      <c r="H455" s="37">
        <v>3</v>
      </c>
      <c r="I455" s="37">
        <v>3</v>
      </c>
      <c r="J455" s="37">
        <v>3</v>
      </c>
      <c r="K455" s="16"/>
      <c r="L455" s="84">
        <v>2099</v>
      </c>
      <c r="M455" s="84">
        <v>62971</v>
      </c>
      <c r="N455" s="84">
        <v>66119</v>
      </c>
      <c r="O455" s="84">
        <f t="shared" ref="O455:O480" si="270">SUM(L455:N455)</f>
        <v>131189</v>
      </c>
      <c r="P455" s="26">
        <v>31485</v>
      </c>
      <c r="Q455" s="26">
        <v>99704</v>
      </c>
      <c r="R455" s="84">
        <f t="shared" ref="R455:R472" si="271">SUM(P455:Q455)</f>
        <v>131189</v>
      </c>
      <c r="S455" s="27">
        <v>131189</v>
      </c>
      <c r="T455" s="27">
        <v>131189</v>
      </c>
      <c r="U455" s="27">
        <v>131189</v>
      </c>
      <c r="V455" s="16"/>
      <c r="W455" s="28">
        <f t="shared" ref="W455:W472" si="272">L455*C455</f>
        <v>6297</v>
      </c>
      <c r="X455" s="28">
        <f t="shared" ref="X455:X472" si="273">M455*D455</f>
        <v>188913</v>
      </c>
      <c r="Y455" s="28">
        <f t="shared" ref="Y455:Y472" si="274">N455*E455</f>
        <v>198357</v>
      </c>
      <c r="Z455" s="28">
        <f t="shared" ref="Z455:Z482" si="275">W455+X455+Y455</f>
        <v>393567</v>
      </c>
      <c r="AA455" s="28">
        <f t="shared" ref="AA455:AA472" si="276">F455*P455</f>
        <v>94455</v>
      </c>
      <c r="AB455" s="28">
        <f t="shared" ref="AB455:AB472" si="277">G455*Q455</f>
        <v>299112</v>
      </c>
      <c r="AC455" s="28">
        <f>SUM(AA455:AB455)</f>
        <v>393567</v>
      </c>
      <c r="AD455" s="77">
        <f t="shared" ref="AD455:AD472" si="278">H455*S455</f>
        <v>393567</v>
      </c>
      <c r="AE455" s="77">
        <f t="shared" ref="AE455:AE472" si="279">I455*T455</f>
        <v>393567</v>
      </c>
      <c r="AF455" s="99">
        <f t="shared" ref="AF455:AF472" si="280">J455*U455</f>
        <v>393567</v>
      </c>
    </row>
    <row r="456" spans="1:32" x14ac:dyDescent="0.3">
      <c r="A456" s="21">
        <v>8003</v>
      </c>
      <c r="B456" s="22" t="s">
        <v>172</v>
      </c>
      <c r="C456" s="36">
        <v>15</v>
      </c>
      <c r="D456" s="36">
        <v>15</v>
      </c>
      <c r="E456" s="37">
        <v>15</v>
      </c>
      <c r="F456" s="37">
        <v>15</v>
      </c>
      <c r="G456" s="37">
        <v>15</v>
      </c>
      <c r="H456" s="37">
        <v>15</v>
      </c>
      <c r="I456" s="37">
        <v>15</v>
      </c>
      <c r="J456" s="37">
        <v>15</v>
      </c>
      <c r="K456" s="16"/>
      <c r="L456" s="84">
        <v>6</v>
      </c>
      <c r="M456" s="84">
        <v>171</v>
      </c>
      <c r="N456" s="84">
        <v>180</v>
      </c>
      <c r="O456" s="84">
        <f t="shared" si="270"/>
        <v>357</v>
      </c>
      <c r="P456" s="26">
        <v>86</v>
      </c>
      <c r="Q456" s="26">
        <v>271</v>
      </c>
      <c r="R456" s="84">
        <f t="shared" si="271"/>
        <v>357</v>
      </c>
      <c r="S456" s="27">
        <v>357</v>
      </c>
      <c r="T456" s="27">
        <v>357</v>
      </c>
      <c r="U456" s="27">
        <v>357</v>
      </c>
      <c r="V456" s="16"/>
      <c r="W456" s="28">
        <f t="shared" si="272"/>
        <v>90</v>
      </c>
      <c r="X456" s="28">
        <f t="shared" si="273"/>
        <v>2565</v>
      </c>
      <c r="Y456" s="28">
        <f t="shared" si="274"/>
        <v>2700</v>
      </c>
      <c r="Z456" s="28">
        <f t="shared" si="275"/>
        <v>5355</v>
      </c>
      <c r="AA456" s="28">
        <f t="shared" si="276"/>
        <v>1290</v>
      </c>
      <c r="AB456" s="28">
        <f t="shared" si="277"/>
        <v>4065</v>
      </c>
      <c r="AC456" s="28">
        <f t="shared" ref="AC456:AC462" si="281">SUM(AA456:AB456)</f>
        <v>5355</v>
      </c>
      <c r="AD456" s="77">
        <f t="shared" si="278"/>
        <v>5355</v>
      </c>
      <c r="AE456" s="77">
        <f t="shared" si="279"/>
        <v>5355</v>
      </c>
      <c r="AF456" s="99">
        <f t="shared" si="280"/>
        <v>5355</v>
      </c>
    </row>
    <row r="457" spans="1:32" x14ac:dyDescent="0.3">
      <c r="A457" s="21">
        <v>8004</v>
      </c>
      <c r="B457" s="22" t="s">
        <v>173</v>
      </c>
      <c r="C457" s="36">
        <v>25</v>
      </c>
      <c r="D457" s="36">
        <v>25</v>
      </c>
      <c r="E457" s="37">
        <v>25</v>
      </c>
      <c r="F457" s="37">
        <v>25</v>
      </c>
      <c r="G457" s="37">
        <v>25</v>
      </c>
      <c r="H457" s="37">
        <v>25</v>
      </c>
      <c r="I457" s="37">
        <v>25</v>
      </c>
      <c r="J457" s="37">
        <v>25</v>
      </c>
      <c r="K457" s="16"/>
      <c r="L457" s="84">
        <v>0</v>
      </c>
      <c r="M457" s="84">
        <v>1</v>
      </c>
      <c r="N457" s="84">
        <v>1</v>
      </c>
      <c r="O457" s="84">
        <f t="shared" si="270"/>
        <v>2</v>
      </c>
      <c r="P457" s="26">
        <v>0</v>
      </c>
      <c r="Q457" s="26">
        <v>1</v>
      </c>
      <c r="R457" s="84">
        <f t="shared" si="271"/>
        <v>1</v>
      </c>
      <c r="S457" s="27">
        <v>1</v>
      </c>
      <c r="T457" s="27">
        <v>0</v>
      </c>
      <c r="U457" s="27">
        <v>0</v>
      </c>
      <c r="V457" s="16"/>
      <c r="W457" s="28">
        <f t="shared" si="272"/>
        <v>0</v>
      </c>
      <c r="X457" s="28">
        <f t="shared" si="273"/>
        <v>25</v>
      </c>
      <c r="Y457" s="28">
        <f t="shared" si="274"/>
        <v>25</v>
      </c>
      <c r="Z457" s="28">
        <f t="shared" si="275"/>
        <v>50</v>
      </c>
      <c r="AA457" s="28">
        <f t="shared" si="276"/>
        <v>0</v>
      </c>
      <c r="AB457" s="28">
        <f t="shared" si="277"/>
        <v>25</v>
      </c>
      <c r="AC457" s="28">
        <f t="shared" si="281"/>
        <v>25</v>
      </c>
      <c r="AD457" s="77">
        <f t="shared" si="278"/>
        <v>25</v>
      </c>
      <c r="AE457" s="77">
        <f t="shared" si="279"/>
        <v>0</v>
      </c>
      <c r="AF457" s="99">
        <f t="shared" si="280"/>
        <v>0</v>
      </c>
    </row>
    <row r="458" spans="1:32" x14ac:dyDescent="0.3">
      <c r="A458" s="21">
        <v>8005</v>
      </c>
      <c r="B458" s="22" t="s">
        <v>174</v>
      </c>
      <c r="C458" s="36">
        <v>3</v>
      </c>
      <c r="D458" s="36">
        <v>3</v>
      </c>
      <c r="E458" s="37">
        <v>3</v>
      </c>
      <c r="F458" s="37">
        <v>3</v>
      </c>
      <c r="G458" s="37">
        <v>3</v>
      </c>
      <c r="H458" s="37">
        <v>3</v>
      </c>
      <c r="I458" s="37">
        <v>3</v>
      </c>
      <c r="J458" s="37">
        <v>3</v>
      </c>
      <c r="K458" s="16"/>
      <c r="L458" s="84">
        <v>42</v>
      </c>
      <c r="M458" s="84">
        <v>1273</v>
      </c>
      <c r="N458" s="84">
        <v>1337</v>
      </c>
      <c r="O458" s="84">
        <f t="shared" si="270"/>
        <v>2652</v>
      </c>
      <c r="P458" s="26">
        <v>482</v>
      </c>
      <c r="Q458" s="26">
        <v>1526</v>
      </c>
      <c r="R458" s="84">
        <f t="shared" si="271"/>
        <v>2008</v>
      </c>
      <c r="S458" s="27">
        <v>1520</v>
      </c>
      <c r="T458" s="27">
        <v>1151</v>
      </c>
      <c r="U458" s="27">
        <v>871</v>
      </c>
      <c r="V458" s="16"/>
      <c r="W458" s="28">
        <f t="shared" si="272"/>
        <v>126</v>
      </c>
      <c r="X458" s="28">
        <f t="shared" si="273"/>
        <v>3819</v>
      </c>
      <c r="Y458" s="28">
        <f t="shared" si="274"/>
        <v>4011</v>
      </c>
      <c r="Z458" s="28">
        <f t="shared" si="275"/>
        <v>7956</v>
      </c>
      <c r="AA458" s="28">
        <f t="shared" si="276"/>
        <v>1446</v>
      </c>
      <c r="AB458" s="28">
        <f t="shared" si="277"/>
        <v>4578</v>
      </c>
      <c r="AC458" s="28">
        <f t="shared" si="281"/>
        <v>6024</v>
      </c>
      <c r="AD458" s="77">
        <f t="shared" si="278"/>
        <v>4560</v>
      </c>
      <c r="AE458" s="77">
        <f t="shared" si="279"/>
        <v>3453</v>
      </c>
      <c r="AF458" s="99">
        <f t="shared" si="280"/>
        <v>2613</v>
      </c>
    </row>
    <row r="459" spans="1:32" x14ac:dyDescent="0.3">
      <c r="A459" s="29">
        <v>8007</v>
      </c>
      <c r="B459" s="22" t="s">
        <v>175</v>
      </c>
      <c r="C459" s="36">
        <v>20</v>
      </c>
      <c r="D459" s="36">
        <v>20</v>
      </c>
      <c r="E459" s="37">
        <v>20</v>
      </c>
      <c r="F459" s="37">
        <v>20</v>
      </c>
      <c r="G459" s="37">
        <v>20</v>
      </c>
      <c r="H459" s="37">
        <v>20</v>
      </c>
      <c r="I459" s="37">
        <v>20</v>
      </c>
      <c r="J459" s="37">
        <v>20</v>
      </c>
      <c r="K459" s="16"/>
      <c r="L459" s="84">
        <v>1832</v>
      </c>
      <c r="M459" s="84">
        <v>54956</v>
      </c>
      <c r="N459" s="84">
        <v>57703</v>
      </c>
      <c r="O459" s="84">
        <f t="shared" si="270"/>
        <v>114491</v>
      </c>
      <c r="P459" s="26">
        <v>28387</v>
      </c>
      <c r="Q459" s="26">
        <v>89892</v>
      </c>
      <c r="R459" s="84">
        <f t="shared" si="271"/>
        <v>118279</v>
      </c>
      <c r="S459" s="27">
        <v>122161</v>
      </c>
      <c r="T459" s="27">
        <v>128269</v>
      </c>
      <c r="U459" s="27">
        <v>134683</v>
      </c>
      <c r="V459" s="16"/>
      <c r="W459" s="28">
        <f t="shared" si="272"/>
        <v>36640</v>
      </c>
      <c r="X459" s="28">
        <f t="shared" si="273"/>
        <v>1099120</v>
      </c>
      <c r="Y459" s="28">
        <f t="shared" si="274"/>
        <v>1154060</v>
      </c>
      <c r="Z459" s="28">
        <f t="shared" si="275"/>
        <v>2289820</v>
      </c>
      <c r="AA459" s="28">
        <f t="shared" si="276"/>
        <v>567740</v>
      </c>
      <c r="AB459" s="28">
        <f t="shared" si="277"/>
        <v>1797840</v>
      </c>
      <c r="AC459" s="28">
        <f t="shared" si="281"/>
        <v>2365580</v>
      </c>
      <c r="AD459" s="77">
        <f t="shared" si="278"/>
        <v>2443220</v>
      </c>
      <c r="AE459" s="77">
        <f t="shared" si="279"/>
        <v>2565380</v>
      </c>
      <c r="AF459" s="99">
        <f t="shared" si="280"/>
        <v>2693660</v>
      </c>
    </row>
    <row r="460" spans="1:32" x14ac:dyDescent="0.3">
      <c r="A460" s="21">
        <v>8008</v>
      </c>
      <c r="B460" s="22" t="s">
        <v>176</v>
      </c>
      <c r="C460" s="36">
        <v>200</v>
      </c>
      <c r="D460" s="36">
        <v>200</v>
      </c>
      <c r="E460" s="37">
        <v>200</v>
      </c>
      <c r="F460" s="37">
        <v>200</v>
      </c>
      <c r="G460" s="37">
        <v>200</v>
      </c>
      <c r="H460" s="37">
        <v>200</v>
      </c>
      <c r="I460" s="37">
        <v>200</v>
      </c>
      <c r="J460" s="37">
        <v>200</v>
      </c>
      <c r="K460" s="16"/>
      <c r="L460" s="84">
        <v>38</v>
      </c>
      <c r="M460" s="84">
        <v>1144</v>
      </c>
      <c r="N460" s="84">
        <v>1202</v>
      </c>
      <c r="O460" s="84">
        <f t="shared" si="270"/>
        <v>2384</v>
      </c>
      <c r="P460" s="26">
        <v>572</v>
      </c>
      <c r="Q460" s="26">
        <v>1812</v>
      </c>
      <c r="R460" s="84">
        <f t="shared" si="271"/>
        <v>2384</v>
      </c>
      <c r="S460" s="27">
        <v>2384</v>
      </c>
      <c r="T460" s="27">
        <v>2384</v>
      </c>
      <c r="U460" s="27">
        <v>2384</v>
      </c>
      <c r="V460" s="16"/>
      <c r="W460" s="28">
        <f t="shared" si="272"/>
        <v>7600</v>
      </c>
      <c r="X460" s="28">
        <f t="shared" si="273"/>
        <v>228800</v>
      </c>
      <c r="Y460" s="28">
        <f t="shared" si="274"/>
        <v>240400</v>
      </c>
      <c r="Z460" s="28">
        <f t="shared" si="275"/>
        <v>476800</v>
      </c>
      <c r="AA460" s="28">
        <f t="shared" si="276"/>
        <v>114400</v>
      </c>
      <c r="AB460" s="28">
        <f t="shared" si="277"/>
        <v>362400</v>
      </c>
      <c r="AC460" s="28">
        <f t="shared" si="281"/>
        <v>476800</v>
      </c>
      <c r="AD460" s="77">
        <f t="shared" si="278"/>
        <v>476800</v>
      </c>
      <c r="AE460" s="77">
        <f t="shared" si="279"/>
        <v>476800</v>
      </c>
      <c r="AF460" s="99">
        <f t="shared" si="280"/>
        <v>476800</v>
      </c>
    </row>
    <row r="461" spans="1:32" x14ac:dyDescent="0.3">
      <c r="A461" s="21">
        <v>8009</v>
      </c>
      <c r="B461" s="22" t="s">
        <v>177</v>
      </c>
      <c r="C461" s="36">
        <v>40</v>
      </c>
      <c r="D461" s="36">
        <v>40</v>
      </c>
      <c r="E461" s="37">
        <v>40</v>
      </c>
      <c r="F461" s="37">
        <v>40</v>
      </c>
      <c r="G461" s="37">
        <v>40</v>
      </c>
      <c r="H461" s="37">
        <v>40</v>
      </c>
      <c r="I461" s="37">
        <v>40</v>
      </c>
      <c r="J461" s="37">
        <v>40</v>
      </c>
      <c r="K461" s="16"/>
      <c r="L461" s="84">
        <v>63</v>
      </c>
      <c r="M461" s="84">
        <v>1887</v>
      </c>
      <c r="N461" s="84">
        <v>1982</v>
      </c>
      <c r="O461" s="84">
        <f t="shared" si="270"/>
        <v>3932</v>
      </c>
      <c r="P461" s="26">
        <v>944</v>
      </c>
      <c r="Q461" s="26">
        <v>2988</v>
      </c>
      <c r="R461" s="84">
        <f t="shared" si="271"/>
        <v>3932</v>
      </c>
      <c r="S461" s="26">
        <v>3932</v>
      </c>
      <c r="T461" s="26">
        <v>3932</v>
      </c>
      <c r="U461" s="26">
        <v>3932</v>
      </c>
      <c r="V461" s="16"/>
      <c r="W461" s="28">
        <f t="shared" si="272"/>
        <v>2520</v>
      </c>
      <c r="X461" s="28">
        <f t="shared" si="273"/>
        <v>75480</v>
      </c>
      <c r="Y461" s="28">
        <f t="shared" si="274"/>
        <v>79280</v>
      </c>
      <c r="Z461" s="28">
        <f t="shared" si="275"/>
        <v>157280</v>
      </c>
      <c r="AA461" s="28">
        <f t="shared" si="276"/>
        <v>37760</v>
      </c>
      <c r="AB461" s="28">
        <f t="shared" si="277"/>
        <v>119520</v>
      </c>
      <c r="AC461" s="28">
        <f t="shared" si="281"/>
        <v>157280</v>
      </c>
      <c r="AD461" s="77">
        <f t="shared" si="278"/>
        <v>157280</v>
      </c>
      <c r="AE461" s="77">
        <f t="shared" si="279"/>
        <v>157280</v>
      </c>
      <c r="AF461" s="99">
        <f t="shared" si="280"/>
        <v>157280</v>
      </c>
    </row>
    <row r="462" spans="1:32" x14ac:dyDescent="0.3">
      <c r="A462" s="21">
        <v>8010</v>
      </c>
      <c r="B462" s="22" t="s">
        <v>178</v>
      </c>
      <c r="C462" s="36">
        <v>25</v>
      </c>
      <c r="D462" s="36">
        <v>25</v>
      </c>
      <c r="E462" s="37">
        <v>25</v>
      </c>
      <c r="F462" s="37">
        <v>25</v>
      </c>
      <c r="G462" s="37">
        <v>25</v>
      </c>
      <c r="H462" s="37">
        <v>25</v>
      </c>
      <c r="I462" s="37">
        <v>25</v>
      </c>
      <c r="J462" s="37">
        <v>25</v>
      </c>
      <c r="K462" s="16"/>
      <c r="L462" s="84">
        <v>31</v>
      </c>
      <c r="M462" s="84">
        <v>925</v>
      </c>
      <c r="N462" s="84">
        <v>972</v>
      </c>
      <c r="O462" s="84">
        <f t="shared" si="270"/>
        <v>1928</v>
      </c>
      <c r="P462" s="26">
        <v>463</v>
      </c>
      <c r="Q462" s="26">
        <v>1465</v>
      </c>
      <c r="R462" s="84">
        <f t="shared" si="271"/>
        <v>1928</v>
      </c>
      <c r="S462" s="26">
        <v>1928</v>
      </c>
      <c r="T462" s="26">
        <v>1928</v>
      </c>
      <c r="U462" s="26">
        <v>1928</v>
      </c>
      <c r="V462" s="16"/>
      <c r="W462" s="28">
        <f t="shared" si="272"/>
        <v>775</v>
      </c>
      <c r="X462" s="28">
        <f t="shared" si="273"/>
        <v>23125</v>
      </c>
      <c r="Y462" s="28">
        <f t="shared" si="274"/>
        <v>24300</v>
      </c>
      <c r="Z462" s="28">
        <f t="shared" si="275"/>
        <v>48200</v>
      </c>
      <c r="AA462" s="28">
        <f t="shared" si="276"/>
        <v>11575</v>
      </c>
      <c r="AB462" s="28">
        <f t="shared" si="277"/>
        <v>36625</v>
      </c>
      <c r="AC462" s="28">
        <f t="shared" si="281"/>
        <v>48200</v>
      </c>
      <c r="AD462" s="77">
        <f t="shared" si="278"/>
        <v>48200</v>
      </c>
      <c r="AE462" s="77">
        <f t="shared" si="279"/>
        <v>48200</v>
      </c>
      <c r="AF462" s="99">
        <f t="shared" si="280"/>
        <v>48200</v>
      </c>
    </row>
    <row r="463" spans="1:32" x14ac:dyDescent="0.3">
      <c r="A463" s="21">
        <v>8011</v>
      </c>
      <c r="B463" s="22" t="s">
        <v>179</v>
      </c>
      <c r="C463" s="36">
        <v>55</v>
      </c>
      <c r="D463" s="36">
        <v>55</v>
      </c>
      <c r="E463" s="37">
        <v>55</v>
      </c>
      <c r="F463" s="37">
        <v>55</v>
      </c>
      <c r="G463" s="37">
        <v>55</v>
      </c>
      <c r="H463" s="37">
        <v>55</v>
      </c>
      <c r="I463" s="37">
        <v>55</v>
      </c>
      <c r="J463" s="37">
        <v>55</v>
      </c>
      <c r="K463" s="16"/>
      <c r="L463" s="84">
        <v>54</v>
      </c>
      <c r="M463" s="84">
        <v>1627</v>
      </c>
      <c r="N463" s="84">
        <v>1708</v>
      </c>
      <c r="O463" s="84">
        <f t="shared" si="270"/>
        <v>3389</v>
      </c>
      <c r="P463" s="26">
        <v>813</v>
      </c>
      <c r="Q463" s="26">
        <v>2576</v>
      </c>
      <c r="R463" s="84">
        <f t="shared" si="271"/>
        <v>3389</v>
      </c>
      <c r="S463" s="26">
        <v>3389</v>
      </c>
      <c r="T463" s="26">
        <v>3389</v>
      </c>
      <c r="U463" s="26">
        <v>3389</v>
      </c>
      <c r="V463" s="16"/>
      <c r="W463" s="28">
        <f t="shared" si="272"/>
        <v>2970</v>
      </c>
      <c r="X463" s="28">
        <f t="shared" si="273"/>
        <v>89485</v>
      </c>
      <c r="Y463" s="28">
        <f t="shared" si="274"/>
        <v>93940</v>
      </c>
      <c r="Z463" s="28">
        <f t="shared" si="275"/>
        <v>186395</v>
      </c>
      <c r="AA463" s="28">
        <f t="shared" si="276"/>
        <v>44715</v>
      </c>
      <c r="AB463" s="28">
        <f t="shared" si="277"/>
        <v>141680</v>
      </c>
      <c r="AC463" s="28">
        <f t="shared" ref="AC463:AC472" si="282">SUM(AA463:AB463)</f>
        <v>186395</v>
      </c>
      <c r="AD463" s="77">
        <f t="shared" si="278"/>
        <v>186395</v>
      </c>
      <c r="AE463" s="77">
        <f t="shared" si="279"/>
        <v>186395</v>
      </c>
      <c r="AF463" s="99">
        <f t="shared" si="280"/>
        <v>186395</v>
      </c>
    </row>
    <row r="464" spans="1:32" x14ac:dyDescent="0.3">
      <c r="A464" s="21">
        <v>8012</v>
      </c>
      <c r="B464" s="22" t="s">
        <v>180</v>
      </c>
      <c r="C464" s="36">
        <v>15</v>
      </c>
      <c r="D464" s="36">
        <v>15</v>
      </c>
      <c r="E464" s="37">
        <v>15</v>
      </c>
      <c r="F464" s="37">
        <v>15</v>
      </c>
      <c r="G464" s="37">
        <v>15</v>
      </c>
      <c r="H464" s="37">
        <v>15</v>
      </c>
      <c r="I464" s="37">
        <v>15</v>
      </c>
      <c r="J464" s="37">
        <v>15</v>
      </c>
      <c r="K464" s="16"/>
      <c r="L464" s="84">
        <v>5</v>
      </c>
      <c r="M464" s="84">
        <v>154</v>
      </c>
      <c r="N464" s="84">
        <v>161</v>
      </c>
      <c r="O464" s="84">
        <f t="shared" si="270"/>
        <v>320</v>
      </c>
      <c r="P464" s="26">
        <v>77</v>
      </c>
      <c r="Q464" s="26">
        <v>243</v>
      </c>
      <c r="R464" s="84">
        <f t="shared" si="271"/>
        <v>320</v>
      </c>
      <c r="S464" s="26">
        <v>320</v>
      </c>
      <c r="T464" s="26">
        <v>320</v>
      </c>
      <c r="U464" s="26">
        <v>320</v>
      </c>
      <c r="V464" s="16"/>
      <c r="W464" s="28">
        <f t="shared" si="272"/>
        <v>75</v>
      </c>
      <c r="X464" s="28">
        <f t="shared" si="273"/>
        <v>2310</v>
      </c>
      <c r="Y464" s="28">
        <f t="shared" si="274"/>
        <v>2415</v>
      </c>
      <c r="Z464" s="28">
        <f t="shared" si="275"/>
        <v>4800</v>
      </c>
      <c r="AA464" s="28">
        <f t="shared" si="276"/>
        <v>1155</v>
      </c>
      <c r="AB464" s="28">
        <f t="shared" si="277"/>
        <v>3645</v>
      </c>
      <c r="AC464" s="28">
        <f t="shared" si="282"/>
        <v>4800</v>
      </c>
      <c r="AD464" s="77">
        <f t="shared" si="278"/>
        <v>4800</v>
      </c>
      <c r="AE464" s="77">
        <f t="shared" si="279"/>
        <v>4800</v>
      </c>
      <c r="AF464" s="99">
        <f t="shared" si="280"/>
        <v>4800</v>
      </c>
    </row>
    <row r="465" spans="1:32" x14ac:dyDescent="0.3">
      <c r="A465" s="21">
        <v>8013</v>
      </c>
      <c r="B465" s="22" t="s">
        <v>181</v>
      </c>
      <c r="C465" s="36">
        <v>25</v>
      </c>
      <c r="D465" s="36">
        <v>25</v>
      </c>
      <c r="E465" s="37">
        <v>25</v>
      </c>
      <c r="F465" s="37">
        <v>25</v>
      </c>
      <c r="G465" s="37">
        <v>25</v>
      </c>
      <c r="H465" s="37">
        <v>25</v>
      </c>
      <c r="I465" s="37">
        <v>25</v>
      </c>
      <c r="J465" s="37">
        <v>25</v>
      </c>
      <c r="K465" s="16"/>
      <c r="L465" s="84">
        <v>142</v>
      </c>
      <c r="M465" s="84">
        <v>4250</v>
      </c>
      <c r="N465" s="84">
        <v>4463</v>
      </c>
      <c r="O465" s="84">
        <f t="shared" si="270"/>
        <v>8855</v>
      </c>
      <c r="P465" s="26">
        <v>2087</v>
      </c>
      <c r="Q465" s="26">
        <v>6609</v>
      </c>
      <c r="R465" s="84">
        <f t="shared" si="271"/>
        <v>8696</v>
      </c>
      <c r="S465" s="27">
        <v>8539</v>
      </c>
      <c r="T465" s="27">
        <v>8386</v>
      </c>
      <c r="U465" s="27">
        <v>8235</v>
      </c>
      <c r="V465" s="16"/>
      <c r="W465" s="28">
        <f t="shared" si="272"/>
        <v>3550</v>
      </c>
      <c r="X465" s="28">
        <f t="shared" si="273"/>
        <v>106250</v>
      </c>
      <c r="Y465" s="28">
        <f t="shared" si="274"/>
        <v>111575</v>
      </c>
      <c r="Z465" s="28">
        <f t="shared" si="275"/>
        <v>221375</v>
      </c>
      <c r="AA465" s="28">
        <f t="shared" si="276"/>
        <v>52175</v>
      </c>
      <c r="AB465" s="28">
        <f t="shared" si="277"/>
        <v>165225</v>
      </c>
      <c r="AC465" s="28">
        <f t="shared" si="282"/>
        <v>217400</v>
      </c>
      <c r="AD465" s="77">
        <f t="shared" si="278"/>
        <v>213475</v>
      </c>
      <c r="AE465" s="77">
        <f t="shared" si="279"/>
        <v>209650</v>
      </c>
      <c r="AF465" s="99">
        <f t="shared" si="280"/>
        <v>205875</v>
      </c>
    </row>
    <row r="466" spans="1:32" x14ac:dyDescent="0.3">
      <c r="A466" s="21">
        <v>8014</v>
      </c>
      <c r="B466" s="22" t="s">
        <v>182</v>
      </c>
      <c r="C466" s="36">
        <v>25</v>
      </c>
      <c r="D466" s="36">
        <v>25</v>
      </c>
      <c r="E466" s="37">
        <v>25</v>
      </c>
      <c r="F466" s="37">
        <v>25</v>
      </c>
      <c r="G466" s="37">
        <v>25</v>
      </c>
      <c r="H466" s="37">
        <v>25</v>
      </c>
      <c r="I466" s="37">
        <v>25</v>
      </c>
      <c r="J466" s="37">
        <v>25</v>
      </c>
      <c r="K466" s="16"/>
      <c r="L466" s="84">
        <v>935</v>
      </c>
      <c r="M466" s="84">
        <v>28053</v>
      </c>
      <c r="N466" s="84">
        <v>29456</v>
      </c>
      <c r="O466" s="84">
        <f t="shared" si="270"/>
        <v>58444</v>
      </c>
      <c r="P466" s="26">
        <v>16830</v>
      </c>
      <c r="Q466" s="26">
        <v>53295</v>
      </c>
      <c r="R466" s="84">
        <f t="shared" si="271"/>
        <v>70125</v>
      </c>
      <c r="S466" s="27">
        <v>84142</v>
      </c>
      <c r="T466" s="27">
        <v>100960</v>
      </c>
      <c r="U466" s="27">
        <v>121140</v>
      </c>
      <c r="V466" s="16"/>
      <c r="W466" s="28">
        <f t="shared" si="272"/>
        <v>23375</v>
      </c>
      <c r="X466" s="28">
        <f t="shared" si="273"/>
        <v>701325</v>
      </c>
      <c r="Y466" s="28">
        <f t="shared" si="274"/>
        <v>736400</v>
      </c>
      <c r="Z466" s="28">
        <f t="shared" si="275"/>
        <v>1461100</v>
      </c>
      <c r="AA466" s="28">
        <f t="shared" si="276"/>
        <v>420750</v>
      </c>
      <c r="AB466" s="28">
        <f t="shared" si="277"/>
        <v>1332375</v>
      </c>
      <c r="AC466" s="28">
        <f t="shared" si="282"/>
        <v>1753125</v>
      </c>
      <c r="AD466" s="77">
        <f t="shared" si="278"/>
        <v>2103550</v>
      </c>
      <c r="AE466" s="77">
        <f t="shared" si="279"/>
        <v>2524000</v>
      </c>
      <c r="AF466" s="99">
        <f t="shared" si="280"/>
        <v>3028500</v>
      </c>
    </row>
    <row r="467" spans="1:32" x14ac:dyDescent="0.3">
      <c r="A467" s="21">
        <v>8015</v>
      </c>
      <c r="B467" s="22" t="s">
        <v>183</v>
      </c>
      <c r="C467" s="36">
        <v>3</v>
      </c>
      <c r="D467" s="37">
        <v>3</v>
      </c>
      <c r="E467" s="37">
        <v>3</v>
      </c>
      <c r="F467" s="37">
        <v>3</v>
      </c>
      <c r="G467" s="37">
        <v>3</v>
      </c>
      <c r="H467" s="37">
        <v>3</v>
      </c>
      <c r="I467" s="37">
        <v>3</v>
      </c>
      <c r="J467" s="37">
        <v>3</v>
      </c>
      <c r="K467" s="16"/>
      <c r="L467" s="84">
        <v>0</v>
      </c>
      <c r="M467" s="84">
        <v>0</v>
      </c>
      <c r="N467" s="84">
        <v>0</v>
      </c>
      <c r="O467" s="84">
        <f t="shared" si="270"/>
        <v>0</v>
      </c>
      <c r="P467" s="26">
        <v>0</v>
      </c>
      <c r="Q467" s="26">
        <v>0</v>
      </c>
      <c r="R467" s="84">
        <f t="shared" si="271"/>
        <v>0</v>
      </c>
      <c r="S467" s="27">
        <v>0</v>
      </c>
      <c r="T467" s="27">
        <v>0</v>
      </c>
      <c r="U467" s="27">
        <v>0</v>
      </c>
      <c r="V467" s="16"/>
      <c r="W467" s="28">
        <f t="shared" si="272"/>
        <v>0</v>
      </c>
      <c r="X467" s="28">
        <f t="shared" si="273"/>
        <v>0</v>
      </c>
      <c r="Y467" s="28">
        <f t="shared" si="274"/>
        <v>0</v>
      </c>
      <c r="Z467" s="28">
        <f t="shared" si="275"/>
        <v>0</v>
      </c>
      <c r="AA467" s="28">
        <f t="shared" si="276"/>
        <v>0</v>
      </c>
      <c r="AB467" s="28">
        <f t="shared" si="277"/>
        <v>0</v>
      </c>
      <c r="AC467" s="28">
        <f t="shared" si="282"/>
        <v>0</v>
      </c>
      <c r="AD467" s="77">
        <f t="shared" si="278"/>
        <v>0</v>
      </c>
      <c r="AE467" s="77">
        <f t="shared" si="279"/>
        <v>0</v>
      </c>
      <c r="AF467" s="99">
        <f t="shared" si="280"/>
        <v>0</v>
      </c>
    </row>
    <row r="468" spans="1:32" x14ac:dyDescent="0.3">
      <c r="A468" s="21">
        <v>8017</v>
      </c>
      <c r="B468" s="22" t="s">
        <v>184</v>
      </c>
      <c r="C468" s="36">
        <v>25</v>
      </c>
      <c r="D468" s="36">
        <v>25</v>
      </c>
      <c r="E468" s="37">
        <v>25</v>
      </c>
      <c r="F468" s="37">
        <v>25</v>
      </c>
      <c r="G468" s="37">
        <v>25</v>
      </c>
      <c r="H468" s="37">
        <v>25</v>
      </c>
      <c r="I468" s="37">
        <v>25</v>
      </c>
      <c r="J468" s="37">
        <v>25</v>
      </c>
      <c r="K468" s="16"/>
      <c r="L468" s="84">
        <v>0</v>
      </c>
      <c r="M468" s="84">
        <v>0</v>
      </c>
      <c r="N468" s="84">
        <v>0</v>
      </c>
      <c r="O468" s="84">
        <f t="shared" si="270"/>
        <v>0</v>
      </c>
      <c r="P468" s="26">
        <v>0</v>
      </c>
      <c r="Q468" s="26">
        <v>0</v>
      </c>
      <c r="R468" s="84">
        <f t="shared" si="271"/>
        <v>0</v>
      </c>
      <c r="S468" s="27">
        <v>0</v>
      </c>
      <c r="T468" s="27">
        <v>0</v>
      </c>
      <c r="U468" s="27">
        <v>0</v>
      </c>
      <c r="V468" s="16"/>
      <c r="W468" s="28">
        <f t="shared" si="272"/>
        <v>0</v>
      </c>
      <c r="X468" s="28">
        <f t="shared" si="273"/>
        <v>0</v>
      </c>
      <c r="Y468" s="28">
        <f t="shared" si="274"/>
        <v>0</v>
      </c>
      <c r="Z468" s="28">
        <f t="shared" si="275"/>
        <v>0</v>
      </c>
      <c r="AA468" s="28">
        <f t="shared" si="276"/>
        <v>0</v>
      </c>
      <c r="AB468" s="28">
        <f t="shared" si="277"/>
        <v>0</v>
      </c>
      <c r="AC468" s="28">
        <f t="shared" si="282"/>
        <v>0</v>
      </c>
      <c r="AD468" s="77">
        <f t="shared" si="278"/>
        <v>0</v>
      </c>
      <c r="AE468" s="77">
        <f t="shared" si="279"/>
        <v>0</v>
      </c>
      <c r="AF468" s="99">
        <f t="shared" si="280"/>
        <v>0</v>
      </c>
    </row>
    <row r="469" spans="1:32" x14ac:dyDescent="0.3">
      <c r="A469" s="21">
        <v>8020</v>
      </c>
      <c r="B469" s="22" t="s">
        <v>185</v>
      </c>
      <c r="C469" s="36">
        <v>40</v>
      </c>
      <c r="D469" s="36">
        <v>40</v>
      </c>
      <c r="E469" s="37">
        <v>40</v>
      </c>
      <c r="F469" s="37">
        <v>40</v>
      </c>
      <c r="G469" s="37">
        <v>40</v>
      </c>
      <c r="H469" s="37">
        <v>40</v>
      </c>
      <c r="I469" s="37">
        <v>40</v>
      </c>
      <c r="J469" s="37">
        <v>40</v>
      </c>
      <c r="K469" s="16"/>
      <c r="L469" s="84">
        <v>0</v>
      </c>
      <c r="M469" s="84">
        <v>0</v>
      </c>
      <c r="N469" s="84">
        <v>1</v>
      </c>
      <c r="O469" s="84">
        <f t="shared" si="270"/>
        <v>1</v>
      </c>
      <c r="P469" s="26">
        <v>0</v>
      </c>
      <c r="Q469" s="26">
        <v>1</v>
      </c>
      <c r="R469" s="84">
        <f t="shared" si="271"/>
        <v>1</v>
      </c>
      <c r="S469" s="27">
        <v>1</v>
      </c>
      <c r="T469" s="27">
        <v>1</v>
      </c>
      <c r="U469" s="27">
        <v>1</v>
      </c>
      <c r="V469" s="16"/>
      <c r="W469" s="28">
        <f t="shared" si="272"/>
        <v>0</v>
      </c>
      <c r="X469" s="28">
        <f t="shared" si="273"/>
        <v>0</v>
      </c>
      <c r="Y469" s="28">
        <f t="shared" si="274"/>
        <v>40</v>
      </c>
      <c r="Z469" s="28">
        <f t="shared" si="275"/>
        <v>40</v>
      </c>
      <c r="AA469" s="28">
        <f t="shared" si="276"/>
        <v>0</v>
      </c>
      <c r="AB469" s="28">
        <f t="shared" si="277"/>
        <v>40</v>
      </c>
      <c r="AC469" s="28">
        <f t="shared" si="282"/>
        <v>40</v>
      </c>
      <c r="AD469" s="77">
        <f t="shared" si="278"/>
        <v>40</v>
      </c>
      <c r="AE469" s="77">
        <f t="shared" si="279"/>
        <v>40</v>
      </c>
      <c r="AF469" s="99">
        <f t="shared" si="280"/>
        <v>40</v>
      </c>
    </row>
    <row r="470" spans="1:32" x14ac:dyDescent="0.3">
      <c r="A470" s="29" t="s">
        <v>203</v>
      </c>
      <c r="B470" s="22" t="s">
        <v>212</v>
      </c>
      <c r="C470" s="36">
        <v>40</v>
      </c>
      <c r="D470" s="36">
        <v>40</v>
      </c>
      <c r="E470" s="37">
        <v>40</v>
      </c>
      <c r="F470" s="37">
        <v>40</v>
      </c>
      <c r="G470" s="37">
        <v>0</v>
      </c>
      <c r="H470" s="37">
        <v>0</v>
      </c>
      <c r="I470" s="37">
        <v>0</v>
      </c>
      <c r="J470" s="37">
        <v>0</v>
      </c>
      <c r="K470" s="16"/>
      <c r="L470" s="84">
        <v>1453</v>
      </c>
      <c r="M470" s="84">
        <v>43600</v>
      </c>
      <c r="N470" s="84">
        <v>45780</v>
      </c>
      <c r="O470" s="84">
        <f t="shared" si="270"/>
        <v>90833</v>
      </c>
      <c r="P470" s="26">
        <v>219744</v>
      </c>
      <c r="Q470" s="26">
        <v>0</v>
      </c>
      <c r="R470" s="84">
        <f t="shared" si="271"/>
        <v>219744</v>
      </c>
      <c r="S470" s="27">
        <v>1025472</v>
      </c>
      <c r="T470" s="27">
        <v>1148529</v>
      </c>
      <c r="U470" s="27">
        <v>1286352</v>
      </c>
      <c r="V470" s="16"/>
      <c r="W470" s="28">
        <f t="shared" si="272"/>
        <v>58120</v>
      </c>
      <c r="X470" s="28">
        <f t="shared" si="273"/>
        <v>1744000</v>
      </c>
      <c r="Y470" s="28">
        <f t="shared" si="274"/>
        <v>1831200</v>
      </c>
      <c r="Z470" s="28">
        <f t="shared" si="275"/>
        <v>3633320</v>
      </c>
      <c r="AA470" s="28">
        <f t="shared" si="276"/>
        <v>8789760</v>
      </c>
      <c r="AB470" s="28">
        <f t="shared" si="277"/>
        <v>0</v>
      </c>
      <c r="AC470" s="28">
        <f t="shared" si="282"/>
        <v>8789760</v>
      </c>
      <c r="AD470" s="77">
        <f t="shared" si="278"/>
        <v>0</v>
      </c>
      <c r="AE470" s="77">
        <f t="shared" si="279"/>
        <v>0</v>
      </c>
      <c r="AF470" s="99">
        <f t="shared" si="280"/>
        <v>0</v>
      </c>
    </row>
    <row r="471" spans="1:32" x14ac:dyDescent="0.3">
      <c r="A471" s="29">
        <v>8021</v>
      </c>
      <c r="B471" s="22" t="s">
        <v>186</v>
      </c>
      <c r="C471" s="36">
        <v>40</v>
      </c>
      <c r="D471" s="36">
        <v>40</v>
      </c>
      <c r="E471" s="37">
        <v>40</v>
      </c>
      <c r="F471" s="37">
        <v>40</v>
      </c>
      <c r="G471" s="37">
        <v>40</v>
      </c>
      <c r="H471" s="37">
        <v>40</v>
      </c>
      <c r="I471" s="37">
        <v>40</v>
      </c>
      <c r="J471" s="37">
        <v>40</v>
      </c>
      <c r="K471" s="16"/>
      <c r="L471" s="84">
        <v>13080</v>
      </c>
      <c r="M471" s="84">
        <v>392400</v>
      </c>
      <c r="N471" s="84">
        <v>412020</v>
      </c>
      <c r="O471" s="84">
        <f t="shared" si="270"/>
        <v>817500</v>
      </c>
      <c r="P471" s="26">
        <v>24416</v>
      </c>
      <c r="Q471" s="26">
        <v>77317</v>
      </c>
      <c r="R471" s="84">
        <f t="shared" si="271"/>
        <v>101733</v>
      </c>
      <c r="S471" s="27">
        <v>113941</v>
      </c>
      <c r="T471" s="27">
        <v>127614</v>
      </c>
      <c r="U471" s="27">
        <v>142928</v>
      </c>
      <c r="V471" s="16"/>
      <c r="W471" s="28">
        <f t="shared" si="272"/>
        <v>523200</v>
      </c>
      <c r="X471" s="28">
        <f t="shared" si="273"/>
        <v>15696000</v>
      </c>
      <c r="Y471" s="28">
        <f t="shared" si="274"/>
        <v>16480800</v>
      </c>
      <c r="Z471" s="28">
        <f t="shared" si="275"/>
        <v>32700000</v>
      </c>
      <c r="AA471" s="28">
        <f t="shared" si="276"/>
        <v>976640</v>
      </c>
      <c r="AB471" s="28">
        <f t="shared" si="277"/>
        <v>3092680</v>
      </c>
      <c r="AC471" s="28">
        <f>SUM(AA471:AB471)</f>
        <v>4069320</v>
      </c>
      <c r="AD471" s="77">
        <f t="shared" si="278"/>
        <v>4557640</v>
      </c>
      <c r="AE471" s="77">
        <f t="shared" si="279"/>
        <v>5104560</v>
      </c>
      <c r="AF471" s="99">
        <f t="shared" si="280"/>
        <v>5717120</v>
      </c>
    </row>
    <row r="472" spans="1:32" x14ac:dyDescent="0.3">
      <c r="A472" s="21">
        <v>8023</v>
      </c>
      <c r="B472" s="22" t="s">
        <v>187</v>
      </c>
      <c r="C472" s="36">
        <v>40</v>
      </c>
      <c r="D472" s="36">
        <v>40</v>
      </c>
      <c r="E472" s="37">
        <v>40</v>
      </c>
      <c r="F472" s="37">
        <v>40</v>
      </c>
      <c r="G472" s="37">
        <v>40</v>
      </c>
      <c r="H472" s="37">
        <v>40</v>
      </c>
      <c r="I472" s="37">
        <v>40</v>
      </c>
      <c r="J472" s="37">
        <v>40</v>
      </c>
      <c r="K472" s="16"/>
      <c r="L472" s="84">
        <v>106</v>
      </c>
      <c r="M472" s="84">
        <v>3172</v>
      </c>
      <c r="N472" s="84">
        <v>3330</v>
      </c>
      <c r="O472" s="84">
        <f t="shared" si="270"/>
        <v>6608</v>
      </c>
      <c r="P472" s="26">
        <v>1586</v>
      </c>
      <c r="Q472" s="26">
        <v>5022</v>
      </c>
      <c r="R472" s="84">
        <f t="shared" si="271"/>
        <v>6608</v>
      </c>
      <c r="S472" s="27">
        <v>6608</v>
      </c>
      <c r="T472" s="27">
        <v>6608</v>
      </c>
      <c r="U472" s="27">
        <v>6608</v>
      </c>
      <c r="V472" s="16"/>
      <c r="W472" s="28">
        <f t="shared" si="272"/>
        <v>4240</v>
      </c>
      <c r="X472" s="28">
        <f t="shared" si="273"/>
        <v>126880</v>
      </c>
      <c r="Y472" s="28">
        <f t="shared" si="274"/>
        <v>133200</v>
      </c>
      <c r="Z472" s="28">
        <f t="shared" si="275"/>
        <v>264320</v>
      </c>
      <c r="AA472" s="28">
        <f t="shared" si="276"/>
        <v>63440</v>
      </c>
      <c r="AB472" s="28">
        <f t="shared" si="277"/>
        <v>200880</v>
      </c>
      <c r="AC472" s="28">
        <f t="shared" si="282"/>
        <v>264320</v>
      </c>
      <c r="AD472" s="77">
        <f t="shared" si="278"/>
        <v>264320</v>
      </c>
      <c r="AE472" s="77">
        <f t="shared" si="279"/>
        <v>264320</v>
      </c>
      <c r="AF472" s="99">
        <f t="shared" si="280"/>
        <v>264320</v>
      </c>
    </row>
    <row r="473" spans="1:32" x14ac:dyDescent="0.3">
      <c r="A473" s="21">
        <v>8024</v>
      </c>
      <c r="B473" s="22" t="s">
        <v>188</v>
      </c>
      <c r="C473" s="152" t="s">
        <v>268</v>
      </c>
      <c r="D473" s="152" t="s">
        <v>268</v>
      </c>
      <c r="E473" s="152" t="s">
        <v>268</v>
      </c>
      <c r="F473" s="152" t="s">
        <v>268</v>
      </c>
      <c r="G473" s="152" t="s">
        <v>268</v>
      </c>
      <c r="H473" s="152" t="s">
        <v>268</v>
      </c>
      <c r="I473" s="152" t="s">
        <v>268</v>
      </c>
      <c r="J473" s="152" t="s">
        <v>268</v>
      </c>
      <c r="K473" s="16"/>
      <c r="L473" s="84">
        <v>0</v>
      </c>
      <c r="M473" s="84">
        <v>31739</v>
      </c>
      <c r="N473" s="84">
        <v>31739</v>
      </c>
      <c r="O473" s="84">
        <f>SUM(L473:N473)</f>
        <v>63478</v>
      </c>
      <c r="P473" s="26">
        <v>15870</v>
      </c>
      <c r="Q473" s="26">
        <v>47609</v>
      </c>
      <c r="R473" s="84">
        <f t="shared" ref="R473:R482" si="283">SUM(P473:Q473)</f>
        <v>63479</v>
      </c>
      <c r="S473" s="27">
        <v>63478</v>
      </c>
      <c r="T473" s="27">
        <v>63478</v>
      </c>
      <c r="U473" s="27">
        <v>63478</v>
      </c>
      <c r="V473" s="16"/>
      <c r="W473" s="28">
        <f>L473</f>
        <v>0</v>
      </c>
      <c r="X473" s="28">
        <f>M473</f>
        <v>31739</v>
      </c>
      <c r="Y473" s="28">
        <f>N473</f>
        <v>31739</v>
      </c>
      <c r="Z473" s="28">
        <f t="shared" si="275"/>
        <v>63478</v>
      </c>
      <c r="AA473" s="28">
        <f>P473</f>
        <v>15870</v>
      </c>
      <c r="AB473" s="28">
        <f>Q473</f>
        <v>47609</v>
      </c>
      <c r="AC473" s="28">
        <f t="shared" ref="AC473:AC482" si="284">SUM(AA473:AB473)</f>
        <v>63479</v>
      </c>
      <c r="AD473" s="77">
        <f>S473</f>
        <v>63478</v>
      </c>
      <c r="AE473" s="77">
        <f>T473</f>
        <v>63478</v>
      </c>
      <c r="AF473" s="99">
        <f>U473</f>
        <v>63478</v>
      </c>
    </row>
    <row r="474" spans="1:32" x14ac:dyDescent="0.3">
      <c r="A474" s="21">
        <v>8027</v>
      </c>
      <c r="B474" s="22" t="s">
        <v>189</v>
      </c>
      <c r="C474" s="36">
        <v>130</v>
      </c>
      <c r="D474" s="36">
        <v>130</v>
      </c>
      <c r="E474" s="37">
        <v>130</v>
      </c>
      <c r="F474" s="37">
        <v>130</v>
      </c>
      <c r="G474" s="37">
        <v>130</v>
      </c>
      <c r="H474" s="37">
        <v>130</v>
      </c>
      <c r="I474" s="37">
        <v>130</v>
      </c>
      <c r="J474" s="37">
        <v>130</v>
      </c>
      <c r="K474" s="16"/>
      <c r="L474" s="84">
        <v>0</v>
      </c>
      <c r="M474" s="84">
        <v>0</v>
      </c>
      <c r="N474" s="84">
        <v>0</v>
      </c>
      <c r="O474" s="84">
        <f t="shared" si="270"/>
        <v>0</v>
      </c>
      <c r="P474" s="26">
        <v>0</v>
      </c>
      <c r="Q474" s="26">
        <v>0</v>
      </c>
      <c r="R474" s="84">
        <f t="shared" si="283"/>
        <v>0</v>
      </c>
      <c r="S474" s="27">
        <v>0</v>
      </c>
      <c r="T474" s="27">
        <v>0</v>
      </c>
      <c r="U474" s="27">
        <v>0</v>
      </c>
      <c r="V474" s="16"/>
      <c r="W474" s="28">
        <f>L474*C474</f>
        <v>0</v>
      </c>
      <c r="X474" s="28">
        <f>M474*D474</f>
        <v>0</v>
      </c>
      <c r="Y474" s="28">
        <f>N474*E474</f>
        <v>0</v>
      </c>
      <c r="Z474" s="28">
        <f t="shared" si="275"/>
        <v>0</v>
      </c>
      <c r="AA474" s="28">
        <f>F474*P474</f>
        <v>0</v>
      </c>
      <c r="AB474" s="28">
        <f>G474*Q474</f>
        <v>0</v>
      </c>
      <c r="AC474" s="28">
        <f t="shared" si="284"/>
        <v>0</v>
      </c>
      <c r="AD474" s="77">
        <f>H474*S474</f>
        <v>0</v>
      </c>
      <c r="AE474" s="77">
        <f>I474*T474</f>
        <v>0</v>
      </c>
      <c r="AF474" s="99">
        <f>J474*U474</f>
        <v>0</v>
      </c>
    </row>
    <row r="475" spans="1:32" x14ac:dyDescent="0.3">
      <c r="A475" s="21">
        <v>8031</v>
      </c>
      <c r="B475" s="22" t="s">
        <v>295</v>
      </c>
      <c r="C475" s="151" t="s">
        <v>268</v>
      </c>
      <c r="D475" s="151" t="s">
        <v>268</v>
      </c>
      <c r="E475" s="151" t="s">
        <v>268</v>
      </c>
      <c r="F475" s="151" t="s">
        <v>268</v>
      </c>
      <c r="G475" s="151" t="s">
        <v>268</v>
      </c>
      <c r="H475" s="151" t="s">
        <v>268</v>
      </c>
      <c r="I475" s="151" t="s">
        <v>268</v>
      </c>
      <c r="J475" s="151" t="s">
        <v>268</v>
      </c>
      <c r="K475" s="16"/>
      <c r="L475" s="84">
        <v>0</v>
      </c>
      <c r="M475" s="84">
        <v>157393</v>
      </c>
      <c r="N475" s="84">
        <v>157393</v>
      </c>
      <c r="O475" s="84">
        <f>SUM(L475:N475)</f>
        <v>314786</v>
      </c>
      <c r="P475" s="26">
        <v>82631</v>
      </c>
      <c r="Q475" s="26">
        <v>247894</v>
      </c>
      <c r="R475" s="84">
        <f t="shared" si="283"/>
        <v>330525</v>
      </c>
      <c r="S475" s="27">
        <v>347051</v>
      </c>
      <c r="T475" s="27">
        <v>364403</v>
      </c>
      <c r="U475" s="27">
        <v>382623</v>
      </c>
      <c r="V475" s="16"/>
      <c r="W475" s="28">
        <f>L475</f>
        <v>0</v>
      </c>
      <c r="X475" s="28">
        <f>M475</f>
        <v>157393</v>
      </c>
      <c r="Y475" s="28">
        <f>N475</f>
        <v>157393</v>
      </c>
      <c r="Z475" s="28">
        <f t="shared" si="275"/>
        <v>314786</v>
      </c>
      <c r="AA475" s="28">
        <f>P475</f>
        <v>82631</v>
      </c>
      <c r="AB475" s="28">
        <f>Q475</f>
        <v>247894</v>
      </c>
      <c r="AC475" s="28">
        <f t="shared" si="284"/>
        <v>330525</v>
      </c>
      <c r="AD475" s="77">
        <f>S475</f>
        <v>347051</v>
      </c>
      <c r="AE475" s="77">
        <f>T475</f>
        <v>364403</v>
      </c>
      <c r="AF475" s="99">
        <f>U475</f>
        <v>382623</v>
      </c>
    </row>
    <row r="476" spans="1:32" x14ac:dyDescent="0.3">
      <c r="A476" s="21">
        <v>8041</v>
      </c>
      <c r="B476" s="22" t="s">
        <v>190</v>
      </c>
      <c r="C476" s="36">
        <v>55</v>
      </c>
      <c r="D476" s="36">
        <v>55</v>
      </c>
      <c r="E476" s="37">
        <v>55</v>
      </c>
      <c r="F476" s="37">
        <v>55</v>
      </c>
      <c r="G476" s="37">
        <v>55</v>
      </c>
      <c r="H476" s="37">
        <v>55</v>
      </c>
      <c r="I476" s="37">
        <v>55</v>
      </c>
      <c r="J476" s="37">
        <v>55</v>
      </c>
      <c r="K476" s="16"/>
      <c r="L476" s="84">
        <v>0</v>
      </c>
      <c r="M476" s="84">
        <v>0</v>
      </c>
      <c r="N476" s="84">
        <v>0</v>
      </c>
      <c r="O476" s="84">
        <f t="shared" si="270"/>
        <v>0</v>
      </c>
      <c r="P476" s="26">
        <v>0</v>
      </c>
      <c r="Q476" s="26">
        <v>0</v>
      </c>
      <c r="R476" s="84">
        <f t="shared" si="283"/>
        <v>0</v>
      </c>
      <c r="S476" s="27">
        <v>0</v>
      </c>
      <c r="T476" s="27">
        <v>0</v>
      </c>
      <c r="U476" s="27">
        <v>0</v>
      </c>
      <c r="V476" s="16"/>
      <c r="W476" s="28">
        <f t="shared" ref="W476:Y478" si="285">L476*C476</f>
        <v>0</v>
      </c>
      <c r="X476" s="28">
        <f t="shared" si="285"/>
        <v>0</v>
      </c>
      <c r="Y476" s="28">
        <f t="shared" si="285"/>
        <v>0</v>
      </c>
      <c r="Z476" s="28">
        <f t="shared" si="275"/>
        <v>0</v>
      </c>
      <c r="AA476" s="28">
        <f t="shared" ref="AA476:AB478" si="286">F476*P476</f>
        <v>0</v>
      </c>
      <c r="AB476" s="28">
        <f t="shared" si="286"/>
        <v>0</v>
      </c>
      <c r="AC476" s="28">
        <f t="shared" si="284"/>
        <v>0</v>
      </c>
      <c r="AD476" s="77">
        <f t="shared" ref="AD476:AF478" si="287">H476*S476</f>
        <v>0</v>
      </c>
      <c r="AE476" s="77">
        <f t="shared" si="287"/>
        <v>0</v>
      </c>
      <c r="AF476" s="99">
        <f t="shared" si="287"/>
        <v>0</v>
      </c>
    </row>
    <row r="477" spans="1:32" x14ac:dyDescent="0.3">
      <c r="A477" s="21">
        <v>8042</v>
      </c>
      <c r="B477" s="22" t="s">
        <v>191</v>
      </c>
      <c r="C477" s="36">
        <v>15</v>
      </c>
      <c r="D477" s="36">
        <v>15</v>
      </c>
      <c r="E477" s="37">
        <v>15</v>
      </c>
      <c r="F477" s="37">
        <v>15</v>
      </c>
      <c r="G477" s="37">
        <v>15</v>
      </c>
      <c r="H477" s="37">
        <v>15</v>
      </c>
      <c r="I477" s="37">
        <v>15</v>
      </c>
      <c r="J477" s="37">
        <v>15</v>
      </c>
      <c r="K477" s="16"/>
      <c r="L477" s="84">
        <v>0</v>
      </c>
      <c r="M477" s="84">
        <v>0</v>
      </c>
      <c r="N477" s="84">
        <v>0</v>
      </c>
      <c r="O477" s="84">
        <f t="shared" si="270"/>
        <v>0</v>
      </c>
      <c r="P477" s="26">
        <v>0</v>
      </c>
      <c r="Q477" s="26">
        <v>0</v>
      </c>
      <c r="R477" s="84">
        <f t="shared" si="283"/>
        <v>0</v>
      </c>
      <c r="S477" s="27">
        <v>0</v>
      </c>
      <c r="T477" s="27">
        <v>0</v>
      </c>
      <c r="U477" s="27">
        <v>0</v>
      </c>
      <c r="V477" s="16"/>
      <c r="W477" s="28">
        <f t="shared" si="285"/>
        <v>0</v>
      </c>
      <c r="X477" s="28">
        <f t="shared" si="285"/>
        <v>0</v>
      </c>
      <c r="Y477" s="28">
        <f t="shared" si="285"/>
        <v>0</v>
      </c>
      <c r="Z477" s="28">
        <f t="shared" si="275"/>
        <v>0</v>
      </c>
      <c r="AA477" s="28">
        <f t="shared" si="286"/>
        <v>0</v>
      </c>
      <c r="AB477" s="28">
        <f t="shared" si="286"/>
        <v>0</v>
      </c>
      <c r="AC477" s="28">
        <f t="shared" si="284"/>
        <v>0</v>
      </c>
      <c r="AD477" s="77">
        <f t="shared" si="287"/>
        <v>0</v>
      </c>
      <c r="AE477" s="77">
        <f t="shared" si="287"/>
        <v>0</v>
      </c>
      <c r="AF477" s="99">
        <f t="shared" si="287"/>
        <v>0</v>
      </c>
    </row>
    <row r="478" spans="1:32" x14ac:dyDescent="0.3">
      <c r="A478" s="21">
        <v>8043</v>
      </c>
      <c r="B478" s="22" t="s">
        <v>192</v>
      </c>
      <c r="C478" s="36">
        <v>55</v>
      </c>
      <c r="D478" s="36">
        <v>55</v>
      </c>
      <c r="E478" s="37">
        <v>55</v>
      </c>
      <c r="F478" s="37">
        <v>55</v>
      </c>
      <c r="G478" s="37">
        <v>55</v>
      </c>
      <c r="H478" s="37">
        <v>55</v>
      </c>
      <c r="I478" s="37">
        <v>55</v>
      </c>
      <c r="J478" s="37">
        <v>55</v>
      </c>
      <c r="K478" s="16"/>
      <c r="L478" s="84">
        <v>0</v>
      </c>
      <c r="M478" s="84">
        <v>0</v>
      </c>
      <c r="N478" s="84">
        <v>0</v>
      </c>
      <c r="O478" s="84">
        <f t="shared" si="270"/>
        <v>0</v>
      </c>
      <c r="P478" s="26">
        <v>0</v>
      </c>
      <c r="Q478" s="26">
        <v>0</v>
      </c>
      <c r="R478" s="84">
        <f t="shared" si="283"/>
        <v>0</v>
      </c>
      <c r="S478" s="27">
        <v>0</v>
      </c>
      <c r="T478" s="27">
        <v>0</v>
      </c>
      <c r="U478" s="27">
        <v>0</v>
      </c>
      <c r="V478" s="16"/>
      <c r="W478" s="28">
        <f t="shared" si="285"/>
        <v>0</v>
      </c>
      <c r="X478" s="28">
        <f t="shared" si="285"/>
        <v>0</v>
      </c>
      <c r="Y478" s="28">
        <f t="shared" si="285"/>
        <v>0</v>
      </c>
      <c r="Z478" s="28">
        <f t="shared" si="275"/>
        <v>0</v>
      </c>
      <c r="AA478" s="28">
        <f t="shared" si="286"/>
        <v>0</v>
      </c>
      <c r="AB478" s="28">
        <f t="shared" si="286"/>
        <v>0</v>
      </c>
      <c r="AC478" s="28">
        <f t="shared" si="284"/>
        <v>0</v>
      </c>
      <c r="AD478" s="77">
        <f t="shared" si="287"/>
        <v>0</v>
      </c>
      <c r="AE478" s="77">
        <f t="shared" si="287"/>
        <v>0</v>
      </c>
      <c r="AF478" s="99">
        <f t="shared" si="287"/>
        <v>0</v>
      </c>
    </row>
    <row r="479" spans="1:32" x14ac:dyDescent="0.3">
      <c r="A479" s="21">
        <v>8050</v>
      </c>
      <c r="B479" s="22" t="s">
        <v>193</v>
      </c>
      <c r="C479" s="151" t="s">
        <v>268</v>
      </c>
      <c r="D479" s="151" t="s">
        <v>268</v>
      </c>
      <c r="E479" s="151" t="s">
        <v>268</v>
      </c>
      <c r="F479" s="151" t="s">
        <v>268</v>
      </c>
      <c r="G479" s="151" t="s">
        <v>268</v>
      </c>
      <c r="H479" s="151" t="s">
        <v>268</v>
      </c>
      <c r="I479" s="151" t="s">
        <v>268</v>
      </c>
      <c r="J479" s="151" t="s">
        <v>268</v>
      </c>
      <c r="K479" s="16"/>
      <c r="L479" s="84">
        <v>0</v>
      </c>
      <c r="M479" s="84">
        <v>0</v>
      </c>
      <c r="N479" s="84">
        <v>0</v>
      </c>
      <c r="O479" s="84">
        <f t="shared" si="270"/>
        <v>0</v>
      </c>
      <c r="P479" s="26">
        <v>0</v>
      </c>
      <c r="Q479" s="26">
        <v>0</v>
      </c>
      <c r="R479" s="84">
        <f t="shared" si="283"/>
        <v>0</v>
      </c>
      <c r="S479" s="27">
        <v>0</v>
      </c>
      <c r="T479" s="27">
        <v>0</v>
      </c>
      <c r="U479" s="27">
        <v>0</v>
      </c>
      <c r="V479" s="16"/>
      <c r="W479" s="28">
        <f t="shared" ref="W479:Y480" si="288">L479</f>
        <v>0</v>
      </c>
      <c r="X479" s="28">
        <f t="shared" si="288"/>
        <v>0</v>
      </c>
      <c r="Y479" s="28">
        <f t="shared" si="288"/>
        <v>0</v>
      </c>
      <c r="Z479" s="28">
        <f t="shared" si="275"/>
        <v>0</v>
      </c>
      <c r="AA479" s="28">
        <f>P479</f>
        <v>0</v>
      </c>
      <c r="AB479" s="28">
        <f>Q479</f>
        <v>0</v>
      </c>
      <c r="AC479" s="28">
        <f t="shared" si="284"/>
        <v>0</v>
      </c>
      <c r="AD479" s="77">
        <f t="shared" ref="AD479:AF480" si="289">S479</f>
        <v>0</v>
      </c>
      <c r="AE479" s="77">
        <f t="shared" si="289"/>
        <v>0</v>
      </c>
      <c r="AF479" s="99">
        <f t="shared" si="289"/>
        <v>0</v>
      </c>
    </row>
    <row r="480" spans="1:32" x14ac:dyDescent="0.3">
      <c r="A480" s="29">
        <v>8901</v>
      </c>
      <c r="B480" s="22" t="s">
        <v>194</v>
      </c>
      <c r="C480" s="153" t="s">
        <v>268</v>
      </c>
      <c r="D480" s="153" t="s">
        <v>268</v>
      </c>
      <c r="E480" s="153" t="s">
        <v>268</v>
      </c>
      <c r="F480" s="153" t="s">
        <v>268</v>
      </c>
      <c r="G480" s="153" t="s">
        <v>268</v>
      </c>
      <c r="H480" s="153" t="s">
        <v>268</v>
      </c>
      <c r="I480" s="153" t="s">
        <v>268</v>
      </c>
      <c r="J480" s="153" t="s">
        <v>268</v>
      </c>
      <c r="K480" s="16"/>
      <c r="L480" s="84">
        <v>0</v>
      </c>
      <c r="M480" s="84">
        <v>158090</v>
      </c>
      <c r="N480" s="84">
        <v>158090</v>
      </c>
      <c r="O480" s="84">
        <f t="shared" si="270"/>
        <v>316180</v>
      </c>
      <c r="P480" s="26">
        <v>74318</v>
      </c>
      <c r="Q480" s="26">
        <v>222954</v>
      </c>
      <c r="R480" s="84">
        <f t="shared" si="283"/>
        <v>297272</v>
      </c>
      <c r="S480" s="27">
        <v>279496</v>
      </c>
      <c r="T480" s="27">
        <v>262782</v>
      </c>
      <c r="U480" s="27">
        <v>247067</v>
      </c>
      <c r="V480" s="16"/>
      <c r="W480" s="28">
        <f t="shared" si="288"/>
        <v>0</v>
      </c>
      <c r="X480" s="28">
        <f t="shared" si="288"/>
        <v>158090</v>
      </c>
      <c r="Y480" s="28">
        <f t="shared" si="288"/>
        <v>158090</v>
      </c>
      <c r="Z480" s="28">
        <f t="shared" si="275"/>
        <v>316180</v>
      </c>
      <c r="AA480" s="28">
        <f>P480</f>
        <v>74318</v>
      </c>
      <c r="AB480" s="28">
        <f>Q480</f>
        <v>222954</v>
      </c>
      <c r="AC480" s="28">
        <f t="shared" si="284"/>
        <v>297272</v>
      </c>
      <c r="AD480" s="77">
        <f t="shared" si="289"/>
        <v>279496</v>
      </c>
      <c r="AE480" s="77">
        <f t="shared" si="289"/>
        <v>262782</v>
      </c>
      <c r="AF480" s="99">
        <f t="shared" si="289"/>
        <v>247067</v>
      </c>
    </row>
    <row r="481" spans="1:32" x14ac:dyDescent="0.3">
      <c r="A481" s="29">
        <v>8902</v>
      </c>
      <c r="B481" s="22" t="s">
        <v>195</v>
      </c>
      <c r="C481" s="37">
        <v>0.25</v>
      </c>
      <c r="D481" s="37">
        <v>0.25</v>
      </c>
      <c r="E481" s="37">
        <v>0.25</v>
      </c>
      <c r="F481" s="37">
        <v>0.25</v>
      </c>
      <c r="G481" s="37">
        <v>0.25</v>
      </c>
      <c r="H481" s="37">
        <v>0.25</v>
      </c>
      <c r="I481" s="37">
        <v>0.25</v>
      </c>
      <c r="J481" s="37">
        <v>0.25</v>
      </c>
      <c r="K481" s="16"/>
      <c r="L481" s="84">
        <v>19388</v>
      </c>
      <c r="M481" s="84">
        <v>581640</v>
      </c>
      <c r="N481" s="84">
        <v>610721</v>
      </c>
      <c r="O481" s="84">
        <f>SUM(L481:N481)</f>
        <v>1211749</v>
      </c>
      <c r="P481" s="26">
        <v>285352</v>
      </c>
      <c r="Q481" s="26">
        <v>903616</v>
      </c>
      <c r="R481" s="84">
        <f t="shared" si="283"/>
        <v>1188968</v>
      </c>
      <c r="S481" s="27">
        <v>1166616</v>
      </c>
      <c r="T481" s="27">
        <v>1144683</v>
      </c>
      <c r="U481" s="27">
        <v>1123163</v>
      </c>
      <c r="V481" s="16"/>
      <c r="W481" s="28">
        <f t="shared" ref="W481:Y482" si="290">L481*C481</f>
        <v>4847</v>
      </c>
      <c r="X481" s="28">
        <f t="shared" si="290"/>
        <v>145410</v>
      </c>
      <c r="Y481" s="28">
        <f t="shared" si="290"/>
        <v>152680.25</v>
      </c>
      <c r="Z481" s="28">
        <f t="shared" si="275"/>
        <v>302937.25</v>
      </c>
      <c r="AA481" s="28">
        <f>F481*P481</f>
        <v>71338</v>
      </c>
      <c r="AB481" s="28">
        <f>G481*Q481</f>
        <v>225904</v>
      </c>
      <c r="AC481" s="28">
        <f t="shared" si="284"/>
        <v>297242</v>
      </c>
      <c r="AD481" s="77">
        <f t="shared" ref="AD481:AF482" si="291">H481*S481</f>
        <v>291654</v>
      </c>
      <c r="AE481" s="77">
        <f t="shared" si="291"/>
        <v>286170.75</v>
      </c>
      <c r="AF481" s="99">
        <f t="shared" si="291"/>
        <v>280790.75</v>
      </c>
    </row>
    <row r="482" spans="1:32" x14ac:dyDescent="0.3">
      <c r="A482" s="29">
        <v>8904</v>
      </c>
      <c r="B482" s="22" t="s">
        <v>196</v>
      </c>
      <c r="C482" s="37">
        <v>50</v>
      </c>
      <c r="D482" s="37">
        <v>50</v>
      </c>
      <c r="E482" s="37">
        <v>50</v>
      </c>
      <c r="F482" s="37">
        <v>50</v>
      </c>
      <c r="G482" s="37">
        <v>50</v>
      </c>
      <c r="H482" s="37">
        <v>50</v>
      </c>
      <c r="I482" s="37">
        <v>50</v>
      </c>
      <c r="J482" s="37">
        <v>50</v>
      </c>
      <c r="K482" s="16"/>
      <c r="L482" s="84">
        <v>1</v>
      </c>
      <c r="M482" s="84">
        <v>22</v>
      </c>
      <c r="N482" s="84">
        <v>23</v>
      </c>
      <c r="O482" s="84">
        <f>SUM(L482:N482)</f>
        <v>46</v>
      </c>
      <c r="P482" s="26">
        <v>11</v>
      </c>
      <c r="Q482" s="26">
        <v>33</v>
      </c>
      <c r="R482" s="84">
        <f t="shared" si="283"/>
        <v>44</v>
      </c>
      <c r="S482" s="27">
        <v>43</v>
      </c>
      <c r="T482" s="27">
        <v>42</v>
      </c>
      <c r="U482" s="27">
        <v>41</v>
      </c>
      <c r="V482" s="16"/>
      <c r="W482" s="28">
        <f t="shared" si="290"/>
        <v>50</v>
      </c>
      <c r="X482" s="28">
        <f t="shared" si="290"/>
        <v>1100</v>
      </c>
      <c r="Y482" s="28">
        <f t="shared" si="290"/>
        <v>1150</v>
      </c>
      <c r="Z482" s="28">
        <f t="shared" si="275"/>
        <v>2300</v>
      </c>
      <c r="AA482" s="28">
        <f>F482*P482</f>
        <v>550</v>
      </c>
      <c r="AB482" s="28">
        <f>G482*Q482</f>
        <v>1650</v>
      </c>
      <c r="AC482" s="28">
        <f t="shared" si="284"/>
        <v>2200</v>
      </c>
      <c r="AD482" s="77">
        <f t="shared" si="291"/>
        <v>2150</v>
      </c>
      <c r="AE482" s="77">
        <f t="shared" si="291"/>
        <v>2100</v>
      </c>
      <c r="AF482" s="99">
        <f t="shared" si="291"/>
        <v>2050</v>
      </c>
    </row>
    <row r="483" spans="1:32" x14ac:dyDescent="0.3">
      <c r="A483" s="32" t="s">
        <v>170</v>
      </c>
      <c r="B483" s="33"/>
      <c r="C483" s="23"/>
      <c r="D483" s="23"/>
      <c r="E483" s="23"/>
      <c r="F483" s="23"/>
      <c r="G483" s="23"/>
      <c r="H483" s="23"/>
      <c r="I483" s="23"/>
      <c r="J483" s="23"/>
      <c r="K483" s="16"/>
      <c r="L483" s="84"/>
      <c r="M483" s="84"/>
      <c r="N483" s="84"/>
      <c r="O483" s="84"/>
      <c r="P483" s="26"/>
      <c r="Q483" s="26"/>
      <c r="R483" s="84"/>
      <c r="S483" s="27"/>
      <c r="T483" s="27"/>
      <c r="U483" s="27"/>
      <c r="V483" s="16"/>
      <c r="W483" s="28">
        <f>SUM(W455:W482)</f>
        <v>674475</v>
      </c>
      <c r="X483" s="28">
        <f t="shared" ref="X483:AF483" si="292">SUM(X455:X482)</f>
        <v>20581829</v>
      </c>
      <c r="Y483" s="28">
        <f t="shared" si="292"/>
        <v>21593755.25</v>
      </c>
      <c r="Z483" s="28">
        <f t="shared" si="292"/>
        <v>42850059.25</v>
      </c>
      <c r="AA483" s="28">
        <f t="shared" si="292"/>
        <v>11422008</v>
      </c>
      <c r="AB483" s="28">
        <f t="shared" si="292"/>
        <v>8306701</v>
      </c>
      <c r="AC483" s="28">
        <f t="shared" si="292"/>
        <v>19728709</v>
      </c>
      <c r="AD483" s="77">
        <f t="shared" si="292"/>
        <v>11843056</v>
      </c>
      <c r="AE483" s="77">
        <f t="shared" si="292"/>
        <v>12922733.75</v>
      </c>
      <c r="AF483" s="99">
        <f t="shared" si="292"/>
        <v>14160533.75</v>
      </c>
    </row>
    <row r="484" spans="1:32" x14ac:dyDescent="0.3">
      <c r="A484" s="32"/>
      <c r="B484" s="33"/>
      <c r="C484" s="23"/>
      <c r="D484" s="23"/>
      <c r="E484" s="23"/>
      <c r="F484" s="23"/>
      <c r="G484" s="23"/>
      <c r="H484" s="23"/>
      <c r="I484" s="23"/>
      <c r="J484" s="23"/>
      <c r="K484" s="16"/>
      <c r="L484" s="84"/>
      <c r="M484" s="84"/>
      <c r="N484" s="84"/>
      <c r="O484" s="84"/>
      <c r="P484" s="26"/>
      <c r="Q484" s="26"/>
      <c r="R484" s="84"/>
      <c r="S484" s="27"/>
      <c r="T484" s="27"/>
      <c r="U484" s="27"/>
      <c r="V484" s="16"/>
      <c r="W484" s="28"/>
      <c r="X484" s="28"/>
      <c r="Y484" s="28"/>
      <c r="Z484" s="28"/>
      <c r="AA484" s="28"/>
      <c r="AB484" s="28"/>
      <c r="AC484" s="28"/>
      <c r="AD484" s="77"/>
      <c r="AE484" s="77"/>
      <c r="AF484" s="99"/>
    </row>
    <row r="485" spans="1:32" x14ac:dyDescent="0.3">
      <c r="A485" s="32" t="s">
        <v>197</v>
      </c>
      <c r="B485" s="33"/>
      <c r="C485" s="23"/>
      <c r="D485" s="23"/>
      <c r="E485" s="23"/>
      <c r="F485" s="23"/>
      <c r="G485" s="23"/>
      <c r="H485" s="23"/>
      <c r="I485" s="23"/>
      <c r="J485" s="23"/>
      <c r="K485" s="16"/>
      <c r="L485" s="84"/>
      <c r="M485" s="84"/>
      <c r="N485" s="84"/>
      <c r="O485" s="84"/>
      <c r="P485" s="26"/>
      <c r="Q485" s="26"/>
      <c r="R485" s="84"/>
      <c r="S485" s="27"/>
      <c r="T485" s="27"/>
      <c r="U485" s="27"/>
      <c r="V485" s="16"/>
      <c r="W485" s="28"/>
      <c r="X485" s="28"/>
      <c r="Y485" s="28"/>
      <c r="Z485" s="28"/>
      <c r="AA485" s="28"/>
      <c r="AB485" s="28"/>
      <c r="AC485" s="28"/>
      <c r="AD485" s="77"/>
      <c r="AE485" s="77"/>
      <c r="AF485" s="99"/>
    </row>
    <row r="486" spans="1:32" x14ac:dyDescent="0.3">
      <c r="A486" s="29">
        <v>9101</v>
      </c>
      <c r="B486" s="33" t="s">
        <v>218</v>
      </c>
      <c r="C486" s="36">
        <v>50</v>
      </c>
      <c r="D486" s="36">
        <v>50</v>
      </c>
      <c r="E486" s="37">
        <v>50</v>
      </c>
      <c r="F486" s="37">
        <v>50</v>
      </c>
      <c r="G486" s="37">
        <v>50</v>
      </c>
      <c r="H486" s="37">
        <v>50</v>
      </c>
      <c r="I486" s="37">
        <v>50</v>
      </c>
      <c r="J486" s="37">
        <v>50</v>
      </c>
      <c r="K486" s="16"/>
      <c r="L486" s="84">
        <v>4</v>
      </c>
      <c r="M486" s="84">
        <v>106</v>
      </c>
      <c r="N486" s="84">
        <v>111</v>
      </c>
      <c r="O486" s="84">
        <f>SUM(L486:N486)</f>
        <v>221</v>
      </c>
      <c r="P486" s="26">
        <v>53</v>
      </c>
      <c r="Q486" s="26">
        <v>168</v>
      </c>
      <c r="R486" s="84">
        <f>SUM(P486:Q486)</f>
        <v>221</v>
      </c>
      <c r="S486" s="27">
        <v>221</v>
      </c>
      <c r="T486" s="27">
        <v>221</v>
      </c>
      <c r="U486" s="27">
        <v>221</v>
      </c>
      <c r="V486" s="16"/>
      <c r="W486" s="28">
        <f t="shared" ref="W486:Y488" si="293">L486*C486</f>
        <v>200</v>
      </c>
      <c r="X486" s="28">
        <f t="shared" si="293"/>
        <v>5300</v>
      </c>
      <c r="Y486" s="28">
        <f t="shared" si="293"/>
        <v>5550</v>
      </c>
      <c r="Z486" s="28">
        <f>W486+X486+Y486</f>
        <v>11050</v>
      </c>
      <c r="AA486" s="28">
        <f t="shared" ref="AA486:AB488" si="294">F486*P486</f>
        <v>2650</v>
      </c>
      <c r="AB486" s="28">
        <f t="shared" si="294"/>
        <v>8400</v>
      </c>
      <c r="AC486" s="28">
        <f>SUM(AA486:AB486)</f>
        <v>11050</v>
      </c>
      <c r="AD486" s="77">
        <f t="shared" ref="AD486:AF488" si="295">H486*S486</f>
        <v>11050</v>
      </c>
      <c r="AE486" s="77">
        <f t="shared" si="295"/>
        <v>11050</v>
      </c>
      <c r="AF486" s="99">
        <f t="shared" si="295"/>
        <v>11050</v>
      </c>
    </row>
    <row r="487" spans="1:32" x14ac:dyDescent="0.3">
      <c r="A487" s="29">
        <v>9201</v>
      </c>
      <c r="B487" s="33" t="s">
        <v>219</v>
      </c>
      <c r="C487" s="36">
        <v>10</v>
      </c>
      <c r="D487" s="36">
        <v>10</v>
      </c>
      <c r="E487" s="37">
        <v>10</v>
      </c>
      <c r="F487" s="37">
        <v>10</v>
      </c>
      <c r="G487" s="37">
        <v>10</v>
      </c>
      <c r="H487" s="37">
        <v>10</v>
      </c>
      <c r="I487" s="37">
        <v>10</v>
      </c>
      <c r="J487" s="37">
        <v>10</v>
      </c>
      <c r="K487" s="16"/>
      <c r="L487" s="84">
        <v>4</v>
      </c>
      <c r="M487" s="84">
        <v>131</v>
      </c>
      <c r="N487" s="84">
        <v>137</v>
      </c>
      <c r="O487" s="84">
        <f>SUM(L487:N487)</f>
        <v>272</v>
      </c>
      <c r="P487" s="26">
        <v>65</v>
      </c>
      <c r="Q487" s="26">
        <v>207</v>
      </c>
      <c r="R487" s="84">
        <f>SUM(P487:Q487)</f>
        <v>272</v>
      </c>
      <c r="S487" s="27">
        <v>272</v>
      </c>
      <c r="T487" s="27">
        <v>272</v>
      </c>
      <c r="U487" s="27">
        <v>272</v>
      </c>
      <c r="V487" s="16"/>
      <c r="W487" s="28">
        <f t="shared" si="293"/>
        <v>40</v>
      </c>
      <c r="X487" s="28">
        <f t="shared" si="293"/>
        <v>1310</v>
      </c>
      <c r="Y487" s="28">
        <f t="shared" si="293"/>
        <v>1370</v>
      </c>
      <c r="Z487" s="28">
        <f>W487+X487+Y487</f>
        <v>2720</v>
      </c>
      <c r="AA487" s="28">
        <f t="shared" si="294"/>
        <v>650</v>
      </c>
      <c r="AB487" s="28">
        <f t="shared" si="294"/>
        <v>2070</v>
      </c>
      <c r="AC487" s="28">
        <f>SUM(AA487:AB487)</f>
        <v>2720</v>
      </c>
      <c r="AD487" s="77">
        <f t="shared" si="295"/>
        <v>2720</v>
      </c>
      <c r="AE487" s="77">
        <f t="shared" si="295"/>
        <v>2720</v>
      </c>
      <c r="AF487" s="99">
        <f t="shared" si="295"/>
        <v>2720</v>
      </c>
    </row>
    <row r="488" spans="1:32" x14ac:dyDescent="0.3">
      <c r="A488" s="29">
        <v>9202</v>
      </c>
      <c r="B488" s="62" t="s">
        <v>220</v>
      </c>
      <c r="C488" s="36">
        <v>25</v>
      </c>
      <c r="D488" s="36">
        <v>25</v>
      </c>
      <c r="E488" s="37">
        <v>25</v>
      </c>
      <c r="F488" s="37">
        <v>25</v>
      </c>
      <c r="G488" s="37">
        <v>25</v>
      </c>
      <c r="H488" s="37">
        <v>25</v>
      </c>
      <c r="I488" s="37">
        <v>25</v>
      </c>
      <c r="J488" s="37">
        <v>25</v>
      </c>
      <c r="K488" s="16"/>
      <c r="L488" s="84">
        <v>67</v>
      </c>
      <c r="M488" s="84">
        <v>2009</v>
      </c>
      <c r="N488" s="84">
        <v>2109</v>
      </c>
      <c r="O488" s="84">
        <f>SUM(L488:N488)</f>
        <v>4185</v>
      </c>
      <c r="P488" s="26">
        <v>1004</v>
      </c>
      <c r="Q488" s="26">
        <v>3181</v>
      </c>
      <c r="R488" s="84">
        <f>SUM(P488:Q488)</f>
        <v>4185</v>
      </c>
      <c r="S488" s="27">
        <v>4185</v>
      </c>
      <c r="T488" s="27">
        <v>4185</v>
      </c>
      <c r="U488" s="27">
        <v>4185</v>
      </c>
      <c r="V488" s="16"/>
      <c r="W488" s="28">
        <f t="shared" si="293"/>
        <v>1675</v>
      </c>
      <c r="X488" s="28">
        <f t="shared" si="293"/>
        <v>50225</v>
      </c>
      <c r="Y488" s="28">
        <f t="shared" si="293"/>
        <v>52725</v>
      </c>
      <c r="Z488" s="28">
        <f>W488+X488+Y488</f>
        <v>104625</v>
      </c>
      <c r="AA488" s="28">
        <f t="shared" si="294"/>
        <v>25100</v>
      </c>
      <c r="AB488" s="28">
        <f t="shared" si="294"/>
        <v>79525</v>
      </c>
      <c r="AC488" s="28">
        <f>SUM(AA488:AB488)</f>
        <v>104625</v>
      </c>
      <c r="AD488" s="77">
        <f t="shared" si="295"/>
        <v>104625</v>
      </c>
      <c r="AE488" s="77">
        <f t="shared" si="295"/>
        <v>104625</v>
      </c>
      <c r="AF488" s="99">
        <f t="shared" si="295"/>
        <v>104625</v>
      </c>
    </row>
    <row r="489" spans="1:32" x14ac:dyDescent="0.3">
      <c r="A489" s="29">
        <v>9209</v>
      </c>
      <c r="B489" s="62" t="s">
        <v>221</v>
      </c>
      <c r="C489" s="151" t="s">
        <v>268</v>
      </c>
      <c r="D489" s="151" t="s">
        <v>268</v>
      </c>
      <c r="E489" s="151" t="s">
        <v>268</v>
      </c>
      <c r="F489" s="151" t="s">
        <v>268</v>
      </c>
      <c r="G489" s="151" t="s">
        <v>268</v>
      </c>
      <c r="H489" s="151" t="s">
        <v>268</v>
      </c>
      <c r="I489" s="151" t="s">
        <v>268</v>
      </c>
      <c r="J489" s="151" t="s">
        <v>268</v>
      </c>
      <c r="K489" s="16"/>
      <c r="L489" s="84">
        <v>0</v>
      </c>
      <c r="M489" s="84">
        <v>148</v>
      </c>
      <c r="N489" s="84">
        <v>148</v>
      </c>
      <c r="O489" s="84">
        <f>SUM(L489:N489)</f>
        <v>296</v>
      </c>
      <c r="P489" s="26">
        <v>74</v>
      </c>
      <c r="Q489" s="26">
        <v>221</v>
      </c>
      <c r="R489" s="84">
        <f>SUM(P489:Q489)</f>
        <v>295</v>
      </c>
      <c r="S489" s="27">
        <v>295</v>
      </c>
      <c r="T489" s="27">
        <v>295</v>
      </c>
      <c r="U489" s="27">
        <v>295</v>
      </c>
      <c r="V489" s="16"/>
      <c r="W489" s="28">
        <f>L489</f>
        <v>0</v>
      </c>
      <c r="X489" s="28">
        <f>M489</f>
        <v>148</v>
      </c>
      <c r="Y489" s="28">
        <f>N489</f>
        <v>148</v>
      </c>
      <c r="Z489" s="28">
        <f>W489+X489+Y489</f>
        <v>296</v>
      </c>
      <c r="AA489" s="28">
        <f>P489</f>
        <v>74</v>
      </c>
      <c r="AB489" s="28">
        <f>Q489</f>
        <v>221</v>
      </c>
      <c r="AC489" s="28">
        <f>SUM(AA489:AB489)</f>
        <v>295</v>
      </c>
      <c r="AD489" s="77">
        <f>S489</f>
        <v>295</v>
      </c>
      <c r="AE489" s="77">
        <f>T489</f>
        <v>295</v>
      </c>
      <c r="AF489" s="99">
        <f>U489</f>
        <v>295</v>
      </c>
    </row>
    <row r="490" spans="1:32" x14ac:dyDescent="0.3">
      <c r="A490" s="32" t="s">
        <v>198</v>
      </c>
      <c r="B490" s="62"/>
      <c r="C490" s="23"/>
      <c r="D490" s="23"/>
      <c r="E490" s="23"/>
      <c r="F490" s="23"/>
      <c r="G490" s="23"/>
      <c r="H490" s="23"/>
      <c r="I490" s="23"/>
      <c r="J490" s="23"/>
      <c r="K490" s="16"/>
      <c r="L490" s="25"/>
      <c r="M490" s="25"/>
      <c r="N490" s="25"/>
      <c r="O490" s="25"/>
      <c r="P490" s="26"/>
      <c r="Q490" s="26"/>
      <c r="R490" s="53"/>
      <c r="S490" s="54"/>
      <c r="T490" s="54"/>
      <c r="U490" s="54"/>
      <c r="V490" s="16"/>
      <c r="W490" s="35">
        <f>SUM(W486:W489)</f>
        <v>1915</v>
      </c>
      <c r="X490" s="35">
        <f t="shared" ref="X490:AF490" si="296">SUM(X486:X489)</f>
        <v>56983</v>
      </c>
      <c r="Y490" s="35">
        <f t="shared" si="296"/>
        <v>59793</v>
      </c>
      <c r="Z490" s="35">
        <f t="shared" si="296"/>
        <v>118691</v>
      </c>
      <c r="AA490" s="35">
        <f t="shared" si="296"/>
        <v>28474</v>
      </c>
      <c r="AB490" s="35">
        <f t="shared" si="296"/>
        <v>90216</v>
      </c>
      <c r="AC490" s="35">
        <f t="shared" si="296"/>
        <v>118690</v>
      </c>
      <c r="AD490" s="35">
        <f t="shared" si="296"/>
        <v>118690</v>
      </c>
      <c r="AE490" s="35">
        <f t="shared" si="296"/>
        <v>118690</v>
      </c>
      <c r="AF490" s="106">
        <f t="shared" si="296"/>
        <v>118690</v>
      </c>
    </row>
    <row r="491" spans="1:32" x14ac:dyDescent="0.3">
      <c r="A491" s="45"/>
      <c r="B491" s="46"/>
      <c r="C491" s="23"/>
      <c r="D491" s="23"/>
      <c r="E491" s="23"/>
      <c r="F491" s="23"/>
      <c r="G491" s="23"/>
      <c r="H491" s="23"/>
      <c r="I491" s="23"/>
      <c r="J491" s="23"/>
      <c r="K491" s="16"/>
      <c r="L491" s="25"/>
      <c r="M491" s="25"/>
      <c r="N491" s="25"/>
      <c r="O491" s="25"/>
      <c r="P491" s="26"/>
      <c r="Q491" s="26"/>
      <c r="R491" s="61"/>
      <c r="S491" s="54"/>
      <c r="T491" s="54"/>
      <c r="U491" s="54"/>
      <c r="V491" s="16"/>
      <c r="W491" s="35"/>
      <c r="X491" s="35"/>
      <c r="Y491" s="35"/>
      <c r="Z491" s="35"/>
      <c r="AA491" s="28"/>
      <c r="AB491" s="28"/>
      <c r="AC491" s="28"/>
      <c r="AD491" s="77"/>
      <c r="AE491" s="28"/>
      <c r="AF491" s="99"/>
    </row>
    <row r="492" spans="1:32" ht="15" thickBot="1" x14ac:dyDescent="0.35">
      <c r="A492" s="63" t="s">
        <v>199</v>
      </c>
      <c r="B492" s="64"/>
      <c r="C492" s="38"/>
      <c r="D492" s="38"/>
      <c r="E492" s="38"/>
      <c r="F492" s="38"/>
      <c r="G492" s="38"/>
      <c r="H492" s="38"/>
      <c r="I492" s="38"/>
      <c r="J492" s="38"/>
      <c r="K492" s="109"/>
      <c r="L492" s="39"/>
      <c r="M492" s="39"/>
      <c r="N492" s="39"/>
      <c r="O492" s="39"/>
      <c r="P492" s="40"/>
      <c r="Q492" s="40"/>
      <c r="R492" s="65"/>
      <c r="S492" s="44"/>
      <c r="T492" s="44"/>
      <c r="U492" s="44"/>
      <c r="V492" s="109"/>
      <c r="W492" s="66">
        <f t="shared" ref="W492:AF492" si="297">SUM(W490,W483,W452,W431,W358,W275,W257,W214,W189,W146,W123,W154)</f>
        <v>105096840</v>
      </c>
      <c r="X492" s="66">
        <f t="shared" si="297"/>
        <v>1544379322</v>
      </c>
      <c r="Y492" s="66">
        <f t="shared" si="297"/>
        <v>829072187.25</v>
      </c>
      <c r="Z492" s="66">
        <f t="shared" si="297"/>
        <v>2478548349.25</v>
      </c>
      <c r="AA492" s="66">
        <f t="shared" si="297"/>
        <v>631666976</v>
      </c>
      <c r="AB492" s="66">
        <f t="shared" si="297"/>
        <v>2174172128</v>
      </c>
      <c r="AC492" s="66">
        <f t="shared" si="297"/>
        <v>2805839104</v>
      </c>
      <c r="AD492" s="66">
        <f t="shared" si="297"/>
        <v>2870763240</v>
      </c>
      <c r="AE492" s="66">
        <f t="shared" si="297"/>
        <v>2927526721.75</v>
      </c>
      <c r="AF492" s="82">
        <f t="shared" si="297"/>
        <v>2908944932.75</v>
      </c>
    </row>
    <row r="494" spans="1:32" x14ac:dyDescent="0.3">
      <c r="A494" s="215" t="s">
        <v>291</v>
      </c>
      <c r="B494" s="216"/>
      <c r="C494" s="216"/>
      <c r="D494" s="216"/>
      <c r="E494" s="216"/>
      <c r="F494" s="216"/>
      <c r="G494" s="216"/>
      <c r="H494" s="216"/>
      <c r="I494" s="216"/>
      <c r="J494" s="216"/>
      <c r="K494" s="216"/>
      <c r="L494" s="216"/>
      <c r="M494" s="216"/>
      <c r="N494" s="216"/>
      <c r="O494" s="216"/>
      <c r="P494" s="216"/>
      <c r="Q494" s="216"/>
      <c r="R494" s="216"/>
      <c r="S494" s="216"/>
      <c r="T494" s="216"/>
      <c r="U494" s="216"/>
      <c r="V494" s="216"/>
      <c r="W494" s="216"/>
      <c r="X494" s="216"/>
      <c r="Y494" s="216"/>
      <c r="Z494" s="216"/>
      <c r="AA494" s="216"/>
      <c r="AB494" s="216"/>
      <c r="AC494" s="216"/>
      <c r="AD494" s="216"/>
      <c r="AE494" s="216"/>
      <c r="AF494" s="216"/>
    </row>
    <row r="495" spans="1:32" x14ac:dyDescent="0.3">
      <c r="A495" s="216"/>
      <c r="B495" s="216"/>
      <c r="C495" s="216"/>
      <c r="D495" s="216"/>
      <c r="E495" s="216"/>
      <c r="F495" s="216"/>
      <c r="G495" s="216"/>
      <c r="H495" s="216"/>
      <c r="I495" s="216"/>
      <c r="J495" s="216"/>
      <c r="K495" s="216"/>
      <c r="L495" s="216"/>
      <c r="M495" s="216"/>
      <c r="N495" s="216"/>
      <c r="O495" s="216"/>
      <c r="P495" s="216"/>
      <c r="Q495" s="216"/>
      <c r="R495" s="216"/>
      <c r="S495" s="216"/>
      <c r="T495" s="216"/>
      <c r="U495" s="216"/>
      <c r="V495" s="216"/>
      <c r="W495" s="216"/>
      <c r="X495" s="216"/>
      <c r="Y495" s="216"/>
      <c r="Z495" s="216"/>
      <c r="AA495" s="216"/>
      <c r="AB495" s="216"/>
      <c r="AC495" s="216"/>
      <c r="AD495" s="216"/>
      <c r="AE495" s="216"/>
      <c r="AF495" s="216"/>
    </row>
    <row r="496" spans="1:32" x14ac:dyDescent="0.3">
      <c r="A496" s="93"/>
      <c r="B496" s="93"/>
      <c r="C496" s="93"/>
      <c r="D496" s="93"/>
      <c r="E496" s="93"/>
      <c r="F496" s="93"/>
      <c r="G496" s="93"/>
      <c r="H496" s="94"/>
      <c r="I496" s="94"/>
      <c r="J496" s="94"/>
      <c r="K496" s="95"/>
      <c r="L496" s="95"/>
      <c r="M496" s="95"/>
      <c r="N496" s="95"/>
      <c r="O496" s="95"/>
      <c r="X496" s="96"/>
      <c r="Y496" s="96"/>
      <c r="Z496" s="96"/>
      <c r="AA496" s="97"/>
      <c r="AB496" s="97"/>
      <c r="AC496" s="97"/>
      <c r="AD496" s="97"/>
      <c r="AE496" s="97"/>
    </row>
  </sheetData>
  <mergeCells count="1">
    <mergeCell ref="A494:AF495"/>
  </mergeCells>
  <printOptions horizontalCentered="1"/>
  <pageMargins left="0.7" right="0.7" top="0.75" bottom="0.75" header="0.3" footer="0.3"/>
  <pageSetup paperSize="17" scale="55" fitToHeight="0" orientation="landscape" r:id="rId1"/>
  <headerFooter>
    <oddHeader>&amp;C&amp;"-,Bold"&amp;14USPTO Section 10 Aggregate Revenue Estimates
Alternative 1:  Final Fee Schedule - Set and Adjust Patent Fees</oddHeader>
    <oddFooter>&amp;CPage &amp;P of &amp;N</oddFooter>
  </headerFooter>
  <rowBreaks count="6" manualBreakCount="6">
    <brk id="84" max="29" man="1"/>
    <brk id="154" max="29" man="1"/>
    <brk id="214" max="29" man="1"/>
    <brk id="291" max="29" man="1"/>
    <brk id="358" max="29" man="1"/>
    <brk id="431" max="2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10" sqref="R10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5E65C228DF94089427338EA6635ED" ma:contentTypeVersion="2" ma:contentTypeDescription="Create a new document." ma:contentTypeScope="" ma:versionID="877e65c0c7988a406f41541186cc3b00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388081D-2AD6-4947-B9ED-FCBD71467B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29F51F5-87C0-41C9-8366-53B617671418}">
  <ds:schemaRefs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D581F3E-A7B9-48E8-95B7-A9982DD2999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B905023A-61B3-4005-AFB7-B0EB0D4AEAA1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U.S. Patent and Trademark Office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creyes</dc:creator>
  <cp:lastModifiedBy>USPTO</cp:lastModifiedBy>
  <cp:lastPrinted>2012-12-08T02:24:09Z</cp:lastPrinted>
  <dcterms:created xsi:type="dcterms:W3CDTF">2012-02-10T02:15:53Z</dcterms:created>
  <dcterms:modified xsi:type="dcterms:W3CDTF">2012-12-09T21:58:14Z</dcterms:modified>
  <cp:contentType>Document</cp:contentTyp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0x010100A755E65C228DF94089427338EA6635ED</vt:lpwstr>
  </property>
</Properties>
</file>