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88" yWindow="144" windowWidth="19620" windowHeight="9000" activeTab="2"/>
  </bookViews>
  <sheets>
    <sheet name="Par équipe" sheetId="1" r:id="rId1"/>
    <sheet name="Féminin" sheetId="2" r:id="rId2"/>
    <sheet name="Masculin" sheetId="3" r:id="rId3"/>
  </sheets>
  <definedNames>
    <definedName name="_xlnm._FilterDatabase" localSheetId="1" hidden="1">Féminin!$B$7:$O$215</definedName>
    <definedName name="_xlnm._FilterDatabase" localSheetId="2" hidden="1">Masculin!$B$7:$O$215</definedName>
    <definedName name="_xlnm._FilterDatabase" localSheetId="0" hidden="1">'Par équipe'!$B$9:$J$11</definedName>
    <definedName name="_xlnm.Print_Area" localSheetId="1">Féminin!$A$1:$P$215</definedName>
    <definedName name="_xlnm.Print_Area" localSheetId="2">Masculin!$A$1:$P$215</definedName>
  </definedNames>
  <calcPr calcId="125725"/>
</workbook>
</file>

<file path=xl/calcChain.xml><?xml version="1.0" encoding="utf-8"?>
<calcChain xmlns="http://schemas.openxmlformats.org/spreadsheetml/2006/main">
  <c r="C50" i="1"/>
  <c r="I50" s="1"/>
  <c r="C56"/>
  <c r="I56" s="1"/>
  <c r="C55"/>
  <c r="I55" s="1"/>
  <c r="C53"/>
  <c r="C54"/>
  <c r="C48"/>
  <c r="C43"/>
  <c r="C52"/>
  <c r="C51"/>
  <c r="C49"/>
  <c r="C45"/>
  <c r="C44"/>
  <c r="C47"/>
  <c r="C46"/>
  <c r="C42"/>
  <c r="C16"/>
  <c r="I16" s="1"/>
  <c r="C22"/>
  <c r="I22" s="1"/>
  <c r="C23"/>
  <c r="C20"/>
  <c r="I20" s="1"/>
  <c r="C26"/>
  <c r="C21"/>
  <c r="C17"/>
  <c r="C15"/>
  <c r="C25"/>
  <c r="C24"/>
  <c r="C18"/>
  <c r="C14"/>
  <c r="C19"/>
  <c r="C13"/>
  <c r="C12"/>
  <c r="I53" l="1"/>
  <c r="I54"/>
  <c r="I48"/>
  <c r="I52"/>
  <c r="I51"/>
  <c r="I49"/>
  <c r="I45"/>
  <c r="I44"/>
  <c r="I47"/>
  <c r="I46"/>
  <c r="I42"/>
  <c r="I23"/>
  <c r="I17"/>
  <c r="I18"/>
  <c r="I14"/>
  <c r="I19"/>
  <c r="I13"/>
  <c r="I12"/>
  <c r="I15"/>
  <c r="I43"/>
  <c r="I24"/>
  <c r="I25"/>
  <c r="I26"/>
  <c r="I21" l="1"/>
</calcChain>
</file>

<file path=xl/sharedStrings.xml><?xml version="1.0" encoding="utf-8"?>
<sst xmlns="http://schemas.openxmlformats.org/spreadsheetml/2006/main" count="1461" uniqueCount="443">
  <si>
    <t>Conférence Nord-Est</t>
  </si>
  <si>
    <t xml:space="preserve">Cross-country </t>
  </si>
  <si>
    <t>Prénom</t>
  </si>
  <si>
    <t>Nom</t>
  </si>
  <si>
    <t>Établissement</t>
  </si>
  <si>
    <t>Temps</t>
  </si>
  <si>
    <t>Position</t>
  </si>
  <si>
    <t>Trois-Rivières - 4 km -</t>
  </si>
  <si>
    <t xml:space="preserve">U. Laval - x km - </t>
  </si>
  <si>
    <t>Rangs</t>
  </si>
  <si>
    <t>Cumulés</t>
  </si>
  <si>
    <t>Rang</t>
  </si>
  <si>
    <t>Final</t>
  </si>
  <si>
    <t>Éligibilité</t>
  </si>
  <si>
    <t>provincial</t>
  </si>
  <si>
    <t>championnat</t>
  </si>
  <si>
    <t>Sexe</t>
  </si>
  <si>
    <t xml:space="preserve"> </t>
  </si>
  <si>
    <t>Commentaires</t>
  </si>
  <si>
    <t>Total</t>
  </si>
  <si>
    <t>MASCULIN</t>
  </si>
  <si>
    <t>FÉMININ</t>
  </si>
  <si>
    <t>Latraverse</t>
  </si>
  <si>
    <t>Béland</t>
  </si>
  <si>
    <t>Ouellet</t>
  </si>
  <si>
    <t>Perreault</t>
  </si>
  <si>
    <t>Croteau</t>
  </si>
  <si>
    <t>Tremblay</t>
  </si>
  <si>
    <t>Vaillancourt</t>
  </si>
  <si>
    <t>Paré</t>
  </si>
  <si>
    <t>Beaulieu</t>
  </si>
  <si>
    <t>Villeneuve</t>
  </si>
  <si>
    <t>Lévesque</t>
  </si>
  <si>
    <t>Brochu</t>
  </si>
  <si>
    <t>Landry</t>
  </si>
  <si>
    <t>Bouchard</t>
  </si>
  <si>
    <t>Fortier</t>
  </si>
  <si>
    <t>Marchand</t>
  </si>
  <si>
    <t>Migué</t>
  </si>
  <si>
    <t>Nadeau</t>
  </si>
  <si>
    <t>Vincent</t>
  </si>
  <si>
    <t>Couture</t>
  </si>
  <si>
    <t>Guillet</t>
  </si>
  <si>
    <t>Racine</t>
  </si>
  <si>
    <t>Gauthier</t>
  </si>
  <si>
    <t>Doyon</t>
  </si>
  <si>
    <t>Côté</t>
  </si>
  <si>
    <t>Lavigne</t>
  </si>
  <si>
    <t>Boisvert</t>
  </si>
  <si>
    <t>Nadeau-Grondin</t>
  </si>
  <si>
    <t>Boyer</t>
  </si>
  <si>
    <t>Champoux</t>
  </si>
  <si>
    <t>Langevin</t>
  </si>
  <si>
    <t>Bédard</t>
  </si>
  <si>
    <t>Aubé</t>
  </si>
  <si>
    <t>Lambert</t>
  </si>
  <si>
    <t>Leblanc</t>
  </si>
  <si>
    <t>Lebel</t>
  </si>
  <si>
    <t>Cloutier</t>
  </si>
  <si>
    <t>Frédérique</t>
  </si>
  <si>
    <t>Jessica</t>
  </si>
  <si>
    <t>Béatrice</t>
  </si>
  <si>
    <t>Chloé</t>
  </si>
  <si>
    <t>Florence</t>
  </si>
  <si>
    <t>Shawn</t>
  </si>
  <si>
    <t>Catherine</t>
  </si>
  <si>
    <t>Stéphanie</t>
  </si>
  <si>
    <t>Caroline</t>
  </si>
  <si>
    <t xml:space="preserve"> Cynthia</t>
  </si>
  <si>
    <t>Maude</t>
  </si>
  <si>
    <t>Julie</t>
  </si>
  <si>
    <t>Myriam</t>
  </si>
  <si>
    <t>Audrey</t>
  </si>
  <si>
    <t>Laurence</t>
  </si>
  <si>
    <t>Noémie</t>
  </si>
  <si>
    <t>Isabelle</t>
  </si>
  <si>
    <t>Marie-Pier</t>
  </si>
  <si>
    <t>Joanie</t>
  </si>
  <si>
    <t>Anne-Marie</t>
  </si>
  <si>
    <t>Laurie</t>
  </si>
  <si>
    <t>Jessie</t>
  </si>
  <si>
    <t>Vicky</t>
  </si>
  <si>
    <t>Adélie</t>
  </si>
  <si>
    <t>CSF</t>
  </si>
  <si>
    <t>SHA</t>
  </si>
  <si>
    <t>RDL</t>
  </si>
  <si>
    <t>FXG</t>
  </si>
  <si>
    <t>VIC</t>
  </si>
  <si>
    <t>CLL</t>
  </si>
  <si>
    <t>MER</t>
  </si>
  <si>
    <t>NDF</t>
  </si>
  <si>
    <t>Thibeault</t>
  </si>
  <si>
    <t>Morin</t>
  </si>
  <si>
    <t>Giguère</t>
  </si>
  <si>
    <t>Robitaille-Beaumier</t>
  </si>
  <si>
    <t>Turcotte</t>
  </si>
  <si>
    <t>Fortin</t>
  </si>
  <si>
    <t>Huard</t>
  </si>
  <si>
    <t>Pouliot-Richard</t>
  </si>
  <si>
    <t>Gilbert</t>
  </si>
  <si>
    <t>Brouard</t>
  </si>
  <si>
    <t>Laroche</t>
  </si>
  <si>
    <t>Lajeunesse</t>
  </si>
  <si>
    <t>Allard</t>
  </si>
  <si>
    <t>Larose</t>
  </si>
  <si>
    <t>Guay</t>
  </si>
  <si>
    <t>Roy</t>
  </si>
  <si>
    <t>Baribeau</t>
  </si>
  <si>
    <t>Caron</t>
  </si>
  <si>
    <t>Martinello</t>
  </si>
  <si>
    <t>Lemoine</t>
  </si>
  <si>
    <t>Trudel-Lachance</t>
  </si>
  <si>
    <t>Blouin</t>
  </si>
  <si>
    <t>Saint-Pierre</t>
  </si>
  <si>
    <t>F</t>
  </si>
  <si>
    <t>M</t>
  </si>
  <si>
    <t>Keven</t>
  </si>
  <si>
    <t>Antoine</t>
  </si>
  <si>
    <t>Olivier</t>
  </si>
  <si>
    <t>Simon</t>
  </si>
  <si>
    <t>Guillaume</t>
  </si>
  <si>
    <t>Dominic</t>
  </si>
  <si>
    <t>Marc-Antoine</t>
  </si>
  <si>
    <t>Maxim</t>
  </si>
  <si>
    <t>Alex</t>
  </si>
  <si>
    <t>Steven</t>
  </si>
  <si>
    <t>Raphaël</t>
  </si>
  <si>
    <t>Charles-Elie</t>
  </si>
  <si>
    <t>Karel</t>
  </si>
  <si>
    <t>Félix</t>
  </si>
  <si>
    <t>Pier-Olivier</t>
  </si>
  <si>
    <t>Laurent</t>
  </si>
  <si>
    <t>William</t>
  </si>
  <si>
    <t>Nicolas</t>
  </si>
  <si>
    <t>Alexandre</t>
  </si>
  <si>
    <t>Martin</t>
  </si>
  <si>
    <t>Marc-Olivier</t>
  </si>
  <si>
    <t>Renaud</t>
  </si>
  <si>
    <t>Frédéric</t>
  </si>
  <si>
    <t>Philippe</t>
  </si>
  <si>
    <t>Philip</t>
  </si>
  <si>
    <t>Maxime</t>
  </si>
  <si>
    <t>Mehdi</t>
  </si>
  <si>
    <t>Charles</t>
  </si>
  <si>
    <t>Jérémy</t>
  </si>
  <si>
    <t>Gabriel</t>
  </si>
  <si>
    <t>Tommy</t>
  </si>
  <si>
    <t>James</t>
  </si>
  <si>
    <t>ALM</t>
  </si>
  <si>
    <t>ABS</t>
  </si>
  <si>
    <t>TRV</t>
  </si>
  <si>
    <t>Ste-Foy</t>
  </si>
  <si>
    <t>Trois-Rivières</t>
  </si>
  <si>
    <t>St-Hyacinthe</t>
  </si>
  <si>
    <t>Victoriaville</t>
  </si>
  <si>
    <t>Lévis-Lauzon</t>
  </si>
  <si>
    <t>Shawinigan</t>
  </si>
  <si>
    <t>Mérici</t>
  </si>
  <si>
    <t xml:space="preserve">Alma </t>
  </si>
  <si>
    <t>Granby</t>
  </si>
  <si>
    <t>Chicoutimi</t>
  </si>
  <si>
    <t>Jonquière</t>
  </si>
  <si>
    <t>Notre-Dame-de-Foy</t>
  </si>
  <si>
    <t>Rivière-du-Loup</t>
  </si>
  <si>
    <t>DIS</t>
  </si>
  <si>
    <t>St-Félicien</t>
  </si>
  <si>
    <t>Référence M :</t>
  </si>
  <si>
    <t>Référence F :</t>
  </si>
  <si>
    <t xml:space="preserve">Victoriaville - 4 km - </t>
  </si>
  <si>
    <t xml:space="preserve">Victoriaville - 8 km - </t>
  </si>
  <si>
    <t>Trois-Rivières - 6 km -</t>
  </si>
  <si>
    <t>RÉSULTATS CUMULÉS MASCULIN</t>
  </si>
  <si>
    <t>RÉSULTATS CUMULÉS FÉMININ</t>
  </si>
  <si>
    <t>Section</t>
  </si>
  <si>
    <t>Delisle</t>
  </si>
  <si>
    <t>Turgeon</t>
  </si>
  <si>
    <t xml:space="preserve">Samuel </t>
  </si>
  <si>
    <t>Samuel</t>
  </si>
  <si>
    <t>Gaudreault</t>
  </si>
  <si>
    <t>Luc</t>
  </si>
  <si>
    <t xml:space="preserve">Guillaume </t>
  </si>
  <si>
    <t>Boisclair</t>
  </si>
  <si>
    <t>Rousseau</t>
  </si>
  <si>
    <t>Lajoie</t>
  </si>
  <si>
    <t>Patrick</t>
  </si>
  <si>
    <t>St-Pierre</t>
  </si>
  <si>
    <t xml:space="preserve">Olivier </t>
  </si>
  <si>
    <t xml:space="preserve">Audrey </t>
  </si>
  <si>
    <t>Bieler</t>
  </si>
  <si>
    <t>Lampron</t>
  </si>
  <si>
    <t>Toupin</t>
  </si>
  <si>
    <t>Sophie</t>
  </si>
  <si>
    <t>Cormier</t>
  </si>
  <si>
    <t>Gagnon</t>
  </si>
  <si>
    <t>Jade</t>
  </si>
  <si>
    <t>Drummondville</t>
  </si>
  <si>
    <t>Robitaille-Tanguay</t>
  </si>
  <si>
    <t>N/A</t>
  </si>
  <si>
    <t>ACSC</t>
  </si>
  <si>
    <t>Saison 2012</t>
  </si>
  <si>
    <t>Pomerleau</t>
  </si>
  <si>
    <t>Charron</t>
  </si>
  <si>
    <t xml:space="preserve">Gabrielle </t>
  </si>
  <si>
    <t>Elizabeth</t>
  </si>
  <si>
    <t>Marie-Eve</t>
  </si>
  <si>
    <t xml:space="preserve">Julie </t>
  </si>
  <si>
    <t>Gagné</t>
  </si>
  <si>
    <t xml:space="preserve">Caroline </t>
  </si>
  <si>
    <t>Lisanne</t>
  </si>
  <si>
    <t>Raymond</t>
  </si>
  <si>
    <t>Kary-ann</t>
  </si>
  <si>
    <t>Delpine</t>
  </si>
  <si>
    <t>Breton</t>
  </si>
  <si>
    <t>Frederik</t>
  </si>
  <si>
    <t>Jenny</t>
  </si>
  <si>
    <t>Eve-Marie</t>
  </si>
  <si>
    <t xml:space="preserve">Noémie </t>
  </si>
  <si>
    <t>Branchaud-Croisetière</t>
  </si>
  <si>
    <t>Lalancette (ITA)</t>
  </si>
  <si>
    <t>Quesnel-Oliveau</t>
  </si>
  <si>
    <t>Perrouty</t>
  </si>
  <si>
    <t>Quigley</t>
  </si>
  <si>
    <t>Sarah</t>
  </si>
  <si>
    <t xml:space="preserve">Justine </t>
  </si>
  <si>
    <t xml:space="preserve">Roxanne </t>
  </si>
  <si>
    <t xml:space="preserve">Frédérique </t>
  </si>
  <si>
    <t xml:space="preserve">Priscilla </t>
  </si>
  <si>
    <t xml:space="preserve">Alexandra </t>
  </si>
  <si>
    <t>Campos</t>
  </si>
  <si>
    <t xml:space="preserve">Claudie </t>
  </si>
  <si>
    <t>Guévin</t>
  </si>
  <si>
    <t>Parent</t>
  </si>
  <si>
    <t>Élizabeth</t>
  </si>
  <si>
    <t>Boilard</t>
  </si>
  <si>
    <t>Audrey-Jane</t>
  </si>
  <si>
    <t>Catherine +</t>
  </si>
  <si>
    <t xml:space="preserve">Léa-Huy </t>
  </si>
  <si>
    <t>Orlanne</t>
  </si>
  <si>
    <t>Flavie</t>
  </si>
  <si>
    <t xml:space="preserve">Marie-Christine </t>
  </si>
  <si>
    <t>Douared</t>
  </si>
  <si>
    <t xml:space="preserve">Tiffany </t>
  </si>
  <si>
    <t>Dubé</t>
  </si>
  <si>
    <t>Jarry (ITA)</t>
  </si>
  <si>
    <t xml:space="preserve">Karolane </t>
  </si>
  <si>
    <t>Marie-Josée</t>
  </si>
  <si>
    <t>Béliveau</t>
  </si>
  <si>
    <t>Robidoux (ITA)</t>
  </si>
  <si>
    <t>Savard</t>
  </si>
  <si>
    <t>Gervais</t>
  </si>
  <si>
    <t>Simard</t>
  </si>
  <si>
    <t>Dontigny</t>
  </si>
  <si>
    <t>Wang</t>
  </si>
  <si>
    <t xml:space="preserve">Virginie </t>
  </si>
  <si>
    <t xml:space="preserve">Maude </t>
  </si>
  <si>
    <t xml:space="preserve">Christina </t>
  </si>
  <si>
    <t>Clara-Emmanuelle</t>
  </si>
  <si>
    <t>Vandal</t>
  </si>
  <si>
    <t>Goudreault-Dubois</t>
  </si>
  <si>
    <t>Bissonnette-Rivard</t>
  </si>
  <si>
    <t>Roberge</t>
  </si>
  <si>
    <t>Coté-Larocque</t>
  </si>
  <si>
    <t>Gabrielle</t>
  </si>
  <si>
    <t>Fleury</t>
  </si>
  <si>
    <t>Vanessa</t>
  </si>
  <si>
    <t>Richard</t>
  </si>
  <si>
    <t>Brassard</t>
  </si>
  <si>
    <t>Guérin</t>
  </si>
  <si>
    <t>Rioux</t>
  </si>
  <si>
    <t>Éloïse</t>
  </si>
  <si>
    <t>Potvin-Cormier</t>
  </si>
  <si>
    <t>Asselin</t>
  </si>
  <si>
    <t>Davidson</t>
  </si>
  <si>
    <t>Lavallé-Bourget</t>
  </si>
  <si>
    <t>Lesage</t>
  </si>
  <si>
    <t>Evelyne</t>
  </si>
  <si>
    <t>Valérie</t>
  </si>
  <si>
    <t>Marie-Hélène</t>
  </si>
  <si>
    <t>Rosy</t>
  </si>
  <si>
    <t>Coté</t>
  </si>
  <si>
    <t>Abran</t>
  </si>
  <si>
    <t>Robicheau-Pinel</t>
  </si>
  <si>
    <t>Emilie</t>
  </si>
  <si>
    <t>Houle-Boivin</t>
  </si>
  <si>
    <t>Anaïs</t>
  </si>
  <si>
    <t>Gauthier-Drouin</t>
  </si>
  <si>
    <t>Sara-Pier</t>
  </si>
  <si>
    <t>Nadia</t>
  </si>
  <si>
    <t>Charlotte</t>
  </si>
  <si>
    <t>Séguin</t>
  </si>
  <si>
    <t>Hall</t>
  </si>
  <si>
    <t>Blanchette</t>
  </si>
  <si>
    <t>Glaize</t>
  </si>
  <si>
    <t>Boutin</t>
  </si>
  <si>
    <t>Potvin</t>
  </si>
  <si>
    <t>Boulay</t>
  </si>
  <si>
    <t>Delphine</t>
  </si>
  <si>
    <t>Anabelle</t>
  </si>
  <si>
    <t>Meghan</t>
  </si>
  <si>
    <t>Robert</t>
  </si>
  <si>
    <t>Corine</t>
  </si>
  <si>
    <t>Patricia</t>
  </si>
  <si>
    <t>Geneviève</t>
  </si>
  <si>
    <t>Wendie</t>
  </si>
  <si>
    <t>Claudia</t>
  </si>
  <si>
    <t>Larochelle</t>
  </si>
  <si>
    <t>Bouffard</t>
  </si>
  <si>
    <t>Dèchesne</t>
  </si>
  <si>
    <t>Gosselin-Cliche</t>
  </si>
  <si>
    <t>Laurianne</t>
  </si>
  <si>
    <t>Léonie</t>
  </si>
  <si>
    <t>Amélie</t>
  </si>
  <si>
    <t>Juliette</t>
  </si>
  <si>
    <t>Champlain-Lennoxville</t>
  </si>
  <si>
    <t>BCO</t>
  </si>
  <si>
    <t>SLC</t>
  </si>
  <si>
    <t>LEN</t>
  </si>
  <si>
    <t>IPO</t>
  </si>
  <si>
    <t>POC</t>
  </si>
  <si>
    <t>STH</t>
  </si>
  <si>
    <t>Trois-Rivières - 4F -</t>
  </si>
  <si>
    <t xml:space="preserve">Victoriaville - 4F - </t>
  </si>
  <si>
    <t>Trois-Rivières - 6M -</t>
  </si>
  <si>
    <t xml:space="preserve">Victoriaville - 8M - </t>
  </si>
  <si>
    <t>Stéphan</t>
  </si>
  <si>
    <t>Audet</t>
  </si>
  <si>
    <t>Duhamel</t>
  </si>
  <si>
    <t>Jason</t>
  </si>
  <si>
    <t>Raymond-Béliveau</t>
  </si>
  <si>
    <t>Gaudreau</t>
  </si>
  <si>
    <t>Frigon</t>
  </si>
  <si>
    <t xml:space="preserve">Victor </t>
  </si>
  <si>
    <t>Alexis</t>
  </si>
  <si>
    <t>Fontaine (ITA)</t>
  </si>
  <si>
    <t>Mailloux (ITA)</t>
  </si>
  <si>
    <t>Lépinay</t>
  </si>
  <si>
    <t>Maximilien</t>
  </si>
  <si>
    <t>Francois</t>
  </si>
  <si>
    <t>Estéban</t>
  </si>
  <si>
    <t>Philipe</t>
  </si>
  <si>
    <t>Kassim</t>
  </si>
  <si>
    <t>Dany</t>
  </si>
  <si>
    <t>Piuze</t>
  </si>
  <si>
    <t>Jacob</t>
  </si>
  <si>
    <t>Bourassa</t>
  </si>
  <si>
    <t>Turpin</t>
  </si>
  <si>
    <t>Drapeau</t>
  </si>
  <si>
    <t xml:space="preserve">Dubeau </t>
  </si>
  <si>
    <t xml:space="preserve">Charles </t>
  </si>
  <si>
    <t>Kamel</t>
  </si>
  <si>
    <t>Lubino-Trebla</t>
  </si>
  <si>
    <t>Kevin</t>
  </si>
  <si>
    <t xml:space="preserve">Émile </t>
  </si>
  <si>
    <t xml:space="preserve">Maxime </t>
  </si>
  <si>
    <t xml:space="preserve">Cédric </t>
  </si>
  <si>
    <t>Pierre Luc</t>
  </si>
  <si>
    <t xml:space="preserve">Emmanuel </t>
  </si>
  <si>
    <t>Nicholas</t>
  </si>
  <si>
    <t>Grenier</t>
  </si>
  <si>
    <t>Alx</t>
  </si>
  <si>
    <t>Desjardins</t>
  </si>
  <si>
    <t>Ando</t>
  </si>
  <si>
    <t>Dufort</t>
  </si>
  <si>
    <t>Mario</t>
  </si>
  <si>
    <t>Chandonnet</t>
  </si>
  <si>
    <t>Carl-Philippe</t>
  </si>
  <si>
    <t xml:space="preserve">François </t>
  </si>
  <si>
    <t>Karl</t>
  </si>
  <si>
    <t>P. Cormier (ITA)</t>
  </si>
  <si>
    <t>Fecteau</t>
  </si>
  <si>
    <t>Croteau Dontigny</t>
  </si>
  <si>
    <t>Beland</t>
  </si>
  <si>
    <t>Mercier </t>
  </si>
  <si>
    <t>Tuppert</t>
  </si>
  <si>
    <t>Verreault-Kirouac</t>
  </si>
  <si>
    <t xml:space="preserve">Louis Pier </t>
  </si>
  <si>
    <t>Auger</t>
  </si>
  <si>
    <t>St-Martin</t>
  </si>
  <si>
    <t>Ilrick</t>
  </si>
  <si>
    <t>Argouin</t>
  </si>
  <si>
    <t>Dave</t>
  </si>
  <si>
    <t>Mathieu</t>
  </si>
  <si>
    <t>Matthew</t>
  </si>
  <si>
    <t>Roux</t>
  </si>
  <si>
    <t>Asselin-Caron</t>
  </si>
  <si>
    <t>Carl</t>
  </si>
  <si>
    <t>Nadeau-Paré</t>
  </si>
  <si>
    <t>Malcom</t>
  </si>
  <si>
    <t>Robitalle-Lainesse</t>
  </si>
  <si>
    <t>Quirion</t>
  </si>
  <si>
    <t>Meunier</t>
  </si>
  <si>
    <t>Sévigny-Côté</t>
  </si>
  <si>
    <t xml:space="preserve"> Paul</t>
  </si>
  <si>
    <t>Moreau</t>
  </si>
  <si>
    <t>Dion-Marin</t>
  </si>
  <si>
    <t>Beaumier-Bellefeuille</t>
  </si>
  <si>
    <t>Bisaillon</t>
  </si>
  <si>
    <t>Hamel-Jomphe</t>
  </si>
  <si>
    <t>Therrien</t>
  </si>
  <si>
    <t>Lafleur</t>
  </si>
  <si>
    <t>Burns</t>
  </si>
  <si>
    <t xml:space="preserve">Louis-Vincent </t>
  </si>
  <si>
    <t>Nourine</t>
  </si>
  <si>
    <t>Lancup</t>
  </si>
  <si>
    <t>Boily-Grant</t>
  </si>
  <si>
    <t>Deschênes</t>
  </si>
  <si>
    <t>Gagnon Gérard</t>
  </si>
  <si>
    <t>Paradis</t>
  </si>
  <si>
    <t xml:space="preserve">Jean-Philippe </t>
  </si>
  <si>
    <t>Laflamme</t>
  </si>
  <si>
    <t>Caza</t>
  </si>
  <si>
    <t>Larouche</t>
  </si>
  <si>
    <t>Réjean</t>
  </si>
  <si>
    <t>Guénette</t>
  </si>
  <si>
    <t>Rakatonandrasana</t>
  </si>
  <si>
    <t xml:space="preserve">Sénastien </t>
  </si>
  <si>
    <t>St-Louis</t>
  </si>
  <si>
    <t>Bourney</t>
  </si>
  <si>
    <t>Rousse</t>
  </si>
  <si>
    <t>Tucker</t>
  </si>
  <si>
    <t>Bussière</t>
  </si>
  <si>
    <t>Jean-Christophe</t>
  </si>
  <si>
    <t>Raphael</t>
  </si>
  <si>
    <t>Bourgoin</t>
  </si>
  <si>
    <t xml:space="preserve"> Louis-Samuel</t>
  </si>
  <si>
    <t>Drouin provençal</t>
  </si>
  <si>
    <t>Théberge</t>
  </si>
  <si>
    <t>Chambelin</t>
  </si>
  <si>
    <t>Guimond</t>
  </si>
  <si>
    <t>8 septembre 2012</t>
  </si>
  <si>
    <t>23 septembre 2012</t>
  </si>
  <si>
    <t>6 octobre 2012</t>
  </si>
  <si>
    <t>8 octobre 2012</t>
  </si>
  <si>
    <t>ITA et La Pocatière</t>
  </si>
  <si>
    <t>Alma</t>
  </si>
  <si>
    <t>Baie-Comeau</t>
  </si>
  <si>
    <t>Champlain Lennoxville</t>
  </si>
  <si>
    <t>Rivière-Du-Loup</t>
  </si>
  <si>
    <t>St.Lawrence</t>
  </si>
  <si>
    <t>Cégep Garneau</t>
  </si>
  <si>
    <t>Membre</t>
  </si>
  <si>
    <t>Oui</t>
  </si>
  <si>
    <t>Non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</si>
</sst>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</font>
    <font>
      <b/>
      <sz val="14"/>
      <name val="Arial"/>
      <family val="2"/>
    </font>
    <font>
      <sz val="10"/>
      <name val="Arial"/>
      <family val="2"/>
    </font>
    <font>
      <b/>
      <sz val="14"/>
      <color theme="1"/>
      <name val="Arial"/>
      <family val="2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color theme="0"/>
      <name val="Arial"/>
      <family val="2"/>
    </font>
    <font>
      <sz val="12"/>
      <color indexed="0"/>
      <name val="Arial"/>
      <family val="2"/>
    </font>
    <font>
      <sz val="12"/>
      <name val="Arial"/>
      <family val="2"/>
    </font>
    <font>
      <sz val="12"/>
      <color theme="1"/>
      <name val="Arial"/>
      <family val="2"/>
    </font>
    <font>
      <sz val="8"/>
      <color theme="0"/>
      <name val="Calibri"/>
      <family val="2"/>
      <scheme val="minor"/>
    </font>
    <font>
      <sz val="10"/>
      <color theme="0"/>
      <name val="Arial"/>
      <family val="2"/>
    </font>
    <font>
      <sz val="11"/>
      <color theme="1"/>
      <name val="Arial"/>
      <family val="2"/>
    </font>
    <font>
      <sz val="12"/>
      <color theme="0"/>
      <name val="Arial"/>
      <family val="2"/>
    </font>
    <font>
      <sz val="7"/>
      <name val="Calibri"/>
      <family val="2"/>
      <scheme val="minor"/>
    </font>
    <font>
      <sz val="10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3">
    <xf numFmtId="0" fontId="0" fillId="0" borderId="0"/>
    <xf numFmtId="0" fontId="2" fillId="0" borderId="0"/>
    <xf numFmtId="0" fontId="4" fillId="0" borderId="0"/>
  </cellStyleXfs>
  <cellXfs count="181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/>
    <xf numFmtId="0" fontId="3" fillId="0" borderId="0" xfId="1" applyFont="1" applyFill="1" applyAlignment="1"/>
    <xf numFmtId="0" fontId="5" fillId="0" borderId="0" xfId="0" applyFont="1" applyFill="1" applyAlignment="1"/>
    <xf numFmtId="0" fontId="0" fillId="3" borderId="0" xfId="0" applyFill="1"/>
    <xf numFmtId="0" fontId="3" fillId="2" borderId="0" xfId="1" applyFont="1" applyFill="1" applyAlignment="1">
      <alignment horizontal="center"/>
    </xf>
    <xf numFmtId="0" fontId="0" fillId="2" borderId="0" xfId="0" applyFill="1" applyAlignment="1">
      <alignment horizontal="center"/>
    </xf>
    <xf numFmtId="0" fontId="5" fillId="2" borderId="0" xfId="0" applyFont="1" applyFill="1" applyAlignment="1">
      <alignment horizontal="center"/>
    </xf>
    <xf numFmtId="0" fontId="0" fillId="0" borderId="0" xfId="0" applyBorder="1"/>
    <xf numFmtId="0" fontId="4" fillId="0" borderId="0" xfId="2" applyFont="1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4" fillId="0" borderId="0" xfId="2" applyAlignment="1">
      <alignment horizontal="center"/>
    </xf>
    <xf numFmtId="0" fontId="4" fillId="0" borderId="0" xfId="2" applyFont="1" applyAlignment="1">
      <alignment horizontal="center"/>
    </xf>
    <xf numFmtId="20" fontId="4" fillId="3" borderId="0" xfId="2" applyNumberFormat="1" applyFill="1" applyBorder="1" applyAlignment="1">
      <alignment horizontal="center"/>
    </xf>
    <xf numFmtId="0" fontId="4" fillId="3" borderId="0" xfId="2" quotePrefix="1" applyNumberFormat="1" applyFill="1" applyBorder="1" applyAlignment="1">
      <alignment horizontal="center"/>
    </xf>
    <xf numFmtId="0" fontId="0" fillId="3" borderId="0" xfId="0" applyFill="1" applyBorder="1"/>
    <xf numFmtId="0" fontId="4" fillId="3" borderId="0" xfId="2" applyFill="1" applyBorder="1" applyAlignment="1">
      <alignment horizontal="center"/>
    </xf>
    <xf numFmtId="20" fontId="4" fillId="3" borderId="0" xfId="2" quotePrefix="1" applyNumberFormat="1" applyFill="1" applyBorder="1" applyAlignment="1">
      <alignment horizontal="center"/>
    </xf>
    <xf numFmtId="20" fontId="4" fillId="3" borderId="0" xfId="2" quotePrefix="1" applyNumberFormat="1" applyFont="1" applyFill="1" applyBorder="1" applyAlignment="1">
      <alignment horizontal="center"/>
    </xf>
    <xf numFmtId="0" fontId="0" fillId="3" borderId="0" xfId="0" applyFill="1" applyBorder="1" applyAlignment="1">
      <alignment horizontal="center"/>
    </xf>
    <xf numFmtId="0" fontId="0" fillId="3" borderId="0" xfId="0" applyFill="1" applyAlignment="1">
      <alignment horizontal="center"/>
    </xf>
    <xf numFmtId="0" fontId="0" fillId="0" borderId="3" xfId="0" applyFont="1" applyBorder="1" applyAlignment="1">
      <alignment horizontal="center"/>
    </xf>
    <xf numFmtId="20" fontId="4" fillId="0" borderId="3" xfId="2" applyNumberFormat="1" applyFill="1" applyBorder="1" applyAlignment="1">
      <alignment horizontal="center"/>
    </xf>
    <xf numFmtId="20" fontId="4" fillId="0" borderId="3" xfId="2" applyNumberFormat="1" applyFont="1" applyFill="1" applyBorder="1" applyAlignment="1">
      <alignment horizontal="center"/>
    </xf>
    <xf numFmtId="0" fontId="0" fillId="0" borderId="3" xfId="0" applyBorder="1" applyAlignment="1">
      <alignment horizontal="center"/>
    </xf>
    <xf numFmtId="20" fontId="0" fillId="2" borderId="0" xfId="0" applyNumberFormat="1" applyFill="1" applyAlignment="1">
      <alignment horizontal="center"/>
    </xf>
    <xf numFmtId="0" fontId="5" fillId="2" borderId="0" xfId="0" applyFont="1" applyFill="1" applyAlignment="1"/>
    <xf numFmtId="0" fontId="6" fillId="3" borderId="1" xfId="0" applyFont="1" applyFill="1" applyBorder="1" applyAlignment="1" applyProtection="1">
      <alignment horizontal="center" vertical="center"/>
      <protection locked="0"/>
    </xf>
    <xf numFmtId="0" fontId="6" fillId="3" borderId="1" xfId="0" applyFont="1" applyFill="1" applyBorder="1" applyAlignment="1" applyProtection="1">
      <alignment horizontal="center"/>
      <protection locked="0"/>
    </xf>
    <xf numFmtId="0" fontId="6" fillId="3" borderId="2" xfId="0" applyFont="1" applyFill="1" applyBorder="1" applyAlignment="1" applyProtection="1">
      <alignment horizontal="center" vertical="center"/>
      <protection locked="0"/>
    </xf>
    <xf numFmtId="0" fontId="6" fillId="3" borderId="2" xfId="0" applyFont="1" applyFill="1" applyBorder="1" applyAlignment="1" applyProtection="1">
      <alignment horizontal="center"/>
      <protection locked="0"/>
    </xf>
    <xf numFmtId="0" fontId="6" fillId="3" borderId="4" xfId="0" applyFont="1" applyFill="1" applyBorder="1" applyAlignment="1" applyProtection="1">
      <alignment horizontal="center"/>
      <protection locked="0"/>
    </xf>
    <xf numFmtId="0" fontId="6" fillId="3" borderId="6" xfId="0" applyFont="1" applyFill="1" applyBorder="1" applyAlignment="1" applyProtection="1">
      <alignment horizontal="center" vertical="center"/>
      <protection locked="0"/>
    </xf>
    <xf numFmtId="0" fontId="6" fillId="3" borderId="6" xfId="0" applyFont="1" applyFill="1" applyBorder="1" applyAlignment="1" applyProtection="1">
      <alignment horizontal="center"/>
      <protection locked="0"/>
    </xf>
    <xf numFmtId="0" fontId="0" fillId="0" borderId="0" xfId="0" applyProtection="1">
      <protection locked="0"/>
    </xf>
    <xf numFmtId="0" fontId="4" fillId="0" borderId="0" xfId="2" applyFont="1" applyFill="1" applyBorder="1" applyAlignment="1" applyProtection="1">
      <alignment horizontal="center"/>
      <protection locked="0"/>
    </xf>
    <xf numFmtId="0" fontId="0" fillId="0" borderId="0" xfId="0" applyBorder="1" applyProtection="1">
      <protection locked="0"/>
    </xf>
    <xf numFmtId="0" fontId="9" fillId="0" borderId="3" xfId="0" applyNumberFormat="1" applyFont="1" applyFill="1" applyBorder="1" applyAlignment="1" applyProtection="1">
      <alignment horizontal="center"/>
    </xf>
    <xf numFmtId="0" fontId="9" fillId="0" borderId="3" xfId="0" applyNumberFormat="1" applyFont="1" applyFill="1" applyBorder="1" applyAlignment="1" applyProtection="1">
      <alignment horizontal="center" vertical="center"/>
    </xf>
    <xf numFmtId="20" fontId="9" fillId="0" borderId="3" xfId="0" applyNumberFormat="1" applyFont="1" applyFill="1" applyBorder="1" applyAlignment="1" applyProtection="1">
      <alignment horizontal="center"/>
    </xf>
    <xf numFmtId="0" fontId="11" fillId="0" borderId="3" xfId="0" applyFont="1" applyFill="1" applyBorder="1" applyAlignment="1" applyProtection="1">
      <alignment horizontal="center"/>
    </xf>
    <xf numFmtId="0" fontId="1" fillId="0" borderId="0" xfId="0" applyFont="1" applyFill="1" applyBorder="1" applyAlignment="1" applyProtection="1">
      <alignment horizontal="center"/>
    </xf>
    <xf numFmtId="0" fontId="10" fillId="0" borderId="3" xfId="0" applyFont="1" applyFill="1" applyBorder="1" applyAlignment="1" applyProtection="1">
      <alignment horizontal="center"/>
    </xf>
    <xf numFmtId="0" fontId="10" fillId="0" borderId="3" xfId="0" applyFont="1" applyFill="1" applyBorder="1" applyAlignment="1" applyProtection="1">
      <alignment horizontal="center" vertical="center"/>
    </xf>
    <xf numFmtId="20" fontId="10" fillId="0" borderId="3" xfId="0" applyNumberFormat="1" applyFont="1" applyFill="1" applyBorder="1" applyAlignment="1" applyProtection="1">
      <alignment horizontal="center"/>
    </xf>
    <xf numFmtId="46" fontId="10" fillId="0" borderId="3" xfId="0" applyNumberFormat="1" applyFont="1" applyFill="1" applyBorder="1" applyAlignment="1" applyProtection="1">
      <alignment horizontal="center"/>
    </xf>
    <xf numFmtId="46" fontId="9" fillId="0" borderId="3" xfId="0" applyNumberFormat="1" applyFont="1" applyFill="1" applyBorder="1" applyAlignment="1" applyProtection="1">
      <alignment horizontal="center"/>
    </xf>
    <xf numFmtId="46" fontId="11" fillId="0" borderId="3" xfId="0" applyNumberFormat="1" applyFont="1" applyFill="1" applyBorder="1" applyAlignment="1" applyProtection="1">
      <alignment horizontal="center"/>
    </xf>
    <xf numFmtId="0" fontId="11" fillId="0" borderId="0" xfId="0" applyFont="1" applyAlignment="1">
      <alignment horizontal="center"/>
    </xf>
    <xf numFmtId="0" fontId="11" fillId="0" borderId="3" xfId="0" applyFont="1" applyBorder="1" applyAlignment="1">
      <alignment horizontal="center"/>
    </xf>
    <xf numFmtId="0" fontId="11" fillId="0" borderId="0" xfId="0" applyFont="1" applyAlignment="1" applyProtection="1">
      <alignment horizontal="center"/>
    </xf>
    <xf numFmtId="0" fontId="11" fillId="0" borderId="0" xfId="0" applyFont="1" applyFill="1" applyBorder="1" applyAlignment="1" applyProtection="1">
      <alignment horizontal="center"/>
    </xf>
    <xf numFmtId="0" fontId="10" fillId="0" borderId="3" xfId="2" applyFont="1" applyFill="1" applyBorder="1" applyAlignment="1" applyProtection="1">
      <alignment horizontal="center"/>
    </xf>
    <xf numFmtId="20" fontId="10" fillId="0" borderId="3" xfId="2" quotePrefix="1" applyNumberFormat="1" applyFont="1" applyFill="1" applyBorder="1" applyAlignment="1" applyProtection="1">
      <alignment horizontal="center"/>
    </xf>
    <xf numFmtId="20" fontId="10" fillId="0" borderId="3" xfId="2" applyNumberFormat="1" applyFont="1" applyFill="1" applyBorder="1" applyAlignment="1" applyProtection="1">
      <alignment horizontal="center"/>
    </xf>
    <xf numFmtId="0" fontId="7" fillId="2" borderId="0" xfId="0" applyFont="1" applyFill="1" applyAlignment="1">
      <alignment horizontal="center"/>
    </xf>
    <xf numFmtId="0" fontId="6" fillId="3" borderId="1" xfId="0" applyFont="1" applyFill="1" applyBorder="1" applyAlignment="1" applyProtection="1">
      <alignment vertical="center"/>
    </xf>
    <xf numFmtId="0" fontId="6" fillId="3" borderId="2" xfId="0" applyFont="1" applyFill="1" applyBorder="1" applyAlignment="1" applyProtection="1">
      <alignment vertical="center"/>
    </xf>
    <xf numFmtId="0" fontId="6" fillId="3" borderId="6" xfId="0" applyFont="1" applyFill="1" applyBorder="1" applyAlignment="1" applyProtection="1">
      <alignment vertical="center"/>
    </xf>
    <xf numFmtId="49" fontId="6" fillId="3" borderId="7" xfId="0" applyNumberFormat="1" applyFont="1" applyFill="1" applyBorder="1" applyAlignment="1" applyProtection="1"/>
    <xf numFmtId="49" fontId="6" fillId="3" borderId="5" xfId="0" applyNumberFormat="1" applyFont="1" applyFill="1" applyBorder="1" applyAlignment="1" applyProtection="1"/>
    <xf numFmtId="0" fontId="6" fillId="3" borderId="16" xfId="0" applyFont="1" applyFill="1" applyBorder="1" applyAlignment="1" applyProtection="1"/>
    <xf numFmtId="0" fontId="6" fillId="3" borderId="17" xfId="0" applyFont="1" applyFill="1" applyBorder="1" applyAlignment="1" applyProtection="1"/>
    <xf numFmtId="0" fontId="12" fillId="3" borderId="10" xfId="0" applyFont="1" applyFill="1" applyBorder="1" applyAlignment="1" applyProtection="1"/>
    <xf numFmtId="0" fontId="6" fillId="3" borderId="11" xfId="0" applyFont="1" applyFill="1" applyBorder="1" applyAlignment="1" applyProtection="1"/>
    <xf numFmtId="0" fontId="1" fillId="2" borderId="0" xfId="0" applyFont="1" applyFill="1" applyAlignment="1">
      <alignment horizontal="center" vertical="center"/>
    </xf>
    <xf numFmtId="0" fontId="11" fillId="0" borderId="3" xfId="0" applyFont="1" applyFill="1" applyBorder="1" applyAlignment="1">
      <alignment horizontal="center"/>
    </xf>
    <xf numFmtId="0" fontId="11" fillId="0" borderId="0" xfId="0" applyFont="1" applyFill="1" applyAlignment="1">
      <alignment horizontal="center"/>
    </xf>
    <xf numFmtId="0" fontId="4" fillId="2" borderId="0" xfId="2" applyFill="1" applyBorder="1" applyAlignment="1">
      <alignment horizontal="center"/>
    </xf>
    <xf numFmtId="20" fontId="4" fillId="2" borderId="0" xfId="2" applyNumberFormat="1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20" fontId="4" fillId="2" borderId="0" xfId="2" quotePrefix="1" applyNumberFormat="1" applyFont="1" applyFill="1" applyBorder="1" applyAlignment="1">
      <alignment horizontal="center" vertical="center"/>
    </xf>
    <xf numFmtId="0" fontId="13" fillId="2" borderId="0" xfId="2" applyFont="1" applyFill="1" applyBorder="1" applyAlignment="1">
      <alignment horizontal="center" vertical="center"/>
    </xf>
    <xf numFmtId="20" fontId="4" fillId="2" borderId="0" xfId="2" quotePrefix="1" applyNumberFormat="1" applyFill="1" applyBorder="1" applyAlignment="1">
      <alignment horizontal="center"/>
    </xf>
    <xf numFmtId="20" fontId="4" fillId="2" borderId="0" xfId="2" quotePrefix="1" applyNumberFormat="1" applyFont="1" applyFill="1" applyBorder="1" applyAlignment="1">
      <alignment horizontal="center"/>
    </xf>
    <xf numFmtId="0" fontId="4" fillId="2" borderId="0" xfId="2" applyFill="1" applyAlignment="1">
      <alignment horizontal="center"/>
    </xf>
    <xf numFmtId="0" fontId="4" fillId="2" borderId="0" xfId="2" applyFont="1" applyFill="1" applyAlignment="1">
      <alignment horizontal="center"/>
    </xf>
    <xf numFmtId="0" fontId="4" fillId="2" borderId="15" xfId="2" applyNumberFormat="1" applyFill="1" applyBorder="1" applyAlignment="1"/>
    <xf numFmtId="0" fontId="4" fillId="2" borderId="14" xfId="2" quotePrefix="1" applyNumberFormat="1" applyFill="1" applyBorder="1" applyAlignment="1"/>
    <xf numFmtId="0" fontId="4" fillId="2" borderId="0" xfId="2" quotePrefix="1" applyNumberFormat="1" applyFill="1" applyBorder="1" applyAlignment="1"/>
    <xf numFmtId="0" fontId="4" fillId="2" borderId="12" xfId="2" quotePrefix="1" applyNumberFormat="1" applyFill="1" applyBorder="1" applyAlignment="1"/>
    <xf numFmtId="0" fontId="4" fillId="2" borderId="15" xfId="2" quotePrefix="1" applyNumberFormat="1" applyFill="1" applyBorder="1" applyAlignment="1"/>
    <xf numFmtId="20" fontId="11" fillId="0" borderId="0" xfId="0" applyNumberFormat="1" applyFont="1" applyFill="1" applyBorder="1" applyAlignment="1" applyProtection="1">
      <alignment horizontal="center"/>
    </xf>
    <xf numFmtId="0" fontId="4" fillId="2" borderId="12" xfId="2" quotePrefix="1" applyNumberFormat="1" applyFill="1" applyBorder="1" applyAlignment="1">
      <alignment horizontal="right"/>
    </xf>
    <xf numFmtId="0" fontId="4" fillId="2" borderId="0" xfId="2" quotePrefix="1" applyNumberFormat="1" applyFill="1" applyBorder="1" applyAlignment="1">
      <alignment horizontal="right"/>
    </xf>
    <xf numFmtId="0" fontId="14" fillId="0" borderId="0" xfId="0" applyFont="1" applyAlignment="1">
      <alignment horizontal="center"/>
    </xf>
    <xf numFmtId="0" fontId="7" fillId="2" borderId="0" xfId="0" applyFont="1" applyFill="1" applyBorder="1" applyAlignment="1">
      <alignment horizontal="center" vertical="center"/>
    </xf>
    <xf numFmtId="20" fontId="4" fillId="0" borderId="0" xfId="2" applyNumberFormat="1" applyFont="1" applyFill="1" applyBorder="1" applyAlignment="1"/>
    <xf numFmtId="0" fontId="15" fillId="3" borderId="0" xfId="0" applyFont="1" applyFill="1" applyBorder="1" applyAlignment="1" applyProtection="1">
      <alignment horizontal="center"/>
    </xf>
    <xf numFmtId="0" fontId="15" fillId="3" borderId="0" xfId="0" applyFont="1" applyFill="1" applyAlignment="1" applyProtection="1">
      <alignment horizontal="center"/>
    </xf>
    <xf numFmtId="0" fontId="15" fillId="3" borderId="0" xfId="0" applyFont="1" applyFill="1" applyAlignment="1">
      <alignment horizontal="center"/>
    </xf>
    <xf numFmtId="0" fontId="7" fillId="3" borderId="0" xfId="0" applyFont="1" applyFill="1" applyAlignment="1">
      <alignment horizontal="center"/>
    </xf>
    <xf numFmtId="20" fontId="11" fillId="0" borderId="3" xfId="0" applyNumberFormat="1" applyFont="1" applyFill="1" applyBorder="1" applyAlignment="1" applyProtection="1">
      <alignment horizontal="center"/>
    </xf>
    <xf numFmtId="21" fontId="11" fillId="0" borderId="3" xfId="0" applyNumberFormat="1" applyFont="1" applyFill="1" applyBorder="1" applyAlignment="1" applyProtection="1">
      <alignment horizontal="center"/>
    </xf>
    <xf numFmtId="0" fontId="1" fillId="0" borderId="0" xfId="0" applyFont="1" applyAlignment="1" applyProtection="1">
      <alignment horizontal="center"/>
    </xf>
    <xf numFmtId="0" fontId="7" fillId="2" borderId="0" xfId="0" applyFont="1" applyFill="1"/>
    <xf numFmtId="0" fontId="7" fillId="0" borderId="0" xfId="0" applyFont="1"/>
    <xf numFmtId="0" fontId="3" fillId="2" borderId="0" xfId="1" applyFont="1" applyFill="1" applyAlignment="1">
      <alignment horizontal="center"/>
    </xf>
    <xf numFmtId="0" fontId="5" fillId="2" borderId="0" xfId="0" applyFont="1" applyFill="1" applyAlignment="1">
      <alignment horizontal="center"/>
    </xf>
    <xf numFmtId="0" fontId="6" fillId="3" borderId="1" xfId="0" applyFont="1" applyFill="1" applyBorder="1" applyAlignment="1" applyProtection="1">
      <alignment horizontal="center" vertical="center"/>
      <protection locked="0"/>
    </xf>
    <xf numFmtId="0" fontId="6" fillId="3" borderId="2" xfId="0" applyFont="1" applyFill="1" applyBorder="1" applyAlignment="1" applyProtection="1">
      <alignment horizontal="center" vertical="center"/>
      <protection locked="0"/>
    </xf>
    <xf numFmtId="0" fontId="6" fillId="3" borderId="6" xfId="0" applyFont="1" applyFill="1" applyBorder="1" applyAlignment="1" applyProtection="1">
      <alignment horizontal="center" vertical="center"/>
      <protection locked="0"/>
    </xf>
    <xf numFmtId="0" fontId="10" fillId="0" borderId="0" xfId="0" applyFont="1" applyFill="1" applyAlignment="1" applyProtection="1">
      <alignment horizontal="center"/>
    </xf>
    <xf numFmtId="20" fontId="11" fillId="0" borderId="3" xfId="0" applyNumberFormat="1" applyFont="1" applyFill="1" applyBorder="1" applyAlignment="1">
      <alignment horizontal="center"/>
    </xf>
    <xf numFmtId="46" fontId="11" fillId="0" borderId="3" xfId="0" applyNumberFormat="1" applyFont="1" applyFill="1" applyBorder="1" applyAlignment="1">
      <alignment horizontal="center"/>
    </xf>
    <xf numFmtId="46" fontId="14" fillId="0" borderId="3" xfId="0" applyNumberFormat="1" applyFont="1" applyFill="1" applyBorder="1" applyAlignment="1" applyProtection="1">
      <alignment horizontal="center"/>
    </xf>
    <xf numFmtId="0" fontId="14" fillId="0" borderId="3" xfId="0" applyFont="1" applyFill="1" applyBorder="1" applyAlignment="1" applyProtection="1">
      <alignment horizontal="center"/>
    </xf>
    <xf numFmtId="46" fontId="14" fillId="0" borderId="3" xfId="0" applyNumberFormat="1" applyFont="1" applyFill="1" applyBorder="1" applyAlignment="1">
      <alignment horizontal="center"/>
    </xf>
    <xf numFmtId="0" fontId="14" fillId="0" borderId="3" xfId="0" applyFont="1" applyFill="1" applyBorder="1" applyAlignment="1">
      <alignment horizontal="center"/>
    </xf>
    <xf numFmtId="0" fontId="7" fillId="0" borderId="18" xfId="0" applyFont="1" applyBorder="1" applyAlignment="1">
      <alignment horizontal="center"/>
    </xf>
    <xf numFmtId="0" fontId="10" fillId="0" borderId="3" xfId="0" applyFont="1" applyBorder="1" applyAlignment="1" applyProtection="1">
      <alignment horizontal="center" vertical="center"/>
      <protection locked="0"/>
    </xf>
    <xf numFmtId="0" fontId="10" fillId="0" borderId="3" xfId="0" applyFont="1" applyBorder="1" applyAlignment="1">
      <alignment horizontal="center"/>
    </xf>
    <xf numFmtId="0" fontId="10" fillId="0" borderId="3" xfId="0" applyFont="1" applyFill="1" applyBorder="1" applyAlignment="1">
      <alignment horizontal="center"/>
    </xf>
    <xf numFmtId="0" fontId="10" fillId="0" borderId="3" xfId="0" applyFont="1" applyBorder="1" applyAlignment="1" applyProtection="1">
      <alignment horizontal="center"/>
      <protection hidden="1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3" xfId="0" applyFont="1" applyFill="1" applyBorder="1" applyAlignment="1" applyProtection="1">
      <alignment horizontal="center"/>
      <protection hidden="1"/>
    </xf>
    <xf numFmtId="0" fontId="11" fillId="5" borderId="3" xfId="0" applyFont="1" applyFill="1" applyBorder="1" applyAlignment="1" applyProtection="1">
      <alignment horizontal="center"/>
    </xf>
    <xf numFmtId="0" fontId="10" fillId="0" borderId="0" xfId="0" applyFont="1" applyAlignment="1">
      <alignment horizontal="center"/>
    </xf>
    <xf numFmtId="0" fontId="10" fillId="0" borderId="3" xfId="0" applyFont="1" applyFill="1" applyBorder="1" applyAlignment="1" applyProtection="1">
      <alignment horizontal="center"/>
      <protection locked="0"/>
    </xf>
    <xf numFmtId="46" fontId="0" fillId="2" borderId="0" xfId="0" applyNumberFormat="1" applyFill="1" applyAlignment="1">
      <alignment horizontal="center"/>
    </xf>
    <xf numFmtId="0" fontId="13" fillId="2" borderId="12" xfId="2" applyNumberFormat="1" applyFont="1" applyFill="1" applyBorder="1" applyAlignment="1"/>
    <xf numFmtId="0" fontId="0" fillId="0" borderId="3" xfId="0" applyFont="1" applyFill="1" applyBorder="1" applyAlignment="1">
      <alignment horizontal="center"/>
    </xf>
    <xf numFmtId="0" fontId="0" fillId="0" borderId="3" xfId="0" applyFill="1" applyBorder="1" applyAlignment="1">
      <alignment horizontal="center"/>
    </xf>
    <xf numFmtId="0" fontId="11" fillId="5" borderId="0" xfId="0" applyFont="1" applyFill="1" applyBorder="1" applyAlignment="1" applyProtection="1"/>
    <xf numFmtId="0" fontId="1" fillId="0" borderId="0" xfId="0" applyFont="1" applyFill="1" applyBorder="1" applyAlignment="1">
      <alignment horizontal="center"/>
    </xf>
    <xf numFmtId="0" fontId="17" fillId="5" borderId="14" xfId="0" applyFont="1" applyFill="1" applyBorder="1" applyAlignment="1" applyProtection="1">
      <alignment horizontal="right"/>
    </xf>
    <xf numFmtId="0" fontId="10" fillId="0" borderId="19" xfId="0" applyFont="1" applyBorder="1" applyAlignment="1" applyProtection="1">
      <alignment horizontal="center"/>
      <protection locked="0"/>
    </xf>
    <xf numFmtId="0" fontId="10" fillId="0" borderId="19" xfId="0" applyFont="1" applyBorder="1" applyAlignment="1">
      <alignment horizontal="center"/>
    </xf>
    <xf numFmtId="0" fontId="10" fillId="0" borderId="19" xfId="0" applyFont="1" applyFill="1" applyBorder="1" applyAlignment="1">
      <alignment horizontal="center"/>
    </xf>
    <xf numFmtId="0" fontId="10" fillId="0" borderId="19" xfId="0" applyFont="1" applyBorder="1" applyAlignment="1" applyProtection="1">
      <alignment horizontal="center" vertical="center"/>
      <protection locked="0"/>
    </xf>
    <xf numFmtId="0" fontId="11" fillId="0" borderId="19" xfId="0" applyFont="1" applyBorder="1" applyAlignment="1">
      <alignment horizontal="center"/>
    </xf>
    <xf numFmtId="0" fontId="9" fillId="0" borderId="19" xfId="0" applyNumberFormat="1" applyFont="1" applyFill="1" applyBorder="1" applyAlignment="1" applyProtection="1">
      <alignment horizontal="center"/>
    </xf>
    <xf numFmtId="0" fontId="11" fillId="0" borderId="19" xfId="0" applyFont="1" applyFill="1" applyBorder="1" applyAlignment="1" applyProtection="1">
      <alignment horizontal="center"/>
    </xf>
    <xf numFmtId="0" fontId="10" fillId="0" borderId="19" xfId="0" applyFont="1" applyFill="1" applyBorder="1" applyAlignment="1" applyProtection="1">
      <alignment horizontal="center"/>
    </xf>
    <xf numFmtId="0" fontId="10" fillId="0" borderId="19" xfId="0" applyFont="1" applyFill="1" applyBorder="1" applyAlignment="1" applyProtection="1">
      <alignment horizontal="center" vertical="center"/>
    </xf>
    <xf numFmtId="0" fontId="7" fillId="0" borderId="0" xfId="0" applyFont="1" applyFill="1" applyBorder="1"/>
    <xf numFmtId="0" fontId="16" fillId="0" borderId="0" xfId="0" applyFont="1" applyFill="1" applyBorder="1" applyAlignment="1">
      <alignment horizontal="center"/>
    </xf>
    <xf numFmtId="0" fontId="16" fillId="0" borderId="20" xfId="0" applyFont="1" applyFill="1" applyBorder="1" applyAlignment="1">
      <alignment horizontal="center"/>
    </xf>
    <xf numFmtId="0" fontId="7" fillId="0" borderId="20" xfId="0" applyFont="1" applyFill="1" applyBorder="1" applyAlignment="1">
      <alignment horizontal="center"/>
    </xf>
    <xf numFmtId="0" fontId="0" fillId="0" borderId="0" xfId="0" applyFill="1" applyBorder="1" applyProtection="1">
      <protection locked="0"/>
    </xf>
    <xf numFmtId="0" fontId="16" fillId="0" borderId="0" xfId="0" applyFont="1" applyFill="1" applyBorder="1" applyAlignment="1"/>
    <xf numFmtId="0" fontId="6" fillId="0" borderId="9" xfId="0" applyFont="1" applyFill="1" applyBorder="1" applyAlignment="1">
      <alignment vertical="center"/>
    </xf>
    <xf numFmtId="0" fontId="10" fillId="0" borderId="19" xfId="0" applyFont="1" applyBorder="1" applyAlignment="1" applyProtection="1">
      <alignment horizontal="center"/>
      <protection hidden="1"/>
    </xf>
    <xf numFmtId="0" fontId="10" fillId="0" borderId="18" xfId="0" applyFont="1" applyBorder="1" applyAlignment="1">
      <alignment horizontal="center"/>
    </xf>
    <xf numFmtId="0" fontId="10" fillId="0" borderId="18" xfId="0" applyFont="1" applyBorder="1" applyAlignment="1" applyProtection="1">
      <alignment horizontal="center" vertical="center"/>
      <protection locked="0"/>
    </xf>
    <xf numFmtId="0" fontId="16" fillId="0" borderId="20" xfId="0" applyFont="1" applyFill="1" applyBorder="1" applyAlignment="1"/>
    <xf numFmtId="0" fontId="7" fillId="0" borderId="20" xfId="0" applyFont="1" applyFill="1" applyBorder="1" applyAlignment="1"/>
    <xf numFmtId="0" fontId="6" fillId="3" borderId="1" xfId="0" applyFont="1" applyFill="1" applyBorder="1" applyAlignment="1" applyProtection="1">
      <alignment horizontal="center" vertical="center"/>
    </xf>
    <xf numFmtId="0" fontId="6" fillId="3" borderId="2" xfId="0" applyFont="1" applyFill="1" applyBorder="1" applyAlignment="1" applyProtection="1">
      <alignment horizontal="center" vertical="center"/>
    </xf>
    <xf numFmtId="0" fontId="6" fillId="3" borderId="6" xfId="0" applyFont="1" applyFill="1" applyBorder="1" applyAlignment="1" applyProtection="1">
      <alignment horizontal="center" vertical="center"/>
    </xf>
    <xf numFmtId="49" fontId="6" fillId="3" borderId="7" xfId="0" applyNumberFormat="1" applyFont="1" applyFill="1" applyBorder="1" applyAlignment="1" applyProtection="1">
      <alignment horizontal="center"/>
    </xf>
    <xf numFmtId="49" fontId="6" fillId="3" borderId="5" xfId="0" applyNumberFormat="1" applyFont="1" applyFill="1" applyBorder="1" applyAlignment="1" applyProtection="1">
      <alignment horizontal="center"/>
    </xf>
    <xf numFmtId="0" fontId="12" fillId="3" borderId="10" xfId="0" applyFont="1" applyFill="1" applyBorder="1" applyAlignment="1" applyProtection="1">
      <alignment horizontal="center"/>
    </xf>
    <xf numFmtId="0" fontId="6" fillId="3" borderId="11" xfId="0" applyFont="1" applyFill="1" applyBorder="1" applyAlignment="1" applyProtection="1">
      <alignment horizontal="center"/>
    </xf>
    <xf numFmtId="0" fontId="6" fillId="3" borderId="8" xfId="0" applyFont="1" applyFill="1" applyBorder="1" applyAlignment="1" applyProtection="1">
      <alignment horizontal="center"/>
    </xf>
    <xf numFmtId="0" fontId="6" fillId="3" borderId="9" xfId="0" applyFont="1" applyFill="1" applyBorder="1" applyAlignment="1" applyProtection="1">
      <alignment horizontal="center"/>
    </xf>
    <xf numFmtId="0" fontId="7" fillId="2" borderId="13" xfId="0" applyFont="1" applyFill="1" applyBorder="1" applyAlignment="1">
      <alignment horizontal="center"/>
    </xf>
    <xf numFmtId="0" fontId="3" fillId="2" borderId="0" xfId="1" applyFont="1" applyFill="1" applyAlignment="1">
      <alignment horizontal="center"/>
    </xf>
    <xf numFmtId="0" fontId="5" fillId="2" borderId="0" xfId="0" applyFont="1" applyFill="1" applyAlignment="1">
      <alignment horizontal="center"/>
    </xf>
    <xf numFmtId="0" fontId="1" fillId="4" borderId="0" xfId="0" applyFont="1" applyFill="1" applyAlignment="1">
      <alignment horizontal="center" vertical="center"/>
    </xf>
    <xf numFmtId="0" fontId="3" fillId="2" borderId="0" xfId="1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6" fillId="3" borderId="1" xfId="0" applyFont="1" applyFill="1" applyBorder="1" applyAlignment="1" applyProtection="1">
      <alignment horizontal="center"/>
      <protection locked="0"/>
    </xf>
    <xf numFmtId="0" fontId="6" fillId="3" borderId="2" xfId="0" applyFont="1" applyFill="1" applyBorder="1" applyAlignment="1" applyProtection="1">
      <alignment horizontal="center"/>
      <protection locked="0"/>
    </xf>
    <xf numFmtId="49" fontId="6" fillId="3" borderId="7" xfId="0" applyNumberFormat="1" applyFont="1" applyFill="1" applyBorder="1" applyAlignment="1" applyProtection="1">
      <alignment horizontal="center"/>
      <protection locked="0"/>
    </xf>
    <xf numFmtId="49" fontId="6" fillId="3" borderId="5" xfId="0" applyNumberFormat="1" applyFont="1" applyFill="1" applyBorder="1" applyAlignment="1" applyProtection="1">
      <alignment horizontal="center"/>
      <protection locked="0"/>
    </xf>
    <xf numFmtId="0" fontId="6" fillId="3" borderId="8" xfId="0" applyFont="1" applyFill="1" applyBorder="1" applyAlignment="1" applyProtection="1">
      <alignment horizontal="center"/>
      <protection locked="0"/>
    </xf>
    <xf numFmtId="0" fontId="6" fillId="3" borderId="9" xfId="0" applyFont="1" applyFill="1" applyBorder="1" applyAlignment="1" applyProtection="1">
      <alignment horizontal="center"/>
      <protection locked="0"/>
    </xf>
    <xf numFmtId="0" fontId="6" fillId="0" borderId="0" xfId="0" applyFont="1" applyFill="1" applyBorder="1" applyAlignment="1">
      <alignment horizontal="center" vertical="center"/>
    </xf>
    <xf numFmtId="0" fontId="6" fillId="3" borderId="1" xfId="0" applyFont="1" applyFill="1" applyBorder="1" applyAlignment="1" applyProtection="1">
      <alignment horizontal="center" vertical="center"/>
      <protection locked="0"/>
    </xf>
    <xf numFmtId="0" fontId="6" fillId="3" borderId="2" xfId="0" applyFont="1" applyFill="1" applyBorder="1" applyAlignment="1" applyProtection="1">
      <alignment horizontal="center" vertical="center"/>
      <protection locked="0"/>
    </xf>
    <xf numFmtId="0" fontId="6" fillId="3" borderId="6" xfId="0" applyFont="1" applyFill="1" applyBorder="1" applyAlignment="1" applyProtection="1">
      <alignment horizontal="center" vertical="center"/>
      <protection locked="0"/>
    </xf>
    <xf numFmtId="20" fontId="8" fillId="3" borderId="0" xfId="2" applyNumberFormat="1" applyFont="1" applyFill="1" applyBorder="1" applyAlignment="1" applyProtection="1">
      <alignment horizontal="left" vertical="center"/>
      <protection locked="0"/>
    </xf>
    <xf numFmtId="0" fontId="6" fillId="3" borderId="5" xfId="0" applyFont="1" applyFill="1" applyBorder="1" applyAlignment="1" applyProtection="1">
      <alignment horizontal="center" vertical="center"/>
      <protection locked="0"/>
    </xf>
    <xf numFmtId="0" fontId="6" fillId="3" borderId="9" xfId="0" applyFont="1" applyFill="1" applyBorder="1" applyAlignment="1" applyProtection="1">
      <alignment horizontal="center" vertical="center"/>
      <protection locked="0"/>
    </xf>
    <xf numFmtId="0" fontId="6" fillId="3" borderId="17" xfId="0" applyFont="1" applyFill="1" applyBorder="1" applyAlignment="1" applyProtection="1">
      <alignment horizontal="center" vertical="center"/>
      <protection locked="0"/>
    </xf>
    <xf numFmtId="20" fontId="8" fillId="3" borderId="1" xfId="2" applyNumberFormat="1" applyFont="1" applyFill="1" applyBorder="1" applyAlignment="1" applyProtection="1">
      <alignment horizontal="left" vertical="center"/>
      <protection locked="0"/>
    </xf>
    <xf numFmtId="20" fontId="8" fillId="3" borderId="2" xfId="2" applyNumberFormat="1" applyFont="1" applyFill="1" applyBorder="1" applyAlignment="1" applyProtection="1">
      <alignment horizontal="left" vertical="center"/>
      <protection locked="0"/>
    </xf>
    <xf numFmtId="20" fontId="8" fillId="3" borderId="6" xfId="2" applyNumberFormat="1" applyFont="1" applyFill="1" applyBorder="1" applyAlignment="1" applyProtection="1">
      <alignment horizontal="left" vertical="center"/>
      <protection locked="0"/>
    </xf>
  </cellXfs>
  <cellStyles count="3">
    <cellStyle name="Normal" xfId="0" builtinId="0"/>
    <cellStyle name="Normal 2" xfId="1"/>
    <cellStyle name="Normal 3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148590</xdr:colOff>
      <xdr:row>0</xdr:row>
      <xdr:rowOff>4691</xdr:rowOff>
    </xdr:from>
    <xdr:to>
      <xdr:col>2</xdr:col>
      <xdr:colOff>335280</xdr:colOff>
      <xdr:row>3</xdr:row>
      <xdr:rowOff>121921</xdr:rowOff>
    </xdr:to>
    <xdr:pic>
      <xdr:nvPicPr>
        <xdr:cNvPr id="4" name="Image 3" descr="C:\Users\Gateway\Desktop\Dropbox\Logos RSEQ\RSEQ-Crosscountry\RSEQ-Crosscountry-CMYK\RSEQ-Crosscountry-CMYK-HR.jpg"/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48590" y="4691"/>
          <a:ext cx="1680210" cy="70397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0</xdr:colOff>
      <xdr:row>33</xdr:row>
      <xdr:rowOff>15240</xdr:rowOff>
    </xdr:from>
    <xdr:to>
      <xdr:col>2</xdr:col>
      <xdr:colOff>369570</xdr:colOff>
      <xdr:row>36</xdr:row>
      <xdr:rowOff>56270</xdr:rowOff>
    </xdr:to>
    <xdr:pic>
      <xdr:nvPicPr>
        <xdr:cNvPr id="3" name="Image 2" descr="C:\Users\Gateway\Desktop\Dropbox\Logos RSEQ\RSEQ-Crosscountry\RSEQ-Crosscountry-CMYK\RSEQ-Crosscountry-CMYK-HR.jpg"/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82880" y="6202680"/>
          <a:ext cx="1680210" cy="70397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8974</xdr:colOff>
      <xdr:row>0</xdr:row>
      <xdr:rowOff>35860</xdr:rowOff>
    </xdr:from>
    <xdr:to>
      <xdr:col>2</xdr:col>
      <xdr:colOff>1450275</xdr:colOff>
      <xdr:row>5</xdr:row>
      <xdr:rowOff>48171</xdr:rowOff>
    </xdr:to>
    <xdr:pic>
      <xdr:nvPicPr>
        <xdr:cNvPr id="3" name="Image 2" descr="C:\Users\Gateway\Desktop\Dropbox\Logos RSEQ\RSEQ-Crosscountry\RSEQ-Crosscountry-CMYK\RSEQ-Crosscountry-CMYK-HR.jpg"/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68950" y="35860"/>
          <a:ext cx="2660501" cy="108807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8974</xdr:colOff>
      <xdr:row>0</xdr:row>
      <xdr:rowOff>0</xdr:rowOff>
    </xdr:from>
    <xdr:to>
      <xdr:col>2</xdr:col>
      <xdr:colOff>1450275</xdr:colOff>
      <xdr:row>5</xdr:row>
      <xdr:rowOff>12311</xdr:rowOff>
    </xdr:to>
    <xdr:pic>
      <xdr:nvPicPr>
        <xdr:cNvPr id="2" name="Image 1" descr="C:\Users\Gateway\Desktop\Dropbox\Logos RSEQ\RSEQ-Crosscountry\RSEQ-Crosscountry-CMYK\RSEQ-Crosscountry-CMYK-HR.jpg"/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68950" y="0"/>
          <a:ext cx="2660501" cy="108807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FF0000"/>
  </sheetPr>
  <dimension ref="A1:U73"/>
  <sheetViews>
    <sheetView workbookViewId="0">
      <selection activeCell="B9" sqref="B9:B11"/>
    </sheetView>
  </sheetViews>
  <sheetFormatPr baseColWidth="10" defaultRowHeight="14.4"/>
  <cols>
    <col min="1" max="1" width="2.6640625" customWidth="1"/>
    <col min="2" max="2" width="19.109375" style="1" customWidth="1"/>
    <col min="3" max="3" width="11.44140625" style="1" customWidth="1"/>
    <col min="4" max="8" width="11.5546875" style="1"/>
    <col min="10" max="10" width="10.77734375" style="1" customWidth="1"/>
    <col min="11" max="11" width="0.77734375" customWidth="1"/>
  </cols>
  <sheetData>
    <row r="1" spans="1:14">
      <c r="A1" s="2"/>
      <c r="B1" s="7"/>
      <c r="C1" s="7"/>
      <c r="D1" s="7"/>
      <c r="E1" s="7"/>
      <c r="F1" s="7"/>
      <c r="G1" s="7"/>
      <c r="H1" s="7"/>
      <c r="I1" s="2"/>
      <c r="J1" s="7"/>
    </row>
    <row r="2" spans="1:14">
      <c r="A2" s="2"/>
      <c r="B2" s="7"/>
      <c r="C2" s="7"/>
      <c r="D2" s="7"/>
      <c r="E2" s="7"/>
      <c r="F2" s="7"/>
      <c r="G2" s="7"/>
      <c r="H2" s="7"/>
      <c r="I2" s="2"/>
      <c r="J2" s="7"/>
    </row>
    <row r="3" spans="1:14" ht="17.399999999999999">
      <c r="A3" s="2"/>
      <c r="B3" s="6"/>
      <c r="C3" s="6"/>
      <c r="D3" s="6"/>
      <c r="E3" s="6"/>
      <c r="F3" s="7"/>
      <c r="G3" s="7"/>
      <c r="H3" s="7"/>
      <c r="I3" s="2"/>
      <c r="J3" s="7"/>
    </row>
    <row r="4" spans="1:14" ht="17.399999999999999">
      <c r="A4" s="2"/>
      <c r="B4" s="6"/>
      <c r="C4" s="6"/>
      <c r="D4" s="6"/>
      <c r="E4" s="158" t="s">
        <v>0</v>
      </c>
      <c r="F4" s="158"/>
      <c r="G4" s="158"/>
      <c r="H4" s="7"/>
      <c r="I4" s="2"/>
      <c r="J4" s="7"/>
    </row>
    <row r="5" spans="1:14" ht="17.399999999999999">
      <c r="A5" s="2"/>
      <c r="B5" s="8"/>
      <c r="C5" s="8"/>
      <c r="D5" s="8"/>
      <c r="E5" s="158" t="s">
        <v>1</v>
      </c>
      <c r="F5" s="158"/>
      <c r="G5" s="158"/>
      <c r="H5" s="7"/>
      <c r="I5" s="2"/>
      <c r="J5" s="7"/>
      <c r="L5" s="3"/>
      <c r="M5" s="3"/>
      <c r="N5" s="3"/>
    </row>
    <row r="6" spans="1:14" ht="17.399999999999999">
      <c r="A6" s="2"/>
      <c r="B6" s="6"/>
      <c r="C6" s="7"/>
      <c r="D6" s="7"/>
      <c r="E6" s="159" t="s">
        <v>199</v>
      </c>
      <c r="F6" s="159"/>
      <c r="G6" s="159"/>
      <c r="H6" s="7"/>
      <c r="I6" s="2"/>
      <c r="J6" s="7"/>
      <c r="L6" s="3"/>
      <c r="M6" s="3"/>
      <c r="N6" s="3"/>
    </row>
    <row r="7" spans="1:14" ht="17.399999999999999">
      <c r="A7" s="2"/>
      <c r="B7" s="7"/>
      <c r="C7" s="7"/>
      <c r="D7" s="7"/>
      <c r="E7" s="160" t="s">
        <v>21</v>
      </c>
      <c r="F7" s="160"/>
      <c r="G7" s="160"/>
      <c r="H7" s="7"/>
      <c r="I7" s="2"/>
      <c r="J7" s="7"/>
      <c r="L7" s="4"/>
      <c r="M7" s="4"/>
      <c r="N7" s="4"/>
    </row>
    <row r="8" spans="1:14" ht="15" thickBot="1">
      <c r="A8" s="2"/>
      <c r="B8" s="7"/>
      <c r="C8" s="157">
        <v>88</v>
      </c>
      <c r="D8" s="157"/>
      <c r="E8" s="56">
        <v>89</v>
      </c>
      <c r="F8" s="7"/>
      <c r="G8" s="56">
        <v>97</v>
      </c>
      <c r="H8" s="7"/>
      <c r="I8" s="2"/>
      <c r="J8" s="7"/>
    </row>
    <row r="9" spans="1:14">
      <c r="B9" s="148" t="s">
        <v>4</v>
      </c>
      <c r="C9" s="151" t="s">
        <v>429</v>
      </c>
      <c r="D9" s="152"/>
      <c r="E9" s="151" t="s">
        <v>430</v>
      </c>
      <c r="F9" s="152"/>
      <c r="G9" s="151" t="s">
        <v>431</v>
      </c>
      <c r="H9" s="152"/>
      <c r="I9" s="148" t="s">
        <v>19</v>
      </c>
      <c r="J9" s="148" t="s">
        <v>11</v>
      </c>
    </row>
    <row r="10" spans="1:14" ht="15" thickBot="1">
      <c r="B10" s="149"/>
      <c r="C10" s="155" t="s">
        <v>7</v>
      </c>
      <c r="D10" s="156"/>
      <c r="E10" s="155" t="s">
        <v>168</v>
      </c>
      <c r="F10" s="156"/>
      <c r="G10" s="155" t="s">
        <v>8</v>
      </c>
      <c r="H10" s="156"/>
      <c r="I10" s="149"/>
      <c r="J10" s="149"/>
    </row>
    <row r="11" spans="1:14" ht="15" thickBot="1">
      <c r="B11" s="150"/>
      <c r="C11" s="153" t="s">
        <v>172</v>
      </c>
      <c r="D11" s="154"/>
      <c r="E11" s="153" t="s">
        <v>172</v>
      </c>
      <c r="F11" s="154"/>
      <c r="G11" s="153" t="s">
        <v>172</v>
      </c>
      <c r="H11" s="154"/>
      <c r="I11" s="150"/>
      <c r="J11" s="150"/>
    </row>
    <row r="12" spans="1:14">
      <c r="B12" s="22" t="s">
        <v>151</v>
      </c>
      <c r="C12" s="78">
        <f>+Féminin!F10+Féminin!F11+Féminin!F12+Féminin!F16</f>
        <v>13</v>
      </c>
      <c r="D12" s="121"/>
      <c r="E12" s="81"/>
      <c r="F12" s="81"/>
      <c r="G12" s="84"/>
      <c r="H12" s="81"/>
      <c r="I12" s="11">
        <f t="shared" ref="I12:I26" si="0">C12+E12+G12</f>
        <v>13</v>
      </c>
      <c r="J12" s="125">
        <v>1</v>
      </c>
    </row>
    <row r="13" spans="1:14">
      <c r="B13" s="123" t="s">
        <v>439</v>
      </c>
      <c r="C13" s="79">
        <f>+Féminin!F19+Féminin!F20+Féminin!F25+Féminin!F32</f>
        <v>60</v>
      </c>
      <c r="D13" s="80"/>
      <c r="E13" s="80"/>
      <c r="F13" s="80"/>
      <c r="G13" s="85"/>
      <c r="H13" s="80"/>
      <c r="I13" s="11">
        <f t="shared" si="0"/>
        <v>60</v>
      </c>
      <c r="J13" s="125">
        <v>2</v>
      </c>
    </row>
    <row r="14" spans="1:14">
      <c r="B14" s="122" t="s">
        <v>154</v>
      </c>
      <c r="C14" s="79">
        <f>+Féminin!F21+Féminin!F28+Féminin!F31+Féminin!F35</f>
        <v>79</v>
      </c>
      <c r="D14" s="80"/>
      <c r="E14" s="80"/>
      <c r="F14" s="80"/>
      <c r="G14" s="85"/>
      <c r="H14" s="80"/>
      <c r="I14" s="11">
        <f t="shared" si="0"/>
        <v>79</v>
      </c>
      <c r="J14" s="125">
        <v>3</v>
      </c>
    </row>
    <row r="15" spans="1:14">
      <c r="B15" s="122" t="s">
        <v>152</v>
      </c>
      <c r="C15" s="79">
        <f>+Féminin!F17+Féminin!F18+Féminin!F36+Féminin!F46</f>
        <v>81</v>
      </c>
      <c r="D15" s="80"/>
      <c r="E15" s="80"/>
      <c r="F15" s="80"/>
      <c r="G15" s="85"/>
      <c r="H15" s="80"/>
      <c r="I15" s="11">
        <f t="shared" si="0"/>
        <v>81</v>
      </c>
      <c r="J15" s="125">
        <v>4</v>
      </c>
    </row>
    <row r="16" spans="1:14">
      <c r="B16" s="24" t="s">
        <v>313</v>
      </c>
      <c r="C16" s="79">
        <f>+Féminin!F27+Féminin!F39+Féminin!F41+Féminin!F42</f>
        <v>113</v>
      </c>
      <c r="D16" s="80"/>
      <c r="E16" s="80"/>
      <c r="F16" s="80"/>
      <c r="G16" s="85"/>
      <c r="H16" s="80"/>
      <c r="I16" s="11">
        <f t="shared" si="0"/>
        <v>113</v>
      </c>
      <c r="J16" s="125">
        <v>5</v>
      </c>
    </row>
    <row r="17" spans="1:10">
      <c r="B17" s="122" t="s">
        <v>157</v>
      </c>
      <c r="C17" s="79">
        <f>+Féminin!F23+Féminin!F34+Féminin!F44+Féminin!F69</f>
        <v>134</v>
      </c>
      <c r="D17" s="80"/>
      <c r="E17" s="80"/>
      <c r="F17" s="80"/>
      <c r="G17" s="85"/>
      <c r="H17" s="80"/>
      <c r="I17" s="11">
        <f t="shared" si="0"/>
        <v>134</v>
      </c>
      <c r="J17" s="125">
        <v>6</v>
      </c>
    </row>
    <row r="18" spans="1:10">
      <c r="B18" s="122" t="s">
        <v>155</v>
      </c>
      <c r="C18" s="79">
        <f>+Féminin!F33+Féminin!F37+Féminin!F43+Féminin!F65</f>
        <v>142</v>
      </c>
      <c r="D18" s="80"/>
      <c r="E18" s="80"/>
      <c r="F18" s="80"/>
      <c r="G18" s="85"/>
      <c r="H18" s="80"/>
      <c r="I18" s="11">
        <f t="shared" si="0"/>
        <v>142</v>
      </c>
      <c r="J18" s="125">
        <v>7</v>
      </c>
    </row>
    <row r="19" spans="1:10">
      <c r="B19" s="122" t="s">
        <v>156</v>
      </c>
      <c r="C19" s="79">
        <f>+Féminin!F22+Féminin!F45+Féminin!F63+Féminin!F71</f>
        <v>165</v>
      </c>
      <c r="D19" s="80"/>
      <c r="E19" s="80"/>
      <c r="F19" s="80"/>
      <c r="G19" s="85"/>
      <c r="H19" s="80"/>
      <c r="I19" s="11">
        <f t="shared" si="0"/>
        <v>165</v>
      </c>
      <c r="J19" s="125">
        <v>8</v>
      </c>
    </row>
    <row r="20" spans="1:10">
      <c r="B20" s="24" t="s">
        <v>162</v>
      </c>
      <c r="C20" s="79">
        <f>+Féminin!F29+Féminin!F59+Féminin!F60+Féminin!F62</f>
        <v>174</v>
      </c>
      <c r="D20" s="80"/>
      <c r="E20" s="80"/>
      <c r="F20" s="80"/>
      <c r="G20" s="85"/>
      <c r="H20" s="80"/>
      <c r="I20" s="11">
        <f t="shared" si="0"/>
        <v>174</v>
      </c>
      <c r="J20" s="125">
        <v>9</v>
      </c>
    </row>
    <row r="21" spans="1:10">
      <c r="B21" s="24" t="s">
        <v>163</v>
      </c>
      <c r="C21" s="79">
        <f>+Féminin!F13+Féminin!F57+Féminin!F84+'Par équipe'!C8:D8</f>
        <v>215</v>
      </c>
      <c r="D21" s="80"/>
      <c r="E21" s="80"/>
      <c r="F21" s="80"/>
      <c r="G21" s="85"/>
      <c r="H21" s="80"/>
      <c r="I21" s="11">
        <f t="shared" si="0"/>
        <v>215</v>
      </c>
      <c r="J21" s="125">
        <v>10</v>
      </c>
    </row>
    <row r="22" spans="1:10">
      <c r="B22" s="24" t="s">
        <v>435</v>
      </c>
      <c r="C22" s="79">
        <f>+Féminin!F14+Féminin!F56+Féminin!F91+'Par équipe'!C8:D8</f>
        <v>222</v>
      </c>
      <c r="D22" s="80"/>
      <c r="E22" s="80"/>
      <c r="F22" s="80"/>
      <c r="G22" s="85"/>
      <c r="H22" s="80"/>
      <c r="I22" s="11">
        <f t="shared" si="0"/>
        <v>222</v>
      </c>
      <c r="J22" s="125">
        <v>11</v>
      </c>
    </row>
    <row r="23" spans="1:10">
      <c r="B23" s="123" t="s">
        <v>434</v>
      </c>
      <c r="C23" s="79">
        <f>+Féminin!F15+'Par équipe'!C8:D8+'Par équipe'!C8:D8+'Par équipe'!C8:D8</f>
        <v>270</v>
      </c>
      <c r="D23" s="80"/>
      <c r="E23" s="80"/>
      <c r="F23" s="80"/>
      <c r="G23" s="85"/>
      <c r="H23" s="80"/>
      <c r="I23" s="11">
        <f t="shared" si="0"/>
        <v>270</v>
      </c>
      <c r="J23" s="125">
        <v>12</v>
      </c>
    </row>
    <row r="24" spans="1:10">
      <c r="B24" s="122" t="s">
        <v>153</v>
      </c>
      <c r="C24" s="79">
        <f>+Féminin!F49+Féminin!F74+Féminin!F90+'Par équipe'!C8:D8</f>
        <v>274</v>
      </c>
      <c r="D24" s="80"/>
      <c r="E24" s="80"/>
      <c r="F24" s="80"/>
      <c r="G24" s="85"/>
      <c r="H24" s="80"/>
      <c r="I24" s="11">
        <f t="shared" si="0"/>
        <v>274</v>
      </c>
      <c r="J24" s="125">
        <v>13</v>
      </c>
    </row>
    <row r="25" spans="1:10">
      <c r="B25" s="23" t="s">
        <v>438</v>
      </c>
      <c r="C25" s="79">
        <f>+Féminin!F26+'Par équipe'!C8:D8+'Par équipe'!C8:D8+'Par équipe'!C8:D8</f>
        <v>281</v>
      </c>
      <c r="D25" s="80"/>
      <c r="E25" s="80"/>
      <c r="F25" s="80"/>
      <c r="G25" s="85"/>
      <c r="H25" s="80"/>
      <c r="I25" s="11">
        <f t="shared" si="0"/>
        <v>281</v>
      </c>
      <c r="J25" s="125">
        <v>14</v>
      </c>
    </row>
    <row r="26" spans="1:10">
      <c r="B26" s="123" t="s">
        <v>433</v>
      </c>
      <c r="C26" s="79">
        <f>+Féminin!F73+Féminin!F93+Féminin!F94+'Par équipe'!C8:D8</f>
        <v>321</v>
      </c>
      <c r="D26" s="80"/>
      <c r="E26" s="80"/>
      <c r="F26" s="80"/>
      <c r="G26" s="85"/>
      <c r="H26" s="80"/>
      <c r="I26" s="11">
        <f t="shared" si="0"/>
        <v>321</v>
      </c>
      <c r="J26" s="125">
        <v>15</v>
      </c>
    </row>
    <row r="27" spans="1:10" ht="15.6">
      <c r="B27" s="23" t="s">
        <v>160</v>
      </c>
      <c r="C27" s="126" t="s">
        <v>149</v>
      </c>
      <c r="D27" s="124"/>
      <c r="E27" s="80"/>
      <c r="F27" s="80"/>
      <c r="G27" s="85"/>
      <c r="H27" s="80"/>
      <c r="I27" s="11" t="s">
        <v>164</v>
      </c>
      <c r="J27" s="125" t="s">
        <v>164</v>
      </c>
    </row>
    <row r="28" spans="1:10" ht="15.6">
      <c r="B28" s="24" t="s">
        <v>161</v>
      </c>
      <c r="C28" s="126" t="s">
        <v>149</v>
      </c>
      <c r="D28" s="124"/>
      <c r="E28" s="80"/>
      <c r="F28" s="80"/>
      <c r="G28" s="85"/>
      <c r="H28" s="80"/>
      <c r="I28" s="11" t="s">
        <v>164</v>
      </c>
      <c r="J28" s="125" t="s">
        <v>164</v>
      </c>
    </row>
    <row r="29" spans="1:10" ht="4.2" customHeight="1">
      <c r="B29" s="14"/>
      <c r="C29" s="15"/>
      <c r="D29" s="15"/>
      <c r="E29" s="15"/>
      <c r="F29" s="15"/>
      <c r="G29" s="15"/>
      <c r="H29" s="15"/>
      <c r="I29" s="16"/>
      <c r="J29" s="21"/>
    </row>
    <row r="30" spans="1:10" ht="17.399999999999999">
      <c r="A30" s="2"/>
      <c r="B30" s="69"/>
      <c r="C30" s="70"/>
      <c r="D30" s="69"/>
      <c r="E30" s="161"/>
      <c r="F30" s="161"/>
      <c r="G30" s="161"/>
      <c r="H30" s="71"/>
      <c r="I30" s="2"/>
      <c r="J30" s="7"/>
    </row>
    <row r="31" spans="1:10">
      <c r="A31" s="2"/>
      <c r="B31" s="69"/>
      <c r="C31" s="70"/>
      <c r="D31" s="69"/>
      <c r="E31" s="162"/>
      <c r="F31" s="162"/>
      <c r="G31" s="162"/>
      <c r="H31" s="71"/>
      <c r="I31" s="2"/>
      <c r="J31" s="7"/>
    </row>
    <row r="32" spans="1:10">
      <c r="A32" s="2"/>
      <c r="B32" s="69"/>
      <c r="C32" s="70"/>
      <c r="D32" s="69"/>
      <c r="E32" s="66"/>
      <c r="F32" s="66"/>
      <c r="G32" s="66"/>
      <c r="H32" s="71"/>
      <c r="I32" s="2"/>
      <c r="J32" s="7"/>
    </row>
    <row r="33" spans="1:21">
      <c r="A33" s="2"/>
      <c r="B33" s="69"/>
      <c r="C33" s="70"/>
      <c r="D33" s="69"/>
      <c r="E33" s="66"/>
      <c r="F33" s="66"/>
      <c r="G33" s="66"/>
      <c r="H33" s="71"/>
      <c r="I33" s="2"/>
      <c r="J33" s="7"/>
    </row>
    <row r="34" spans="1:21" ht="17.399999999999999">
      <c r="A34" s="2"/>
      <c r="B34" s="69"/>
      <c r="C34" s="70"/>
      <c r="D34" s="69"/>
      <c r="E34" s="161" t="s">
        <v>0</v>
      </c>
      <c r="F34" s="161"/>
      <c r="G34" s="161"/>
      <c r="H34" s="71"/>
      <c r="I34" s="2"/>
      <c r="J34" s="7"/>
    </row>
    <row r="35" spans="1:21" ht="17.399999999999999">
      <c r="A35" s="2"/>
      <c r="B35" s="69"/>
      <c r="C35" s="70"/>
      <c r="D35" s="69"/>
      <c r="E35" s="161" t="s">
        <v>1</v>
      </c>
      <c r="F35" s="161"/>
      <c r="G35" s="161"/>
      <c r="H35" s="71"/>
      <c r="I35" s="2"/>
      <c r="J35" s="7"/>
    </row>
    <row r="36" spans="1:21" ht="17.399999999999999">
      <c r="A36" s="2"/>
      <c r="B36" s="69"/>
      <c r="C36" s="70"/>
      <c r="D36" s="69"/>
      <c r="E36" s="163" t="s">
        <v>199</v>
      </c>
      <c r="F36" s="163"/>
      <c r="G36" s="163"/>
      <c r="H36" s="71"/>
      <c r="I36" s="2"/>
      <c r="J36" s="7"/>
    </row>
    <row r="37" spans="1:21">
      <c r="A37" s="2"/>
      <c r="B37" s="69"/>
      <c r="C37" s="70"/>
      <c r="D37" s="69"/>
      <c r="E37" s="160" t="s">
        <v>20</v>
      </c>
      <c r="F37" s="160"/>
      <c r="G37" s="160"/>
      <c r="H37" s="71"/>
      <c r="I37" s="2"/>
      <c r="J37" s="7"/>
    </row>
    <row r="38" spans="1:21" ht="15" thickBot="1">
      <c r="A38" s="2"/>
      <c r="B38" s="70"/>
      <c r="C38" s="157">
        <v>99</v>
      </c>
      <c r="D38" s="157"/>
      <c r="E38" s="72"/>
      <c r="F38" s="73">
        <v>102</v>
      </c>
      <c r="G38" s="87">
        <v>114</v>
      </c>
      <c r="H38" s="71"/>
      <c r="I38" s="2"/>
      <c r="J38" s="7"/>
    </row>
    <row r="39" spans="1:21">
      <c r="B39" s="57" t="s">
        <v>4</v>
      </c>
      <c r="C39" s="60" t="s">
        <v>429</v>
      </c>
      <c r="D39" s="61"/>
      <c r="E39" s="60" t="s">
        <v>430</v>
      </c>
      <c r="F39" s="61"/>
      <c r="G39" s="60" t="s">
        <v>432</v>
      </c>
      <c r="H39" s="61"/>
      <c r="I39" s="57" t="s">
        <v>19</v>
      </c>
      <c r="J39" s="57" t="s">
        <v>11</v>
      </c>
    </row>
    <row r="40" spans="1:21" ht="15" thickBot="1">
      <c r="B40" s="58"/>
      <c r="C40" s="62" t="s">
        <v>170</v>
      </c>
      <c r="D40" s="63"/>
      <c r="E40" s="62" t="s">
        <v>169</v>
      </c>
      <c r="F40" s="63"/>
      <c r="G40" s="62" t="s">
        <v>8</v>
      </c>
      <c r="H40" s="63"/>
      <c r="I40" s="58"/>
      <c r="J40" s="58"/>
    </row>
    <row r="41" spans="1:21" ht="15" thickBot="1">
      <c r="B41" s="59"/>
      <c r="C41" s="64" t="s">
        <v>171</v>
      </c>
      <c r="D41" s="65"/>
      <c r="E41" s="64" t="s">
        <v>171</v>
      </c>
      <c r="F41" s="65"/>
      <c r="G41" s="64" t="s">
        <v>171</v>
      </c>
      <c r="H41" s="65"/>
      <c r="I41" s="59"/>
      <c r="J41" s="59"/>
    </row>
    <row r="42" spans="1:21">
      <c r="B42" s="122" t="s">
        <v>151</v>
      </c>
      <c r="C42" s="82">
        <f>+Masculin!F12+Masculin!F14+Masculin!F19+Masculin!F29</f>
        <v>38</v>
      </c>
      <c r="D42" s="81"/>
      <c r="E42" s="81"/>
      <c r="F42" s="81"/>
      <c r="G42" s="84"/>
      <c r="H42" s="81"/>
      <c r="I42" s="11">
        <f t="shared" ref="I42:I56" si="1">+C42+E42+G42</f>
        <v>38</v>
      </c>
      <c r="J42" s="125">
        <v>1</v>
      </c>
    </row>
    <row r="43" spans="1:21">
      <c r="B43" s="122" t="s">
        <v>152</v>
      </c>
      <c r="C43" s="79">
        <f>+Masculin!F15+Masculin!F20+Masculin!F22+Masculin!F23</f>
        <v>44</v>
      </c>
      <c r="D43" s="80"/>
      <c r="E43" s="80"/>
      <c r="F43" s="80"/>
      <c r="G43" s="85"/>
      <c r="H43" s="80"/>
      <c r="I43" s="11">
        <f t="shared" si="1"/>
        <v>44</v>
      </c>
      <c r="J43" s="125">
        <v>2</v>
      </c>
      <c r="M43" s="88"/>
      <c r="N43" s="88"/>
      <c r="O43" s="88"/>
      <c r="P43" s="88"/>
      <c r="Q43" s="88"/>
      <c r="R43" s="88"/>
      <c r="S43" s="88"/>
      <c r="T43" s="88"/>
      <c r="U43" s="88"/>
    </row>
    <row r="44" spans="1:21">
      <c r="B44" s="122" t="s">
        <v>154</v>
      </c>
      <c r="C44" s="79">
        <f>+Masculin!F13+Masculin!F27+Masculin!F32+Masculin!F42</f>
        <v>78</v>
      </c>
      <c r="D44" s="80"/>
      <c r="E44" s="80"/>
      <c r="F44" s="80"/>
      <c r="G44" s="85"/>
      <c r="H44" s="80"/>
      <c r="I44" s="11">
        <f t="shared" si="1"/>
        <v>78</v>
      </c>
      <c r="J44" s="125">
        <v>3</v>
      </c>
      <c r="M44" s="88"/>
      <c r="N44" s="88"/>
      <c r="O44" s="88"/>
      <c r="P44" s="88"/>
      <c r="Q44" s="88"/>
      <c r="R44" s="88"/>
      <c r="S44" s="88"/>
      <c r="T44" s="88"/>
      <c r="U44" s="88"/>
    </row>
    <row r="45" spans="1:21">
      <c r="B45" s="122" t="s">
        <v>155</v>
      </c>
      <c r="C45" s="79">
        <f>+Masculin!F11+Masculin!F28+Masculin!F38+Masculin!F41</f>
        <v>82</v>
      </c>
      <c r="D45" s="80"/>
      <c r="E45" s="80"/>
      <c r="F45" s="80"/>
      <c r="G45" s="85"/>
      <c r="H45" s="80"/>
      <c r="I45" s="11">
        <f t="shared" si="1"/>
        <v>82</v>
      </c>
      <c r="J45" s="125">
        <v>4</v>
      </c>
      <c r="M45" s="88"/>
      <c r="N45" s="88"/>
      <c r="O45" s="88"/>
      <c r="P45" s="88"/>
      <c r="Q45" s="88"/>
      <c r="R45" s="88"/>
      <c r="S45" s="88"/>
      <c r="T45" s="88"/>
      <c r="U45" s="88"/>
    </row>
    <row r="46" spans="1:21">
      <c r="B46" s="122" t="s">
        <v>158</v>
      </c>
      <c r="C46" s="79">
        <f>+Masculin!F17+Masculin!F33+Masculin!F36+Masculin!F39</f>
        <v>89</v>
      </c>
      <c r="D46" s="80"/>
      <c r="E46" s="80"/>
      <c r="F46" s="80"/>
      <c r="G46" s="85"/>
      <c r="H46" s="80"/>
      <c r="I46" s="11">
        <f t="shared" si="1"/>
        <v>89</v>
      </c>
      <c r="J46" s="125">
        <v>5</v>
      </c>
    </row>
    <row r="47" spans="1:21">
      <c r="B47" s="122" t="s">
        <v>156</v>
      </c>
      <c r="C47" s="79">
        <f>+Masculin!F21+Masculin!F35+Masculin!F40+Masculin!F48</f>
        <v>108</v>
      </c>
      <c r="D47" s="80"/>
      <c r="E47" s="80"/>
      <c r="F47" s="80"/>
      <c r="G47" s="85"/>
      <c r="H47" s="80"/>
      <c r="I47" s="11">
        <f t="shared" si="1"/>
        <v>108</v>
      </c>
      <c r="J47" s="125">
        <v>6</v>
      </c>
      <c r="M47" s="88"/>
      <c r="N47" s="88"/>
      <c r="O47" s="88"/>
      <c r="P47" s="88"/>
      <c r="Q47" s="88"/>
      <c r="R47" s="88"/>
      <c r="S47" s="88"/>
      <c r="T47" s="88"/>
      <c r="U47" s="88"/>
    </row>
    <row r="48" spans="1:21">
      <c r="B48" s="23" t="s">
        <v>162</v>
      </c>
      <c r="C48" s="79">
        <f>+Masculin!F10+Masculin!F26+Masculin!F37+Masculin!F81</f>
        <v>118</v>
      </c>
      <c r="D48" s="80"/>
      <c r="E48" s="80"/>
      <c r="F48" s="80"/>
      <c r="G48" s="85"/>
      <c r="H48" s="80"/>
      <c r="I48" s="11">
        <f t="shared" si="1"/>
        <v>118</v>
      </c>
      <c r="J48" s="125">
        <v>7</v>
      </c>
      <c r="M48" s="88"/>
      <c r="N48" s="88"/>
      <c r="O48" s="88"/>
      <c r="P48" s="88"/>
      <c r="Q48" s="88"/>
      <c r="R48" s="88"/>
      <c r="S48" s="88"/>
      <c r="T48" s="88"/>
      <c r="U48" s="88"/>
    </row>
    <row r="49" spans="1:21">
      <c r="B49" s="123" t="s">
        <v>439</v>
      </c>
      <c r="C49" s="79">
        <f>+Masculin!F16+Masculin!F31+Masculin!F58+Masculin!F68</f>
        <v>137</v>
      </c>
      <c r="D49" s="80"/>
      <c r="E49" s="80"/>
      <c r="F49" s="80"/>
      <c r="G49" s="85"/>
      <c r="H49" s="80"/>
      <c r="I49" s="11">
        <f t="shared" si="1"/>
        <v>137</v>
      </c>
      <c r="J49" s="125">
        <v>8</v>
      </c>
      <c r="M49" s="88"/>
      <c r="N49" s="88"/>
      <c r="O49" s="88"/>
      <c r="P49" s="88"/>
      <c r="Q49" s="88"/>
      <c r="R49" s="88"/>
      <c r="S49" s="88"/>
      <c r="T49" s="88"/>
      <c r="U49" s="88"/>
    </row>
    <row r="50" spans="1:21">
      <c r="B50" s="24" t="s">
        <v>436</v>
      </c>
      <c r="C50" s="79">
        <f>+Masculin!F18+Masculin!F54+Masculin!F55+Masculin!F67</f>
        <v>158</v>
      </c>
      <c r="D50" s="80"/>
      <c r="E50" s="80"/>
      <c r="F50" s="80"/>
      <c r="G50" s="85"/>
      <c r="H50" s="80"/>
      <c r="I50" s="11">
        <f t="shared" si="1"/>
        <v>158</v>
      </c>
      <c r="J50" s="125">
        <v>9</v>
      </c>
    </row>
    <row r="51" spans="1:21">
      <c r="B51" s="23" t="s">
        <v>438</v>
      </c>
      <c r="C51" s="79">
        <f>+Masculin!F25+Masculin!F49+Masculin!F66+Masculin!F71</f>
        <v>175</v>
      </c>
      <c r="D51" s="80"/>
      <c r="E51" s="80"/>
      <c r="F51" s="80"/>
      <c r="G51" s="85"/>
      <c r="H51" s="80"/>
      <c r="I51" s="11">
        <f t="shared" si="1"/>
        <v>175</v>
      </c>
      <c r="J51" s="125">
        <v>10</v>
      </c>
      <c r="M51" s="88"/>
      <c r="N51" s="88"/>
      <c r="O51" s="88"/>
      <c r="P51" s="88"/>
      <c r="Q51" s="88"/>
      <c r="R51" s="88"/>
      <c r="S51" s="88"/>
      <c r="T51" s="88"/>
      <c r="U51" s="88"/>
    </row>
    <row r="52" spans="1:21">
      <c r="B52" s="123" t="s">
        <v>153</v>
      </c>
      <c r="C52" s="79">
        <f>+Masculin!F44+Masculin!F47+Masculin!F79+'Par équipe'!C38:D38</f>
        <v>242</v>
      </c>
      <c r="D52" s="80"/>
      <c r="E52" s="80"/>
      <c r="F52" s="80"/>
      <c r="G52" s="85"/>
      <c r="H52" s="80"/>
      <c r="I52" s="11">
        <f t="shared" si="1"/>
        <v>242</v>
      </c>
      <c r="J52" s="125">
        <v>11</v>
      </c>
      <c r="M52" s="88"/>
      <c r="N52" s="88"/>
      <c r="O52" s="88"/>
      <c r="P52" s="88"/>
      <c r="Q52" s="88"/>
      <c r="R52" s="88"/>
      <c r="S52" s="88"/>
      <c r="T52" s="88"/>
      <c r="U52" s="88"/>
    </row>
    <row r="53" spans="1:21">
      <c r="B53" s="122" t="s">
        <v>157</v>
      </c>
      <c r="C53" s="79">
        <f>+Masculin!F50+Masculin!F75+Masculin!F82+Masculin!F102</f>
        <v>273</v>
      </c>
      <c r="D53" s="80"/>
      <c r="E53" s="80"/>
      <c r="F53" s="80"/>
      <c r="G53" s="85"/>
      <c r="H53" s="80"/>
      <c r="I53" s="11">
        <f t="shared" si="1"/>
        <v>273</v>
      </c>
      <c r="J53" s="125">
        <v>12</v>
      </c>
      <c r="M53" s="88"/>
      <c r="N53" s="88"/>
      <c r="O53" s="88"/>
      <c r="P53" s="88"/>
      <c r="Q53" s="88"/>
      <c r="R53" s="88"/>
      <c r="S53" s="88"/>
      <c r="T53" s="88"/>
      <c r="U53" s="88"/>
    </row>
    <row r="54" spans="1:21">
      <c r="B54" s="24" t="s">
        <v>433</v>
      </c>
      <c r="C54" s="79">
        <f>+Masculin!F60+Masculin!F78+Masculin!F87+Masculin!F103</f>
        <v>292</v>
      </c>
      <c r="D54" s="80"/>
      <c r="E54" s="80"/>
      <c r="F54" s="80"/>
      <c r="G54" s="85"/>
      <c r="H54" s="80"/>
      <c r="I54" s="11">
        <f t="shared" si="1"/>
        <v>292</v>
      </c>
      <c r="J54" s="125">
        <v>13</v>
      </c>
      <c r="M54" s="88"/>
      <c r="N54" s="88"/>
      <c r="O54" s="88"/>
      <c r="P54" s="88"/>
      <c r="Q54" s="88"/>
      <c r="R54" s="88"/>
      <c r="S54" s="88"/>
      <c r="T54" s="88"/>
      <c r="U54" s="88"/>
    </row>
    <row r="55" spans="1:21">
      <c r="B55" s="25" t="s">
        <v>435</v>
      </c>
      <c r="C55" s="79">
        <f>+Masculin!F43+Masculin!F94+'Par équipe'!C38:D38+'Par équipe'!C38:D38</f>
        <v>317</v>
      </c>
      <c r="D55" s="80"/>
      <c r="E55" s="80"/>
      <c r="F55" s="80"/>
      <c r="G55" s="85"/>
      <c r="H55" s="80"/>
      <c r="I55" s="11">
        <f t="shared" si="1"/>
        <v>317</v>
      </c>
      <c r="J55" s="125">
        <v>14</v>
      </c>
    </row>
    <row r="56" spans="1:21">
      <c r="B56" s="25" t="s">
        <v>437</v>
      </c>
      <c r="C56" s="79">
        <f>+Masculin!F57+'Par équipe'!C38:D38+'Par équipe'!C38:D38+'Par équipe'!C38:D38</f>
        <v>345</v>
      </c>
      <c r="D56" s="80"/>
      <c r="E56" s="80"/>
      <c r="F56" s="80"/>
      <c r="G56" s="85"/>
      <c r="H56" s="80"/>
      <c r="I56" s="11">
        <f t="shared" si="1"/>
        <v>345</v>
      </c>
      <c r="J56" s="125">
        <v>15</v>
      </c>
    </row>
    <row r="57" spans="1:21" ht="15.6">
      <c r="B57" s="24" t="s">
        <v>165</v>
      </c>
      <c r="C57" s="126" t="s">
        <v>149</v>
      </c>
      <c r="D57" s="124"/>
      <c r="E57" s="80"/>
      <c r="F57" s="80"/>
      <c r="G57" s="85"/>
      <c r="H57" s="80"/>
      <c r="I57" s="11" t="s">
        <v>164</v>
      </c>
      <c r="J57" s="125" t="s">
        <v>164</v>
      </c>
      <c r="M57" s="88"/>
      <c r="N57" s="88"/>
      <c r="O57" s="88"/>
      <c r="P57" s="88"/>
      <c r="Q57" s="88"/>
      <c r="R57" s="88"/>
      <c r="S57" s="88"/>
      <c r="T57" s="88"/>
      <c r="U57" s="88"/>
    </row>
    <row r="58" spans="1:21" ht="15.6">
      <c r="B58" s="24" t="s">
        <v>160</v>
      </c>
      <c r="C58" s="126" t="s">
        <v>149</v>
      </c>
      <c r="D58" s="124"/>
      <c r="E58" s="80"/>
      <c r="F58" s="80"/>
      <c r="G58" s="85"/>
      <c r="H58" s="80"/>
      <c r="I58" s="11" t="s">
        <v>164</v>
      </c>
      <c r="J58" s="125" t="s">
        <v>164</v>
      </c>
      <c r="M58" s="88"/>
      <c r="N58" s="88"/>
      <c r="O58" s="88"/>
      <c r="P58" s="88"/>
      <c r="Q58" s="88"/>
      <c r="R58" s="88"/>
      <c r="S58" s="88"/>
      <c r="T58" s="88"/>
      <c r="U58" s="88"/>
    </row>
    <row r="59" spans="1:21" ht="15.6">
      <c r="B59" s="22" t="s">
        <v>159</v>
      </c>
      <c r="C59" s="126" t="s">
        <v>149</v>
      </c>
      <c r="D59" s="124"/>
      <c r="E59" s="80"/>
      <c r="F59" s="80"/>
      <c r="G59" s="85"/>
      <c r="H59" s="80"/>
      <c r="I59" s="11" t="s">
        <v>164</v>
      </c>
      <c r="J59" s="125" t="s">
        <v>164</v>
      </c>
      <c r="M59" s="88"/>
      <c r="N59" s="88"/>
      <c r="O59" s="88"/>
      <c r="P59" s="88"/>
      <c r="Q59" s="88"/>
      <c r="R59" s="88"/>
      <c r="S59" s="88"/>
      <c r="T59" s="88"/>
      <c r="U59" s="88"/>
    </row>
    <row r="60" spans="1:21" ht="15.6">
      <c r="B60" s="25" t="s">
        <v>195</v>
      </c>
      <c r="C60" s="126" t="s">
        <v>149</v>
      </c>
      <c r="D60" s="124"/>
      <c r="E60" s="80"/>
      <c r="F60" s="80"/>
      <c r="G60" s="85"/>
      <c r="H60" s="80"/>
      <c r="I60" s="11" t="s">
        <v>164</v>
      </c>
      <c r="J60" s="125" t="s">
        <v>164</v>
      </c>
    </row>
    <row r="61" spans="1:21" ht="4.8" customHeight="1">
      <c r="B61" s="17"/>
      <c r="C61" s="18"/>
      <c r="D61" s="17"/>
      <c r="E61" s="19"/>
      <c r="F61" s="17"/>
      <c r="G61" s="20"/>
      <c r="H61" s="20"/>
      <c r="I61" s="5"/>
      <c r="J61" s="21"/>
    </row>
    <row r="62" spans="1:21">
      <c r="A62" s="2"/>
      <c r="B62" s="69"/>
      <c r="C62" s="74"/>
      <c r="D62" s="69"/>
      <c r="E62" s="75"/>
      <c r="F62" s="69"/>
      <c r="G62" s="71"/>
      <c r="H62" s="71"/>
      <c r="I62" s="2"/>
      <c r="J62" s="7"/>
    </row>
    <row r="63" spans="1:21">
      <c r="A63" s="2"/>
      <c r="B63" s="76"/>
      <c r="C63" s="74"/>
      <c r="D63" s="69"/>
      <c r="E63" s="75"/>
      <c r="F63" s="69"/>
      <c r="G63" s="71"/>
      <c r="H63" s="71"/>
      <c r="I63" s="2"/>
      <c r="J63" s="7"/>
    </row>
    <row r="64" spans="1:21">
      <c r="A64" s="2"/>
      <c r="B64" s="76"/>
      <c r="C64" s="74"/>
      <c r="D64" s="69"/>
      <c r="E64" s="75"/>
      <c r="F64" s="69"/>
      <c r="G64" s="71"/>
      <c r="H64" s="71"/>
      <c r="I64" s="2"/>
      <c r="J64" s="7"/>
    </row>
    <row r="65" spans="1:10">
      <c r="A65" s="2"/>
      <c r="B65" s="77"/>
      <c r="C65" s="74"/>
      <c r="D65" s="69"/>
      <c r="E65" s="75"/>
      <c r="F65" s="69"/>
      <c r="G65" s="71"/>
      <c r="H65" s="71"/>
      <c r="I65" s="2"/>
      <c r="J65" s="7"/>
    </row>
    <row r="66" spans="1:10">
      <c r="A66" s="2"/>
      <c r="B66" s="7"/>
      <c r="C66" s="7"/>
      <c r="D66" s="7"/>
      <c r="E66" s="7"/>
      <c r="F66" s="7"/>
      <c r="G66" s="7"/>
      <c r="H66" s="7"/>
      <c r="I66" s="2"/>
      <c r="J66" s="7"/>
    </row>
    <row r="67" spans="1:10">
      <c r="A67" s="2"/>
      <c r="B67" s="7"/>
      <c r="C67" s="7"/>
      <c r="D67" s="7"/>
      <c r="E67" s="7"/>
      <c r="F67" s="7"/>
      <c r="G67" s="7"/>
      <c r="H67" s="7"/>
      <c r="I67" s="2"/>
      <c r="J67" s="7"/>
    </row>
    <row r="68" spans="1:10">
      <c r="A68" s="2"/>
      <c r="B68" s="7"/>
      <c r="C68" s="7"/>
      <c r="D68" s="7"/>
      <c r="E68" s="7"/>
      <c r="F68" s="7"/>
      <c r="G68" s="7"/>
      <c r="H68" s="7"/>
      <c r="I68" s="2"/>
      <c r="J68" s="7"/>
    </row>
    <row r="69" spans="1:10">
      <c r="A69" s="2"/>
      <c r="B69" s="77"/>
      <c r="C69" s="7"/>
      <c r="D69" s="7"/>
      <c r="E69" s="7"/>
      <c r="F69" s="7"/>
      <c r="G69" s="7"/>
      <c r="H69" s="7"/>
      <c r="I69" s="2"/>
      <c r="J69" s="7"/>
    </row>
    <row r="70" spans="1:10">
      <c r="B70" s="13"/>
    </row>
    <row r="71" spans="1:10">
      <c r="B71" s="12"/>
    </row>
    <row r="72" spans="1:10">
      <c r="B72" s="12"/>
    </row>
    <row r="73" spans="1:10">
      <c r="B73" s="13"/>
    </row>
  </sheetData>
  <sheetProtection password="CA3A" sheet="1" objects="1" scenarios="1" selectLockedCells="1" sort="0" autoFilter="0" selectUnlockedCells="1"/>
  <autoFilter ref="B9:J11">
    <filterColumn colId="1" showButton="0"/>
    <filterColumn colId="3" showButton="0"/>
    <filterColumn colId="5" showButton="0"/>
    <sortState ref="B14:J27">
      <sortCondition ref="I9:I11"/>
    </sortState>
  </autoFilter>
  <sortState ref="A42:U60">
    <sortCondition ref="I42:I60"/>
  </sortState>
  <mergeCells count="24">
    <mergeCell ref="C38:D38"/>
    <mergeCell ref="E4:G4"/>
    <mergeCell ref="E5:G5"/>
    <mergeCell ref="E6:G6"/>
    <mergeCell ref="E7:G7"/>
    <mergeCell ref="C8:D8"/>
    <mergeCell ref="E30:G30"/>
    <mergeCell ref="E31:G31"/>
    <mergeCell ref="E34:G34"/>
    <mergeCell ref="E35:G35"/>
    <mergeCell ref="E36:G36"/>
    <mergeCell ref="E37:G37"/>
    <mergeCell ref="B9:B11"/>
    <mergeCell ref="C9:D9"/>
    <mergeCell ref="I9:I11"/>
    <mergeCell ref="J9:J11"/>
    <mergeCell ref="C11:D11"/>
    <mergeCell ref="E11:F11"/>
    <mergeCell ref="G11:H11"/>
    <mergeCell ref="E9:F9"/>
    <mergeCell ref="G9:H9"/>
    <mergeCell ref="C10:D10"/>
    <mergeCell ref="E10:F10"/>
    <mergeCell ref="G10:H10"/>
  </mergeCells>
  <pageMargins left="0.7" right="0.7" top="0.75" bottom="0.75" header="0.3" footer="0.3"/>
  <pageSetup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00B0F0"/>
  </sheetPr>
  <dimension ref="A1:Q216"/>
  <sheetViews>
    <sheetView view="pageBreakPreview" topLeftCell="A88" zoomScale="85" zoomScaleNormal="100" zoomScaleSheetLayoutView="85" workbookViewId="0">
      <selection activeCell="M7" sqref="M7:M9"/>
    </sheetView>
  </sheetViews>
  <sheetFormatPr baseColWidth="10" defaultRowHeight="14.4"/>
  <cols>
    <col min="1" max="1" width="3.77734375" style="136" customWidth="1"/>
    <col min="2" max="2" width="17.77734375" style="1" customWidth="1"/>
    <col min="3" max="3" width="22.109375" style="1" customWidth="1"/>
    <col min="4" max="4" width="14.109375" style="1" customWidth="1"/>
    <col min="5" max="5" width="11.44140625" style="1" customWidth="1"/>
    <col min="6" max="6" width="7.33203125" style="1" customWidth="1"/>
    <col min="7" max="10" width="11.5546875" style="1"/>
    <col min="11" max="11" width="7.5546875" style="1" customWidth="1"/>
    <col min="12" max="12" width="5" style="1" customWidth="1"/>
    <col min="13" max="13" width="9.33203125" style="1" customWidth="1"/>
    <col min="14" max="14" width="6" style="1" customWidth="1"/>
    <col min="15" max="15" width="11.5546875" style="1"/>
    <col min="16" max="16" width="8.44140625" style="1" customWidth="1"/>
    <col min="17" max="17" width="18.77734375" customWidth="1"/>
  </cols>
  <sheetData>
    <row r="1" spans="1:17"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</row>
    <row r="2" spans="1:17" ht="17.399999999999999">
      <c r="B2" s="7"/>
      <c r="C2" s="7"/>
      <c r="D2" s="7"/>
      <c r="E2" s="158" t="s">
        <v>0</v>
      </c>
      <c r="F2" s="158"/>
      <c r="G2" s="158"/>
      <c r="H2" s="7"/>
      <c r="I2" s="7"/>
      <c r="J2" s="7"/>
      <c r="K2" s="7"/>
      <c r="L2" s="7"/>
      <c r="M2" s="7"/>
      <c r="N2" s="7"/>
      <c r="O2" s="7"/>
      <c r="P2" s="7"/>
    </row>
    <row r="3" spans="1:17" ht="17.399999999999999">
      <c r="B3" s="6"/>
      <c r="C3" s="6"/>
      <c r="D3" s="6"/>
      <c r="E3" s="158" t="s">
        <v>1</v>
      </c>
      <c r="F3" s="158"/>
      <c r="G3" s="158"/>
      <c r="H3" s="7"/>
      <c r="I3" s="7"/>
      <c r="J3" s="7"/>
      <c r="K3" s="7"/>
      <c r="L3" s="7"/>
      <c r="M3" s="7"/>
      <c r="N3" s="7"/>
      <c r="O3" s="7"/>
      <c r="P3" s="7"/>
    </row>
    <row r="4" spans="1:17" ht="17.399999999999999">
      <c r="B4" s="6"/>
      <c r="C4" s="6"/>
      <c r="D4" s="6"/>
      <c r="E4" s="159" t="s">
        <v>199</v>
      </c>
      <c r="F4" s="159"/>
      <c r="G4" s="159"/>
      <c r="H4" s="7"/>
      <c r="I4" s="7"/>
      <c r="J4" s="7"/>
      <c r="K4" s="7"/>
      <c r="L4" s="7"/>
      <c r="M4" s="7"/>
      <c r="N4" s="7"/>
      <c r="O4" s="7"/>
      <c r="P4" s="7"/>
      <c r="Q4" s="10"/>
    </row>
    <row r="5" spans="1:17" ht="17.399999999999999">
      <c r="B5" s="8"/>
      <c r="C5" s="8"/>
      <c r="D5" s="7"/>
      <c r="E5" s="26"/>
      <c r="F5" s="27"/>
      <c r="G5" s="7"/>
      <c r="H5" s="26"/>
      <c r="I5" s="7"/>
      <c r="J5" s="7"/>
      <c r="K5" s="7"/>
      <c r="L5" s="7"/>
      <c r="M5" s="7"/>
      <c r="N5" s="7"/>
      <c r="O5" s="7"/>
      <c r="P5" s="7"/>
      <c r="Q5" t="s">
        <v>17</v>
      </c>
    </row>
    <row r="6" spans="1:17" ht="15" thickBot="1">
      <c r="B6" s="7"/>
      <c r="C6" s="7"/>
      <c r="D6" s="7" t="s">
        <v>167</v>
      </c>
      <c r="E6" s="26">
        <v>0.8041666666666667</v>
      </c>
      <c r="F6" s="26"/>
      <c r="G6" s="7" t="s">
        <v>167</v>
      </c>
      <c r="H6" s="26">
        <v>0</v>
      </c>
      <c r="I6" s="7"/>
      <c r="J6" s="7"/>
      <c r="K6" s="7"/>
      <c r="L6" s="7"/>
      <c r="M6" s="7"/>
      <c r="N6" s="7"/>
      <c r="O6" s="7"/>
      <c r="P6" s="7"/>
      <c r="Q6" s="9"/>
    </row>
    <row r="7" spans="1:17" ht="14.4" customHeight="1">
      <c r="A7" s="170"/>
      <c r="B7" s="175" t="s">
        <v>2</v>
      </c>
      <c r="C7" s="171" t="s">
        <v>3</v>
      </c>
      <c r="D7" s="171" t="s">
        <v>4</v>
      </c>
      <c r="E7" s="166" t="s">
        <v>429</v>
      </c>
      <c r="F7" s="167"/>
      <c r="G7" s="166" t="s">
        <v>430</v>
      </c>
      <c r="H7" s="167"/>
      <c r="I7" s="166" t="s">
        <v>431</v>
      </c>
      <c r="J7" s="167"/>
      <c r="K7" s="28" t="s">
        <v>9</v>
      </c>
      <c r="L7" s="28" t="s">
        <v>11</v>
      </c>
      <c r="M7" s="171" t="s">
        <v>173</v>
      </c>
      <c r="N7" s="171" t="s">
        <v>16</v>
      </c>
      <c r="O7" s="29" t="s">
        <v>13</v>
      </c>
      <c r="P7" s="164" t="s">
        <v>440</v>
      </c>
      <c r="Q7" s="174" t="s">
        <v>18</v>
      </c>
    </row>
    <row r="8" spans="1:17" ht="14.4" customHeight="1" thickBot="1">
      <c r="A8" s="170"/>
      <c r="B8" s="176"/>
      <c r="C8" s="172"/>
      <c r="D8" s="172"/>
      <c r="E8" s="168" t="s">
        <v>320</v>
      </c>
      <c r="F8" s="169"/>
      <c r="G8" s="168" t="s">
        <v>321</v>
      </c>
      <c r="H8" s="169"/>
      <c r="I8" s="168" t="s">
        <v>8</v>
      </c>
      <c r="J8" s="169"/>
      <c r="K8" s="30" t="s">
        <v>10</v>
      </c>
      <c r="L8" s="30" t="s">
        <v>12</v>
      </c>
      <c r="M8" s="172"/>
      <c r="N8" s="172"/>
      <c r="O8" s="31" t="s">
        <v>15</v>
      </c>
      <c r="P8" s="165"/>
      <c r="Q8" s="174"/>
    </row>
    <row r="9" spans="1:17" ht="15" customHeight="1" thickBot="1">
      <c r="A9" s="170"/>
      <c r="B9" s="177"/>
      <c r="C9" s="173"/>
      <c r="D9" s="173"/>
      <c r="E9" s="32" t="s">
        <v>5</v>
      </c>
      <c r="F9" s="32" t="s">
        <v>6</v>
      </c>
      <c r="G9" s="29" t="s">
        <v>5</v>
      </c>
      <c r="H9" s="29" t="s">
        <v>6</v>
      </c>
      <c r="I9" s="29" t="s">
        <v>5</v>
      </c>
      <c r="J9" s="29" t="s">
        <v>6</v>
      </c>
      <c r="K9" s="33"/>
      <c r="L9" s="33"/>
      <c r="M9" s="173"/>
      <c r="N9" s="173"/>
      <c r="O9" s="34" t="s">
        <v>14</v>
      </c>
      <c r="P9" s="31" t="s">
        <v>198</v>
      </c>
      <c r="Q9" s="174"/>
    </row>
    <row r="10" spans="1:17" ht="15.6">
      <c r="A10" s="138"/>
      <c r="B10" s="127" t="s">
        <v>59</v>
      </c>
      <c r="C10" s="111" t="s">
        <v>22</v>
      </c>
      <c r="D10" s="116" t="s">
        <v>83</v>
      </c>
      <c r="E10" s="46">
        <v>0.67013888888888884</v>
      </c>
      <c r="F10" s="115">
        <v>1</v>
      </c>
      <c r="G10" s="55"/>
      <c r="H10" s="53"/>
      <c r="I10" s="93"/>
      <c r="J10" s="41"/>
      <c r="K10" s="52"/>
      <c r="L10" s="89"/>
      <c r="M10" s="52">
        <v>1</v>
      </c>
      <c r="N10" s="52" t="s">
        <v>114</v>
      </c>
      <c r="O10" s="42"/>
      <c r="P10" s="137" t="s">
        <v>441</v>
      </c>
      <c r="Q10" s="141"/>
    </row>
    <row r="11" spans="1:17" ht="15.6">
      <c r="A11" s="138"/>
      <c r="B11" s="127" t="s">
        <v>67</v>
      </c>
      <c r="C11" s="111" t="s">
        <v>200</v>
      </c>
      <c r="D11" s="116" t="s">
        <v>83</v>
      </c>
      <c r="E11" s="47">
        <v>0.73541666666666661</v>
      </c>
      <c r="F11" s="115">
        <v>2</v>
      </c>
      <c r="G11" s="54"/>
      <c r="H11" s="53"/>
      <c r="I11" s="93"/>
      <c r="J11" s="41"/>
      <c r="K11" s="52"/>
      <c r="L11" s="89"/>
      <c r="M11" s="52">
        <v>1</v>
      </c>
      <c r="N11" s="52" t="s">
        <v>114</v>
      </c>
      <c r="O11" s="42"/>
      <c r="P11" s="137" t="s">
        <v>441</v>
      </c>
      <c r="Q11" s="141"/>
    </row>
    <row r="12" spans="1:17" ht="15.6">
      <c r="A12" s="138"/>
      <c r="B12" s="127" t="s">
        <v>262</v>
      </c>
      <c r="C12" s="111" t="s">
        <v>113</v>
      </c>
      <c r="D12" s="116" t="s">
        <v>83</v>
      </c>
      <c r="E12" s="46">
        <v>0.73749999999999993</v>
      </c>
      <c r="F12" s="115">
        <v>3</v>
      </c>
      <c r="G12" s="93"/>
      <c r="H12" s="41"/>
      <c r="I12" s="48"/>
      <c r="J12" s="41"/>
      <c r="K12" s="52"/>
      <c r="L12" s="90"/>
      <c r="M12" s="51">
        <v>1</v>
      </c>
      <c r="N12" s="52" t="s">
        <v>114</v>
      </c>
      <c r="O12" s="42"/>
      <c r="P12" s="137" t="s">
        <v>441</v>
      </c>
      <c r="Q12" s="141"/>
    </row>
    <row r="13" spans="1:17" ht="15.6">
      <c r="A13" s="138"/>
      <c r="B13" s="127" t="s">
        <v>24</v>
      </c>
      <c r="C13" s="111" t="s">
        <v>61</v>
      </c>
      <c r="D13" s="116" t="s">
        <v>85</v>
      </c>
      <c r="E13" s="46">
        <v>0.73819444444444438</v>
      </c>
      <c r="F13" s="115">
        <v>4</v>
      </c>
      <c r="G13" s="104"/>
      <c r="H13" s="67"/>
      <c r="I13" s="104"/>
      <c r="J13" s="67"/>
      <c r="K13" s="52"/>
      <c r="L13" s="91"/>
      <c r="M13" s="49">
        <v>1</v>
      </c>
      <c r="N13" s="52" t="s">
        <v>114</v>
      </c>
      <c r="O13" s="42"/>
      <c r="P13" s="137" t="s">
        <v>441</v>
      </c>
      <c r="Q13" s="141"/>
    </row>
    <row r="14" spans="1:17" ht="15.6">
      <c r="A14" s="139"/>
      <c r="B14" s="127" t="s">
        <v>95</v>
      </c>
      <c r="C14" s="111" t="s">
        <v>75</v>
      </c>
      <c r="D14" s="115" t="s">
        <v>314</v>
      </c>
      <c r="E14" s="46">
        <v>0.76736111111111116</v>
      </c>
      <c r="F14" s="115">
        <v>5</v>
      </c>
      <c r="G14" s="54"/>
      <c r="H14" s="53"/>
      <c r="I14" s="93"/>
      <c r="J14" s="41"/>
      <c r="K14" s="52"/>
      <c r="L14" s="89"/>
      <c r="M14" s="52">
        <v>1</v>
      </c>
      <c r="N14" s="52" t="s">
        <v>114</v>
      </c>
      <c r="O14" s="42"/>
      <c r="P14" s="137" t="s">
        <v>442</v>
      </c>
      <c r="Q14" s="141"/>
    </row>
    <row r="15" spans="1:17" ht="15.6">
      <c r="A15" s="138"/>
      <c r="B15" s="127" t="s">
        <v>263</v>
      </c>
      <c r="C15" s="111" t="s">
        <v>65</v>
      </c>
      <c r="D15" s="116" t="s">
        <v>148</v>
      </c>
      <c r="E15" s="46">
        <v>0.7715277777777777</v>
      </c>
      <c r="F15" s="115">
        <v>6</v>
      </c>
      <c r="G15" s="54"/>
      <c r="H15" s="53"/>
      <c r="I15" s="93"/>
      <c r="J15" s="41"/>
      <c r="K15" s="52"/>
      <c r="L15" s="89"/>
      <c r="M15" s="52">
        <v>1</v>
      </c>
      <c r="N15" s="52" t="s">
        <v>114</v>
      </c>
      <c r="O15" s="42"/>
      <c r="P15" s="137" t="s">
        <v>441</v>
      </c>
      <c r="Q15" s="141"/>
    </row>
    <row r="16" spans="1:17" ht="15.6">
      <c r="A16" s="138"/>
      <c r="B16" s="127" t="s">
        <v>81</v>
      </c>
      <c r="C16" s="111" t="s">
        <v>27</v>
      </c>
      <c r="D16" s="116" t="s">
        <v>83</v>
      </c>
      <c r="E16" s="46">
        <v>0.77986111111111101</v>
      </c>
      <c r="F16" s="115">
        <v>7</v>
      </c>
      <c r="G16" s="43"/>
      <c r="H16" s="43"/>
      <c r="I16" s="93"/>
      <c r="J16" s="41"/>
      <c r="K16" s="52"/>
      <c r="L16" s="89"/>
      <c r="M16" s="52">
        <v>1</v>
      </c>
      <c r="N16" s="52" t="s">
        <v>114</v>
      </c>
      <c r="O16" s="42"/>
      <c r="P16" s="137" t="s">
        <v>441</v>
      </c>
      <c r="Q16" s="141"/>
    </row>
    <row r="17" spans="1:17" ht="15.6">
      <c r="A17" s="138"/>
      <c r="B17" s="127" t="s">
        <v>62</v>
      </c>
      <c r="C17" s="111" t="s">
        <v>25</v>
      </c>
      <c r="D17" s="116" t="s">
        <v>150</v>
      </c>
      <c r="E17" s="46">
        <v>0.78611111111111109</v>
      </c>
      <c r="F17" s="115">
        <v>8</v>
      </c>
      <c r="G17" s="54"/>
      <c r="H17" s="53"/>
      <c r="I17" s="93"/>
      <c r="J17" s="41"/>
      <c r="K17" s="52"/>
      <c r="L17" s="89"/>
      <c r="M17" s="52">
        <v>1</v>
      </c>
      <c r="N17" s="52" t="s">
        <v>114</v>
      </c>
      <c r="O17" s="42"/>
      <c r="P17" s="137" t="s">
        <v>441</v>
      </c>
      <c r="Q17" s="141"/>
    </row>
    <row r="18" spans="1:17" ht="15.6">
      <c r="A18" s="138"/>
      <c r="B18" s="127" t="s">
        <v>65</v>
      </c>
      <c r="C18" s="111" t="s">
        <v>28</v>
      </c>
      <c r="D18" s="116" t="s">
        <v>150</v>
      </c>
      <c r="E18" s="46">
        <v>0.7895833333333333</v>
      </c>
      <c r="F18" s="115">
        <v>9</v>
      </c>
      <c r="G18" s="43"/>
      <c r="H18" s="43"/>
      <c r="I18" s="93"/>
      <c r="J18" s="41"/>
      <c r="K18" s="52"/>
      <c r="L18" s="89"/>
      <c r="M18" s="52">
        <v>1</v>
      </c>
      <c r="N18" s="52" t="s">
        <v>114</v>
      </c>
      <c r="O18" s="42"/>
      <c r="P18" s="137" t="s">
        <v>441</v>
      </c>
      <c r="Q18" s="141"/>
    </row>
    <row r="19" spans="1:17" ht="15.6">
      <c r="A19" s="138"/>
      <c r="B19" s="127" t="s">
        <v>78</v>
      </c>
      <c r="C19" s="111" t="s">
        <v>44</v>
      </c>
      <c r="D19" s="116" t="s">
        <v>86</v>
      </c>
      <c r="E19" s="46">
        <v>0.79305555555555562</v>
      </c>
      <c r="F19" s="115">
        <v>10</v>
      </c>
      <c r="G19" s="54"/>
      <c r="H19" s="53"/>
      <c r="I19" s="93"/>
      <c r="J19" s="41"/>
      <c r="K19" s="52"/>
      <c r="L19" s="89"/>
      <c r="M19" s="52">
        <v>1</v>
      </c>
      <c r="N19" s="52" t="s">
        <v>114</v>
      </c>
      <c r="O19" s="42"/>
      <c r="P19" s="137" t="s">
        <v>441</v>
      </c>
      <c r="Q19" s="141"/>
    </row>
    <row r="20" spans="1:17" ht="15.6">
      <c r="A20" s="138"/>
      <c r="B20" s="127" t="s">
        <v>264</v>
      </c>
      <c r="C20" s="111" t="s">
        <v>201</v>
      </c>
      <c r="D20" s="116" t="s">
        <v>86</v>
      </c>
      <c r="E20" s="46">
        <v>0.79722222222222217</v>
      </c>
      <c r="F20" s="115">
        <v>11</v>
      </c>
      <c r="G20" s="93"/>
      <c r="H20" s="41"/>
      <c r="I20" s="93"/>
      <c r="J20" s="41"/>
      <c r="K20" s="52"/>
      <c r="L20" s="90"/>
      <c r="M20" s="51">
        <v>1</v>
      </c>
      <c r="N20" s="52" t="s">
        <v>114</v>
      </c>
      <c r="O20" s="42"/>
      <c r="P20" s="137" t="s">
        <v>441</v>
      </c>
      <c r="Q20" s="141"/>
    </row>
    <row r="21" spans="1:17" ht="15.6">
      <c r="A21" s="138"/>
      <c r="B21" s="127" t="s">
        <v>265</v>
      </c>
      <c r="C21" s="111" t="s">
        <v>202</v>
      </c>
      <c r="D21" s="116" t="s">
        <v>87</v>
      </c>
      <c r="E21" s="46">
        <v>0.80208333333333337</v>
      </c>
      <c r="F21" s="115">
        <v>12</v>
      </c>
      <c r="G21" s="54"/>
      <c r="H21" s="53"/>
      <c r="I21" s="93"/>
      <c r="J21" s="41"/>
      <c r="K21" s="52"/>
      <c r="L21" s="89"/>
      <c r="M21" s="52">
        <v>1</v>
      </c>
      <c r="N21" s="52" t="s">
        <v>114</v>
      </c>
      <c r="O21" s="42"/>
      <c r="P21" s="137" t="s">
        <v>441</v>
      </c>
      <c r="Q21" s="141"/>
    </row>
    <row r="22" spans="1:17" ht="15.6">
      <c r="A22" s="138"/>
      <c r="B22" s="128" t="s">
        <v>60</v>
      </c>
      <c r="C22" s="112" t="s">
        <v>23</v>
      </c>
      <c r="D22" s="116" t="s">
        <v>84</v>
      </c>
      <c r="E22" s="46">
        <v>0.80833333333333324</v>
      </c>
      <c r="F22" s="112">
        <v>13</v>
      </c>
      <c r="G22" s="55"/>
      <c r="H22" s="53"/>
      <c r="I22" s="93"/>
      <c r="J22" s="41"/>
      <c r="K22" s="52"/>
      <c r="L22" s="89"/>
      <c r="M22" s="52">
        <v>2</v>
      </c>
      <c r="N22" s="52" t="s">
        <v>114</v>
      </c>
      <c r="O22" s="42"/>
      <c r="P22" s="137" t="s">
        <v>441</v>
      </c>
      <c r="Q22" s="141"/>
    </row>
    <row r="23" spans="1:17" ht="15.6">
      <c r="A23" s="139"/>
      <c r="B23" s="127" t="s">
        <v>192</v>
      </c>
      <c r="C23" s="111" t="s">
        <v>65</v>
      </c>
      <c r="D23" s="116" t="s">
        <v>89</v>
      </c>
      <c r="E23" s="46">
        <v>0.80902777777777779</v>
      </c>
      <c r="F23" s="115">
        <v>14</v>
      </c>
      <c r="G23" s="54"/>
      <c r="H23" s="53"/>
      <c r="I23" s="93"/>
      <c r="J23" s="41"/>
      <c r="K23" s="52"/>
      <c r="L23" s="89"/>
      <c r="M23" s="52">
        <v>2</v>
      </c>
      <c r="N23" s="52" t="s">
        <v>114</v>
      </c>
      <c r="O23" s="42"/>
      <c r="P23" s="137" t="s">
        <v>442</v>
      </c>
      <c r="Q23" s="141"/>
    </row>
    <row r="24" spans="1:17" ht="15.6">
      <c r="A24" s="138"/>
      <c r="B24" s="127" t="s">
        <v>66</v>
      </c>
      <c r="C24" s="111" t="s">
        <v>29</v>
      </c>
      <c r="D24" s="116" t="s">
        <v>83</v>
      </c>
      <c r="E24" s="46">
        <v>0.80903935185185183</v>
      </c>
      <c r="F24" s="115">
        <v>15</v>
      </c>
      <c r="G24" s="104"/>
      <c r="H24" s="67"/>
      <c r="I24" s="104"/>
      <c r="J24" s="67"/>
      <c r="K24" s="52"/>
      <c r="L24" s="91"/>
      <c r="M24" s="49">
        <v>2</v>
      </c>
      <c r="N24" s="52" t="s">
        <v>114</v>
      </c>
      <c r="O24" s="42"/>
      <c r="P24" s="137" t="s">
        <v>441</v>
      </c>
      <c r="Q24" s="141"/>
    </row>
    <row r="25" spans="1:17" ht="15.6">
      <c r="A25" s="138"/>
      <c r="B25" s="127" t="s">
        <v>64</v>
      </c>
      <c r="C25" s="111" t="s">
        <v>27</v>
      </c>
      <c r="D25" s="116" t="s">
        <v>86</v>
      </c>
      <c r="E25" s="46">
        <v>0.81180555555555556</v>
      </c>
      <c r="F25" s="115">
        <v>16</v>
      </c>
      <c r="G25" s="54"/>
      <c r="H25" s="53"/>
      <c r="I25" s="93"/>
      <c r="J25" s="41"/>
      <c r="K25" s="52"/>
      <c r="L25" s="89"/>
      <c r="M25" s="52">
        <v>2</v>
      </c>
      <c r="N25" s="52" t="s">
        <v>114</v>
      </c>
      <c r="O25" s="42"/>
      <c r="P25" s="137" t="s">
        <v>441</v>
      </c>
      <c r="Q25" s="141"/>
    </row>
    <row r="26" spans="1:17" ht="15.6">
      <c r="A26" s="138"/>
      <c r="B26" s="129" t="s">
        <v>68</v>
      </c>
      <c r="C26" s="113" t="s">
        <v>30</v>
      </c>
      <c r="D26" s="115" t="s">
        <v>315</v>
      </c>
      <c r="E26" s="46">
        <v>0.81805555555555554</v>
      </c>
      <c r="F26" s="115">
        <v>17</v>
      </c>
      <c r="G26" s="54"/>
      <c r="H26" s="53"/>
      <c r="I26" s="93"/>
      <c r="J26" s="41"/>
      <c r="K26" s="52"/>
      <c r="L26" s="89"/>
      <c r="M26" s="52">
        <v>2</v>
      </c>
      <c r="N26" s="52" t="s">
        <v>114</v>
      </c>
      <c r="O26" s="42"/>
      <c r="P26" s="137" t="s">
        <v>441</v>
      </c>
      <c r="Q26" s="141"/>
    </row>
    <row r="27" spans="1:17" ht="15.6">
      <c r="A27" s="139"/>
      <c r="B27" s="128" t="s">
        <v>266</v>
      </c>
      <c r="C27" s="112" t="s">
        <v>203</v>
      </c>
      <c r="D27" s="116" t="s">
        <v>316</v>
      </c>
      <c r="E27" s="47">
        <v>0.8256944444444444</v>
      </c>
      <c r="F27" s="112">
        <v>18</v>
      </c>
      <c r="G27" s="43"/>
      <c r="H27" s="43"/>
      <c r="I27" s="93"/>
      <c r="J27" s="41"/>
      <c r="K27" s="52"/>
      <c r="L27" s="89"/>
      <c r="M27" s="52">
        <v>2</v>
      </c>
      <c r="N27" s="52" t="s">
        <v>114</v>
      </c>
      <c r="O27" s="42"/>
      <c r="P27" s="137" t="s">
        <v>442</v>
      </c>
      <c r="Q27" s="141"/>
    </row>
    <row r="28" spans="1:17" ht="15.6">
      <c r="A28" s="138"/>
      <c r="B28" s="127" t="s">
        <v>41</v>
      </c>
      <c r="C28" s="111" t="s">
        <v>204</v>
      </c>
      <c r="D28" s="116" t="s">
        <v>87</v>
      </c>
      <c r="E28" s="46">
        <v>0.82847222222222217</v>
      </c>
      <c r="F28" s="115">
        <v>19</v>
      </c>
      <c r="G28" s="54"/>
      <c r="H28" s="53"/>
      <c r="I28" s="93"/>
      <c r="J28" s="41"/>
      <c r="K28" s="52"/>
      <c r="L28" s="89"/>
      <c r="M28" s="52">
        <v>2</v>
      </c>
      <c r="N28" s="52" t="s">
        <v>114</v>
      </c>
      <c r="O28" s="42"/>
      <c r="P28" s="137" t="s">
        <v>441</v>
      </c>
      <c r="Q28" s="141"/>
    </row>
    <row r="29" spans="1:17" ht="15.6">
      <c r="A29" s="138"/>
      <c r="B29" s="127" t="s">
        <v>265</v>
      </c>
      <c r="C29" s="111" t="s">
        <v>205</v>
      </c>
      <c r="D29" s="116" t="s">
        <v>90</v>
      </c>
      <c r="E29" s="46">
        <v>0.83263888888888893</v>
      </c>
      <c r="F29" s="115">
        <v>20</v>
      </c>
      <c r="G29" s="43"/>
      <c r="H29" s="43"/>
      <c r="I29" s="93"/>
      <c r="J29" s="41"/>
      <c r="K29" s="52"/>
      <c r="L29" s="89"/>
      <c r="M29" s="52">
        <v>2</v>
      </c>
      <c r="N29" s="52" t="s">
        <v>114</v>
      </c>
      <c r="O29" s="42"/>
      <c r="P29" s="137" t="s">
        <v>441</v>
      </c>
      <c r="Q29" s="141"/>
    </row>
    <row r="30" spans="1:17" ht="15.6">
      <c r="A30" s="138"/>
      <c r="B30" s="127" t="s">
        <v>65</v>
      </c>
      <c r="C30" s="111" t="s">
        <v>206</v>
      </c>
      <c r="D30" s="116" t="s">
        <v>83</v>
      </c>
      <c r="E30" s="46">
        <v>0.8340277777777777</v>
      </c>
      <c r="F30" s="115">
        <v>21</v>
      </c>
      <c r="G30" s="54"/>
      <c r="H30" s="53"/>
      <c r="I30" s="93"/>
      <c r="J30" s="41"/>
      <c r="K30" s="52"/>
      <c r="L30" s="89"/>
      <c r="M30" s="52">
        <v>2</v>
      </c>
      <c r="N30" s="52" t="s">
        <v>114</v>
      </c>
      <c r="O30" s="42"/>
      <c r="P30" s="137" t="s">
        <v>441</v>
      </c>
      <c r="Q30" s="141"/>
    </row>
    <row r="31" spans="1:17" ht="15.6">
      <c r="A31" s="138"/>
      <c r="B31" s="127" t="s">
        <v>41</v>
      </c>
      <c r="C31" s="111" t="s">
        <v>207</v>
      </c>
      <c r="D31" s="116" t="s">
        <v>87</v>
      </c>
      <c r="E31" s="46">
        <v>0.84791666666666676</v>
      </c>
      <c r="F31" s="115">
        <v>22</v>
      </c>
      <c r="G31" s="54"/>
      <c r="H31" s="53"/>
      <c r="I31" s="93"/>
      <c r="J31" s="41"/>
      <c r="K31" s="52"/>
      <c r="L31" s="89"/>
      <c r="M31" s="52">
        <v>2</v>
      </c>
      <c r="N31" s="52" t="s">
        <v>114</v>
      </c>
      <c r="O31" s="42"/>
      <c r="P31" s="137" t="s">
        <v>441</v>
      </c>
      <c r="Q31" s="141"/>
    </row>
    <row r="32" spans="1:17" ht="15.6">
      <c r="A32" s="138"/>
      <c r="B32" s="127" t="s">
        <v>63</v>
      </c>
      <c r="C32" s="111" t="s">
        <v>188</v>
      </c>
      <c r="D32" s="116" t="s">
        <v>86</v>
      </c>
      <c r="E32" s="46">
        <v>0.8618055555555556</v>
      </c>
      <c r="F32" s="115">
        <v>23</v>
      </c>
      <c r="G32" s="43"/>
      <c r="H32" s="43"/>
      <c r="I32" s="93"/>
      <c r="J32" s="41"/>
      <c r="K32" s="52"/>
      <c r="L32" s="89"/>
      <c r="M32" s="52">
        <v>2</v>
      </c>
      <c r="N32" s="52" t="s">
        <v>114</v>
      </c>
      <c r="O32" s="42"/>
      <c r="P32" s="137" t="s">
        <v>441</v>
      </c>
      <c r="Q32" s="141"/>
    </row>
    <row r="33" spans="1:17" ht="15.6">
      <c r="A33" s="138"/>
      <c r="B33" s="127" t="s">
        <v>32</v>
      </c>
      <c r="C33" s="111" t="s">
        <v>207</v>
      </c>
      <c r="D33" s="116" t="s">
        <v>88</v>
      </c>
      <c r="E33" s="46">
        <v>0.86875000000000002</v>
      </c>
      <c r="F33" s="115">
        <v>24</v>
      </c>
      <c r="G33" s="43"/>
      <c r="H33" s="43"/>
      <c r="I33" s="93"/>
      <c r="J33" s="41"/>
      <c r="K33" s="52"/>
      <c r="L33" s="89"/>
      <c r="M33" s="52">
        <v>2</v>
      </c>
      <c r="N33" s="52" t="s">
        <v>114</v>
      </c>
      <c r="O33" s="42"/>
      <c r="P33" s="137" t="s">
        <v>441</v>
      </c>
      <c r="Q33" s="141"/>
    </row>
    <row r="34" spans="1:17" ht="15.6">
      <c r="A34" s="139"/>
      <c r="B34" s="127" t="s">
        <v>42</v>
      </c>
      <c r="C34" s="111" t="s">
        <v>66</v>
      </c>
      <c r="D34" s="116" t="s">
        <v>89</v>
      </c>
      <c r="E34" s="46">
        <v>0.87638888888888899</v>
      </c>
      <c r="F34" s="115">
        <v>25</v>
      </c>
      <c r="G34" s="54"/>
      <c r="H34" s="53"/>
      <c r="I34" s="43"/>
      <c r="J34" s="43"/>
      <c r="K34" s="52"/>
      <c r="L34" s="89"/>
      <c r="M34" s="52">
        <v>2</v>
      </c>
      <c r="N34" s="52" t="s">
        <v>114</v>
      </c>
      <c r="O34" s="95"/>
      <c r="P34" s="137" t="s">
        <v>442</v>
      </c>
      <c r="Q34" s="141"/>
    </row>
    <row r="35" spans="1:17" ht="15.6">
      <c r="A35" s="138"/>
      <c r="B35" s="127" t="s">
        <v>267</v>
      </c>
      <c r="C35" s="111" t="s">
        <v>208</v>
      </c>
      <c r="D35" s="116" t="s">
        <v>87</v>
      </c>
      <c r="E35" s="46">
        <v>0.88124999999999998</v>
      </c>
      <c r="F35" s="115">
        <v>26</v>
      </c>
      <c r="G35" s="54"/>
      <c r="H35" s="53"/>
      <c r="I35" s="43"/>
      <c r="J35" s="43"/>
      <c r="K35" s="52"/>
      <c r="L35" s="89"/>
      <c r="M35" s="52">
        <v>2</v>
      </c>
      <c r="N35" s="52" t="s">
        <v>114</v>
      </c>
      <c r="O35" s="95"/>
      <c r="P35" s="137" t="s">
        <v>441</v>
      </c>
      <c r="Q35" s="141"/>
    </row>
    <row r="36" spans="1:17" ht="15.6">
      <c r="A36" s="138"/>
      <c r="B36" s="127" t="s">
        <v>194</v>
      </c>
      <c r="C36" s="111" t="s">
        <v>209</v>
      </c>
      <c r="D36" s="116" t="s">
        <v>150</v>
      </c>
      <c r="E36" s="46">
        <v>0.88680555555555562</v>
      </c>
      <c r="F36" s="115">
        <v>27</v>
      </c>
      <c r="G36" s="104"/>
      <c r="H36" s="67"/>
      <c r="I36" s="104"/>
      <c r="J36" s="67"/>
      <c r="K36" s="52"/>
      <c r="L36" s="91"/>
      <c r="M36" s="52">
        <v>2</v>
      </c>
      <c r="N36" s="52" t="s">
        <v>114</v>
      </c>
      <c r="O36" s="42"/>
      <c r="P36" s="137" t="s">
        <v>441</v>
      </c>
      <c r="Q36" s="141"/>
    </row>
    <row r="37" spans="1:17" ht="15.6">
      <c r="A37" s="138"/>
      <c r="B37" s="130" t="s">
        <v>268</v>
      </c>
      <c r="C37" s="111" t="s">
        <v>210</v>
      </c>
      <c r="D37" s="116" t="s">
        <v>88</v>
      </c>
      <c r="E37" s="46">
        <v>0.88888888888888884</v>
      </c>
      <c r="F37" s="115">
        <v>28</v>
      </c>
      <c r="G37" s="93"/>
      <c r="H37" s="41"/>
      <c r="I37" s="93"/>
      <c r="J37" s="41"/>
      <c r="K37" s="52"/>
      <c r="L37" s="90"/>
      <c r="M37" s="52">
        <v>2</v>
      </c>
      <c r="N37" s="52" t="s">
        <v>114</v>
      </c>
      <c r="O37" s="42"/>
      <c r="P37" s="137" t="s">
        <v>441</v>
      </c>
      <c r="Q37" s="141"/>
    </row>
    <row r="38" spans="1:17" ht="15.6">
      <c r="A38" s="138"/>
      <c r="B38" s="127" t="s">
        <v>269</v>
      </c>
      <c r="C38" s="111" t="s">
        <v>27</v>
      </c>
      <c r="D38" s="116" t="s">
        <v>83</v>
      </c>
      <c r="E38" s="46">
        <v>0.89027777777777783</v>
      </c>
      <c r="F38" s="115">
        <v>29</v>
      </c>
      <c r="G38" s="54"/>
      <c r="H38" s="53"/>
      <c r="I38" s="93"/>
      <c r="J38" s="41"/>
      <c r="K38" s="52"/>
      <c r="L38" s="89"/>
      <c r="M38" s="52">
        <v>2</v>
      </c>
      <c r="N38" s="52" t="s">
        <v>114</v>
      </c>
      <c r="O38" s="42"/>
      <c r="P38" s="137" t="s">
        <v>441</v>
      </c>
      <c r="Q38" s="141"/>
    </row>
    <row r="39" spans="1:17" ht="15.6">
      <c r="A39" s="139"/>
      <c r="B39" s="128" t="s">
        <v>270</v>
      </c>
      <c r="C39" s="112" t="s">
        <v>211</v>
      </c>
      <c r="D39" s="116" t="s">
        <v>316</v>
      </c>
      <c r="E39" s="46">
        <v>0.89861111111111114</v>
      </c>
      <c r="F39" s="112">
        <v>30</v>
      </c>
      <c r="G39" s="55"/>
      <c r="H39" s="53"/>
      <c r="I39" s="93"/>
      <c r="J39" s="41"/>
      <c r="K39" s="52"/>
      <c r="L39" s="89"/>
      <c r="M39" s="52">
        <v>2</v>
      </c>
      <c r="N39" s="52" t="s">
        <v>114</v>
      </c>
      <c r="O39" s="42"/>
      <c r="P39" s="137" t="s">
        <v>442</v>
      </c>
      <c r="Q39" s="141"/>
    </row>
    <row r="40" spans="1:17" ht="15.6">
      <c r="A40" s="138"/>
      <c r="B40" s="127" t="s">
        <v>80</v>
      </c>
      <c r="C40" s="111" t="s">
        <v>212</v>
      </c>
      <c r="D40" s="116" t="s">
        <v>86</v>
      </c>
      <c r="E40" s="46">
        <v>0.90555555555555556</v>
      </c>
      <c r="F40" s="115">
        <v>31</v>
      </c>
      <c r="G40" s="93"/>
      <c r="H40" s="41"/>
      <c r="I40" s="93"/>
      <c r="J40" s="41"/>
      <c r="K40" s="52"/>
      <c r="L40" s="90"/>
      <c r="M40" s="52">
        <v>2</v>
      </c>
      <c r="N40" s="52" t="s">
        <v>114</v>
      </c>
      <c r="O40" s="42"/>
      <c r="P40" s="137" t="s">
        <v>441</v>
      </c>
      <c r="Q40" s="141"/>
    </row>
    <row r="41" spans="1:17" ht="15.6">
      <c r="A41" s="139"/>
      <c r="B41" s="128" t="s">
        <v>271</v>
      </c>
      <c r="C41" s="112" t="s">
        <v>213</v>
      </c>
      <c r="D41" s="116" t="s">
        <v>316</v>
      </c>
      <c r="E41" s="46">
        <v>0.91041666666666676</v>
      </c>
      <c r="F41" s="112">
        <v>32</v>
      </c>
      <c r="G41" s="104"/>
      <c r="H41" s="67"/>
      <c r="I41" s="104"/>
      <c r="J41" s="67"/>
      <c r="K41" s="52"/>
      <c r="L41" s="91"/>
      <c r="M41" s="52">
        <v>2</v>
      </c>
      <c r="N41" s="52" t="s">
        <v>114</v>
      </c>
      <c r="O41" s="42"/>
      <c r="P41" s="137" t="s">
        <v>442</v>
      </c>
      <c r="Q41" s="141"/>
    </row>
    <row r="42" spans="1:17" ht="15.6">
      <c r="A42" s="139"/>
      <c r="B42" s="128" t="s">
        <v>272</v>
      </c>
      <c r="C42" s="112" t="s">
        <v>214</v>
      </c>
      <c r="D42" s="116" t="s">
        <v>316</v>
      </c>
      <c r="E42" s="46">
        <v>0.91388888888888886</v>
      </c>
      <c r="F42" s="112">
        <v>33</v>
      </c>
      <c r="G42" s="54"/>
      <c r="H42" s="53"/>
      <c r="I42" s="93"/>
      <c r="J42" s="41"/>
      <c r="K42" s="52"/>
      <c r="L42" s="89"/>
      <c r="M42" s="52">
        <v>2</v>
      </c>
      <c r="N42" s="52" t="s">
        <v>114</v>
      </c>
      <c r="O42" s="42"/>
      <c r="P42" s="137" t="s">
        <v>442</v>
      </c>
      <c r="Q42" s="141"/>
    </row>
    <row r="43" spans="1:17" ht="15.6">
      <c r="A43" s="138"/>
      <c r="B43" s="130" t="s">
        <v>273</v>
      </c>
      <c r="C43" s="114" t="s">
        <v>215</v>
      </c>
      <c r="D43" s="116" t="s">
        <v>88</v>
      </c>
      <c r="E43" s="47">
        <v>0.9145833333333333</v>
      </c>
      <c r="F43" s="115">
        <v>34</v>
      </c>
      <c r="G43" s="43"/>
      <c r="H43" s="43"/>
      <c r="I43" s="93"/>
      <c r="J43" s="41"/>
      <c r="K43" s="52"/>
      <c r="L43" s="89"/>
      <c r="M43" s="52">
        <v>2</v>
      </c>
      <c r="N43" s="52" t="s">
        <v>114</v>
      </c>
      <c r="O43" s="42"/>
      <c r="P43" s="137" t="s">
        <v>441</v>
      </c>
      <c r="Q43" s="141"/>
    </row>
    <row r="44" spans="1:17" ht="15.6">
      <c r="A44" s="139"/>
      <c r="B44" s="127" t="s">
        <v>274</v>
      </c>
      <c r="C44" s="111" t="s">
        <v>216</v>
      </c>
      <c r="D44" s="116" t="s">
        <v>89</v>
      </c>
      <c r="E44" s="46">
        <v>0.9159722222222223</v>
      </c>
      <c r="F44" s="115">
        <v>35</v>
      </c>
      <c r="G44" s="54"/>
      <c r="H44" s="53"/>
      <c r="I44" s="93"/>
      <c r="J44" s="41"/>
      <c r="K44" s="52"/>
      <c r="L44" s="89"/>
      <c r="M44" s="52">
        <v>2</v>
      </c>
      <c r="N44" s="52" t="s">
        <v>114</v>
      </c>
      <c r="O44" s="42"/>
      <c r="P44" s="137" t="s">
        <v>442</v>
      </c>
      <c r="Q44" s="141"/>
    </row>
    <row r="45" spans="1:17" ht="15.6">
      <c r="A45" s="138"/>
      <c r="B45" s="128" t="s">
        <v>275</v>
      </c>
      <c r="C45" s="112" t="s">
        <v>58</v>
      </c>
      <c r="D45" s="116" t="s">
        <v>84</v>
      </c>
      <c r="E45" s="46">
        <v>0.91736111111111107</v>
      </c>
      <c r="F45" s="112">
        <v>36</v>
      </c>
      <c r="G45" s="54"/>
      <c r="H45" s="53"/>
      <c r="I45" s="94"/>
      <c r="J45" s="41"/>
      <c r="K45" s="52"/>
      <c r="L45" s="89"/>
      <c r="M45" s="52">
        <v>2</v>
      </c>
      <c r="N45" s="52" t="s">
        <v>114</v>
      </c>
      <c r="O45" s="42"/>
      <c r="P45" s="137" t="s">
        <v>441</v>
      </c>
      <c r="Q45" s="141"/>
    </row>
    <row r="46" spans="1:17" ht="15.6">
      <c r="A46" s="138"/>
      <c r="B46" s="127" t="s">
        <v>79</v>
      </c>
      <c r="C46" s="111" t="s">
        <v>217</v>
      </c>
      <c r="D46" s="116" t="s">
        <v>150</v>
      </c>
      <c r="E46" s="46">
        <v>0.91805555555555562</v>
      </c>
      <c r="F46" s="115">
        <v>37</v>
      </c>
      <c r="G46" s="104"/>
      <c r="H46" s="67"/>
      <c r="I46" s="104"/>
      <c r="J46" s="67"/>
      <c r="K46" s="52"/>
      <c r="L46" s="91"/>
      <c r="M46" s="52">
        <v>2</v>
      </c>
      <c r="N46" s="52" t="s">
        <v>114</v>
      </c>
      <c r="O46" s="42"/>
      <c r="P46" s="137" t="s">
        <v>441</v>
      </c>
      <c r="Q46" s="141"/>
    </row>
    <row r="47" spans="1:17" ht="15.6">
      <c r="A47" s="138"/>
      <c r="B47" s="127" t="s">
        <v>44</v>
      </c>
      <c r="C47" s="111" t="s">
        <v>77</v>
      </c>
      <c r="D47" s="116" t="s">
        <v>87</v>
      </c>
      <c r="E47" s="46">
        <v>0.91875000000000007</v>
      </c>
      <c r="F47" s="115">
        <v>38</v>
      </c>
      <c r="G47" s="104"/>
      <c r="H47" s="67"/>
      <c r="I47" s="104"/>
      <c r="J47" s="67"/>
      <c r="K47" s="52"/>
      <c r="L47" s="91"/>
      <c r="M47" s="52">
        <v>2</v>
      </c>
      <c r="N47" s="52" t="s">
        <v>114</v>
      </c>
      <c r="O47" s="42"/>
      <c r="P47" s="137" t="s">
        <v>441</v>
      </c>
      <c r="Q47" s="141"/>
    </row>
    <row r="48" spans="1:17" ht="15.6">
      <c r="A48" s="138"/>
      <c r="B48" s="127" t="s">
        <v>41</v>
      </c>
      <c r="C48" s="111" t="s">
        <v>76</v>
      </c>
      <c r="D48" s="116" t="s">
        <v>87</v>
      </c>
      <c r="E48" s="46">
        <v>0.92152777777777783</v>
      </c>
      <c r="F48" s="115">
        <v>39</v>
      </c>
      <c r="G48" s="54"/>
      <c r="H48" s="53"/>
      <c r="I48" s="93"/>
      <c r="J48" s="41"/>
      <c r="K48" s="52"/>
      <c r="L48" s="89"/>
      <c r="M48" s="52">
        <v>2</v>
      </c>
      <c r="N48" s="52" t="s">
        <v>114</v>
      </c>
      <c r="O48" s="42"/>
      <c r="P48" s="137" t="s">
        <v>441</v>
      </c>
      <c r="Q48" s="141"/>
    </row>
    <row r="49" spans="1:17" ht="15.6">
      <c r="A49" s="139"/>
      <c r="B49" s="130" t="s">
        <v>79</v>
      </c>
      <c r="C49" s="111" t="s">
        <v>218</v>
      </c>
      <c r="D49" s="116" t="s">
        <v>319</v>
      </c>
      <c r="E49" s="46">
        <v>0.92361111111111116</v>
      </c>
      <c r="F49" s="115">
        <v>40</v>
      </c>
      <c r="G49" s="104"/>
      <c r="H49" s="67"/>
      <c r="I49" s="104"/>
      <c r="J49" s="67"/>
      <c r="K49" s="52"/>
      <c r="L49" s="91"/>
      <c r="M49" s="52">
        <v>2</v>
      </c>
      <c r="N49" s="52" t="s">
        <v>114</v>
      </c>
      <c r="O49" s="42"/>
      <c r="P49" s="137" t="s">
        <v>442</v>
      </c>
      <c r="Q49" s="141"/>
    </row>
    <row r="50" spans="1:17" ht="15.6">
      <c r="A50" s="138"/>
      <c r="B50" s="127" t="s">
        <v>39</v>
      </c>
      <c r="C50" s="111" t="s">
        <v>74</v>
      </c>
      <c r="D50" s="116" t="s">
        <v>87</v>
      </c>
      <c r="E50" s="46">
        <v>0.92499999999999993</v>
      </c>
      <c r="F50" s="115">
        <v>41</v>
      </c>
      <c r="G50" s="104"/>
      <c r="H50" s="67"/>
      <c r="I50" s="104"/>
      <c r="J50" s="67"/>
      <c r="K50" s="52"/>
      <c r="L50" s="91"/>
      <c r="M50" s="52">
        <v>2</v>
      </c>
      <c r="N50" s="52" t="s">
        <v>114</v>
      </c>
      <c r="O50" s="42"/>
      <c r="P50" s="137" t="s">
        <v>441</v>
      </c>
      <c r="Q50" s="141"/>
    </row>
    <row r="51" spans="1:17" ht="15.6">
      <c r="A51" s="138"/>
      <c r="B51" s="127" t="s">
        <v>276</v>
      </c>
      <c r="C51" s="111" t="s">
        <v>46</v>
      </c>
      <c r="D51" s="116" t="s">
        <v>150</v>
      </c>
      <c r="E51" s="46">
        <v>0.93055555555555547</v>
      </c>
      <c r="F51" s="115">
        <v>42</v>
      </c>
      <c r="G51" s="54"/>
      <c r="H51" s="53"/>
      <c r="I51" s="93"/>
      <c r="J51" s="41"/>
      <c r="K51" s="52"/>
      <c r="L51" s="89"/>
      <c r="M51" s="52">
        <v>2</v>
      </c>
      <c r="N51" s="52" t="s">
        <v>114</v>
      </c>
      <c r="O51" s="42"/>
      <c r="P51" s="137" t="s">
        <v>441</v>
      </c>
      <c r="Q51" s="141"/>
    </row>
    <row r="52" spans="1:17" ht="15.6">
      <c r="A52" s="138"/>
      <c r="B52" s="127" t="s">
        <v>277</v>
      </c>
      <c r="C52" s="111" t="s">
        <v>219</v>
      </c>
      <c r="D52" s="116" t="s">
        <v>83</v>
      </c>
      <c r="E52" s="46">
        <v>0.93125000000000002</v>
      </c>
      <c r="F52" s="115">
        <v>43</v>
      </c>
      <c r="G52" s="54"/>
      <c r="H52" s="53"/>
      <c r="I52" s="93"/>
      <c r="J52" s="41"/>
      <c r="K52" s="52"/>
      <c r="L52" s="89"/>
      <c r="M52" s="52">
        <v>2</v>
      </c>
      <c r="N52" s="52" t="s">
        <v>114</v>
      </c>
      <c r="O52" s="42"/>
      <c r="P52" s="137" t="s">
        <v>441</v>
      </c>
      <c r="Q52" s="141"/>
    </row>
    <row r="53" spans="1:17" ht="15.6">
      <c r="A53" s="138"/>
      <c r="B53" s="127" t="s">
        <v>222</v>
      </c>
      <c r="C53" s="111" t="s">
        <v>56</v>
      </c>
      <c r="D53" s="116" t="s">
        <v>86</v>
      </c>
      <c r="E53" s="46">
        <v>0.93194444444444446</v>
      </c>
      <c r="F53" s="115">
        <v>44</v>
      </c>
      <c r="G53" s="54"/>
      <c r="H53" s="53"/>
      <c r="I53" s="93"/>
      <c r="J53" s="41"/>
      <c r="K53" s="52"/>
      <c r="L53" s="89"/>
      <c r="M53" s="52">
        <v>2</v>
      </c>
      <c r="N53" s="52" t="s">
        <v>114</v>
      </c>
      <c r="O53" s="42"/>
      <c r="P53" s="137" t="s">
        <v>441</v>
      </c>
      <c r="Q53" s="141"/>
    </row>
    <row r="54" spans="1:17" ht="15.6">
      <c r="A54" s="138"/>
      <c r="B54" s="127" t="s">
        <v>222</v>
      </c>
      <c r="C54" s="111" t="s">
        <v>220</v>
      </c>
      <c r="D54" s="116" t="s">
        <v>86</v>
      </c>
      <c r="E54" s="46">
        <v>0.93263888888888891</v>
      </c>
      <c r="F54" s="115">
        <v>45</v>
      </c>
      <c r="G54" s="43"/>
      <c r="H54" s="43"/>
      <c r="I54" s="93"/>
      <c r="J54" s="41"/>
      <c r="K54" s="52"/>
      <c r="L54" s="89"/>
      <c r="M54" s="52">
        <v>2</v>
      </c>
      <c r="N54" s="52" t="s">
        <v>114</v>
      </c>
      <c r="O54" s="42"/>
      <c r="P54" s="137" t="s">
        <v>441</v>
      </c>
      <c r="Q54" s="141"/>
    </row>
    <row r="55" spans="1:17" ht="15.6">
      <c r="A55" s="138"/>
      <c r="B55" s="127" t="s">
        <v>278</v>
      </c>
      <c r="C55" s="111" t="s">
        <v>221</v>
      </c>
      <c r="D55" s="116" t="s">
        <v>86</v>
      </c>
      <c r="E55" s="47">
        <v>0.93265046296296295</v>
      </c>
      <c r="F55" s="115">
        <v>46</v>
      </c>
      <c r="G55" s="43"/>
      <c r="H55" s="43"/>
      <c r="I55" s="93"/>
      <c r="J55" s="41"/>
      <c r="K55" s="52"/>
      <c r="L55" s="89"/>
      <c r="M55" s="52">
        <v>2</v>
      </c>
      <c r="N55" s="52" t="s">
        <v>114</v>
      </c>
      <c r="O55" s="42"/>
      <c r="P55" s="137" t="s">
        <v>441</v>
      </c>
      <c r="Q55" s="141"/>
    </row>
    <row r="56" spans="1:17" ht="15.6">
      <c r="A56" s="139"/>
      <c r="B56" s="127" t="s">
        <v>112</v>
      </c>
      <c r="C56" s="111" t="s">
        <v>222</v>
      </c>
      <c r="D56" s="115" t="s">
        <v>314</v>
      </c>
      <c r="E56" s="46">
        <v>0.93472222222222223</v>
      </c>
      <c r="F56" s="115">
        <v>47</v>
      </c>
      <c r="G56" s="104"/>
      <c r="H56" s="67"/>
      <c r="I56" s="104"/>
      <c r="J56" s="67"/>
      <c r="K56" s="52"/>
      <c r="L56" s="91"/>
      <c r="M56" s="52">
        <v>2</v>
      </c>
      <c r="N56" s="52" t="s">
        <v>114</v>
      </c>
      <c r="O56" s="42"/>
      <c r="P56" s="137" t="s">
        <v>442</v>
      </c>
      <c r="Q56" s="141"/>
    </row>
    <row r="57" spans="1:17" ht="15.6">
      <c r="A57" s="138"/>
      <c r="B57" s="127" t="s">
        <v>24</v>
      </c>
      <c r="C57" s="111" t="s">
        <v>223</v>
      </c>
      <c r="D57" s="116" t="s">
        <v>85</v>
      </c>
      <c r="E57" s="46">
        <v>0.93680555555555556</v>
      </c>
      <c r="F57" s="115">
        <v>48</v>
      </c>
      <c r="G57" s="104"/>
      <c r="H57" s="67"/>
      <c r="I57" s="104"/>
      <c r="J57" s="67"/>
      <c r="K57" s="52"/>
      <c r="L57" s="91"/>
      <c r="M57" s="52">
        <v>2</v>
      </c>
      <c r="N57" s="52" t="s">
        <v>114</v>
      </c>
      <c r="O57" s="42"/>
      <c r="P57" s="137" t="s">
        <v>441</v>
      </c>
      <c r="Q57" s="141"/>
    </row>
    <row r="58" spans="1:17" ht="15.6">
      <c r="A58" s="138"/>
      <c r="B58" s="127" t="s">
        <v>29</v>
      </c>
      <c r="C58" s="111" t="s">
        <v>224</v>
      </c>
      <c r="D58" s="116" t="s">
        <v>87</v>
      </c>
      <c r="E58" s="47">
        <v>0.9375</v>
      </c>
      <c r="F58" s="115">
        <v>49</v>
      </c>
      <c r="G58" s="54"/>
      <c r="H58" s="53"/>
      <c r="I58" s="93"/>
      <c r="J58" s="41"/>
      <c r="K58" s="52"/>
      <c r="L58" s="89"/>
      <c r="M58" s="52">
        <v>2</v>
      </c>
      <c r="N58" s="52" t="s">
        <v>114</v>
      </c>
      <c r="O58" s="42"/>
      <c r="P58" s="137" t="s">
        <v>441</v>
      </c>
      <c r="Q58" s="141"/>
    </row>
    <row r="59" spans="1:17" ht="15.6">
      <c r="A59" s="138"/>
      <c r="B59" s="127" t="s">
        <v>279</v>
      </c>
      <c r="C59" s="111" t="s">
        <v>225</v>
      </c>
      <c r="D59" s="116" t="s">
        <v>90</v>
      </c>
      <c r="E59" s="46">
        <v>0.94097222222222221</v>
      </c>
      <c r="F59" s="115">
        <v>50</v>
      </c>
      <c r="G59" s="54"/>
      <c r="H59" s="53"/>
      <c r="I59" s="93"/>
      <c r="J59" s="41"/>
      <c r="K59" s="52"/>
      <c r="L59" s="89"/>
      <c r="M59" s="52">
        <v>2</v>
      </c>
      <c r="N59" s="52" t="s">
        <v>114</v>
      </c>
      <c r="O59" s="42"/>
      <c r="P59" s="137" t="s">
        <v>441</v>
      </c>
      <c r="Q59" s="141"/>
    </row>
    <row r="60" spans="1:17" ht="15.6">
      <c r="A60" s="138"/>
      <c r="B60" s="127" t="s">
        <v>280</v>
      </c>
      <c r="C60" s="111" t="s">
        <v>75</v>
      </c>
      <c r="D60" s="116" t="s">
        <v>90</v>
      </c>
      <c r="E60" s="46">
        <v>0.94444444444444453</v>
      </c>
      <c r="F60" s="115">
        <v>51</v>
      </c>
      <c r="G60" s="54"/>
      <c r="H60" s="53"/>
      <c r="I60" s="83"/>
      <c r="J60" s="41"/>
      <c r="K60" s="52"/>
      <c r="L60" s="89"/>
      <c r="M60" s="52">
        <v>2</v>
      </c>
      <c r="N60" s="52" t="s">
        <v>114</v>
      </c>
      <c r="O60" s="42"/>
      <c r="P60" s="137" t="s">
        <v>441</v>
      </c>
      <c r="Q60" s="141"/>
    </row>
    <row r="61" spans="1:17" ht="15.6">
      <c r="A61" s="138"/>
      <c r="B61" s="127" t="s">
        <v>69</v>
      </c>
      <c r="C61" s="111" t="s">
        <v>58</v>
      </c>
      <c r="D61" s="116" t="s">
        <v>86</v>
      </c>
      <c r="E61" s="46">
        <v>0.94861111111111107</v>
      </c>
      <c r="F61" s="115">
        <v>52</v>
      </c>
      <c r="G61" s="104"/>
      <c r="H61" s="67"/>
      <c r="I61" s="104"/>
      <c r="J61" s="67"/>
      <c r="K61" s="52"/>
      <c r="L61" s="91"/>
      <c r="M61" s="52">
        <v>2</v>
      </c>
      <c r="N61" s="52" t="s">
        <v>114</v>
      </c>
      <c r="O61" s="42"/>
      <c r="P61" s="137" t="s">
        <v>441</v>
      </c>
      <c r="Q61" s="141"/>
    </row>
    <row r="62" spans="1:17" ht="15.6">
      <c r="A62" s="138"/>
      <c r="B62" s="127" t="s">
        <v>281</v>
      </c>
      <c r="C62" s="111" t="s">
        <v>77</v>
      </c>
      <c r="D62" s="116" t="s">
        <v>90</v>
      </c>
      <c r="E62" s="46">
        <v>0.94930555555555562</v>
      </c>
      <c r="F62" s="115">
        <v>53</v>
      </c>
      <c r="G62" s="55"/>
      <c r="H62" s="53"/>
      <c r="I62" s="93"/>
      <c r="J62" s="41"/>
      <c r="K62" s="52"/>
      <c r="L62" s="89"/>
      <c r="M62" s="52">
        <v>2</v>
      </c>
      <c r="N62" s="52" t="s">
        <v>114</v>
      </c>
      <c r="O62" s="42"/>
      <c r="P62" s="137" t="s">
        <v>441</v>
      </c>
      <c r="Q62" s="141"/>
    </row>
    <row r="63" spans="1:17" ht="15.6">
      <c r="A63" s="138"/>
      <c r="B63" s="128" t="s">
        <v>282</v>
      </c>
      <c r="C63" s="112" t="s">
        <v>189</v>
      </c>
      <c r="D63" s="116" t="s">
        <v>84</v>
      </c>
      <c r="E63" s="46">
        <v>0.9506944444444444</v>
      </c>
      <c r="F63" s="112">
        <v>54</v>
      </c>
      <c r="G63" s="43"/>
      <c r="H63" s="43"/>
      <c r="I63" s="93"/>
      <c r="J63" s="41"/>
      <c r="K63" s="52"/>
      <c r="L63" s="90"/>
      <c r="M63" s="52">
        <v>2</v>
      </c>
      <c r="N63" s="52" t="s">
        <v>114</v>
      </c>
      <c r="O63" s="42"/>
      <c r="P63" s="137" t="s">
        <v>441</v>
      </c>
      <c r="Q63" s="141"/>
    </row>
    <row r="64" spans="1:17" ht="15.6">
      <c r="A64" s="138"/>
      <c r="B64" s="127" t="s">
        <v>55</v>
      </c>
      <c r="C64" s="111" t="s">
        <v>226</v>
      </c>
      <c r="D64" s="116" t="s">
        <v>90</v>
      </c>
      <c r="E64" s="46">
        <v>0.95277777777777783</v>
      </c>
      <c r="F64" s="115">
        <v>55</v>
      </c>
      <c r="G64" s="93"/>
      <c r="H64" s="41"/>
      <c r="I64" s="93"/>
      <c r="J64" s="41"/>
      <c r="K64" s="52"/>
      <c r="L64" s="90"/>
      <c r="M64" s="52">
        <v>2</v>
      </c>
      <c r="N64" s="52" t="s">
        <v>114</v>
      </c>
      <c r="O64" s="42"/>
      <c r="P64" s="137" t="s">
        <v>441</v>
      </c>
      <c r="Q64" s="141"/>
    </row>
    <row r="65" spans="1:17" ht="15.6">
      <c r="A65" s="138"/>
      <c r="B65" s="127" t="s">
        <v>283</v>
      </c>
      <c r="C65" s="111" t="s">
        <v>227</v>
      </c>
      <c r="D65" s="116" t="s">
        <v>88</v>
      </c>
      <c r="E65" s="46">
        <v>0.95278935185185187</v>
      </c>
      <c r="F65" s="115">
        <v>56</v>
      </c>
      <c r="G65" s="43"/>
      <c r="H65" s="43"/>
      <c r="I65" s="93"/>
      <c r="J65" s="41"/>
      <c r="K65" s="52"/>
      <c r="L65" s="89"/>
      <c r="M65" s="52">
        <v>2</v>
      </c>
      <c r="N65" s="52" t="s">
        <v>114</v>
      </c>
      <c r="O65" s="42"/>
      <c r="P65" s="137" t="s">
        <v>441</v>
      </c>
      <c r="Q65" s="141"/>
    </row>
    <row r="66" spans="1:17" ht="15.6">
      <c r="A66" s="138"/>
      <c r="B66" s="127" t="s">
        <v>284</v>
      </c>
      <c r="C66" s="111" t="s">
        <v>228</v>
      </c>
      <c r="D66" s="116" t="s">
        <v>83</v>
      </c>
      <c r="E66" s="47">
        <v>0.95972222222222225</v>
      </c>
      <c r="F66" s="115">
        <v>57</v>
      </c>
      <c r="G66" s="43"/>
      <c r="H66" s="43"/>
      <c r="I66" s="93"/>
      <c r="J66" s="41"/>
      <c r="K66" s="52"/>
      <c r="L66" s="90"/>
      <c r="M66" s="52">
        <v>2</v>
      </c>
      <c r="N66" s="52" t="s">
        <v>114</v>
      </c>
      <c r="O66" s="42"/>
      <c r="P66" s="137" t="s">
        <v>441</v>
      </c>
      <c r="Q66" s="141"/>
    </row>
    <row r="67" spans="1:17" ht="15.6">
      <c r="A67" s="138"/>
      <c r="B67" s="127" t="s">
        <v>285</v>
      </c>
      <c r="C67" s="111" t="s">
        <v>203</v>
      </c>
      <c r="D67" s="116" t="s">
        <v>90</v>
      </c>
      <c r="E67" s="46">
        <v>0.97083333333333333</v>
      </c>
      <c r="F67" s="115">
        <v>58</v>
      </c>
      <c r="G67" s="93"/>
      <c r="H67" s="41"/>
      <c r="I67" s="93"/>
      <c r="J67" s="41"/>
      <c r="K67" s="52"/>
      <c r="L67" s="90"/>
      <c r="M67" s="52">
        <v>2</v>
      </c>
      <c r="N67" s="52" t="s">
        <v>114</v>
      </c>
      <c r="O67" s="42"/>
      <c r="P67" s="137" t="s">
        <v>441</v>
      </c>
      <c r="Q67" s="141"/>
    </row>
    <row r="68" spans="1:17" ht="15.6">
      <c r="A68" s="138"/>
      <c r="B68" s="127" t="s">
        <v>66</v>
      </c>
      <c r="C68" s="111" t="s">
        <v>49</v>
      </c>
      <c r="D68" s="116" t="s">
        <v>88</v>
      </c>
      <c r="E68" s="46">
        <v>0.97430555555555554</v>
      </c>
      <c r="F68" s="115">
        <v>59</v>
      </c>
      <c r="G68" s="104"/>
      <c r="H68" s="67"/>
      <c r="I68" s="104"/>
      <c r="J68" s="67"/>
      <c r="K68" s="52"/>
      <c r="L68" s="91"/>
      <c r="M68" s="52">
        <v>2</v>
      </c>
      <c r="N68" s="52" t="s">
        <v>114</v>
      </c>
      <c r="O68" s="42"/>
      <c r="P68" s="137" t="s">
        <v>441</v>
      </c>
      <c r="Q68" s="141"/>
    </row>
    <row r="69" spans="1:17" ht="15.6">
      <c r="A69" s="139"/>
      <c r="B69" s="127" t="s">
        <v>31</v>
      </c>
      <c r="C69" s="111" t="s">
        <v>229</v>
      </c>
      <c r="D69" s="116" t="s">
        <v>89</v>
      </c>
      <c r="E69" s="46">
        <v>0.97499999999999998</v>
      </c>
      <c r="F69" s="115">
        <v>60</v>
      </c>
      <c r="G69" s="93"/>
      <c r="H69" s="41"/>
      <c r="I69" s="93"/>
      <c r="J69" s="41"/>
      <c r="K69" s="52"/>
      <c r="L69" s="90"/>
      <c r="M69" s="52">
        <v>2</v>
      </c>
      <c r="N69" s="52" t="s">
        <v>114</v>
      </c>
      <c r="O69" s="42"/>
      <c r="P69" s="137" t="s">
        <v>442</v>
      </c>
      <c r="Q69" s="141"/>
    </row>
    <row r="70" spans="1:17" ht="15.6">
      <c r="A70" s="138"/>
      <c r="B70" s="127" t="s">
        <v>286</v>
      </c>
      <c r="C70" s="111" t="s">
        <v>230</v>
      </c>
      <c r="D70" s="116" t="s">
        <v>150</v>
      </c>
      <c r="E70" s="47">
        <v>0.97569444444444453</v>
      </c>
      <c r="F70" s="115">
        <v>61</v>
      </c>
      <c r="G70" s="43"/>
      <c r="H70" s="43"/>
      <c r="I70" s="93"/>
      <c r="J70" s="41"/>
      <c r="K70" s="52"/>
      <c r="L70" s="89"/>
      <c r="M70" s="52">
        <v>2</v>
      </c>
      <c r="N70" s="52" t="s">
        <v>114</v>
      </c>
      <c r="O70" s="42"/>
      <c r="P70" s="137" t="s">
        <v>441</v>
      </c>
      <c r="Q70" s="141"/>
    </row>
    <row r="71" spans="1:17" ht="15.6">
      <c r="A71" s="138"/>
      <c r="B71" s="128" t="s">
        <v>287</v>
      </c>
      <c r="C71" s="112" t="s">
        <v>108</v>
      </c>
      <c r="D71" s="116" t="s">
        <v>84</v>
      </c>
      <c r="E71" s="46">
        <v>0.97638888888888886</v>
      </c>
      <c r="F71" s="112">
        <v>62</v>
      </c>
      <c r="G71" s="93"/>
      <c r="H71" s="41"/>
      <c r="I71" s="93"/>
      <c r="J71" s="41"/>
      <c r="K71" s="52"/>
      <c r="L71" s="90"/>
      <c r="M71" s="52">
        <v>2</v>
      </c>
      <c r="N71" s="52" t="s">
        <v>114</v>
      </c>
      <c r="O71" s="42"/>
      <c r="P71" s="137" t="s">
        <v>441</v>
      </c>
      <c r="Q71" s="141"/>
    </row>
    <row r="72" spans="1:17" ht="15.6">
      <c r="A72" s="138"/>
      <c r="B72" s="127" t="s">
        <v>288</v>
      </c>
      <c r="C72" s="111" t="s">
        <v>231</v>
      </c>
      <c r="D72" s="116" t="s">
        <v>83</v>
      </c>
      <c r="E72" s="46">
        <v>0.97638888888888886</v>
      </c>
      <c r="F72" s="115">
        <v>63</v>
      </c>
      <c r="G72" s="93"/>
      <c r="H72" s="41"/>
      <c r="I72" s="93"/>
      <c r="J72" s="41"/>
      <c r="K72" s="52"/>
      <c r="L72" s="90"/>
      <c r="M72" s="52">
        <v>2</v>
      </c>
      <c r="N72" s="52" t="s">
        <v>114</v>
      </c>
      <c r="O72" s="42"/>
      <c r="P72" s="137" t="s">
        <v>441</v>
      </c>
      <c r="Q72" s="141"/>
    </row>
    <row r="73" spans="1:17" ht="15.6">
      <c r="A73" s="139"/>
      <c r="B73" s="127" t="s">
        <v>289</v>
      </c>
      <c r="C73" s="111" t="s">
        <v>232</v>
      </c>
      <c r="D73" s="116" t="s">
        <v>317</v>
      </c>
      <c r="E73" s="46">
        <v>0.97916666666666663</v>
      </c>
      <c r="F73" s="115">
        <v>64</v>
      </c>
      <c r="G73" s="93"/>
      <c r="H73" s="41"/>
      <c r="I73" s="93"/>
      <c r="J73" s="41"/>
      <c r="K73" s="52"/>
      <c r="L73" s="90"/>
      <c r="M73" s="52">
        <v>2</v>
      </c>
      <c r="N73" s="52" t="s">
        <v>114</v>
      </c>
      <c r="O73" s="42"/>
      <c r="P73" s="137" t="s">
        <v>442</v>
      </c>
      <c r="Q73" s="141"/>
    </row>
    <row r="74" spans="1:17" ht="15.6">
      <c r="A74" s="139"/>
      <c r="B74" s="130" t="s">
        <v>60</v>
      </c>
      <c r="C74" s="111" t="s">
        <v>233</v>
      </c>
      <c r="D74" s="116" t="s">
        <v>319</v>
      </c>
      <c r="E74" s="46">
        <v>0.98125000000000007</v>
      </c>
      <c r="F74" s="115">
        <v>65</v>
      </c>
      <c r="G74" s="93"/>
      <c r="H74" s="41"/>
      <c r="I74" s="93"/>
      <c r="J74" s="41"/>
      <c r="K74" s="52"/>
      <c r="L74" s="90"/>
      <c r="M74" s="52">
        <v>2</v>
      </c>
      <c r="N74" s="52" t="s">
        <v>114</v>
      </c>
      <c r="O74" s="42"/>
      <c r="P74" s="137" t="s">
        <v>442</v>
      </c>
      <c r="Q74" s="141"/>
    </row>
    <row r="75" spans="1:17" ht="15.6">
      <c r="A75" s="139"/>
      <c r="B75" s="128" t="s">
        <v>290</v>
      </c>
      <c r="C75" s="112" t="s">
        <v>234</v>
      </c>
      <c r="D75" s="116" t="s">
        <v>316</v>
      </c>
      <c r="E75" s="46">
        <v>0.98472222222222217</v>
      </c>
      <c r="F75" s="112">
        <v>66</v>
      </c>
      <c r="G75" s="43"/>
      <c r="H75" s="43"/>
      <c r="I75" s="93"/>
      <c r="J75" s="41"/>
      <c r="K75" s="52"/>
      <c r="L75" s="90"/>
      <c r="M75" s="52">
        <v>2</v>
      </c>
      <c r="N75" s="52" t="s">
        <v>114</v>
      </c>
      <c r="O75" s="42"/>
      <c r="P75" s="137" t="s">
        <v>442</v>
      </c>
      <c r="Q75" s="141"/>
    </row>
    <row r="76" spans="1:17" ht="15.6">
      <c r="A76" s="138"/>
      <c r="B76" s="127" t="s">
        <v>276</v>
      </c>
      <c r="C76" s="111" t="s">
        <v>106</v>
      </c>
      <c r="D76" s="116" t="s">
        <v>83</v>
      </c>
      <c r="E76" s="46">
        <v>0.98888888888888893</v>
      </c>
      <c r="F76" s="115">
        <v>67</v>
      </c>
      <c r="G76" s="93"/>
      <c r="H76" s="41"/>
      <c r="I76" s="93"/>
      <c r="J76" s="41"/>
      <c r="K76" s="52"/>
      <c r="L76" s="90"/>
      <c r="M76" s="52">
        <v>2</v>
      </c>
      <c r="N76" s="52" t="s">
        <v>114</v>
      </c>
      <c r="O76" s="42"/>
      <c r="P76" s="137" t="s">
        <v>441</v>
      </c>
      <c r="Q76" s="141"/>
    </row>
    <row r="77" spans="1:17" ht="15.6">
      <c r="A77" s="138"/>
      <c r="B77" s="127" t="s">
        <v>56</v>
      </c>
      <c r="C77" s="111" t="s">
        <v>235</v>
      </c>
      <c r="D77" s="116" t="s">
        <v>87</v>
      </c>
      <c r="E77" s="46">
        <v>0.99097222222222225</v>
      </c>
      <c r="F77" s="115">
        <v>68</v>
      </c>
      <c r="G77" s="93"/>
      <c r="H77" s="41"/>
      <c r="I77" s="93"/>
      <c r="J77" s="41"/>
      <c r="K77" s="52"/>
      <c r="L77" s="90"/>
      <c r="M77" s="52">
        <v>2</v>
      </c>
      <c r="N77" s="52" t="s">
        <v>114</v>
      </c>
      <c r="O77" s="42"/>
      <c r="P77" s="137" t="s">
        <v>441</v>
      </c>
      <c r="Q77" s="141"/>
    </row>
    <row r="78" spans="1:17" ht="15.6">
      <c r="A78" s="138"/>
      <c r="B78" s="127" t="s">
        <v>291</v>
      </c>
      <c r="C78" s="111" t="s">
        <v>187</v>
      </c>
      <c r="D78" s="116" t="s">
        <v>90</v>
      </c>
      <c r="E78" s="46">
        <v>1.0013888888888889</v>
      </c>
      <c r="F78" s="115">
        <v>69</v>
      </c>
      <c r="G78" s="104"/>
      <c r="H78" s="67"/>
      <c r="I78" s="104"/>
      <c r="J78" s="67"/>
      <c r="K78" s="52"/>
      <c r="L78" s="91"/>
      <c r="M78" s="52">
        <v>2</v>
      </c>
      <c r="N78" s="52" t="s">
        <v>114</v>
      </c>
      <c r="O78" s="42"/>
      <c r="P78" s="137" t="s">
        <v>441</v>
      </c>
      <c r="Q78" s="141"/>
    </row>
    <row r="79" spans="1:17" ht="15.6">
      <c r="A79" s="138"/>
      <c r="B79" s="127" t="s">
        <v>95</v>
      </c>
      <c r="C79" s="111" t="s">
        <v>78</v>
      </c>
      <c r="D79" s="116" t="s">
        <v>87</v>
      </c>
      <c r="E79" s="46">
        <v>1.0055555555555555</v>
      </c>
      <c r="F79" s="115">
        <v>70</v>
      </c>
      <c r="G79" s="93"/>
      <c r="H79" s="41"/>
      <c r="I79" s="93"/>
      <c r="J79" s="41"/>
      <c r="K79" s="52"/>
      <c r="L79" s="90"/>
      <c r="M79" s="52">
        <v>2</v>
      </c>
      <c r="N79" s="52" t="s">
        <v>114</v>
      </c>
      <c r="O79" s="42"/>
      <c r="P79" s="137" t="s">
        <v>441</v>
      </c>
      <c r="Q79" s="141"/>
    </row>
    <row r="80" spans="1:17" ht="15.6">
      <c r="A80" s="139"/>
      <c r="B80" s="127" t="s">
        <v>45</v>
      </c>
      <c r="C80" s="111" t="s">
        <v>236</v>
      </c>
      <c r="D80" s="116" t="s">
        <v>89</v>
      </c>
      <c r="E80" s="46">
        <v>1.0097222222222222</v>
      </c>
      <c r="F80" s="115">
        <v>71</v>
      </c>
      <c r="G80" s="67"/>
      <c r="H80" s="67"/>
      <c r="I80" s="104"/>
      <c r="J80" s="67"/>
      <c r="K80" s="52"/>
      <c r="L80" s="92"/>
      <c r="M80" s="52">
        <v>2</v>
      </c>
      <c r="N80" s="52" t="s">
        <v>114</v>
      </c>
      <c r="O80" s="42"/>
      <c r="P80" s="137" t="s">
        <v>442</v>
      </c>
      <c r="Q80" s="141"/>
    </row>
    <row r="81" spans="1:17" ht="15.6">
      <c r="A81" s="139"/>
      <c r="B81" s="127" t="s">
        <v>292</v>
      </c>
      <c r="C81" s="111" t="s">
        <v>237</v>
      </c>
      <c r="D81" s="116" t="s">
        <v>89</v>
      </c>
      <c r="E81" s="46">
        <v>1.0291666666666666</v>
      </c>
      <c r="F81" s="115">
        <v>72</v>
      </c>
      <c r="G81" s="104"/>
      <c r="H81" s="67"/>
      <c r="I81" s="104"/>
      <c r="J81" s="67"/>
      <c r="K81" s="52"/>
      <c r="L81" s="91"/>
      <c r="M81" s="52">
        <v>2</v>
      </c>
      <c r="N81" s="52" t="s">
        <v>114</v>
      </c>
      <c r="O81" s="42"/>
      <c r="P81" s="137" t="s">
        <v>442</v>
      </c>
      <c r="Q81" s="141"/>
    </row>
    <row r="82" spans="1:17" ht="15.6">
      <c r="A82" s="138"/>
      <c r="B82" s="127" t="s">
        <v>293</v>
      </c>
      <c r="C82" s="111" t="s">
        <v>238</v>
      </c>
      <c r="D82" s="116" t="s">
        <v>88</v>
      </c>
      <c r="E82" s="46">
        <v>1.0381944444444444</v>
      </c>
      <c r="F82" s="115">
        <v>73</v>
      </c>
      <c r="G82" s="104"/>
      <c r="H82" s="67"/>
      <c r="I82" s="104"/>
      <c r="J82" s="67"/>
      <c r="K82" s="52"/>
      <c r="L82" s="91"/>
      <c r="M82" s="52">
        <v>2</v>
      </c>
      <c r="N82" s="52" t="s">
        <v>114</v>
      </c>
      <c r="O82" s="42"/>
      <c r="P82" s="137" t="s">
        <v>441</v>
      </c>
      <c r="Q82" s="141"/>
    </row>
    <row r="83" spans="1:17" ht="15.6">
      <c r="A83" s="138"/>
      <c r="B83" s="127" t="s">
        <v>294</v>
      </c>
      <c r="C83" s="111" t="s">
        <v>239</v>
      </c>
      <c r="D83" s="116" t="s">
        <v>90</v>
      </c>
      <c r="E83" s="46">
        <v>1.0451388888888888</v>
      </c>
      <c r="F83" s="115">
        <v>74</v>
      </c>
      <c r="G83" s="93"/>
      <c r="H83" s="41"/>
      <c r="I83" s="93"/>
      <c r="J83" s="41"/>
      <c r="K83" s="52"/>
      <c r="L83" s="90"/>
      <c r="M83" s="52">
        <v>2</v>
      </c>
      <c r="N83" s="52" t="s">
        <v>114</v>
      </c>
      <c r="O83" s="42"/>
      <c r="P83" s="137" t="s">
        <v>441</v>
      </c>
      <c r="Q83" s="141"/>
    </row>
    <row r="84" spans="1:17" ht="15.6">
      <c r="A84" s="138"/>
      <c r="B84" s="127" t="s">
        <v>295</v>
      </c>
      <c r="C84" s="111" t="s">
        <v>65</v>
      </c>
      <c r="D84" s="116" t="s">
        <v>85</v>
      </c>
      <c r="E84" s="46">
        <v>1.0562500000000001</v>
      </c>
      <c r="F84" s="115">
        <v>75</v>
      </c>
      <c r="G84" s="93"/>
      <c r="H84" s="41"/>
      <c r="I84" s="93"/>
      <c r="J84" s="41"/>
      <c r="K84" s="52"/>
      <c r="L84" s="90"/>
      <c r="M84" s="52">
        <v>2</v>
      </c>
      <c r="N84" s="52" t="s">
        <v>114</v>
      </c>
      <c r="O84" s="42"/>
      <c r="P84" s="137" t="s">
        <v>441</v>
      </c>
      <c r="Q84" s="141"/>
    </row>
    <row r="85" spans="1:17" ht="15.6">
      <c r="A85" s="138"/>
      <c r="B85" s="127" t="s">
        <v>296</v>
      </c>
      <c r="C85" s="111" t="s">
        <v>240</v>
      </c>
      <c r="D85" s="116" t="s">
        <v>150</v>
      </c>
      <c r="E85" s="47">
        <v>1.0638888888888889</v>
      </c>
      <c r="F85" s="115">
        <v>76</v>
      </c>
      <c r="G85" s="48"/>
      <c r="H85" s="41"/>
      <c r="I85" s="93"/>
      <c r="J85" s="41"/>
      <c r="K85" s="52"/>
      <c r="L85" s="90"/>
      <c r="M85" s="52">
        <v>2</v>
      </c>
      <c r="N85" s="52" t="s">
        <v>114</v>
      </c>
      <c r="O85" s="42"/>
      <c r="P85" s="137" t="s">
        <v>441</v>
      </c>
      <c r="Q85" s="141"/>
    </row>
    <row r="86" spans="1:17" ht="15.6">
      <c r="A86" s="139"/>
      <c r="B86" s="127" t="s">
        <v>106</v>
      </c>
      <c r="C86" s="111" t="s">
        <v>66</v>
      </c>
      <c r="D86" s="116" t="s">
        <v>89</v>
      </c>
      <c r="E86" s="46">
        <v>1.0770833333333334</v>
      </c>
      <c r="F86" s="115">
        <v>77</v>
      </c>
      <c r="G86" s="93"/>
      <c r="H86" s="41"/>
      <c r="I86" s="93"/>
      <c r="J86" s="41"/>
      <c r="K86" s="52"/>
      <c r="L86" s="90"/>
      <c r="M86" s="52">
        <v>2</v>
      </c>
      <c r="N86" s="52" t="s">
        <v>114</v>
      </c>
      <c r="O86" s="42"/>
      <c r="P86" s="137" t="s">
        <v>442</v>
      </c>
      <c r="Q86" s="141"/>
    </row>
    <row r="87" spans="1:17" ht="15.6">
      <c r="A87" s="138"/>
      <c r="B87" s="127" t="s">
        <v>91</v>
      </c>
      <c r="C87" s="111" t="s">
        <v>241</v>
      </c>
      <c r="D87" s="116" t="s">
        <v>90</v>
      </c>
      <c r="E87" s="46">
        <v>1.0826388888888889</v>
      </c>
      <c r="F87" s="115">
        <v>78</v>
      </c>
      <c r="G87" s="93"/>
      <c r="H87" s="41"/>
      <c r="I87" s="93"/>
      <c r="J87" s="41"/>
      <c r="K87" s="52"/>
      <c r="L87" s="90"/>
      <c r="M87" s="52">
        <v>2</v>
      </c>
      <c r="N87" s="52" t="s">
        <v>114</v>
      </c>
      <c r="O87" s="42"/>
      <c r="P87" s="137" t="s">
        <v>441</v>
      </c>
      <c r="Q87" s="141"/>
    </row>
    <row r="88" spans="1:17" ht="15.6">
      <c r="A88" s="138"/>
      <c r="B88" s="127" t="s">
        <v>297</v>
      </c>
      <c r="C88" s="111" t="s">
        <v>242</v>
      </c>
      <c r="D88" s="116" t="s">
        <v>150</v>
      </c>
      <c r="E88" s="46">
        <v>1.0902777777777779</v>
      </c>
      <c r="F88" s="115">
        <v>79</v>
      </c>
      <c r="G88" s="93"/>
      <c r="H88" s="41"/>
      <c r="I88" s="93"/>
      <c r="J88" s="41"/>
      <c r="K88" s="52"/>
      <c r="L88" s="90"/>
      <c r="M88" s="52">
        <v>2</v>
      </c>
      <c r="N88" s="52" t="s">
        <v>114</v>
      </c>
      <c r="O88" s="42"/>
      <c r="P88" s="137" t="s">
        <v>441</v>
      </c>
      <c r="Q88" s="141"/>
    </row>
    <row r="89" spans="1:17" ht="15.6">
      <c r="A89" s="138"/>
      <c r="B89" s="127" t="s">
        <v>72</v>
      </c>
      <c r="C89" s="111" t="s">
        <v>190</v>
      </c>
      <c r="D89" s="116" t="s">
        <v>150</v>
      </c>
      <c r="E89" s="46">
        <v>1.0979166666666667</v>
      </c>
      <c r="F89" s="115">
        <v>80</v>
      </c>
      <c r="G89" s="48"/>
      <c r="H89" s="41"/>
      <c r="I89" s="93"/>
      <c r="J89" s="41"/>
      <c r="K89" s="52"/>
      <c r="L89" s="90"/>
      <c r="M89" s="52">
        <v>2</v>
      </c>
      <c r="N89" s="52" t="s">
        <v>114</v>
      </c>
      <c r="O89" s="42"/>
      <c r="P89" s="137" t="s">
        <v>441</v>
      </c>
      <c r="Q89" s="141"/>
    </row>
    <row r="90" spans="1:17" ht="15.6">
      <c r="A90" s="139"/>
      <c r="B90" s="130" t="s">
        <v>298</v>
      </c>
      <c r="C90" s="111" t="s">
        <v>243</v>
      </c>
      <c r="D90" s="116" t="s">
        <v>319</v>
      </c>
      <c r="E90" s="46">
        <v>1.101388888888889</v>
      </c>
      <c r="F90" s="115">
        <v>81</v>
      </c>
      <c r="G90" s="48"/>
      <c r="H90" s="41"/>
      <c r="I90" s="93"/>
      <c r="J90" s="41"/>
      <c r="K90" s="52"/>
      <c r="L90" s="90"/>
      <c r="M90" s="52">
        <v>2</v>
      </c>
      <c r="N90" s="52" t="s">
        <v>114</v>
      </c>
      <c r="O90" s="42"/>
      <c r="P90" s="137" t="s">
        <v>442</v>
      </c>
      <c r="Q90" s="141"/>
    </row>
    <row r="91" spans="1:17" ht="15.6">
      <c r="A91" s="139"/>
      <c r="B91" s="127" t="s">
        <v>299</v>
      </c>
      <c r="C91" s="111" t="s">
        <v>59</v>
      </c>
      <c r="D91" s="115" t="s">
        <v>314</v>
      </c>
      <c r="E91" s="46">
        <v>1.1041666666666667</v>
      </c>
      <c r="F91" s="115">
        <v>82</v>
      </c>
      <c r="G91" s="43"/>
      <c r="H91" s="43"/>
      <c r="I91" s="93"/>
      <c r="J91" s="41"/>
      <c r="K91" s="52"/>
      <c r="L91" s="90"/>
      <c r="M91" s="52">
        <v>2</v>
      </c>
      <c r="N91" s="52" t="s">
        <v>114</v>
      </c>
      <c r="O91" s="42"/>
      <c r="P91" s="137" t="s">
        <v>442</v>
      </c>
      <c r="Q91" s="141"/>
    </row>
    <row r="92" spans="1:17" ht="15.6">
      <c r="A92" s="138"/>
      <c r="B92" s="127" t="s">
        <v>279</v>
      </c>
      <c r="C92" s="111" t="s">
        <v>244</v>
      </c>
      <c r="D92" s="116" t="s">
        <v>90</v>
      </c>
      <c r="E92" s="46">
        <v>1.1069444444444445</v>
      </c>
      <c r="F92" s="115">
        <v>83</v>
      </c>
      <c r="G92" s="48"/>
      <c r="H92" s="41"/>
      <c r="I92" s="93"/>
      <c r="J92" s="41"/>
      <c r="K92" s="52"/>
      <c r="L92" s="90"/>
      <c r="M92" s="52">
        <v>2</v>
      </c>
      <c r="N92" s="52" t="s">
        <v>114</v>
      </c>
      <c r="O92" s="42"/>
      <c r="P92" s="137" t="s">
        <v>441</v>
      </c>
      <c r="Q92" s="141"/>
    </row>
    <row r="93" spans="1:17" ht="15.6">
      <c r="A93" s="139"/>
      <c r="B93" s="127" t="s">
        <v>32</v>
      </c>
      <c r="C93" s="111" t="s">
        <v>245</v>
      </c>
      <c r="D93" s="116" t="s">
        <v>318</v>
      </c>
      <c r="E93" s="46">
        <v>1.1118055555555555</v>
      </c>
      <c r="F93" s="115">
        <v>84</v>
      </c>
      <c r="G93" s="104"/>
      <c r="H93" s="67"/>
      <c r="I93" s="104"/>
      <c r="J93" s="67"/>
      <c r="K93" s="52"/>
      <c r="L93" s="91"/>
      <c r="M93" s="52">
        <v>2</v>
      </c>
      <c r="N93" s="52" t="s">
        <v>114</v>
      </c>
      <c r="O93" s="42"/>
      <c r="P93" s="137" t="s">
        <v>442</v>
      </c>
      <c r="Q93" s="141"/>
    </row>
    <row r="94" spans="1:17" ht="15.6">
      <c r="A94" s="139"/>
      <c r="B94" s="127" t="s">
        <v>54</v>
      </c>
      <c r="C94" s="111" t="s">
        <v>70</v>
      </c>
      <c r="D94" s="116" t="s">
        <v>318</v>
      </c>
      <c r="E94" s="46">
        <v>1.1333333333333333</v>
      </c>
      <c r="F94" s="115">
        <v>85</v>
      </c>
      <c r="G94" s="48"/>
      <c r="H94" s="41"/>
      <c r="I94" s="93"/>
      <c r="J94" s="41"/>
      <c r="K94" s="52"/>
      <c r="L94" s="90"/>
      <c r="M94" s="52">
        <v>2</v>
      </c>
      <c r="N94" s="52" t="s">
        <v>114</v>
      </c>
      <c r="O94" s="42"/>
      <c r="P94" s="137" t="s">
        <v>442</v>
      </c>
      <c r="Q94" s="141"/>
    </row>
    <row r="95" spans="1:17" ht="15.6">
      <c r="A95" s="139"/>
      <c r="B95" s="127" t="s">
        <v>51</v>
      </c>
      <c r="C95" s="111" t="s">
        <v>77</v>
      </c>
      <c r="D95" s="116" t="s">
        <v>89</v>
      </c>
      <c r="E95" s="46">
        <v>1.1340277777777776</v>
      </c>
      <c r="F95" s="115">
        <v>86</v>
      </c>
      <c r="G95" s="43"/>
      <c r="H95" s="43"/>
      <c r="I95" s="93"/>
      <c r="J95" s="41"/>
      <c r="K95" s="52"/>
      <c r="L95" s="90"/>
      <c r="M95" s="52">
        <v>2</v>
      </c>
      <c r="N95" s="52" t="s">
        <v>114</v>
      </c>
      <c r="O95" s="42"/>
      <c r="P95" s="137" t="s">
        <v>442</v>
      </c>
      <c r="Q95" s="141"/>
    </row>
    <row r="96" spans="1:17" ht="15.6">
      <c r="A96" s="138"/>
      <c r="B96" s="128" t="s">
        <v>300</v>
      </c>
      <c r="C96" s="112" t="s">
        <v>246</v>
      </c>
      <c r="D96" s="116" t="s">
        <v>84</v>
      </c>
      <c r="E96" s="46">
        <v>1.1618055555555555</v>
      </c>
      <c r="F96" s="112">
        <v>87</v>
      </c>
      <c r="G96" s="93"/>
      <c r="H96" s="41"/>
      <c r="I96" s="48"/>
      <c r="J96" s="41"/>
      <c r="K96" s="52"/>
      <c r="L96" s="90"/>
      <c r="M96" s="52">
        <v>2</v>
      </c>
      <c r="N96" s="52" t="s">
        <v>114</v>
      </c>
      <c r="O96" s="42"/>
      <c r="P96" s="137" t="s">
        <v>441</v>
      </c>
      <c r="Q96" s="141"/>
    </row>
    <row r="97" spans="1:17" ht="15.6">
      <c r="A97" s="139"/>
      <c r="B97" s="130" t="s">
        <v>301</v>
      </c>
      <c r="C97" s="111" t="s">
        <v>48</v>
      </c>
      <c r="D97" s="116" t="s">
        <v>319</v>
      </c>
      <c r="E97" s="117" t="s">
        <v>149</v>
      </c>
      <c r="F97" s="117" t="s">
        <v>149</v>
      </c>
      <c r="G97" s="48"/>
      <c r="H97" s="41"/>
      <c r="I97" s="93"/>
      <c r="J97" s="41"/>
      <c r="K97" s="52"/>
      <c r="L97" s="90"/>
      <c r="M97" s="51" t="s">
        <v>197</v>
      </c>
      <c r="N97" s="52" t="s">
        <v>114</v>
      </c>
      <c r="O97" s="42"/>
      <c r="P97" s="137" t="s">
        <v>442</v>
      </c>
      <c r="Q97" s="141"/>
    </row>
    <row r="98" spans="1:17" ht="15.6">
      <c r="A98" s="139"/>
      <c r="B98" s="130" t="s">
        <v>63</v>
      </c>
      <c r="C98" s="111" t="s">
        <v>26</v>
      </c>
      <c r="D98" s="116" t="s">
        <v>319</v>
      </c>
      <c r="E98" s="117" t="s">
        <v>149</v>
      </c>
      <c r="F98" s="117" t="s">
        <v>149</v>
      </c>
      <c r="G98" s="105"/>
      <c r="H98" s="67"/>
      <c r="I98" s="104"/>
      <c r="J98" s="67"/>
      <c r="K98" s="52"/>
      <c r="L98" s="91"/>
      <c r="M98" s="51" t="s">
        <v>197</v>
      </c>
      <c r="N98" s="52" t="s">
        <v>114</v>
      </c>
      <c r="O98" s="42"/>
      <c r="P98" s="137" t="s">
        <v>442</v>
      </c>
      <c r="Q98" s="141"/>
    </row>
    <row r="99" spans="1:17" ht="15.6">
      <c r="A99" s="139"/>
      <c r="B99" s="130" t="s">
        <v>302</v>
      </c>
      <c r="C99" s="111" t="s">
        <v>247</v>
      </c>
      <c r="D99" s="116" t="s">
        <v>319</v>
      </c>
      <c r="E99" s="117" t="s">
        <v>149</v>
      </c>
      <c r="F99" s="117" t="s">
        <v>149</v>
      </c>
      <c r="G99" s="105"/>
      <c r="H99" s="67"/>
      <c r="I99" s="104"/>
      <c r="J99" s="67"/>
      <c r="K99" s="52"/>
      <c r="L99" s="91"/>
      <c r="M99" s="51" t="s">
        <v>197</v>
      </c>
      <c r="N99" s="52" t="s">
        <v>114</v>
      </c>
      <c r="O99" s="42"/>
      <c r="P99" s="137" t="s">
        <v>442</v>
      </c>
      <c r="Q99" s="141"/>
    </row>
    <row r="100" spans="1:17" ht="15.6">
      <c r="A100" s="139"/>
      <c r="B100" s="130" t="s">
        <v>70</v>
      </c>
      <c r="C100" s="111" t="s">
        <v>248</v>
      </c>
      <c r="D100" s="116" t="s">
        <v>319</v>
      </c>
      <c r="E100" s="117" t="s">
        <v>149</v>
      </c>
      <c r="F100" s="117" t="s">
        <v>149</v>
      </c>
      <c r="G100" s="43"/>
      <c r="H100" s="43"/>
      <c r="I100" s="48"/>
      <c r="J100" s="41"/>
      <c r="K100" s="52"/>
      <c r="L100" s="90"/>
      <c r="M100" s="51" t="s">
        <v>197</v>
      </c>
      <c r="N100" s="52" t="s">
        <v>114</v>
      </c>
      <c r="O100" s="42"/>
      <c r="P100" s="137" t="s">
        <v>442</v>
      </c>
      <c r="Q100" s="141"/>
    </row>
    <row r="101" spans="1:17" ht="15.6">
      <c r="A101" s="138"/>
      <c r="B101" s="127" t="s">
        <v>192</v>
      </c>
      <c r="C101" s="111" t="s">
        <v>191</v>
      </c>
      <c r="D101" s="116" t="s">
        <v>87</v>
      </c>
      <c r="E101" s="117" t="s">
        <v>149</v>
      </c>
      <c r="F101" s="117" t="s">
        <v>149</v>
      </c>
      <c r="G101" s="105"/>
      <c r="H101" s="67"/>
      <c r="I101" s="104"/>
      <c r="J101" s="67"/>
      <c r="K101" s="52"/>
      <c r="L101" s="91"/>
      <c r="M101" s="51" t="s">
        <v>197</v>
      </c>
      <c r="N101" s="52" t="s">
        <v>114</v>
      </c>
      <c r="O101" s="42"/>
      <c r="P101" s="137" t="s">
        <v>441</v>
      </c>
      <c r="Q101" s="141"/>
    </row>
    <row r="102" spans="1:17" ht="15.6">
      <c r="A102" s="138"/>
      <c r="B102" s="128" t="s">
        <v>303</v>
      </c>
      <c r="C102" s="112" t="s">
        <v>249</v>
      </c>
      <c r="D102" s="116" t="s">
        <v>84</v>
      </c>
      <c r="E102" s="117" t="s">
        <v>149</v>
      </c>
      <c r="F102" s="117" t="s">
        <v>149</v>
      </c>
      <c r="G102" s="48"/>
      <c r="H102" s="41"/>
      <c r="I102" s="93"/>
      <c r="J102" s="41"/>
      <c r="K102" s="52"/>
      <c r="L102" s="90"/>
      <c r="M102" s="51" t="s">
        <v>197</v>
      </c>
      <c r="N102" s="52" t="s">
        <v>114</v>
      </c>
      <c r="O102" s="42"/>
      <c r="P102" s="137" t="s">
        <v>441</v>
      </c>
      <c r="Q102" s="141"/>
    </row>
    <row r="103" spans="1:17" ht="15.6">
      <c r="A103" s="138"/>
      <c r="B103" s="128" t="s">
        <v>304</v>
      </c>
      <c r="C103" s="112" t="s">
        <v>250</v>
      </c>
      <c r="D103" s="116" t="s">
        <v>84</v>
      </c>
      <c r="E103" s="117" t="s">
        <v>149</v>
      </c>
      <c r="F103" s="117" t="s">
        <v>149</v>
      </c>
      <c r="G103" s="43"/>
      <c r="H103" s="43"/>
      <c r="I103" s="48"/>
      <c r="J103" s="41"/>
      <c r="K103" s="52"/>
      <c r="L103" s="90"/>
      <c r="M103" s="51" t="s">
        <v>197</v>
      </c>
      <c r="N103" s="52" t="s">
        <v>114</v>
      </c>
      <c r="O103" s="42"/>
      <c r="P103" s="137" t="s">
        <v>441</v>
      </c>
      <c r="Q103" s="141"/>
    </row>
    <row r="104" spans="1:17" ht="15.6">
      <c r="A104" s="138"/>
      <c r="B104" s="128" t="s">
        <v>82</v>
      </c>
      <c r="C104" s="112" t="s">
        <v>57</v>
      </c>
      <c r="D104" s="116" t="s">
        <v>84</v>
      </c>
      <c r="E104" s="117" t="s">
        <v>149</v>
      </c>
      <c r="F104" s="117" t="s">
        <v>149</v>
      </c>
      <c r="G104" s="48"/>
      <c r="H104" s="41"/>
      <c r="I104" s="48"/>
      <c r="J104" s="41"/>
      <c r="K104" s="52"/>
      <c r="L104" s="90"/>
      <c r="M104" s="51" t="s">
        <v>197</v>
      </c>
      <c r="N104" s="52" t="s">
        <v>114</v>
      </c>
      <c r="O104" s="42"/>
      <c r="P104" s="137" t="s">
        <v>441</v>
      </c>
      <c r="Q104" s="141"/>
    </row>
    <row r="105" spans="1:17" ht="15.6">
      <c r="A105" s="138"/>
      <c r="B105" s="128" t="s">
        <v>73</v>
      </c>
      <c r="C105" s="112" t="s">
        <v>251</v>
      </c>
      <c r="D105" s="115" t="s">
        <v>315</v>
      </c>
      <c r="E105" s="117" t="s">
        <v>149</v>
      </c>
      <c r="F105" s="117" t="s">
        <v>149</v>
      </c>
      <c r="G105" s="48"/>
      <c r="H105" s="41"/>
      <c r="I105" s="48"/>
      <c r="J105" s="41"/>
      <c r="K105" s="52"/>
      <c r="L105" s="90"/>
      <c r="M105" s="51" t="s">
        <v>197</v>
      </c>
      <c r="N105" s="52" t="s">
        <v>114</v>
      </c>
      <c r="O105" s="42"/>
      <c r="P105" s="137" t="s">
        <v>441</v>
      </c>
      <c r="Q105" s="141"/>
    </row>
    <row r="106" spans="1:17" ht="15.6">
      <c r="A106" s="138"/>
      <c r="B106" s="128" t="s">
        <v>301</v>
      </c>
      <c r="C106" s="112" t="s">
        <v>95</v>
      </c>
      <c r="D106" s="115" t="s">
        <v>315</v>
      </c>
      <c r="E106" s="117" t="s">
        <v>149</v>
      </c>
      <c r="F106" s="117" t="s">
        <v>149</v>
      </c>
      <c r="G106" s="48"/>
      <c r="H106" s="41"/>
      <c r="I106" s="48"/>
      <c r="J106" s="41"/>
      <c r="K106" s="52"/>
      <c r="L106" s="90"/>
      <c r="M106" s="51" t="s">
        <v>197</v>
      </c>
      <c r="N106" s="52" t="s">
        <v>114</v>
      </c>
      <c r="O106" s="42"/>
      <c r="P106" s="137" t="s">
        <v>441</v>
      </c>
      <c r="Q106" s="141"/>
    </row>
    <row r="107" spans="1:17" ht="15.6">
      <c r="A107" s="138"/>
      <c r="B107" s="128" t="s">
        <v>65</v>
      </c>
      <c r="C107" s="112" t="s">
        <v>252</v>
      </c>
      <c r="D107" s="115" t="s">
        <v>315</v>
      </c>
      <c r="E107" s="117" t="s">
        <v>149</v>
      </c>
      <c r="F107" s="117" t="s">
        <v>149</v>
      </c>
      <c r="G107" s="104"/>
      <c r="H107" s="67"/>
      <c r="I107" s="46"/>
      <c r="J107" s="43"/>
      <c r="K107" s="52"/>
      <c r="L107" s="89"/>
      <c r="M107" s="51" t="s">
        <v>197</v>
      </c>
      <c r="N107" s="52" t="s">
        <v>114</v>
      </c>
      <c r="O107" s="95"/>
      <c r="P107" s="137" t="s">
        <v>441</v>
      </c>
      <c r="Q107" s="141"/>
    </row>
    <row r="108" spans="1:17" ht="15.6">
      <c r="A108" s="138"/>
      <c r="B108" s="127" t="s">
        <v>305</v>
      </c>
      <c r="C108" s="111" t="s">
        <v>253</v>
      </c>
      <c r="D108" s="116" t="s">
        <v>88</v>
      </c>
      <c r="E108" s="117" t="s">
        <v>149</v>
      </c>
      <c r="F108" s="117" t="s">
        <v>149</v>
      </c>
      <c r="G108" s="54"/>
      <c r="H108" s="53"/>
      <c r="I108" s="43"/>
      <c r="J108" s="43"/>
      <c r="K108" s="52"/>
      <c r="L108" s="89"/>
      <c r="M108" s="51" t="s">
        <v>197</v>
      </c>
      <c r="N108" s="52" t="s">
        <v>114</v>
      </c>
      <c r="O108" s="95"/>
      <c r="P108" s="137" t="s">
        <v>441</v>
      </c>
      <c r="Q108" s="141"/>
    </row>
    <row r="109" spans="1:17" ht="15.6">
      <c r="A109" s="138"/>
      <c r="B109" s="127" t="s">
        <v>73</v>
      </c>
      <c r="C109" s="111" t="s">
        <v>38</v>
      </c>
      <c r="D109" s="116" t="s">
        <v>86</v>
      </c>
      <c r="E109" s="117" t="s">
        <v>149</v>
      </c>
      <c r="F109" s="117" t="s">
        <v>149</v>
      </c>
      <c r="G109" s="93"/>
      <c r="H109" s="41"/>
      <c r="I109" s="43"/>
      <c r="J109" s="43"/>
      <c r="K109" s="52"/>
      <c r="L109" s="89"/>
      <c r="M109" s="51" t="s">
        <v>197</v>
      </c>
      <c r="N109" s="52" t="s">
        <v>114</v>
      </c>
      <c r="O109" s="95"/>
      <c r="P109" s="137" t="s">
        <v>441</v>
      </c>
      <c r="Q109" s="141"/>
    </row>
    <row r="110" spans="1:17" ht="15.6">
      <c r="A110" s="138"/>
      <c r="B110" s="127" t="s">
        <v>306</v>
      </c>
      <c r="C110" s="111" t="s">
        <v>254</v>
      </c>
      <c r="D110" s="116" t="s">
        <v>90</v>
      </c>
      <c r="E110" s="117" t="s">
        <v>149</v>
      </c>
      <c r="F110" s="117" t="s">
        <v>149</v>
      </c>
      <c r="G110" s="93"/>
      <c r="H110" s="41"/>
      <c r="I110" s="43"/>
      <c r="J110" s="43"/>
      <c r="K110" s="52"/>
      <c r="L110" s="89"/>
      <c r="M110" s="51" t="s">
        <v>197</v>
      </c>
      <c r="N110" s="52" t="s">
        <v>114</v>
      </c>
      <c r="O110" s="95"/>
      <c r="P110" s="137" t="s">
        <v>441</v>
      </c>
      <c r="Q110" s="141"/>
    </row>
    <row r="111" spans="1:17" ht="15.6">
      <c r="A111" s="138"/>
      <c r="B111" s="127" t="s">
        <v>307</v>
      </c>
      <c r="C111" s="111" t="s">
        <v>255</v>
      </c>
      <c r="D111" s="116" t="s">
        <v>90</v>
      </c>
      <c r="E111" s="117" t="s">
        <v>149</v>
      </c>
      <c r="F111" s="117" t="s">
        <v>149</v>
      </c>
      <c r="G111" s="43"/>
      <c r="H111" s="43"/>
      <c r="I111" s="43"/>
      <c r="J111" s="43"/>
      <c r="K111" s="52"/>
      <c r="L111" s="89"/>
      <c r="M111" s="51" t="s">
        <v>197</v>
      </c>
      <c r="N111" s="52" t="s">
        <v>114</v>
      </c>
      <c r="O111" s="95"/>
      <c r="P111" s="137" t="s">
        <v>441</v>
      </c>
      <c r="Q111" s="141"/>
    </row>
    <row r="112" spans="1:17" ht="15.6">
      <c r="A112" s="138"/>
      <c r="B112" s="127" t="s">
        <v>308</v>
      </c>
      <c r="C112" s="111" t="s">
        <v>256</v>
      </c>
      <c r="D112" s="116" t="s">
        <v>90</v>
      </c>
      <c r="E112" s="117" t="s">
        <v>149</v>
      </c>
      <c r="F112" s="117" t="s">
        <v>149</v>
      </c>
      <c r="G112" s="93"/>
      <c r="H112" s="41"/>
      <c r="I112" s="43"/>
      <c r="J112" s="43"/>
      <c r="K112" s="52"/>
      <c r="L112" s="89"/>
      <c r="M112" s="51" t="s">
        <v>197</v>
      </c>
      <c r="N112" s="52" t="s">
        <v>114</v>
      </c>
      <c r="O112" s="95"/>
      <c r="P112" s="137" t="s">
        <v>441</v>
      </c>
      <c r="Q112" s="141"/>
    </row>
    <row r="113" spans="1:17" ht="15.6">
      <c r="A113" s="138"/>
      <c r="B113" s="128" t="s">
        <v>309</v>
      </c>
      <c r="C113" s="112" t="s">
        <v>257</v>
      </c>
      <c r="D113" s="116" t="s">
        <v>84</v>
      </c>
      <c r="E113" s="117" t="s">
        <v>149</v>
      </c>
      <c r="F113" s="117" t="s">
        <v>149</v>
      </c>
      <c r="G113" s="43"/>
      <c r="H113" s="43"/>
      <c r="I113" s="103"/>
      <c r="J113" s="43"/>
      <c r="K113" s="52"/>
      <c r="L113" s="89"/>
      <c r="M113" s="51" t="s">
        <v>197</v>
      </c>
      <c r="N113" s="52" t="s">
        <v>114</v>
      </c>
      <c r="O113" s="95"/>
      <c r="P113" s="137" t="s">
        <v>441</v>
      </c>
      <c r="Q113" s="141"/>
    </row>
    <row r="114" spans="1:17" ht="15.6">
      <c r="A114" s="138"/>
      <c r="B114" s="128" t="s">
        <v>310</v>
      </c>
      <c r="C114" s="112" t="s">
        <v>258</v>
      </c>
      <c r="D114" s="116" t="s">
        <v>84</v>
      </c>
      <c r="E114" s="117" t="s">
        <v>149</v>
      </c>
      <c r="F114" s="117" t="s">
        <v>149</v>
      </c>
      <c r="G114" s="104"/>
      <c r="H114" s="67"/>
      <c r="I114" s="43"/>
      <c r="J114" s="43"/>
      <c r="K114" s="52"/>
      <c r="L114" s="89"/>
      <c r="M114" s="51" t="s">
        <v>197</v>
      </c>
      <c r="N114" s="52" t="s">
        <v>114</v>
      </c>
      <c r="O114" s="95"/>
      <c r="P114" s="137" t="s">
        <v>441</v>
      </c>
      <c r="Q114" s="141"/>
    </row>
    <row r="115" spans="1:17" ht="15.6">
      <c r="A115" s="138"/>
      <c r="B115" s="128" t="s">
        <v>275</v>
      </c>
      <c r="C115" s="112" t="s">
        <v>259</v>
      </c>
      <c r="D115" s="116" t="s">
        <v>84</v>
      </c>
      <c r="E115" s="117" t="s">
        <v>149</v>
      </c>
      <c r="F115" s="117" t="s">
        <v>149</v>
      </c>
      <c r="G115" s="104"/>
      <c r="H115" s="67"/>
      <c r="I115" s="43"/>
      <c r="J115" s="43"/>
      <c r="K115" s="52"/>
      <c r="L115" s="89"/>
      <c r="M115" s="51" t="s">
        <v>197</v>
      </c>
      <c r="N115" s="52" t="s">
        <v>114</v>
      </c>
      <c r="O115" s="95"/>
      <c r="P115" s="137" t="s">
        <v>441</v>
      </c>
      <c r="Q115" s="141"/>
    </row>
    <row r="116" spans="1:17" ht="15.6">
      <c r="A116" s="138"/>
      <c r="B116" s="128" t="s">
        <v>311</v>
      </c>
      <c r="C116" s="112" t="s">
        <v>260</v>
      </c>
      <c r="D116" s="116" t="s">
        <v>84</v>
      </c>
      <c r="E116" s="117" t="s">
        <v>149</v>
      </c>
      <c r="F116" s="117" t="s">
        <v>149</v>
      </c>
      <c r="G116" s="43"/>
      <c r="H116" s="43"/>
      <c r="I116" s="43"/>
      <c r="J116" s="43"/>
      <c r="K116" s="52"/>
      <c r="L116" s="89"/>
      <c r="M116" s="51" t="s">
        <v>197</v>
      </c>
      <c r="N116" s="52" t="s">
        <v>114</v>
      </c>
      <c r="O116" s="95"/>
      <c r="P116" s="137" t="s">
        <v>441</v>
      </c>
      <c r="Q116" s="141"/>
    </row>
    <row r="117" spans="1:17" ht="15.6">
      <c r="A117" s="138"/>
      <c r="B117" s="128" t="s">
        <v>71</v>
      </c>
      <c r="C117" s="112" t="s">
        <v>50</v>
      </c>
      <c r="D117" s="116" t="s">
        <v>84</v>
      </c>
      <c r="E117" s="117" t="s">
        <v>149</v>
      </c>
      <c r="F117" s="117" t="s">
        <v>149</v>
      </c>
      <c r="G117" s="48"/>
      <c r="H117" s="41"/>
      <c r="I117" s="43"/>
      <c r="J117" s="43"/>
      <c r="K117" s="52"/>
      <c r="L117" s="89"/>
      <c r="M117" s="51" t="s">
        <v>197</v>
      </c>
      <c r="N117" s="52" t="s">
        <v>114</v>
      </c>
      <c r="O117" s="95"/>
      <c r="P117" s="137" t="s">
        <v>441</v>
      </c>
      <c r="Q117" s="141"/>
    </row>
    <row r="118" spans="1:17" ht="15.6">
      <c r="A118" s="138"/>
      <c r="B118" s="128" t="s">
        <v>312</v>
      </c>
      <c r="C118" s="112" t="s">
        <v>261</v>
      </c>
      <c r="D118" s="116" t="s">
        <v>84</v>
      </c>
      <c r="E118" s="117" t="s">
        <v>149</v>
      </c>
      <c r="F118" s="117" t="s">
        <v>149</v>
      </c>
      <c r="G118" s="105"/>
      <c r="H118" s="67"/>
      <c r="I118" s="43"/>
      <c r="J118" s="43"/>
      <c r="K118" s="52"/>
      <c r="L118" s="89"/>
      <c r="M118" s="51" t="s">
        <v>197</v>
      </c>
      <c r="N118" s="52" t="s">
        <v>114</v>
      </c>
      <c r="O118" s="95"/>
      <c r="P118" s="137" t="s">
        <v>441</v>
      </c>
      <c r="Q118" s="141"/>
    </row>
    <row r="119" spans="1:17" ht="15.6">
      <c r="A119" s="138"/>
      <c r="B119" s="128" t="s">
        <v>77</v>
      </c>
      <c r="C119" s="112" t="s">
        <v>52</v>
      </c>
      <c r="D119" s="116" t="s">
        <v>84</v>
      </c>
      <c r="E119" s="117" t="s">
        <v>149</v>
      </c>
      <c r="F119" s="117" t="s">
        <v>149</v>
      </c>
      <c r="G119" s="43"/>
      <c r="H119" s="43"/>
      <c r="I119" s="43"/>
      <c r="J119" s="43"/>
      <c r="K119" s="52"/>
      <c r="L119" s="89"/>
      <c r="M119" s="51" t="s">
        <v>197</v>
      </c>
      <c r="N119" s="52" t="s">
        <v>114</v>
      </c>
      <c r="O119" s="95"/>
      <c r="P119" s="137" t="s">
        <v>441</v>
      </c>
      <c r="Q119" s="141"/>
    </row>
    <row r="120" spans="1:17" ht="15.6">
      <c r="A120" s="139"/>
      <c r="B120" s="131"/>
      <c r="C120" s="50"/>
      <c r="D120" s="43"/>
      <c r="E120" s="43"/>
      <c r="F120" s="43"/>
      <c r="G120" s="105"/>
      <c r="H120" s="67"/>
      <c r="I120" s="43"/>
      <c r="J120" s="43"/>
      <c r="K120" s="52"/>
      <c r="L120" s="89"/>
      <c r="M120" s="68"/>
      <c r="N120" s="52"/>
      <c r="O120" s="95"/>
      <c r="P120" s="42"/>
      <c r="Q120" s="140"/>
    </row>
    <row r="121" spans="1:17" ht="15.6">
      <c r="A121" s="139"/>
      <c r="B121" s="132"/>
      <c r="C121" s="39"/>
      <c r="D121" s="38"/>
      <c r="E121" s="43"/>
      <c r="F121" s="43"/>
      <c r="G121" s="43"/>
      <c r="H121" s="43"/>
      <c r="I121" s="43"/>
      <c r="J121" s="43"/>
      <c r="K121" s="52"/>
      <c r="L121" s="89"/>
      <c r="M121" s="52"/>
      <c r="N121" s="52"/>
      <c r="O121" s="95"/>
      <c r="P121" s="95"/>
      <c r="Q121" s="35"/>
    </row>
    <row r="122" spans="1:17" ht="15.6">
      <c r="A122" s="139"/>
      <c r="B122" s="132"/>
      <c r="C122" s="39"/>
      <c r="D122" s="38"/>
      <c r="E122" s="43"/>
      <c r="F122" s="43"/>
      <c r="G122" s="43"/>
      <c r="H122" s="43"/>
      <c r="I122" s="43"/>
      <c r="J122" s="43"/>
      <c r="K122" s="52"/>
      <c r="L122" s="89"/>
      <c r="M122" s="52"/>
      <c r="N122" s="52"/>
      <c r="O122" s="95"/>
      <c r="P122" s="95"/>
      <c r="Q122" s="35"/>
    </row>
    <row r="123" spans="1:17" ht="15.6">
      <c r="A123" s="139"/>
      <c r="B123" s="132"/>
      <c r="C123" s="39"/>
      <c r="D123" s="38"/>
      <c r="E123" s="43"/>
      <c r="F123" s="43"/>
      <c r="G123" s="43"/>
      <c r="H123" s="43"/>
      <c r="I123" s="43"/>
      <c r="J123" s="43"/>
      <c r="K123" s="52"/>
      <c r="L123" s="89"/>
      <c r="M123" s="52"/>
      <c r="N123" s="52"/>
      <c r="O123" s="95"/>
      <c r="P123" s="95"/>
      <c r="Q123" s="35"/>
    </row>
    <row r="124" spans="1:17" ht="15.6">
      <c r="A124" s="139"/>
      <c r="B124" s="133"/>
      <c r="C124" s="41"/>
      <c r="D124" s="43"/>
      <c r="E124" s="43"/>
      <c r="F124" s="43"/>
      <c r="G124" s="43"/>
      <c r="H124" s="43"/>
      <c r="I124" s="43"/>
      <c r="J124" s="43"/>
      <c r="K124" s="52"/>
      <c r="L124" s="89"/>
      <c r="M124" s="52"/>
      <c r="N124" s="52"/>
      <c r="O124" s="95"/>
      <c r="P124" s="95"/>
      <c r="Q124" s="35"/>
    </row>
    <row r="125" spans="1:17" ht="15.6">
      <c r="A125" s="139"/>
      <c r="B125" s="134"/>
      <c r="C125" s="44"/>
      <c r="D125" s="43"/>
      <c r="E125" s="43"/>
      <c r="F125" s="43"/>
      <c r="G125" s="43"/>
      <c r="H125" s="43"/>
      <c r="I125" s="43"/>
      <c r="J125" s="43"/>
      <c r="K125" s="52"/>
      <c r="L125" s="89"/>
      <c r="M125" s="52"/>
      <c r="N125" s="52"/>
      <c r="O125" s="95"/>
      <c r="P125" s="95"/>
      <c r="Q125" s="35"/>
    </row>
    <row r="126" spans="1:17" ht="15.6">
      <c r="A126" s="139"/>
      <c r="B126" s="134"/>
      <c r="C126" s="44"/>
      <c r="D126" s="43"/>
      <c r="E126" s="43"/>
      <c r="F126" s="43"/>
      <c r="G126" s="43"/>
      <c r="H126" s="43"/>
      <c r="I126" s="43"/>
      <c r="J126" s="43"/>
      <c r="K126" s="52"/>
      <c r="L126" s="89"/>
      <c r="M126" s="52"/>
      <c r="N126" s="52"/>
      <c r="O126" s="95"/>
      <c r="P126" s="95"/>
      <c r="Q126" s="35"/>
    </row>
    <row r="127" spans="1:17" ht="15.6">
      <c r="A127" s="139"/>
      <c r="B127" s="134"/>
      <c r="C127" s="44"/>
      <c r="D127" s="43"/>
      <c r="E127" s="43"/>
      <c r="F127" s="43"/>
      <c r="G127" s="43"/>
      <c r="H127" s="43"/>
      <c r="I127" s="43"/>
      <c r="J127" s="43"/>
      <c r="K127" s="52"/>
      <c r="L127" s="89"/>
      <c r="M127" s="52"/>
      <c r="N127" s="52"/>
      <c r="O127" s="95"/>
      <c r="P127" s="95"/>
      <c r="Q127" s="35"/>
    </row>
    <row r="128" spans="1:17" ht="15.6">
      <c r="A128" s="139"/>
      <c r="B128" s="134"/>
      <c r="C128" s="44"/>
      <c r="D128" s="43"/>
      <c r="E128" s="43"/>
      <c r="F128" s="43"/>
      <c r="G128" s="43"/>
      <c r="H128" s="43"/>
      <c r="I128" s="43"/>
      <c r="J128" s="43"/>
      <c r="K128" s="52"/>
      <c r="L128" s="89"/>
      <c r="M128" s="52"/>
      <c r="N128" s="52"/>
      <c r="O128" s="95"/>
      <c r="P128" s="95"/>
      <c r="Q128" s="35"/>
    </row>
    <row r="129" spans="1:17" ht="15.6">
      <c r="A129" s="139"/>
      <c r="B129" s="132"/>
      <c r="C129" s="39"/>
      <c r="D129" s="38"/>
      <c r="E129" s="43"/>
      <c r="F129" s="43"/>
      <c r="G129" s="48"/>
      <c r="H129" s="41"/>
      <c r="I129" s="106"/>
      <c r="J129" s="107"/>
      <c r="K129" s="52"/>
      <c r="L129" s="90"/>
      <c r="M129" s="49"/>
      <c r="N129" s="51"/>
      <c r="O129" s="42"/>
      <c r="P129" s="42"/>
      <c r="Q129" s="35"/>
    </row>
    <row r="130" spans="1:17" ht="15.6">
      <c r="A130" s="139"/>
      <c r="B130" s="132"/>
      <c r="C130" s="39"/>
      <c r="D130" s="38"/>
      <c r="E130" s="43"/>
      <c r="F130" s="43"/>
      <c r="G130" s="48"/>
      <c r="H130" s="41"/>
      <c r="I130" s="106"/>
      <c r="J130" s="107"/>
      <c r="K130" s="52"/>
      <c r="L130" s="90"/>
      <c r="M130" s="49"/>
      <c r="N130" s="51"/>
      <c r="O130" s="42"/>
      <c r="P130" s="42"/>
      <c r="Q130" s="35"/>
    </row>
    <row r="131" spans="1:17" ht="15.6">
      <c r="A131" s="139"/>
      <c r="B131" s="131"/>
      <c r="C131" s="50"/>
      <c r="D131" s="50"/>
      <c r="E131" s="43"/>
      <c r="F131" s="43"/>
      <c r="G131" s="105"/>
      <c r="H131" s="67"/>
      <c r="I131" s="108"/>
      <c r="J131" s="109"/>
      <c r="K131" s="52"/>
      <c r="L131" s="91"/>
      <c r="M131" s="49"/>
      <c r="N131" s="51"/>
      <c r="O131" s="42"/>
      <c r="P131" s="42"/>
      <c r="Q131" s="35"/>
    </row>
    <row r="132" spans="1:17" ht="15.6">
      <c r="A132" s="139"/>
      <c r="B132" s="132"/>
      <c r="C132" s="39"/>
      <c r="D132" s="38"/>
      <c r="E132" s="40"/>
      <c r="F132" s="41"/>
      <c r="G132" s="43"/>
      <c r="H132" s="43"/>
      <c r="I132" s="106"/>
      <c r="J132" s="107"/>
      <c r="K132" s="52"/>
      <c r="L132" s="90"/>
      <c r="M132" s="51"/>
      <c r="N132" s="51"/>
      <c r="O132" s="42"/>
      <c r="P132" s="42"/>
      <c r="Q132" s="35"/>
    </row>
    <row r="133" spans="1:17" ht="15.6">
      <c r="A133" s="139"/>
      <c r="B133" s="135"/>
      <c r="C133" s="44"/>
      <c r="D133" s="43"/>
      <c r="E133" s="45"/>
      <c r="F133" s="41"/>
      <c r="G133" s="48"/>
      <c r="H133" s="41"/>
      <c r="I133" s="106"/>
      <c r="J133" s="107"/>
      <c r="K133" s="52"/>
      <c r="L133" s="90"/>
      <c r="M133" s="51"/>
      <c r="N133" s="51"/>
      <c r="O133" s="42"/>
      <c r="P133" s="42"/>
      <c r="Q133" s="35"/>
    </row>
    <row r="134" spans="1:17" ht="15.6">
      <c r="A134" s="139"/>
      <c r="B134" s="134"/>
      <c r="C134" s="44"/>
      <c r="D134" s="43"/>
      <c r="E134" s="45"/>
      <c r="F134" s="41"/>
      <c r="G134" s="48"/>
      <c r="H134" s="41"/>
      <c r="I134" s="106"/>
      <c r="J134" s="107"/>
      <c r="K134" s="52"/>
      <c r="L134" s="90"/>
      <c r="M134" s="51"/>
      <c r="N134" s="51"/>
      <c r="O134" s="42"/>
      <c r="P134" s="42"/>
      <c r="Q134" s="35"/>
    </row>
    <row r="135" spans="1:17" ht="15.6">
      <c r="A135" s="139"/>
      <c r="B135" s="131"/>
      <c r="C135" s="50"/>
      <c r="D135" s="50"/>
      <c r="E135" s="43"/>
      <c r="F135" s="43"/>
      <c r="G135" s="105"/>
      <c r="H135" s="67"/>
      <c r="I135" s="108"/>
      <c r="J135" s="109"/>
      <c r="K135" s="52"/>
      <c r="L135" s="91"/>
      <c r="M135" s="49"/>
      <c r="N135" s="49"/>
      <c r="O135" s="42"/>
      <c r="P135" s="42"/>
      <c r="Q135" s="35"/>
    </row>
    <row r="136" spans="1:17" ht="15.6">
      <c r="A136" s="139"/>
      <c r="B136" s="132"/>
      <c r="C136" s="39"/>
      <c r="D136" s="38"/>
      <c r="E136" s="40"/>
      <c r="F136" s="41"/>
      <c r="G136" s="43"/>
      <c r="H136" s="43"/>
      <c r="I136" s="106"/>
      <c r="J136" s="107"/>
      <c r="K136" s="52"/>
      <c r="L136" s="90"/>
      <c r="M136" s="51"/>
      <c r="N136" s="51"/>
      <c r="O136" s="42"/>
      <c r="P136" s="42"/>
      <c r="Q136" s="35"/>
    </row>
    <row r="137" spans="1:17" ht="15.6">
      <c r="A137" s="139"/>
      <c r="B137" s="133"/>
      <c r="C137" s="41"/>
      <c r="D137" s="43"/>
      <c r="E137" s="45"/>
      <c r="F137" s="41"/>
      <c r="G137" s="48"/>
      <c r="H137" s="41"/>
      <c r="I137" s="106"/>
      <c r="J137" s="107"/>
      <c r="K137" s="52"/>
      <c r="L137" s="90"/>
      <c r="M137" s="51"/>
      <c r="N137" s="51"/>
      <c r="O137" s="42"/>
      <c r="P137" s="42"/>
      <c r="Q137" s="35"/>
    </row>
    <row r="138" spans="1:17" ht="15.6">
      <c r="A138" s="139"/>
      <c r="B138" s="131"/>
      <c r="C138" s="50"/>
      <c r="D138" s="50"/>
      <c r="E138" s="43"/>
      <c r="F138" s="43"/>
      <c r="G138" s="105"/>
      <c r="H138" s="67"/>
      <c r="I138" s="108"/>
      <c r="J138" s="109"/>
      <c r="K138" s="52"/>
      <c r="L138" s="91"/>
      <c r="M138" s="49"/>
      <c r="N138" s="51"/>
      <c r="O138" s="42"/>
      <c r="P138" s="42"/>
      <c r="Q138" s="35"/>
    </row>
    <row r="139" spans="1:17" ht="15.6">
      <c r="A139" s="139"/>
      <c r="B139" s="134"/>
      <c r="C139" s="44"/>
      <c r="D139" s="43"/>
      <c r="E139" s="45"/>
      <c r="F139" s="41"/>
      <c r="G139" s="48"/>
      <c r="H139" s="41"/>
      <c r="I139" s="106"/>
      <c r="J139" s="107"/>
      <c r="K139" s="52"/>
      <c r="L139" s="90"/>
      <c r="M139" s="51"/>
      <c r="N139" s="51"/>
      <c r="O139" s="42"/>
      <c r="P139" s="42"/>
      <c r="Q139" s="35"/>
    </row>
    <row r="140" spans="1:17" ht="15.6">
      <c r="A140" s="139"/>
      <c r="B140" s="134"/>
      <c r="C140" s="44"/>
      <c r="D140" s="43"/>
      <c r="E140" s="45"/>
      <c r="F140" s="41"/>
      <c r="G140" s="48"/>
      <c r="H140" s="41"/>
      <c r="I140" s="106"/>
      <c r="J140" s="107"/>
      <c r="K140" s="52"/>
      <c r="L140" s="90"/>
      <c r="M140" s="51"/>
      <c r="N140" s="51"/>
      <c r="O140" s="42"/>
      <c r="P140" s="42"/>
      <c r="Q140" s="35"/>
    </row>
    <row r="141" spans="1:17" ht="15.6">
      <c r="A141" s="139"/>
      <c r="B141" s="134"/>
      <c r="C141" s="44"/>
      <c r="D141" s="43"/>
      <c r="E141" s="45"/>
      <c r="F141" s="41"/>
      <c r="G141" s="48"/>
      <c r="H141" s="41"/>
      <c r="I141" s="106"/>
      <c r="J141" s="107"/>
      <c r="K141" s="52"/>
      <c r="L141" s="90"/>
      <c r="M141" s="51"/>
      <c r="N141" s="51"/>
      <c r="O141" s="42"/>
      <c r="P141" s="42"/>
      <c r="Q141" s="35"/>
    </row>
    <row r="142" spans="1:17" ht="15.6">
      <c r="A142" s="139"/>
      <c r="B142" s="134"/>
      <c r="C142" s="44"/>
      <c r="D142" s="43"/>
      <c r="E142" s="45"/>
      <c r="F142" s="41"/>
      <c r="G142" s="48"/>
      <c r="H142" s="41"/>
      <c r="I142" s="106"/>
      <c r="J142" s="107"/>
      <c r="K142" s="52"/>
      <c r="L142" s="90"/>
      <c r="M142" s="51"/>
      <c r="N142" s="51"/>
      <c r="O142" s="42"/>
      <c r="P142" s="42"/>
      <c r="Q142" s="35"/>
    </row>
    <row r="143" spans="1:17" ht="15.6">
      <c r="A143" s="139"/>
      <c r="B143" s="134"/>
      <c r="C143" s="44"/>
      <c r="D143" s="43"/>
      <c r="E143" s="46"/>
      <c r="F143" s="41"/>
      <c r="G143" s="48"/>
      <c r="H143" s="41"/>
      <c r="I143" s="106"/>
      <c r="J143" s="107"/>
      <c r="K143" s="52"/>
      <c r="L143" s="90"/>
      <c r="M143" s="51"/>
      <c r="N143" s="51"/>
      <c r="O143" s="42"/>
      <c r="P143" s="42"/>
      <c r="Q143" s="35"/>
    </row>
    <row r="144" spans="1:17" ht="15.6">
      <c r="A144" s="139"/>
      <c r="B144" s="132"/>
      <c r="C144" s="39"/>
      <c r="D144" s="38"/>
      <c r="E144" s="47"/>
      <c r="F144" s="41"/>
      <c r="G144" s="48"/>
      <c r="H144" s="41"/>
      <c r="I144" s="106"/>
      <c r="J144" s="107"/>
      <c r="K144" s="52"/>
      <c r="L144" s="90"/>
      <c r="M144" s="51"/>
      <c r="N144" s="51"/>
      <c r="O144" s="42"/>
      <c r="P144" s="42"/>
      <c r="Q144" s="35"/>
    </row>
    <row r="145" spans="1:17" ht="15.6">
      <c r="A145" s="139"/>
      <c r="B145" s="134"/>
      <c r="C145" s="43"/>
      <c r="D145" s="43"/>
      <c r="E145" s="46"/>
      <c r="F145" s="41"/>
      <c r="G145" s="48"/>
      <c r="H145" s="41"/>
      <c r="I145" s="106"/>
      <c r="J145" s="107"/>
      <c r="K145" s="52"/>
      <c r="L145" s="90"/>
      <c r="M145" s="51"/>
      <c r="N145" s="51"/>
      <c r="O145" s="42"/>
      <c r="P145" s="42"/>
      <c r="Q145" s="35"/>
    </row>
    <row r="146" spans="1:17" ht="15.6">
      <c r="A146" s="139"/>
      <c r="B146" s="134"/>
      <c r="C146" s="44"/>
      <c r="D146" s="43"/>
      <c r="E146" s="45"/>
      <c r="F146" s="41"/>
      <c r="G146" s="48"/>
      <c r="H146" s="41"/>
      <c r="I146" s="106"/>
      <c r="J146" s="107"/>
      <c r="K146" s="52"/>
      <c r="L146" s="90"/>
      <c r="M146" s="51"/>
      <c r="N146" s="51"/>
      <c r="O146" s="42"/>
      <c r="P146" s="42"/>
      <c r="Q146" s="35"/>
    </row>
    <row r="147" spans="1:17" ht="15.6">
      <c r="A147" s="139"/>
      <c r="B147" s="134"/>
      <c r="C147" s="44"/>
      <c r="D147" s="43"/>
      <c r="E147" s="46"/>
      <c r="F147" s="41"/>
      <c r="G147" s="48"/>
      <c r="H147" s="41"/>
      <c r="I147" s="106"/>
      <c r="J147" s="107"/>
      <c r="K147" s="52"/>
      <c r="L147" s="90"/>
      <c r="M147" s="51"/>
      <c r="N147" s="51"/>
      <c r="O147" s="42"/>
      <c r="P147" s="42"/>
      <c r="Q147" s="35"/>
    </row>
    <row r="148" spans="1:17" ht="15.6">
      <c r="A148" s="139"/>
      <c r="B148" s="135"/>
      <c r="C148" s="44"/>
      <c r="D148" s="43"/>
      <c r="E148" s="45"/>
      <c r="F148" s="41"/>
      <c r="G148" s="43"/>
      <c r="H148" s="43"/>
      <c r="I148" s="106"/>
      <c r="J148" s="107"/>
      <c r="K148" s="52"/>
      <c r="L148" s="90"/>
      <c r="M148" s="51"/>
      <c r="N148" s="51"/>
      <c r="O148" s="42"/>
      <c r="P148" s="42"/>
      <c r="Q148" s="35"/>
    </row>
    <row r="149" spans="1:17" ht="15.6">
      <c r="A149" s="139"/>
      <c r="B149" s="131"/>
      <c r="C149" s="50"/>
      <c r="D149" s="50"/>
      <c r="E149" s="43"/>
      <c r="F149" s="43"/>
      <c r="G149" s="105"/>
      <c r="H149" s="67"/>
      <c r="I149" s="108"/>
      <c r="J149" s="109"/>
      <c r="K149" s="52"/>
      <c r="L149" s="91"/>
      <c r="M149" s="49"/>
      <c r="N149" s="49"/>
      <c r="O149" s="42"/>
      <c r="P149" s="42"/>
      <c r="Q149" s="35"/>
    </row>
    <row r="150" spans="1:17" ht="15.6">
      <c r="A150" s="139"/>
      <c r="B150" s="134"/>
      <c r="C150" s="44"/>
      <c r="D150" s="43"/>
      <c r="E150" s="45"/>
      <c r="F150" s="41"/>
      <c r="G150" s="48"/>
      <c r="H150" s="41"/>
      <c r="I150" s="106"/>
      <c r="J150" s="107"/>
      <c r="K150" s="52"/>
      <c r="L150" s="90"/>
      <c r="M150" s="51"/>
      <c r="N150" s="51"/>
      <c r="O150" s="42"/>
      <c r="P150" s="42"/>
      <c r="Q150" s="35"/>
    </row>
    <row r="151" spans="1:17" ht="15.6">
      <c r="A151" s="139"/>
      <c r="B151" s="134"/>
      <c r="C151" s="44"/>
      <c r="D151" s="43"/>
      <c r="E151" s="46"/>
      <c r="F151" s="41"/>
      <c r="G151" s="43"/>
      <c r="H151" s="43"/>
      <c r="I151" s="106"/>
      <c r="J151" s="107"/>
      <c r="K151" s="52"/>
      <c r="L151" s="90"/>
      <c r="M151" s="51"/>
      <c r="N151" s="51"/>
      <c r="O151" s="42"/>
      <c r="P151" s="42"/>
      <c r="Q151" s="35"/>
    </row>
    <row r="152" spans="1:17" ht="15.6">
      <c r="A152" s="139"/>
      <c r="B152" s="131"/>
      <c r="C152" s="50"/>
      <c r="D152" s="50"/>
      <c r="E152" s="43"/>
      <c r="F152" s="43"/>
      <c r="G152" s="105"/>
      <c r="H152" s="67"/>
      <c r="I152" s="108"/>
      <c r="J152" s="109"/>
      <c r="K152" s="52"/>
      <c r="L152" s="91"/>
      <c r="M152" s="49"/>
      <c r="N152" s="49"/>
      <c r="O152" s="42"/>
      <c r="P152" s="42"/>
      <c r="Q152" s="35"/>
    </row>
    <row r="153" spans="1:17" ht="15.6">
      <c r="A153" s="139"/>
      <c r="B153" s="132"/>
      <c r="C153" s="39"/>
      <c r="D153" s="38"/>
      <c r="E153" s="47"/>
      <c r="F153" s="41"/>
      <c r="G153" s="48"/>
      <c r="H153" s="41"/>
      <c r="I153" s="106"/>
      <c r="J153" s="107"/>
      <c r="K153" s="52"/>
      <c r="L153" s="90"/>
      <c r="M153" s="51"/>
      <c r="N153" s="51"/>
      <c r="O153" s="42"/>
      <c r="P153" s="42"/>
      <c r="Q153" s="35"/>
    </row>
    <row r="154" spans="1:17" ht="15.6">
      <c r="A154" s="139"/>
      <c r="B154" s="134"/>
      <c r="C154" s="44"/>
      <c r="D154" s="43"/>
      <c r="E154" s="46"/>
      <c r="F154" s="41"/>
      <c r="G154" s="48"/>
      <c r="H154" s="41"/>
      <c r="I154" s="106"/>
      <c r="J154" s="107"/>
      <c r="K154" s="52"/>
      <c r="L154" s="90"/>
      <c r="M154" s="51"/>
      <c r="N154" s="51"/>
      <c r="O154" s="42"/>
      <c r="P154" s="42"/>
      <c r="Q154" s="35"/>
    </row>
    <row r="155" spans="1:17" ht="15.6">
      <c r="A155" s="139"/>
      <c r="B155" s="134"/>
      <c r="C155" s="44"/>
      <c r="D155" s="43"/>
      <c r="E155" s="46"/>
      <c r="F155" s="41"/>
      <c r="G155" s="48"/>
      <c r="H155" s="41"/>
      <c r="I155" s="106"/>
      <c r="J155" s="107"/>
      <c r="K155" s="52"/>
      <c r="L155" s="90"/>
      <c r="M155" s="51"/>
      <c r="N155" s="51"/>
      <c r="O155" s="42"/>
      <c r="P155" s="42"/>
      <c r="Q155" s="35"/>
    </row>
    <row r="156" spans="1:17" ht="15.6">
      <c r="A156" s="139"/>
      <c r="B156" s="131"/>
      <c r="C156" s="50"/>
      <c r="D156" s="50"/>
      <c r="E156" s="43"/>
      <c r="F156" s="43"/>
      <c r="G156" s="105"/>
      <c r="H156" s="67"/>
      <c r="I156" s="108"/>
      <c r="J156" s="109"/>
      <c r="K156" s="52"/>
      <c r="L156" s="91"/>
      <c r="M156" s="49"/>
      <c r="N156" s="51"/>
      <c r="O156" s="42"/>
      <c r="P156" s="42"/>
      <c r="Q156" s="35"/>
    </row>
    <row r="157" spans="1:17" ht="15.6">
      <c r="A157" s="139"/>
      <c r="B157" s="131"/>
      <c r="C157" s="50"/>
      <c r="D157" s="50"/>
      <c r="E157" s="43"/>
      <c r="F157" s="43"/>
      <c r="G157" s="105"/>
      <c r="H157" s="67"/>
      <c r="I157" s="108"/>
      <c r="J157" s="109"/>
      <c r="K157" s="52"/>
      <c r="L157" s="91"/>
      <c r="M157" s="49"/>
      <c r="N157" s="51"/>
      <c r="O157" s="42"/>
      <c r="P157" s="42"/>
      <c r="Q157" s="35"/>
    </row>
    <row r="158" spans="1:17" ht="15.6">
      <c r="A158" s="139"/>
      <c r="B158" s="134"/>
      <c r="C158" s="44"/>
      <c r="D158" s="43"/>
      <c r="E158" s="46"/>
      <c r="F158" s="41"/>
      <c r="G158" s="48"/>
      <c r="H158" s="41"/>
      <c r="I158" s="106"/>
      <c r="J158" s="107"/>
      <c r="K158" s="52"/>
      <c r="L158" s="90"/>
      <c r="M158" s="51"/>
      <c r="N158" s="51"/>
      <c r="O158" s="42"/>
      <c r="P158" s="42"/>
      <c r="Q158" s="35"/>
    </row>
    <row r="159" spans="1:17" ht="15.6">
      <c r="A159" s="139"/>
      <c r="B159" s="131"/>
      <c r="C159" s="50"/>
      <c r="D159" s="50"/>
      <c r="E159" s="43"/>
      <c r="F159" s="43"/>
      <c r="G159" s="105"/>
      <c r="H159" s="67"/>
      <c r="I159" s="108"/>
      <c r="J159" s="109"/>
      <c r="K159" s="52"/>
      <c r="L159" s="91"/>
      <c r="M159" s="49"/>
      <c r="N159" s="49"/>
      <c r="O159" s="42"/>
      <c r="P159" s="42"/>
      <c r="Q159" s="35"/>
    </row>
    <row r="160" spans="1:17" ht="15.6">
      <c r="A160" s="139"/>
      <c r="B160" s="134"/>
      <c r="C160" s="44"/>
      <c r="D160" s="43"/>
      <c r="E160" s="46"/>
      <c r="F160" s="43"/>
      <c r="G160" s="43"/>
      <c r="H160" s="43"/>
      <c r="I160" s="106"/>
      <c r="J160" s="107"/>
      <c r="K160" s="52"/>
      <c r="L160" s="90"/>
      <c r="M160" s="51"/>
      <c r="N160" s="51"/>
      <c r="O160" s="42"/>
      <c r="P160" s="42"/>
      <c r="Q160" s="35"/>
    </row>
    <row r="161" spans="1:17" ht="15.6">
      <c r="A161" s="139"/>
      <c r="B161" s="135"/>
      <c r="C161" s="44"/>
      <c r="D161" s="43"/>
      <c r="E161" s="46"/>
      <c r="F161" s="41"/>
      <c r="G161" s="48"/>
      <c r="H161" s="41"/>
      <c r="I161" s="106"/>
      <c r="J161" s="107"/>
      <c r="K161" s="52"/>
      <c r="L161" s="90"/>
      <c r="M161" s="51"/>
      <c r="N161" s="51"/>
      <c r="O161" s="42"/>
      <c r="P161" s="42"/>
      <c r="Q161" s="35"/>
    </row>
    <row r="162" spans="1:17" ht="15.6">
      <c r="A162" s="139"/>
      <c r="B162" s="134"/>
      <c r="C162" s="44"/>
      <c r="D162" s="43"/>
      <c r="E162" s="46"/>
      <c r="F162" s="41"/>
      <c r="G162" s="48"/>
      <c r="H162" s="41"/>
      <c r="I162" s="106"/>
      <c r="J162" s="107"/>
      <c r="K162" s="52"/>
      <c r="L162" s="90"/>
      <c r="M162" s="51"/>
      <c r="N162" s="51"/>
      <c r="O162" s="42"/>
      <c r="P162" s="42"/>
      <c r="Q162" s="35"/>
    </row>
    <row r="163" spans="1:17" ht="15.6">
      <c r="A163" s="139"/>
      <c r="B163" s="135"/>
      <c r="C163" s="44"/>
      <c r="D163" s="43"/>
      <c r="E163" s="46"/>
      <c r="F163" s="41"/>
      <c r="G163" s="48"/>
      <c r="H163" s="41"/>
      <c r="I163" s="106"/>
      <c r="J163" s="107"/>
      <c r="K163" s="52"/>
      <c r="L163" s="90"/>
      <c r="M163" s="51"/>
      <c r="N163" s="51"/>
      <c r="O163" s="42"/>
      <c r="P163" s="42"/>
      <c r="Q163" s="35"/>
    </row>
    <row r="164" spans="1:17" ht="15.6">
      <c r="A164" s="139"/>
      <c r="B164" s="133"/>
      <c r="C164" s="41"/>
      <c r="D164" s="43"/>
      <c r="E164" s="46"/>
      <c r="F164" s="41"/>
      <c r="G164" s="43"/>
      <c r="H164" s="43"/>
      <c r="I164" s="106"/>
      <c r="J164" s="107"/>
      <c r="K164" s="52"/>
      <c r="L164" s="90"/>
      <c r="M164" s="51"/>
      <c r="N164" s="51"/>
      <c r="O164" s="42"/>
      <c r="P164" s="42"/>
      <c r="Q164" s="35"/>
    </row>
    <row r="165" spans="1:17" ht="15.6">
      <c r="A165" s="139"/>
      <c r="B165" s="134"/>
      <c r="C165" s="44"/>
      <c r="D165" s="43"/>
      <c r="E165" s="46"/>
      <c r="F165" s="41"/>
      <c r="G165" s="48"/>
      <c r="H165" s="41"/>
      <c r="I165" s="106"/>
      <c r="J165" s="107"/>
      <c r="K165" s="52"/>
      <c r="L165" s="90"/>
      <c r="M165" s="51"/>
      <c r="N165" s="51"/>
      <c r="O165" s="42"/>
      <c r="P165" s="42"/>
      <c r="Q165" s="35"/>
    </row>
    <row r="166" spans="1:17" ht="15.6">
      <c r="A166" s="139"/>
      <c r="B166" s="131"/>
      <c r="C166" s="50"/>
      <c r="D166" s="50"/>
      <c r="E166" s="43"/>
      <c r="F166" s="43"/>
      <c r="G166" s="105"/>
      <c r="H166" s="67"/>
      <c r="I166" s="108"/>
      <c r="J166" s="109"/>
      <c r="K166" s="52"/>
      <c r="L166" s="91"/>
      <c r="M166" s="49"/>
      <c r="N166" s="49"/>
      <c r="O166" s="42"/>
      <c r="P166" s="42"/>
      <c r="Q166" s="35"/>
    </row>
    <row r="167" spans="1:17" ht="15.6">
      <c r="A167" s="139"/>
      <c r="B167" s="134"/>
      <c r="C167" s="44"/>
      <c r="D167" s="43"/>
      <c r="E167" s="46"/>
      <c r="F167" s="41"/>
      <c r="G167" s="48"/>
      <c r="H167" s="41"/>
      <c r="I167" s="106"/>
      <c r="J167" s="107"/>
      <c r="K167" s="52"/>
      <c r="L167" s="90"/>
      <c r="M167" s="51"/>
      <c r="N167" s="51"/>
      <c r="O167" s="42"/>
      <c r="P167" s="42"/>
      <c r="Q167" s="35"/>
    </row>
    <row r="168" spans="1:17" ht="15.6">
      <c r="A168" s="139"/>
      <c r="B168" s="135"/>
      <c r="C168" s="44"/>
      <c r="D168" s="43"/>
      <c r="E168" s="46"/>
      <c r="F168" s="41"/>
      <c r="G168" s="48"/>
      <c r="H168" s="41"/>
      <c r="I168" s="106"/>
      <c r="J168" s="107"/>
      <c r="K168" s="52"/>
      <c r="L168" s="90"/>
      <c r="M168" s="51"/>
      <c r="N168" s="51"/>
      <c r="O168" s="42"/>
      <c r="P168" s="42"/>
      <c r="Q168" s="35"/>
    </row>
    <row r="169" spans="1:17" ht="15.6">
      <c r="A169" s="139"/>
      <c r="B169" s="133"/>
      <c r="C169" s="41"/>
      <c r="D169" s="43"/>
      <c r="E169" s="46"/>
      <c r="F169" s="41"/>
      <c r="G169" s="48"/>
      <c r="H169" s="41"/>
      <c r="I169" s="106"/>
      <c r="J169" s="107"/>
      <c r="K169" s="52"/>
      <c r="L169" s="90"/>
      <c r="M169" s="51"/>
      <c r="N169" s="51"/>
      <c r="O169" s="42"/>
      <c r="P169" s="42"/>
      <c r="Q169" s="35"/>
    </row>
    <row r="170" spans="1:17" ht="15.6">
      <c r="A170" s="139"/>
      <c r="B170" s="134"/>
      <c r="C170" s="44"/>
      <c r="D170" s="43"/>
      <c r="E170" s="46"/>
      <c r="F170" s="43"/>
      <c r="G170" s="43"/>
      <c r="H170" s="43"/>
      <c r="I170" s="106"/>
      <c r="J170" s="107"/>
      <c r="K170" s="52"/>
      <c r="L170" s="90"/>
      <c r="M170" s="51"/>
      <c r="N170" s="51"/>
      <c r="O170" s="42"/>
      <c r="P170" s="42"/>
      <c r="Q170" s="35"/>
    </row>
    <row r="171" spans="1:17" ht="15.6">
      <c r="A171" s="139"/>
      <c r="B171" s="133"/>
      <c r="C171" s="41"/>
      <c r="D171" s="43"/>
      <c r="E171" s="46"/>
      <c r="F171" s="41"/>
      <c r="G171" s="48"/>
      <c r="H171" s="41"/>
      <c r="I171" s="43"/>
      <c r="J171" s="43"/>
      <c r="K171" s="68"/>
      <c r="L171" s="90"/>
      <c r="M171" s="51"/>
      <c r="N171" s="51"/>
      <c r="O171" s="95"/>
      <c r="P171" s="95"/>
      <c r="Q171" s="35"/>
    </row>
    <row r="172" spans="1:17" ht="15.6">
      <c r="A172" s="139"/>
      <c r="B172" s="133"/>
      <c r="C172" s="41"/>
      <c r="D172" s="43"/>
      <c r="E172" s="46"/>
      <c r="F172" s="41"/>
      <c r="G172" s="43"/>
      <c r="H172" s="43"/>
      <c r="I172" s="43"/>
      <c r="J172" s="43"/>
      <c r="K172" s="68"/>
      <c r="L172" s="90"/>
      <c r="M172" s="51"/>
      <c r="N172" s="51"/>
      <c r="O172" s="95"/>
      <c r="P172" s="95"/>
      <c r="Q172" s="35"/>
    </row>
    <row r="173" spans="1:17" ht="15.6">
      <c r="A173" s="139"/>
      <c r="B173" s="135"/>
      <c r="C173" s="44"/>
      <c r="D173" s="43"/>
      <c r="E173" s="46"/>
      <c r="F173" s="41"/>
      <c r="G173" s="43"/>
      <c r="H173" s="43"/>
      <c r="I173" s="43"/>
      <c r="J173" s="43"/>
      <c r="K173" s="68"/>
      <c r="L173" s="90"/>
      <c r="M173" s="51"/>
      <c r="N173" s="51"/>
      <c r="O173" s="95"/>
      <c r="P173" s="95"/>
      <c r="Q173" s="35"/>
    </row>
    <row r="174" spans="1:17" ht="15.6">
      <c r="A174" s="139"/>
      <c r="B174" s="131"/>
      <c r="C174" s="50"/>
      <c r="D174" s="50"/>
      <c r="E174" s="43"/>
      <c r="F174" s="43"/>
      <c r="G174" s="105"/>
      <c r="H174" s="67"/>
      <c r="I174" s="108"/>
      <c r="J174" s="109"/>
      <c r="K174" s="52"/>
      <c r="L174" s="91"/>
      <c r="M174" s="49"/>
      <c r="N174" s="51"/>
      <c r="O174" s="42"/>
      <c r="P174" s="42"/>
      <c r="Q174" s="35"/>
    </row>
    <row r="175" spans="1:17" ht="15.6">
      <c r="A175" s="139"/>
      <c r="B175" s="132"/>
      <c r="C175" s="39"/>
      <c r="D175" s="38"/>
      <c r="E175" s="43"/>
      <c r="F175" s="43"/>
      <c r="G175" s="48"/>
      <c r="H175" s="41"/>
      <c r="I175" s="106"/>
      <c r="J175" s="107"/>
      <c r="K175" s="52"/>
      <c r="L175" s="90"/>
      <c r="M175" s="49"/>
      <c r="N175" s="51"/>
      <c r="O175" s="42"/>
      <c r="P175" s="42"/>
      <c r="Q175" s="35"/>
    </row>
    <row r="176" spans="1:17" ht="15.6">
      <c r="A176" s="139"/>
      <c r="B176" s="131"/>
      <c r="C176" s="50"/>
      <c r="D176" s="50"/>
      <c r="E176" s="43"/>
      <c r="F176" s="43"/>
      <c r="G176" s="105"/>
      <c r="H176" s="67"/>
      <c r="I176" s="108"/>
      <c r="J176" s="109"/>
      <c r="K176" s="52"/>
      <c r="L176" s="91"/>
      <c r="M176" s="49"/>
      <c r="N176" s="51"/>
      <c r="O176" s="42"/>
      <c r="P176" s="42"/>
      <c r="Q176" s="35"/>
    </row>
    <row r="177" spans="1:17" ht="15.6">
      <c r="A177" s="139"/>
      <c r="B177" s="134"/>
      <c r="C177" s="44"/>
      <c r="D177" s="43"/>
      <c r="E177" s="43"/>
      <c r="F177" s="43"/>
      <c r="G177" s="48"/>
      <c r="H177" s="41"/>
      <c r="I177" s="106"/>
      <c r="J177" s="107"/>
      <c r="K177" s="52"/>
      <c r="L177" s="90"/>
      <c r="M177" s="49"/>
      <c r="N177" s="51"/>
      <c r="O177" s="42"/>
      <c r="P177" s="42"/>
      <c r="Q177" s="35"/>
    </row>
    <row r="178" spans="1:17" ht="15.6">
      <c r="A178" s="139"/>
      <c r="B178" s="133"/>
      <c r="C178" s="41"/>
      <c r="D178" s="43"/>
      <c r="E178" s="43"/>
      <c r="F178" s="43"/>
      <c r="G178" s="48"/>
      <c r="H178" s="41"/>
      <c r="I178" s="106"/>
      <c r="J178" s="107"/>
      <c r="K178" s="52"/>
      <c r="L178" s="90"/>
      <c r="M178" s="49"/>
      <c r="N178" s="51"/>
      <c r="O178" s="42"/>
      <c r="P178" s="42"/>
      <c r="Q178" s="35"/>
    </row>
    <row r="179" spans="1:17" ht="15.6">
      <c r="A179" s="139"/>
      <c r="B179" s="132"/>
      <c r="C179" s="39"/>
      <c r="D179" s="38"/>
      <c r="E179" s="43"/>
      <c r="F179" s="43"/>
      <c r="G179" s="48"/>
      <c r="H179" s="41"/>
      <c r="I179" s="106"/>
      <c r="J179" s="107"/>
      <c r="K179" s="52"/>
      <c r="L179" s="90"/>
      <c r="M179" s="49"/>
      <c r="N179" s="51"/>
      <c r="O179" s="42"/>
      <c r="P179" s="42"/>
      <c r="Q179" s="35"/>
    </row>
    <row r="180" spans="1:17" ht="15.6">
      <c r="A180" s="139"/>
      <c r="B180" s="131"/>
      <c r="C180" s="50"/>
      <c r="D180" s="50"/>
      <c r="E180" s="43"/>
      <c r="F180" s="43"/>
      <c r="G180" s="105"/>
      <c r="H180" s="67"/>
      <c r="I180" s="108"/>
      <c r="J180" s="109"/>
      <c r="K180" s="52"/>
      <c r="L180" s="91"/>
      <c r="M180" s="49"/>
      <c r="N180" s="51"/>
      <c r="O180" s="42"/>
      <c r="P180" s="42"/>
      <c r="Q180" s="35"/>
    </row>
    <row r="181" spans="1:17" ht="15.6">
      <c r="A181" s="139"/>
      <c r="B181" s="134"/>
      <c r="C181" s="44"/>
      <c r="D181" s="43"/>
      <c r="E181" s="46"/>
      <c r="F181" s="41"/>
      <c r="G181" s="48"/>
      <c r="H181" s="41"/>
      <c r="I181" s="106"/>
      <c r="J181" s="107"/>
      <c r="K181" s="52"/>
      <c r="L181" s="90"/>
      <c r="M181" s="51"/>
      <c r="N181" s="51"/>
      <c r="O181" s="42"/>
      <c r="P181" s="42"/>
      <c r="Q181" s="35"/>
    </row>
    <row r="182" spans="1:17" ht="15.6">
      <c r="A182" s="139"/>
      <c r="B182" s="134"/>
      <c r="C182" s="44"/>
      <c r="D182" s="43"/>
      <c r="E182" s="46"/>
      <c r="F182" s="41"/>
      <c r="G182" s="48"/>
      <c r="H182" s="41"/>
      <c r="I182" s="106"/>
      <c r="J182" s="107"/>
      <c r="K182" s="52"/>
      <c r="L182" s="90"/>
      <c r="M182" s="51"/>
      <c r="N182" s="51"/>
      <c r="O182" s="42"/>
      <c r="P182" s="42"/>
      <c r="Q182" s="35"/>
    </row>
    <row r="183" spans="1:17" ht="15.6">
      <c r="A183" s="139"/>
      <c r="B183" s="133"/>
      <c r="C183" s="41"/>
      <c r="D183" s="43"/>
      <c r="E183" s="46"/>
      <c r="F183" s="41"/>
      <c r="G183" s="48"/>
      <c r="H183" s="41"/>
      <c r="I183" s="106"/>
      <c r="J183" s="107"/>
      <c r="K183" s="52"/>
      <c r="L183" s="90"/>
      <c r="M183" s="51"/>
      <c r="N183" s="51"/>
      <c r="O183" s="42"/>
      <c r="P183" s="42"/>
      <c r="Q183" s="35"/>
    </row>
    <row r="184" spans="1:17" ht="15.6">
      <c r="A184" s="139"/>
      <c r="B184" s="131"/>
      <c r="C184" s="50"/>
      <c r="D184" s="50"/>
      <c r="E184" s="43"/>
      <c r="F184" s="43"/>
      <c r="G184" s="105"/>
      <c r="H184" s="67"/>
      <c r="I184" s="108"/>
      <c r="J184" s="109"/>
      <c r="K184" s="52"/>
      <c r="L184" s="91"/>
      <c r="M184" s="49"/>
      <c r="N184" s="51"/>
      <c r="O184" s="42"/>
      <c r="P184" s="42"/>
      <c r="Q184" s="35"/>
    </row>
    <row r="185" spans="1:17" ht="15.6">
      <c r="A185" s="139"/>
      <c r="B185" s="134"/>
      <c r="C185" s="44"/>
      <c r="D185" s="43"/>
      <c r="E185" s="46"/>
      <c r="F185" s="41"/>
      <c r="G185" s="48"/>
      <c r="H185" s="41"/>
      <c r="I185" s="106"/>
      <c r="J185" s="107"/>
      <c r="K185" s="52"/>
      <c r="L185" s="90"/>
      <c r="M185" s="51"/>
      <c r="N185" s="51"/>
      <c r="O185" s="42"/>
      <c r="P185" s="42"/>
      <c r="Q185" s="35"/>
    </row>
    <row r="186" spans="1:17" ht="15.6">
      <c r="A186" s="139"/>
      <c r="B186" s="134"/>
      <c r="C186" s="44"/>
      <c r="D186" s="43"/>
      <c r="E186" s="46"/>
      <c r="F186" s="41"/>
      <c r="G186" s="48"/>
      <c r="H186" s="41"/>
      <c r="I186" s="106"/>
      <c r="J186" s="107"/>
      <c r="K186" s="52"/>
      <c r="L186" s="90"/>
      <c r="M186" s="51"/>
      <c r="N186" s="51"/>
      <c r="O186" s="42"/>
      <c r="P186" s="42"/>
      <c r="Q186" s="35"/>
    </row>
    <row r="187" spans="1:17" ht="15.6">
      <c r="A187" s="139"/>
      <c r="B187" s="134"/>
      <c r="C187" s="44"/>
      <c r="D187" s="43"/>
      <c r="E187" s="46"/>
      <c r="F187" s="41"/>
      <c r="G187" s="48"/>
      <c r="H187" s="41"/>
      <c r="I187" s="106"/>
      <c r="J187" s="107"/>
      <c r="K187" s="52"/>
      <c r="L187" s="90"/>
      <c r="M187" s="51"/>
      <c r="N187" s="51"/>
      <c r="O187" s="42"/>
      <c r="P187" s="42"/>
      <c r="Q187" s="35"/>
    </row>
    <row r="188" spans="1:17" ht="15.6">
      <c r="A188" s="139"/>
      <c r="B188" s="131"/>
      <c r="C188" s="50"/>
      <c r="D188" s="50"/>
      <c r="E188" s="43"/>
      <c r="F188" s="43"/>
      <c r="G188" s="105"/>
      <c r="H188" s="67"/>
      <c r="I188" s="108"/>
      <c r="J188" s="109"/>
      <c r="K188" s="52"/>
      <c r="L188" s="91"/>
      <c r="M188" s="49"/>
      <c r="N188" s="51"/>
      <c r="O188" s="42"/>
      <c r="P188" s="42"/>
      <c r="Q188" s="35"/>
    </row>
    <row r="189" spans="1:17" ht="15.6">
      <c r="A189" s="139"/>
      <c r="B189" s="134"/>
      <c r="C189" s="44"/>
      <c r="D189" s="43"/>
      <c r="E189" s="46"/>
      <c r="F189" s="41"/>
      <c r="G189" s="43"/>
      <c r="H189" s="43"/>
      <c r="I189" s="106"/>
      <c r="J189" s="107"/>
      <c r="K189" s="52"/>
      <c r="L189" s="90"/>
      <c r="M189" s="51"/>
      <c r="N189" s="51"/>
      <c r="O189" s="42"/>
      <c r="P189" s="42"/>
      <c r="Q189" s="35"/>
    </row>
    <row r="190" spans="1:17" ht="15.6">
      <c r="A190" s="139"/>
      <c r="B190" s="134"/>
      <c r="C190" s="44"/>
      <c r="D190" s="43"/>
      <c r="E190" s="46"/>
      <c r="F190" s="41"/>
      <c r="G190" s="48"/>
      <c r="H190" s="41"/>
      <c r="I190" s="106"/>
      <c r="J190" s="107"/>
      <c r="K190" s="52"/>
      <c r="L190" s="90"/>
      <c r="M190" s="51"/>
      <c r="N190" s="51"/>
      <c r="O190" s="42"/>
      <c r="P190" s="42"/>
      <c r="Q190" s="35"/>
    </row>
    <row r="191" spans="1:17" ht="15.6">
      <c r="A191" s="139"/>
      <c r="B191" s="134"/>
      <c r="C191" s="44"/>
      <c r="D191" s="43"/>
      <c r="E191" s="46"/>
      <c r="F191" s="41"/>
      <c r="G191" s="48"/>
      <c r="H191" s="41"/>
      <c r="I191" s="106"/>
      <c r="J191" s="107"/>
      <c r="K191" s="52"/>
      <c r="L191" s="90"/>
      <c r="M191" s="51"/>
      <c r="N191" s="51"/>
      <c r="O191" s="42"/>
      <c r="P191" s="42"/>
      <c r="Q191" s="35"/>
    </row>
    <row r="192" spans="1:17" ht="15.6">
      <c r="A192" s="139"/>
      <c r="B192" s="135"/>
      <c r="C192" s="44"/>
      <c r="D192" s="43"/>
      <c r="E192" s="46"/>
      <c r="F192" s="41"/>
      <c r="G192" s="48"/>
      <c r="H192" s="41"/>
      <c r="I192" s="106"/>
      <c r="J192" s="107"/>
      <c r="K192" s="52"/>
      <c r="L192" s="90"/>
      <c r="M192" s="51"/>
      <c r="N192" s="51"/>
      <c r="O192" s="42"/>
      <c r="P192" s="42"/>
      <c r="Q192" s="35"/>
    </row>
    <row r="193" spans="1:17" ht="15.6">
      <c r="A193" s="139"/>
      <c r="B193" s="131"/>
      <c r="C193" s="50"/>
      <c r="D193" s="50"/>
      <c r="E193" s="43"/>
      <c r="F193" s="43"/>
      <c r="G193" s="105"/>
      <c r="H193" s="67"/>
      <c r="I193" s="109"/>
      <c r="J193" s="109"/>
      <c r="K193" s="52"/>
      <c r="L193" s="91"/>
      <c r="M193" s="49"/>
      <c r="N193" s="51"/>
      <c r="O193" s="42"/>
      <c r="P193" s="42"/>
      <c r="Q193" s="35"/>
    </row>
    <row r="194" spans="1:17" ht="15.6">
      <c r="A194" s="139"/>
      <c r="B194" s="134"/>
      <c r="C194" s="44"/>
      <c r="D194" s="43"/>
      <c r="E194" s="46"/>
      <c r="F194" s="41"/>
      <c r="G194" s="48"/>
      <c r="H194" s="41"/>
      <c r="I194" s="106"/>
      <c r="J194" s="107"/>
      <c r="K194" s="52"/>
      <c r="L194" s="90"/>
      <c r="M194" s="51"/>
      <c r="N194" s="51"/>
      <c r="O194" s="42"/>
      <c r="P194" s="42"/>
      <c r="Q194" s="35"/>
    </row>
    <row r="195" spans="1:17" ht="15.6">
      <c r="A195" s="139"/>
      <c r="B195" s="134"/>
      <c r="C195" s="44"/>
      <c r="D195" s="43"/>
      <c r="E195" s="46"/>
      <c r="F195" s="41"/>
      <c r="G195" s="48"/>
      <c r="H195" s="41"/>
      <c r="I195" s="106"/>
      <c r="J195" s="107"/>
      <c r="K195" s="52"/>
      <c r="L195" s="90"/>
      <c r="M195" s="51"/>
      <c r="N195" s="51"/>
      <c r="O195" s="42"/>
      <c r="P195" s="42"/>
      <c r="Q195" s="35"/>
    </row>
    <row r="196" spans="1:17" ht="15.6">
      <c r="A196" s="139"/>
      <c r="B196" s="131"/>
      <c r="C196" s="50"/>
      <c r="D196" s="50"/>
      <c r="E196" s="43"/>
      <c r="F196" s="43"/>
      <c r="G196" s="105"/>
      <c r="H196" s="67"/>
      <c r="I196" s="108"/>
      <c r="J196" s="109"/>
      <c r="K196" s="52"/>
      <c r="L196" s="91"/>
      <c r="M196" s="49"/>
      <c r="N196" s="51"/>
      <c r="O196" s="42"/>
      <c r="P196" s="42"/>
      <c r="Q196" s="35"/>
    </row>
    <row r="197" spans="1:17" ht="15.6">
      <c r="A197" s="139"/>
      <c r="B197" s="133"/>
      <c r="C197" s="41"/>
      <c r="D197" s="43"/>
      <c r="E197" s="46"/>
      <c r="F197" s="41"/>
      <c r="G197" s="48"/>
      <c r="H197" s="41"/>
      <c r="I197" s="106"/>
      <c r="J197" s="107"/>
      <c r="K197" s="52"/>
      <c r="L197" s="90"/>
      <c r="M197" s="51"/>
      <c r="N197" s="51"/>
      <c r="O197" s="42"/>
      <c r="P197" s="42"/>
      <c r="Q197" s="35"/>
    </row>
    <row r="198" spans="1:17" ht="15.6">
      <c r="A198" s="139"/>
      <c r="B198" s="134"/>
      <c r="C198" s="44"/>
      <c r="D198" s="43"/>
      <c r="E198" s="46"/>
      <c r="F198" s="41"/>
      <c r="G198" s="48"/>
      <c r="H198" s="41"/>
      <c r="I198" s="106"/>
      <c r="J198" s="107"/>
      <c r="K198" s="52"/>
      <c r="L198" s="90"/>
      <c r="M198" s="51"/>
      <c r="N198" s="51"/>
      <c r="O198" s="42"/>
      <c r="P198" s="42"/>
      <c r="Q198" s="35"/>
    </row>
    <row r="199" spans="1:17" ht="15.6">
      <c r="A199" s="139"/>
      <c r="B199" s="132"/>
      <c r="C199" s="39"/>
      <c r="D199" s="38"/>
      <c r="E199" s="47"/>
      <c r="F199" s="41"/>
      <c r="G199" s="43"/>
      <c r="H199" s="43"/>
      <c r="I199" s="106"/>
      <c r="J199" s="107"/>
      <c r="K199" s="52"/>
      <c r="L199" s="90"/>
      <c r="M199" s="51"/>
      <c r="N199" s="51"/>
      <c r="O199" s="42"/>
      <c r="P199" s="42"/>
      <c r="Q199" s="35"/>
    </row>
    <row r="200" spans="1:17" ht="15.6">
      <c r="A200" s="139"/>
      <c r="B200" s="134"/>
      <c r="C200" s="44"/>
      <c r="D200" s="43"/>
      <c r="E200" s="46"/>
      <c r="F200" s="41"/>
      <c r="G200" s="48"/>
      <c r="H200" s="41"/>
      <c r="I200" s="106"/>
      <c r="J200" s="107"/>
      <c r="K200" s="52"/>
      <c r="L200" s="90"/>
      <c r="M200" s="51"/>
      <c r="N200" s="51"/>
      <c r="O200" s="42"/>
      <c r="P200" s="42"/>
      <c r="Q200" s="35"/>
    </row>
    <row r="201" spans="1:17" ht="15.6">
      <c r="A201" s="139"/>
      <c r="B201" s="131"/>
      <c r="C201" s="50"/>
      <c r="D201" s="50"/>
      <c r="E201" s="43"/>
      <c r="F201" s="43"/>
      <c r="G201" s="105"/>
      <c r="H201" s="67"/>
      <c r="I201" s="108"/>
      <c r="J201" s="109"/>
      <c r="K201" s="52"/>
      <c r="L201" s="91"/>
      <c r="M201" s="49"/>
      <c r="N201" s="49"/>
      <c r="O201" s="42"/>
      <c r="P201" s="42"/>
      <c r="Q201" s="35"/>
    </row>
    <row r="202" spans="1:17" ht="15.6">
      <c r="A202" s="139"/>
      <c r="B202" s="133"/>
      <c r="C202" s="41"/>
      <c r="D202" s="43"/>
      <c r="E202" s="46"/>
      <c r="F202" s="41"/>
      <c r="G202" s="43"/>
      <c r="H202" s="43"/>
      <c r="I202" s="106"/>
      <c r="J202" s="107"/>
      <c r="K202" s="52"/>
      <c r="L202" s="90"/>
      <c r="M202" s="51"/>
      <c r="N202" s="51"/>
      <c r="O202" s="42"/>
      <c r="P202" s="42"/>
      <c r="Q202" s="35"/>
    </row>
    <row r="203" spans="1:17" ht="15.6">
      <c r="A203" s="139"/>
      <c r="B203" s="134"/>
      <c r="C203" s="44"/>
      <c r="D203" s="43"/>
      <c r="E203" s="46"/>
      <c r="F203" s="41"/>
      <c r="G203" s="48"/>
      <c r="H203" s="41"/>
      <c r="I203" s="106"/>
      <c r="J203" s="107"/>
      <c r="K203" s="52"/>
      <c r="L203" s="90"/>
      <c r="M203" s="51"/>
      <c r="N203" s="51"/>
      <c r="O203" s="42"/>
      <c r="P203" s="42"/>
      <c r="Q203" s="35"/>
    </row>
    <row r="204" spans="1:17" ht="15.6">
      <c r="A204" s="139"/>
      <c r="B204" s="135"/>
      <c r="C204" s="44"/>
      <c r="D204" s="43"/>
      <c r="E204" s="46"/>
      <c r="F204" s="41"/>
      <c r="G204" s="48"/>
      <c r="H204" s="41"/>
      <c r="I204" s="106"/>
      <c r="J204" s="107"/>
      <c r="K204" s="52"/>
      <c r="L204" s="90"/>
      <c r="M204" s="51"/>
      <c r="N204" s="51"/>
      <c r="O204" s="42"/>
      <c r="P204" s="42"/>
      <c r="Q204" s="35"/>
    </row>
    <row r="205" spans="1:17" ht="15.6">
      <c r="A205" s="139"/>
      <c r="B205" s="134"/>
      <c r="C205" s="44"/>
      <c r="D205" s="43"/>
      <c r="E205" s="46"/>
      <c r="F205" s="41"/>
      <c r="G205" s="43"/>
      <c r="H205" s="43"/>
      <c r="I205" s="106"/>
      <c r="J205" s="107"/>
      <c r="K205" s="52"/>
      <c r="L205" s="90"/>
      <c r="M205" s="51"/>
      <c r="N205" s="51"/>
      <c r="O205" s="42"/>
      <c r="P205" s="42"/>
      <c r="Q205" s="35"/>
    </row>
    <row r="206" spans="1:17" ht="15.6">
      <c r="A206" s="139"/>
      <c r="B206" s="131"/>
      <c r="C206" s="50"/>
      <c r="D206" s="50"/>
      <c r="E206" s="43"/>
      <c r="F206" s="43"/>
      <c r="G206" s="105"/>
      <c r="H206" s="67"/>
      <c r="I206" s="108"/>
      <c r="J206" s="109"/>
      <c r="K206" s="68"/>
      <c r="L206" s="91"/>
      <c r="M206" s="49"/>
      <c r="N206" s="51"/>
      <c r="O206" s="42"/>
      <c r="P206" s="42"/>
      <c r="Q206" s="35"/>
    </row>
    <row r="207" spans="1:17" ht="15.6">
      <c r="A207" s="139"/>
      <c r="B207" s="131"/>
      <c r="C207" s="50"/>
      <c r="D207" s="50"/>
      <c r="E207" s="43"/>
      <c r="F207" s="43"/>
      <c r="G207" s="105"/>
      <c r="H207" s="67"/>
      <c r="I207" s="108"/>
      <c r="J207" s="109"/>
      <c r="K207" s="52"/>
      <c r="L207" s="91"/>
      <c r="M207" s="49"/>
      <c r="N207" s="49"/>
      <c r="O207" s="42"/>
      <c r="P207" s="42"/>
      <c r="Q207" s="35"/>
    </row>
    <row r="208" spans="1:17" ht="15.6">
      <c r="A208" s="139"/>
      <c r="B208" s="131"/>
      <c r="C208" s="50"/>
      <c r="D208" s="50"/>
      <c r="E208" s="43"/>
      <c r="F208" s="43"/>
      <c r="G208" s="105"/>
      <c r="H208" s="67"/>
      <c r="I208" s="108"/>
      <c r="J208" s="109"/>
      <c r="K208" s="68"/>
      <c r="L208" s="91"/>
      <c r="M208" s="49"/>
      <c r="N208" s="51"/>
      <c r="O208" s="42"/>
      <c r="P208" s="42"/>
    </row>
    <row r="209" spans="1:16" ht="15.6">
      <c r="A209" s="139"/>
      <c r="B209" s="131"/>
      <c r="C209" s="50"/>
      <c r="D209" s="50"/>
      <c r="E209" s="43"/>
      <c r="F209" s="43"/>
      <c r="G209" s="105"/>
      <c r="H209" s="67"/>
      <c r="I209" s="108"/>
      <c r="J209" s="109"/>
      <c r="K209" s="52"/>
      <c r="L209" s="91"/>
      <c r="M209" s="49"/>
      <c r="N209" s="49"/>
      <c r="O209" s="42"/>
      <c r="P209" s="42"/>
    </row>
    <row r="210" spans="1:16" ht="15.6">
      <c r="A210" s="139"/>
      <c r="B210" s="132"/>
      <c r="C210" s="39"/>
      <c r="D210" s="38"/>
      <c r="E210" s="47"/>
      <c r="F210" s="41"/>
      <c r="G210" s="48"/>
      <c r="H210" s="41"/>
      <c r="I210" s="106"/>
      <c r="J210" s="107"/>
      <c r="K210" s="52"/>
      <c r="L210" s="90"/>
      <c r="M210" s="51"/>
      <c r="N210" s="51"/>
      <c r="O210" s="42"/>
      <c r="P210" s="42"/>
    </row>
    <row r="211" spans="1:16" ht="15.6">
      <c r="A211" s="139"/>
      <c r="B211" s="134"/>
      <c r="C211" s="44"/>
      <c r="D211" s="43"/>
      <c r="E211" s="46"/>
      <c r="F211" s="41"/>
      <c r="G211" s="48"/>
      <c r="H211" s="41"/>
      <c r="I211" s="106"/>
      <c r="J211" s="107"/>
      <c r="K211" s="52"/>
      <c r="L211" s="90"/>
      <c r="M211" s="51"/>
      <c r="N211" s="51"/>
      <c r="O211" s="42"/>
      <c r="P211" s="42"/>
    </row>
    <row r="212" spans="1:16" ht="15.6">
      <c r="A212" s="139"/>
      <c r="B212" s="131"/>
      <c r="C212" s="50"/>
      <c r="D212" s="50"/>
      <c r="E212" s="43"/>
      <c r="F212" s="43"/>
      <c r="G212" s="105"/>
      <c r="H212" s="67"/>
      <c r="I212" s="108"/>
      <c r="J212" s="109"/>
      <c r="K212" s="52"/>
      <c r="L212" s="91"/>
      <c r="M212" s="49"/>
      <c r="N212" s="49"/>
      <c r="O212" s="42"/>
      <c r="P212" s="42"/>
    </row>
    <row r="213" spans="1:16" ht="15.6">
      <c r="A213" s="139"/>
      <c r="B213" s="135"/>
      <c r="C213" s="44"/>
      <c r="D213" s="43"/>
      <c r="E213" s="46"/>
      <c r="F213" s="41"/>
      <c r="G213" s="48"/>
      <c r="H213" s="41"/>
      <c r="I213" s="106"/>
      <c r="J213" s="107"/>
      <c r="K213" s="52"/>
      <c r="L213" s="90"/>
      <c r="M213" s="51"/>
      <c r="N213" s="51"/>
      <c r="O213" s="42"/>
      <c r="P213" s="42"/>
    </row>
    <row r="214" spans="1:16" ht="15.6">
      <c r="A214" s="139"/>
      <c r="B214" s="135"/>
      <c r="C214" s="44"/>
      <c r="D214" s="43"/>
      <c r="E214" s="46"/>
      <c r="F214" s="41"/>
      <c r="G214" s="48"/>
      <c r="H214" s="41"/>
      <c r="I214" s="106"/>
      <c r="J214" s="107"/>
      <c r="K214" s="52"/>
      <c r="L214" s="90"/>
      <c r="M214" s="51"/>
      <c r="N214" s="51"/>
      <c r="O214" s="42"/>
      <c r="P214" s="42"/>
    </row>
    <row r="215" spans="1:16" ht="15.6">
      <c r="A215" s="139"/>
      <c r="B215" s="134"/>
      <c r="C215" s="44"/>
      <c r="D215" s="43"/>
      <c r="E215" s="46"/>
      <c r="F215" s="41"/>
      <c r="G215" s="48"/>
      <c r="H215" s="41"/>
      <c r="I215" s="106"/>
      <c r="J215" s="107"/>
      <c r="K215" s="52"/>
      <c r="L215" s="90"/>
      <c r="M215" s="51"/>
      <c r="N215" s="51"/>
      <c r="O215" s="42"/>
      <c r="P215" s="42"/>
    </row>
    <row r="216" spans="1:16" ht="15.6">
      <c r="B216" s="49"/>
      <c r="C216" s="49"/>
      <c r="D216" s="49"/>
      <c r="E216" s="49"/>
      <c r="F216" s="49"/>
      <c r="G216" s="49"/>
      <c r="H216" s="49"/>
      <c r="I216" s="86"/>
      <c r="J216" s="86"/>
      <c r="K216" s="52"/>
    </row>
  </sheetData>
  <sheetProtection password="CA3A" sheet="1" objects="1" scenarios="1" selectLockedCells="1" sort="0" autoFilter="0" selectUnlockedCells="1"/>
  <autoFilter ref="B7:O215">
    <filterColumn colId="2"/>
    <filterColumn colId="3" showButton="0"/>
    <filterColumn colId="5" showButton="0"/>
    <filterColumn colId="7" showButton="0"/>
    <filterColumn colId="12"/>
    <sortState ref="B12:O265">
      <sortCondition ref="N7:N265"/>
    </sortState>
  </autoFilter>
  <mergeCells count="17">
    <mergeCell ref="A7:A9"/>
    <mergeCell ref="N7:N9"/>
    <mergeCell ref="Q7:Q9"/>
    <mergeCell ref="I7:J7"/>
    <mergeCell ref="I8:J8"/>
    <mergeCell ref="M7:M9"/>
    <mergeCell ref="B7:B9"/>
    <mergeCell ref="C7:C9"/>
    <mergeCell ref="D7:D9"/>
    <mergeCell ref="E7:F7"/>
    <mergeCell ref="E8:F8"/>
    <mergeCell ref="P7:P8"/>
    <mergeCell ref="E2:G2"/>
    <mergeCell ref="G7:H7"/>
    <mergeCell ref="G8:H8"/>
    <mergeCell ref="E4:G4"/>
    <mergeCell ref="E3:G3"/>
  </mergeCells>
  <pageMargins left="0.7" right="0.7" top="0.75" bottom="0.75" header="0.3" footer="0.3"/>
  <pageSetup scale="7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00B050"/>
  </sheetPr>
  <dimension ref="A1:Q216"/>
  <sheetViews>
    <sheetView tabSelected="1" view="pageBreakPreview" zoomScale="85" zoomScaleNormal="100" zoomScaleSheetLayoutView="85" workbookViewId="0">
      <selection activeCell="M7" sqref="M7:M9"/>
    </sheetView>
  </sheetViews>
  <sheetFormatPr baseColWidth="10" defaultRowHeight="14.4"/>
  <cols>
    <col min="1" max="1" width="3.77734375" style="97" customWidth="1"/>
    <col min="2" max="2" width="17.77734375" style="1" customWidth="1"/>
    <col min="3" max="3" width="22.109375" style="1" customWidth="1"/>
    <col min="4" max="4" width="14.109375" style="1" customWidth="1"/>
    <col min="5" max="5" width="11.44140625" style="1" customWidth="1"/>
    <col min="6" max="6" width="7.33203125" style="1" customWidth="1"/>
    <col min="7" max="10" width="11.5546875" style="1"/>
    <col min="11" max="11" width="7.5546875" style="1" customWidth="1"/>
    <col min="12" max="12" width="5" style="1" customWidth="1"/>
    <col min="13" max="13" width="9.33203125" style="1" customWidth="1"/>
    <col min="14" max="14" width="6" style="1" customWidth="1"/>
    <col min="15" max="15" width="11.5546875" style="1"/>
    <col min="16" max="16" width="8.44140625" style="1" customWidth="1"/>
    <col min="17" max="17" width="26.44140625" customWidth="1"/>
  </cols>
  <sheetData>
    <row r="1" spans="1:17">
      <c r="A1" s="96"/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</row>
    <row r="2" spans="1:17" ht="17.399999999999999">
      <c r="A2" s="96"/>
      <c r="B2" s="7"/>
      <c r="C2" s="7"/>
      <c r="D2" s="7"/>
      <c r="E2" s="158" t="s">
        <v>0</v>
      </c>
      <c r="F2" s="158"/>
      <c r="G2" s="158"/>
      <c r="H2" s="7"/>
      <c r="I2" s="7"/>
      <c r="J2" s="7"/>
      <c r="K2" s="7"/>
      <c r="L2" s="7"/>
      <c r="M2" s="7"/>
      <c r="N2" s="7"/>
      <c r="O2" s="7"/>
      <c r="P2" s="7"/>
    </row>
    <row r="3" spans="1:17" ht="17.399999999999999">
      <c r="A3" s="96"/>
      <c r="B3" s="98"/>
      <c r="C3" s="98"/>
      <c r="D3" s="98"/>
      <c r="E3" s="158" t="s">
        <v>1</v>
      </c>
      <c r="F3" s="158"/>
      <c r="G3" s="158"/>
      <c r="H3" s="7"/>
      <c r="I3" s="7"/>
      <c r="J3" s="7"/>
      <c r="K3" s="7"/>
      <c r="L3" s="7"/>
      <c r="M3" s="7"/>
      <c r="N3" s="7"/>
      <c r="O3" s="7"/>
      <c r="P3" s="7"/>
    </row>
    <row r="4" spans="1:17" ht="17.399999999999999">
      <c r="A4" s="96"/>
      <c r="B4" s="98"/>
      <c r="C4" s="98"/>
      <c r="D4" s="98"/>
      <c r="E4" s="159" t="s">
        <v>199</v>
      </c>
      <c r="F4" s="159"/>
      <c r="G4" s="159"/>
      <c r="H4" s="7"/>
      <c r="I4" s="7"/>
      <c r="J4" s="7"/>
      <c r="K4" s="7"/>
      <c r="L4" s="7"/>
      <c r="M4" s="7"/>
      <c r="N4" s="7"/>
      <c r="O4" s="7"/>
      <c r="P4" s="7"/>
      <c r="Q4" s="10"/>
    </row>
    <row r="5" spans="1:17" ht="17.399999999999999">
      <c r="A5" s="96"/>
      <c r="B5" s="99"/>
      <c r="C5" s="99"/>
      <c r="D5" s="7" t="s">
        <v>166</v>
      </c>
      <c r="E5" s="120">
        <v>1.0847222222222224</v>
      </c>
      <c r="F5" s="27"/>
      <c r="G5" s="7" t="s">
        <v>166</v>
      </c>
      <c r="H5" s="26">
        <v>0</v>
      </c>
      <c r="I5" s="7"/>
      <c r="J5" s="7"/>
      <c r="K5" s="7"/>
      <c r="L5" s="7"/>
      <c r="M5" s="7"/>
      <c r="N5" s="7"/>
      <c r="O5" s="7"/>
      <c r="P5" s="7"/>
      <c r="Q5" t="s">
        <v>17</v>
      </c>
    </row>
    <row r="6" spans="1:17" ht="15" thickBot="1">
      <c r="A6" s="96"/>
      <c r="B6" s="7"/>
      <c r="C6" s="7"/>
      <c r="D6" s="56"/>
      <c r="E6" s="26"/>
      <c r="F6" s="26"/>
      <c r="G6" s="7"/>
      <c r="H6" s="26"/>
      <c r="I6" s="7"/>
      <c r="J6" s="7"/>
      <c r="K6" s="7"/>
      <c r="L6" s="7"/>
      <c r="M6" s="7"/>
      <c r="N6" s="7"/>
      <c r="O6" s="7"/>
      <c r="P6" s="7"/>
      <c r="Q6" s="9"/>
    </row>
    <row r="7" spans="1:17" ht="14.4" customHeight="1">
      <c r="A7" s="142"/>
      <c r="B7" s="171" t="s">
        <v>2</v>
      </c>
      <c r="C7" s="171" t="s">
        <v>3</v>
      </c>
      <c r="D7" s="171" t="s">
        <v>4</v>
      </c>
      <c r="E7" s="166" t="s">
        <v>429</v>
      </c>
      <c r="F7" s="167"/>
      <c r="G7" s="166" t="s">
        <v>430</v>
      </c>
      <c r="H7" s="167"/>
      <c r="I7" s="166" t="s">
        <v>431</v>
      </c>
      <c r="J7" s="167"/>
      <c r="K7" s="100" t="s">
        <v>9</v>
      </c>
      <c r="L7" s="100" t="s">
        <v>11</v>
      </c>
      <c r="M7" s="171" t="s">
        <v>173</v>
      </c>
      <c r="N7" s="171" t="s">
        <v>16</v>
      </c>
      <c r="O7" s="29" t="s">
        <v>13</v>
      </c>
      <c r="P7" s="164" t="s">
        <v>440</v>
      </c>
      <c r="Q7" s="178" t="s">
        <v>18</v>
      </c>
    </row>
    <row r="8" spans="1:17" ht="14.4" customHeight="1" thickBot="1">
      <c r="A8" s="142"/>
      <c r="B8" s="172"/>
      <c r="C8" s="172"/>
      <c r="D8" s="172"/>
      <c r="E8" s="168" t="s">
        <v>322</v>
      </c>
      <c r="F8" s="169"/>
      <c r="G8" s="168" t="s">
        <v>323</v>
      </c>
      <c r="H8" s="169"/>
      <c r="I8" s="168" t="s">
        <v>8</v>
      </c>
      <c r="J8" s="169"/>
      <c r="K8" s="101" t="s">
        <v>10</v>
      </c>
      <c r="L8" s="101" t="s">
        <v>12</v>
      </c>
      <c r="M8" s="172"/>
      <c r="N8" s="172"/>
      <c r="O8" s="31" t="s">
        <v>15</v>
      </c>
      <c r="P8" s="165"/>
      <c r="Q8" s="179"/>
    </row>
    <row r="9" spans="1:17" ht="15" customHeight="1" thickBot="1">
      <c r="A9" s="142"/>
      <c r="B9" s="173"/>
      <c r="C9" s="173"/>
      <c r="D9" s="173"/>
      <c r="E9" s="32" t="s">
        <v>5</v>
      </c>
      <c r="F9" s="32" t="s">
        <v>6</v>
      </c>
      <c r="G9" s="29" t="s">
        <v>5</v>
      </c>
      <c r="H9" s="29" t="s">
        <v>6</v>
      </c>
      <c r="I9" s="29" t="s">
        <v>5</v>
      </c>
      <c r="J9" s="29" t="s">
        <v>6</v>
      </c>
      <c r="K9" s="102"/>
      <c r="L9" s="102"/>
      <c r="M9" s="173"/>
      <c r="N9" s="173"/>
      <c r="O9" s="34" t="s">
        <v>14</v>
      </c>
      <c r="P9" s="31" t="s">
        <v>198</v>
      </c>
      <c r="Q9" s="180"/>
    </row>
    <row r="10" spans="1:17" ht="15.6">
      <c r="A10" s="146"/>
      <c r="B10" s="130" t="s">
        <v>324</v>
      </c>
      <c r="C10" s="115" t="s">
        <v>377</v>
      </c>
      <c r="D10" s="116" t="s">
        <v>90</v>
      </c>
      <c r="E10" s="46">
        <v>0.90416666666666667</v>
      </c>
      <c r="F10" s="115">
        <v>1</v>
      </c>
      <c r="G10" s="55"/>
      <c r="H10" s="53"/>
      <c r="I10" s="93"/>
      <c r="J10" s="41"/>
      <c r="K10" s="52"/>
      <c r="L10" s="89"/>
      <c r="M10" s="52">
        <v>1</v>
      </c>
      <c r="N10" s="52" t="s">
        <v>115</v>
      </c>
      <c r="O10" s="42"/>
      <c r="P10" s="137" t="s">
        <v>441</v>
      </c>
      <c r="Q10" s="36"/>
    </row>
    <row r="11" spans="1:17" ht="15.6">
      <c r="A11" s="146"/>
      <c r="B11" s="143" t="s">
        <v>116</v>
      </c>
      <c r="C11" s="111" t="s">
        <v>53</v>
      </c>
      <c r="D11" s="116" t="s">
        <v>88</v>
      </c>
      <c r="E11" s="47">
        <v>0.93611111111111101</v>
      </c>
      <c r="F11" s="115">
        <v>2</v>
      </c>
      <c r="G11" s="54"/>
      <c r="H11" s="53"/>
      <c r="I11" s="93"/>
      <c r="J11" s="41"/>
      <c r="K11" s="52"/>
      <c r="L11" s="89"/>
      <c r="M11" s="52">
        <v>1</v>
      </c>
      <c r="N11" s="52" t="s">
        <v>115</v>
      </c>
      <c r="O11" s="42"/>
      <c r="P11" s="137" t="s">
        <v>441</v>
      </c>
      <c r="Q11" s="36"/>
    </row>
    <row r="12" spans="1:17" ht="15.6">
      <c r="A12" s="146"/>
      <c r="B12" s="130" t="s">
        <v>325</v>
      </c>
      <c r="C12" s="115" t="s">
        <v>133</v>
      </c>
      <c r="D12" s="116" t="s">
        <v>83</v>
      </c>
      <c r="E12" s="46">
        <v>0.93958333333333333</v>
      </c>
      <c r="F12" s="115">
        <v>3</v>
      </c>
      <c r="G12" s="93"/>
      <c r="H12" s="41"/>
      <c r="I12" s="48"/>
      <c r="J12" s="41"/>
      <c r="K12" s="52"/>
      <c r="L12" s="90"/>
      <c r="M12" s="51">
        <v>1</v>
      </c>
      <c r="N12" s="52" t="s">
        <v>115</v>
      </c>
      <c r="O12" s="42"/>
      <c r="P12" s="137" t="s">
        <v>441</v>
      </c>
      <c r="Q12" s="36"/>
    </row>
    <row r="13" spans="1:17" ht="15.6">
      <c r="A13" s="146"/>
      <c r="B13" s="130" t="s">
        <v>120</v>
      </c>
      <c r="C13" s="115" t="s">
        <v>24</v>
      </c>
      <c r="D13" s="116" t="s">
        <v>87</v>
      </c>
      <c r="E13" s="46">
        <v>0.95416666666666661</v>
      </c>
      <c r="F13" s="115">
        <v>4</v>
      </c>
      <c r="G13" s="104"/>
      <c r="H13" s="67"/>
      <c r="I13" s="104"/>
      <c r="J13" s="67"/>
      <c r="K13" s="52"/>
      <c r="L13" s="91"/>
      <c r="M13" s="49">
        <v>1</v>
      </c>
      <c r="N13" s="52" t="s">
        <v>115</v>
      </c>
      <c r="O13" s="42"/>
      <c r="P13" s="137" t="s">
        <v>441</v>
      </c>
      <c r="Q13" s="36"/>
    </row>
    <row r="14" spans="1:17" ht="15.6">
      <c r="A14" s="146"/>
      <c r="B14" s="130" t="s">
        <v>139</v>
      </c>
      <c r="C14" s="115" t="s">
        <v>33</v>
      </c>
      <c r="D14" s="116" t="s">
        <v>83</v>
      </c>
      <c r="E14" s="46">
        <v>0.97083333333333333</v>
      </c>
      <c r="F14" s="115">
        <v>5</v>
      </c>
      <c r="G14" s="54"/>
      <c r="H14" s="53"/>
      <c r="I14" s="93"/>
      <c r="J14" s="41"/>
      <c r="K14" s="52"/>
      <c r="L14" s="89"/>
      <c r="M14" s="52">
        <v>1</v>
      </c>
      <c r="N14" s="52" t="s">
        <v>115</v>
      </c>
      <c r="O14" s="42"/>
      <c r="P14" s="137" t="s">
        <v>441</v>
      </c>
      <c r="Q14" s="36"/>
    </row>
    <row r="15" spans="1:17" ht="15.6">
      <c r="A15" s="146"/>
      <c r="B15" s="130" t="s">
        <v>25</v>
      </c>
      <c r="C15" s="115" t="s">
        <v>121</v>
      </c>
      <c r="D15" s="116" t="s">
        <v>150</v>
      </c>
      <c r="E15" s="46">
        <v>0.97222222222222221</v>
      </c>
      <c r="F15" s="115">
        <v>6</v>
      </c>
      <c r="G15" s="54"/>
      <c r="H15" s="53"/>
      <c r="I15" s="93"/>
      <c r="J15" s="41"/>
      <c r="K15" s="52"/>
      <c r="L15" s="89"/>
      <c r="M15" s="52">
        <v>1</v>
      </c>
      <c r="N15" s="52" t="s">
        <v>115</v>
      </c>
      <c r="O15" s="42"/>
      <c r="P15" s="137" t="s">
        <v>441</v>
      </c>
      <c r="Q15" s="36"/>
    </row>
    <row r="16" spans="1:17" ht="15.6">
      <c r="A16" s="146"/>
      <c r="B16" s="130" t="s">
        <v>326</v>
      </c>
      <c r="C16" s="115" t="s">
        <v>378</v>
      </c>
      <c r="D16" s="116" t="s">
        <v>86</v>
      </c>
      <c r="E16" s="46">
        <v>0.98263888888888884</v>
      </c>
      <c r="F16" s="115">
        <v>7</v>
      </c>
      <c r="G16" s="43"/>
      <c r="H16" s="43"/>
      <c r="I16" s="93"/>
      <c r="J16" s="41"/>
      <c r="K16" s="52"/>
      <c r="L16" s="89"/>
      <c r="M16" s="52">
        <v>1</v>
      </c>
      <c r="N16" s="52" t="s">
        <v>115</v>
      </c>
      <c r="O16" s="42"/>
      <c r="P16" s="137" t="s">
        <v>441</v>
      </c>
      <c r="Q16" s="36"/>
    </row>
    <row r="17" spans="1:17" ht="15.6">
      <c r="A17" s="146"/>
      <c r="B17" s="130" t="s">
        <v>177</v>
      </c>
      <c r="C17" s="115" t="s">
        <v>178</v>
      </c>
      <c r="D17" s="116" t="s">
        <v>148</v>
      </c>
      <c r="E17" s="46">
        <v>1.0006944444444443</v>
      </c>
      <c r="F17" s="115">
        <v>8</v>
      </c>
      <c r="G17" s="54"/>
      <c r="H17" s="53"/>
      <c r="I17" s="93"/>
      <c r="J17" s="41"/>
      <c r="K17" s="52"/>
      <c r="L17" s="89"/>
      <c r="M17" s="52">
        <v>1</v>
      </c>
      <c r="N17" s="52" t="s">
        <v>115</v>
      </c>
      <c r="O17" s="42"/>
      <c r="P17" s="137" t="s">
        <v>441</v>
      </c>
      <c r="Q17" s="36"/>
    </row>
    <row r="18" spans="1:17" ht="15.6">
      <c r="A18" s="147"/>
      <c r="B18" s="128" t="s">
        <v>327</v>
      </c>
      <c r="C18" s="112" t="s">
        <v>379</v>
      </c>
      <c r="D18" s="116" t="s">
        <v>316</v>
      </c>
      <c r="E18" s="46">
        <v>1.0041666666666667</v>
      </c>
      <c r="F18" s="112">
        <v>9</v>
      </c>
      <c r="G18" s="43"/>
      <c r="H18" s="43"/>
      <c r="I18" s="93"/>
      <c r="J18" s="41"/>
      <c r="K18" s="52"/>
      <c r="L18" s="89"/>
      <c r="M18" s="52">
        <v>1</v>
      </c>
      <c r="N18" s="52" t="s">
        <v>115</v>
      </c>
      <c r="O18" s="42"/>
      <c r="P18" s="137" t="s">
        <v>442</v>
      </c>
      <c r="Q18" s="36"/>
    </row>
    <row r="19" spans="1:17" ht="15.6">
      <c r="A19" s="146"/>
      <c r="B19" s="130" t="s">
        <v>327</v>
      </c>
      <c r="C19" s="115" t="s">
        <v>32</v>
      </c>
      <c r="D19" s="116" t="s">
        <v>83</v>
      </c>
      <c r="E19" s="46">
        <v>1.0062499999999999</v>
      </c>
      <c r="F19" s="115">
        <v>10</v>
      </c>
      <c r="G19" s="54"/>
      <c r="H19" s="53"/>
      <c r="I19" s="93"/>
      <c r="J19" s="41"/>
      <c r="K19" s="52"/>
      <c r="L19" s="89"/>
      <c r="M19" s="52">
        <v>1</v>
      </c>
      <c r="N19" s="52" t="s">
        <v>115</v>
      </c>
      <c r="O19" s="42"/>
      <c r="P19" s="137" t="s">
        <v>441</v>
      </c>
      <c r="Q19" s="36"/>
    </row>
    <row r="20" spans="1:17" ht="15.6">
      <c r="A20" s="146"/>
      <c r="B20" s="130" t="s">
        <v>271</v>
      </c>
      <c r="C20" s="115" t="s">
        <v>143</v>
      </c>
      <c r="D20" s="116" t="s">
        <v>150</v>
      </c>
      <c r="E20" s="46">
        <v>1.0083333333333333</v>
      </c>
      <c r="F20" s="119">
        <v>11</v>
      </c>
      <c r="G20" s="93"/>
      <c r="H20" s="41"/>
      <c r="I20" s="93"/>
      <c r="J20" s="41"/>
      <c r="K20" s="52"/>
      <c r="L20" s="90"/>
      <c r="M20" s="51">
        <v>1</v>
      </c>
      <c r="N20" s="52" t="s">
        <v>115</v>
      </c>
      <c r="O20" s="42"/>
      <c r="P20" s="137" t="s">
        <v>441</v>
      </c>
      <c r="Q20" s="36"/>
    </row>
    <row r="21" spans="1:17" ht="15.6">
      <c r="A21" s="146"/>
      <c r="B21" s="128" t="s">
        <v>94</v>
      </c>
      <c r="C21" s="112" t="s">
        <v>123</v>
      </c>
      <c r="D21" s="116" t="s">
        <v>84</v>
      </c>
      <c r="E21" s="46">
        <v>1.0125</v>
      </c>
      <c r="F21" s="112">
        <v>12</v>
      </c>
      <c r="G21" s="54"/>
      <c r="H21" s="53"/>
      <c r="I21" s="93"/>
      <c r="J21" s="41"/>
      <c r="K21" s="52"/>
      <c r="L21" s="89"/>
      <c r="M21" s="52">
        <v>1</v>
      </c>
      <c r="N21" s="52" t="s">
        <v>115</v>
      </c>
      <c r="O21" s="42"/>
      <c r="P21" s="137" t="s">
        <v>441</v>
      </c>
      <c r="Q21" s="36"/>
    </row>
    <row r="22" spans="1:17" ht="15.6">
      <c r="A22" s="146"/>
      <c r="B22" s="130" t="s">
        <v>280</v>
      </c>
      <c r="C22" s="115" t="s">
        <v>380</v>
      </c>
      <c r="D22" s="116" t="s">
        <v>150</v>
      </c>
      <c r="E22" s="46">
        <v>1.0131944444444445</v>
      </c>
      <c r="F22" s="115">
        <v>13</v>
      </c>
      <c r="G22" s="55"/>
      <c r="H22" s="53"/>
      <c r="I22" s="93"/>
      <c r="J22" s="41"/>
      <c r="K22" s="52"/>
      <c r="L22" s="89"/>
      <c r="M22" s="52">
        <v>1</v>
      </c>
      <c r="N22" s="52" t="s">
        <v>115</v>
      </c>
      <c r="O22" s="42"/>
      <c r="P22" s="137" t="s">
        <v>441</v>
      </c>
      <c r="Q22" s="36"/>
    </row>
    <row r="23" spans="1:17" ht="15.6">
      <c r="A23" s="146"/>
      <c r="B23" s="130" t="s">
        <v>328</v>
      </c>
      <c r="C23" s="115" t="s">
        <v>381</v>
      </c>
      <c r="D23" s="116" t="s">
        <v>150</v>
      </c>
      <c r="E23" s="46">
        <v>1.0159722222222223</v>
      </c>
      <c r="F23" s="115">
        <v>14</v>
      </c>
      <c r="G23" s="54"/>
      <c r="H23" s="53"/>
      <c r="I23" s="93"/>
      <c r="J23" s="41"/>
      <c r="K23" s="52"/>
      <c r="L23" s="89"/>
      <c r="M23" s="52">
        <v>1</v>
      </c>
      <c r="N23" s="52" t="s">
        <v>115</v>
      </c>
      <c r="O23" s="42"/>
      <c r="P23" s="137" t="s">
        <v>441</v>
      </c>
      <c r="Q23" s="36"/>
    </row>
    <row r="24" spans="1:17" ht="15.6">
      <c r="A24" s="146"/>
      <c r="B24" s="130" t="s">
        <v>27</v>
      </c>
      <c r="C24" s="115" t="s">
        <v>40</v>
      </c>
      <c r="D24" s="116" t="s">
        <v>150</v>
      </c>
      <c r="E24" s="46">
        <v>1.0173611111111112</v>
      </c>
      <c r="F24" s="115">
        <v>15</v>
      </c>
      <c r="G24" s="104"/>
      <c r="H24" s="67"/>
      <c r="I24" s="104"/>
      <c r="J24" s="67"/>
      <c r="K24" s="52"/>
      <c r="L24" s="91"/>
      <c r="M24" s="49">
        <v>1</v>
      </c>
      <c r="N24" s="52" t="s">
        <v>115</v>
      </c>
      <c r="O24" s="42"/>
      <c r="P24" s="137" t="s">
        <v>441</v>
      </c>
      <c r="Q24" s="36"/>
    </row>
    <row r="25" spans="1:17" ht="15.6">
      <c r="A25" s="146"/>
      <c r="B25" s="118" t="s">
        <v>95</v>
      </c>
      <c r="C25" s="112" t="s">
        <v>382</v>
      </c>
      <c r="D25" s="115" t="s">
        <v>315</v>
      </c>
      <c r="E25" s="46">
        <v>1.0201388888888889</v>
      </c>
      <c r="F25" s="115">
        <v>16</v>
      </c>
      <c r="G25" s="54"/>
      <c r="H25" s="53"/>
      <c r="I25" s="93"/>
      <c r="J25" s="41"/>
      <c r="K25" s="52"/>
      <c r="L25" s="89"/>
      <c r="M25" s="52">
        <v>1</v>
      </c>
      <c r="N25" s="52" t="s">
        <v>115</v>
      </c>
      <c r="O25" s="42"/>
      <c r="P25" s="137" t="s">
        <v>441</v>
      </c>
      <c r="Q25" s="36"/>
    </row>
    <row r="26" spans="1:17" ht="15.6">
      <c r="A26" s="146"/>
      <c r="B26" s="130" t="s">
        <v>135</v>
      </c>
      <c r="C26" s="115" t="s">
        <v>101</v>
      </c>
      <c r="D26" s="116" t="s">
        <v>90</v>
      </c>
      <c r="E26" s="46">
        <v>1.0215277777777778</v>
      </c>
      <c r="F26" s="115">
        <v>17</v>
      </c>
      <c r="G26" s="54"/>
      <c r="H26" s="53"/>
      <c r="I26" s="93"/>
      <c r="J26" s="41"/>
      <c r="K26" s="52"/>
      <c r="L26" s="89"/>
      <c r="M26" s="52">
        <v>1</v>
      </c>
      <c r="N26" s="52" t="s">
        <v>115</v>
      </c>
      <c r="O26" s="42"/>
      <c r="P26" s="137" t="s">
        <v>441</v>
      </c>
      <c r="Q26" s="36"/>
    </row>
    <row r="27" spans="1:17" ht="15.6">
      <c r="A27" s="146"/>
      <c r="B27" s="130" t="s">
        <v>177</v>
      </c>
      <c r="C27" s="115" t="s">
        <v>383</v>
      </c>
      <c r="D27" s="116" t="s">
        <v>87</v>
      </c>
      <c r="E27" s="47">
        <v>1.023611111111111</v>
      </c>
      <c r="F27" s="115">
        <v>18</v>
      </c>
      <c r="G27" s="43"/>
      <c r="H27" s="43"/>
      <c r="I27" s="93"/>
      <c r="J27" s="41"/>
      <c r="K27" s="52"/>
      <c r="L27" s="89"/>
      <c r="M27" s="52">
        <v>1</v>
      </c>
      <c r="N27" s="52" t="s">
        <v>115</v>
      </c>
      <c r="O27" s="42"/>
      <c r="P27" s="137" t="s">
        <v>441</v>
      </c>
      <c r="Q27" s="36"/>
    </row>
    <row r="28" spans="1:17" ht="15.6">
      <c r="A28" s="146"/>
      <c r="B28" s="130" t="s">
        <v>132</v>
      </c>
      <c r="C28" s="115" t="s">
        <v>100</v>
      </c>
      <c r="D28" s="116" t="s">
        <v>88</v>
      </c>
      <c r="E28" s="46">
        <v>1.0305555555555557</v>
      </c>
      <c r="F28" s="115">
        <v>19</v>
      </c>
      <c r="G28" s="54"/>
      <c r="H28" s="53"/>
      <c r="I28" s="93"/>
      <c r="J28" s="41"/>
      <c r="K28" s="52"/>
      <c r="L28" s="89"/>
      <c r="M28" s="52">
        <v>1</v>
      </c>
      <c r="N28" s="52" t="s">
        <v>115</v>
      </c>
      <c r="O28" s="42"/>
      <c r="P28" s="137" t="s">
        <v>441</v>
      </c>
      <c r="Q28" s="36"/>
    </row>
    <row r="29" spans="1:17" ht="15.6">
      <c r="A29" s="146"/>
      <c r="B29" s="130" t="s">
        <v>98</v>
      </c>
      <c r="C29" s="115" t="s">
        <v>129</v>
      </c>
      <c r="D29" s="116" t="s">
        <v>83</v>
      </c>
      <c r="E29" s="46">
        <v>1.0381944444444444</v>
      </c>
      <c r="F29" s="115">
        <v>20</v>
      </c>
      <c r="G29" s="43"/>
      <c r="H29" s="43"/>
      <c r="I29" s="93"/>
      <c r="J29" s="41"/>
      <c r="K29" s="52"/>
      <c r="L29" s="89"/>
      <c r="M29" s="52">
        <v>1</v>
      </c>
      <c r="N29" s="52" t="s">
        <v>115</v>
      </c>
      <c r="O29" s="42"/>
      <c r="P29" s="137" t="s">
        <v>441</v>
      </c>
      <c r="Q29" s="37"/>
    </row>
    <row r="30" spans="1:17" ht="15.6">
      <c r="A30" s="146"/>
      <c r="B30" s="130" t="s">
        <v>329</v>
      </c>
      <c r="C30" s="115" t="s">
        <v>177</v>
      </c>
      <c r="D30" s="116" t="s">
        <v>83</v>
      </c>
      <c r="E30" s="46">
        <v>1.0409722222222222</v>
      </c>
      <c r="F30" s="115">
        <v>21</v>
      </c>
      <c r="G30" s="54"/>
      <c r="H30" s="53"/>
      <c r="I30" s="93"/>
      <c r="J30" s="41"/>
      <c r="K30" s="52"/>
      <c r="L30" s="89"/>
      <c r="M30" s="52">
        <v>1</v>
      </c>
      <c r="N30" s="52" t="s">
        <v>115</v>
      </c>
      <c r="O30" s="42"/>
      <c r="P30" s="137" t="s">
        <v>441</v>
      </c>
      <c r="Q30" s="35"/>
    </row>
    <row r="31" spans="1:17" ht="15.6">
      <c r="A31" s="146"/>
      <c r="B31" s="130" t="s">
        <v>102</v>
      </c>
      <c r="C31" s="115" t="s">
        <v>132</v>
      </c>
      <c r="D31" s="116" t="s">
        <v>86</v>
      </c>
      <c r="E31" s="46">
        <v>1.04375</v>
      </c>
      <c r="F31" s="115">
        <v>22</v>
      </c>
      <c r="G31" s="54"/>
      <c r="H31" s="53"/>
      <c r="I31" s="93"/>
      <c r="J31" s="41"/>
      <c r="K31" s="52"/>
      <c r="L31" s="89"/>
      <c r="M31" s="52">
        <v>1</v>
      </c>
      <c r="N31" s="52" t="s">
        <v>115</v>
      </c>
      <c r="O31" s="42"/>
      <c r="P31" s="137" t="s">
        <v>441</v>
      </c>
      <c r="Q31" s="35"/>
    </row>
    <row r="32" spans="1:17" ht="15.6">
      <c r="A32" s="146"/>
      <c r="B32" s="130" t="s">
        <v>144</v>
      </c>
      <c r="C32" s="115" t="s">
        <v>185</v>
      </c>
      <c r="D32" s="116" t="s">
        <v>87</v>
      </c>
      <c r="E32" s="46">
        <v>1.0451388888888888</v>
      </c>
      <c r="F32" s="115">
        <v>23</v>
      </c>
      <c r="G32" s="43"/>
      <c r="H32" s="43"/>
      <c r="I32" s="93"/>
      <c r="J32" s="41"/>
      <c r="K32" s="52"/>
      <c r="L32" s="89"/>
      <c r="M32" s="52">
        <v>1</v>
      </c>
      <c r="N32" s="52" t="s">
        <v>115</v>
      </c>
      <c r="O32" s="42"/>
      <c r="P32" s="137" t="s">
        <v>441</v>
      </c>
      <c r="Q32" s="35"/>
    </row>
    <row r="33" spans="1:17" ht="15.6">
      <c r="A33" s="146"/>
      <c r="B33" s="130" t="s">
        <v>126</v>
      </c>
      <c r="C33" s="115" t="s">
        <v>384</v>
      </c>
      <c r="D33" s="116" t="s">
        <v>148</v>
      </c>
      <c r="E33" s="46">
        <v>1.0451504629629629</v>
      </c>
      <c r="F33" s="115">
        <v>24</v>
      </c>
      <c r="G33" s="43"/>
      <c r="H33" s="43"/>
      <c r="I33" s="93"/>
      <c r="J33" s="41"/>
      <c r="K33" s="52"/>
      <c r="L33" s="89"/>
      <c r="M33" s="52">
        <v>1</v>
      </c>
      <c r="N33" s="52" t="s">
        <v>115</v>
      </c>
      <c r="O33" s="42"/>
      <c r="P33" s="137" t="s">
        <v>441</v>
      </c>
      <c r="Q33" s="35"/>
    </row>
    <row r="34" spans="1:17" ht="15.6">
      <c r="A34" s="146"/>
      <c r="B34" s="130" t="s">
        <v>193</v>
      </c>
      <c r="C34" s="115" t="s">
        <v>385</v>
      </c>
      <c r="D34" s="116" t="s">
        <v>150</v>
      </c>
      <c r="E34" s="46">
        <v>1.0458333333333334</v>
      </c>
      <c r="F34" s="115">
        <v>25</v>
      </c>
      <c r="G34" s="54"/>
      <c r="H34" s="53"/>
      <c r="I34" s="43"/>
      <c r="J34" s="43"/>
      <c r="K34" s="52"/>
      <c r="L34" s="89"/>
      <c r="M34" s="52">
        <v>1</v>
      </c>
      <c r="N34" s="52" t="s">
        <v>115</v>
      </c>
      <c r="O34" s="95"/>
      <c r="P34" s="137" t="s">
        <v>441</v>
      </c>
      <c r="Q34" s="35"/>
    </row>
    <row r="35" spans="1:17" ht="15.6">
      <c r="A35" s="146"/>
      <c r="B35" s="128" t="s">
        <v>330</v>
      </c>
      <c r="C35" s="112" t="s">
        <v>176</v>
      </c>
      <c r="D35" s="116" t="s">
        <v>84</v>
      </c>
      <c r="E35" s="46">
        <v>1.0506944444444444</v>
      </c>
      <c r="F35" s="112">
        <v>26</v>
      </c>
      <c r="G35" s="54"/>
      <c r="H35" s="53"/>
      <c r="I35" s="43"/>
      <c r="J35" s="43"/>
      <c r="K35" s="52"/>
      <c r="L35" s="89"/>
      <c r="M35" s="52">
        <v>1</v>
      </c>
      <c r="N35" s="52" t="s">
        <v>115</v>
      </c>
      <c r="O35" s="95"/>
      <c r="P35" s="137" t="s">
        <v>441</v>
      </c>
      <c r="Q35" s="35"/>
    </row>
    <row r="36" spans="1:17" ht="15.6">
      <c r="A36" s="146"/>
      <c r="B36" s="130" t="s">
        <v>123</v>
      </c>
      <c r="C36" s="115" t="s">
        <v>96</v>
      </c>
      <c r="D36" s="116" t="s">
        <v>148</v>
      </c>
      <c r="E36" s="46">
        <v>1.0569444444444445</v>
      </c>
      <c r="F36" s="115">
        <v>27</v>
      </c>
      <c r="G36" s="104"/>
      <c r="H36" s="67"/>
      <c r="I36" s="104"/>
      <c r="J36" s="67"/>
      <c r="K36" s="52"/>
      <c r="L36" s="91"/>
      <c r="M36" s="49">
        <v>1</v>
      </c>
      <c r="N36" s="52" t="s">
        <v>115</v>
      </c>
      <c r="O36" s="42"/>
      <c r="P36" s="137" t="s">
        <v>441</v>
      </c>
      <c r="Q36" s="35"/>
    </row>
    <row r="37" spans="1:17" ht="15.6">
      <c r="A37" s="146"/>
      <c r="B37" s="130" t="s">
        <v>331</v>
      </c>
      <c r="C37" s="115" t="s">
        <v>386</v>
      </c>
      <c r="D37" s="116" t="s">
        <v>90</v>
      </c>
      <c r="E37" s="46">
        <v>1.0625</v>
      </c>
      <c r="F37" s="115">
        <v>28</v>
      </c>
      <c r="G37" s="93"/>
      <c r="H37" s="41"/>
      <c r="I37" s="93"/>
      <c r="J37" s="41"/>
      <c r="K37" s="52"/>
      <c r="L37" s="90"/>
      <c r="M37" s="51">
        <v>1</v>
      </c>
      <c r="N37" s="52" t="s">
        <v>115</v>
      </c>
      <c r="O37" s="42"/>
      <c r="P37" s="137" t="s">
        <v>441</v>
      </c>
      <c r="Q37" s="35"/>
    </row>
    <row r="38" spans="1:17" ht="15.6">
      <c r="A38" s="146"/>
      <c r="B38" s="130" t="s">
        <v>130</v>
      </c>
      <c r="C38" s="115" t="s">
        <v>99</v>
      </c>
      <c r="D38" s="116" t="s">
        <v>88</v>
      </c>
      <c r="E38" s="46">
        <v>1.0680555555555555</v>
      </c>
      <c r="F38" s="115">
        <v>29</v>
      </c>
      <c r="G38" s="54"/>
      <c r="H38" s="53"/>
      <c r="I38" s="93"/>
      <c r="J38" s="41"/>
      <c r="K38" s="52"/>
      <c r="L38" s="89"/>
      <c r="M38" s="52">
        <v>1</v>
      </c>
      <c r="N38" s="52" t="s">
        <v>115</v>
      </c>
      <c r="O38" s="42"/>
      <c r="P38" s="137" t="s">
        <v>441</v>
      </c>
      <c r="Q38" s="35"/>
    </row>
    <row r="39" spans="1:17" ht="15.6">
      <c r="A39" s="146"/>
      <c r="B39" s="130" t="s">
        <v>177</v>
      </c>
      <c r="C39" s="115" t="s">
        <v>27</v>
      </c>
      <c r="D39" s="116" t="s">
        <v>148</v>
      </c>
      <c r="E39" s="46">
        <v>1.0715277777777776</v>
      </c>
      <c r="F39" s="115">
        <v>30</v>
      </c>
      <c r="G39" s="55"/>
      <c r="H39" s="53"/>
      <c r="I39" s="93"/>
      <c r="J39" s="41"/>
      <c r="K39" s="52"/>
      <c r="L39" s="89"/>
      <c r="M39" s="52">
        <v>1</v>
      </c>
      <c r="N39" s="52" t="s">
        <v>115</v>
      </c>
      <c r="O39" s="42"/>
      <c r="P39" s="137" t="s">
        <v>441</v>
      </c>
      <c r="Q39" s="35"/>
    </row>
    <row r="40" spans="1:17" ht="15.6">
      <c r="A40" s="146"/>
      <c r="B40" s="128" t="s">
        <v>99</v>
      </c>
      <c r="C40" s="112" t="s">
        <v>387</v>
      </c>
      <c r="D40" s="116" t="s">
        <v>84</v>
      </c>
      <c r="E40" s="46">
        <v>1.0722222222222222</v>
      </c>
      <c r="F40" s="112">
        <v>31</v>
      </c>
      <c r="G40" s="93"/>
      <c r="H40" s="41"/>
      <c r="I40" s="93"/>
      <c r="J40" s="41"/>
      <c r="K40" s="52"/>
      <c r="L40" s="90"/>
      <c r="M40" s="51">
        <v>1</v>
      </c>
      <c r="N40" s="52" t="s">
        <v>115</v>
      </c>
      <c r="O40" s="42"/>
      <c r="P40" s="137" t="s">
        <v>441</v>
      </c>
      <c r="Q40" s="35"/>
    </row>
    <row r="41" spans="1:17" ht="15.6">
      <c r="A41" s="146"/>
      <c r="B41" s="130" t="s">
        <v>131</v>
      </c>
      <c r="C41" s="115" t="s">
        <v>388</v>
      </c>
      <c r="D41" s="116" t="s">
        <v>88</v>
      </c>
      <c r="E41" s="46">
        <v>1.0784722222222223</v>
      </c>
      <c r="F41" s="115">
        <v>32</v>
      </c>
      <c r="G41" s="104"/>
      <c r="H41" s="67"/>
      <c r="I41" s="104"/>
      <c r="J41" s="67"/>
      <c r="K41" s="52"/>
      <c r="L41" s="91"/>
      <c r="M41" s="49">
        <v>1</v>
      </c>
      <c r="N41" s="52" t="s">
        <v>115</v>
      </c>
      <c r="O41" s="42"/>
      <c r="P41" s="137" t="s">
        <v>441</v>
      </c>
      <c r="Q41" s="35"/>
    </row>
    <row r="42" spans="1:17" ht="15.6">
      <c r="A42" s="146"/>
      <c r="B42" s="130" t="s">
        <v>332</v>
      </c>
      <c r="C42" s="115" t="s">
        <v>389</v>
      </c>
      <c r="D42" s="116" t="s">
        <v>87</v>
      </c>
      <c r="E42" s="46">
        <v>1.0819444444444444</v>
      </c>
      <c r="F42" s="115">
        <v>33</v>
      </c>
      <c r="G42" s="54"/>
      <c r="H42" s="53"/>
      <c r="I42" s="93"/>
      <c r="J42" s="41"/>
      <c r="K42" s="52"/>
      <c r="L42" s="89"/>
      <c r="M42" s="52">
        <v>1</v>
      </c>
      <c r="N42" s="52" t="s">
        <v>115</v>
      </c>
      <c r="O42" s="42"/>
      <c r="P42" s="137" t="s">
        <v>441</v>
      </c>
      <c r="Q42" s="35"/>
    </row>
    <row r="43" spans="1:17" ht="15.6">
      <c r="A43" s="147"/>
      <c r="B43" s="130" t="s">
        <v>134</v>
      </c>
      <c r="C43" s="115" t="s">
        <v>390</v>
      </c>
      <c r="D43" s="116" t="s">
        <v>314</v>
      </c>
      <c r="E43" s="47">
        <v>1.086111111111111</v>
      </c>
      <c r="F43" s="111">
        <v>34</v>
      </c>
      <c r="G43" s="43"/>
      <c r="H43" s="43"/>
      <c r="I43" s="93"/>
      <c r="J43" s="41"/>
      <c r="K43" s="52"/>
      <c r="L43" s="89"/>
      <c r="M43" s="52">
        <v>2</v>
      </c>
      <c r="N43" s="52" t="s">
        <v>115</v>
      </c>
      <c r="O43" s="42"/>
      <c r="P43" s="137" t="s">
        <v>442</v>
      </c>
      <c r="Q43" s="35"/>
    </row>
    <row r="44" spans="1:17" ht="15.6">
      <c r="A44" s="147"/>
      <c r="B44" s="130" t="s">
        <v>333</v>
      </c>
      <c r="C44" s="111" t="s">
        <v>118</v>
      </c>
      <c r="D44" s="116" t="s">
        <v>319</v>
      </c>
      <c r="E44" s="46">
        <v>1.0875000000000001</v>
      </c>
      <c r="F44" s="115">
        <v>35</v>
      </c>
      <c r="G44" s="54"/>
      <c r="H44" s="53"/>
      <c r="I44" s="93"/>
      <c r="J44" s="41"/>
      <c r="K44" s="52"/>
      <c r="L44" s="89"/>
      <c r="M44" s="52">
        <v>2</v>
      </c>
      <c r="N44" s="52" t="s">
        <v>115</v>
      </c>
      <c r="O44" s="42"/>
      <c r="P44" s="137" t="s">
        <v>442</v>
      </c>
      <c r="Q44" s="35"/>
    </row>
    <row r="45" spans="1:17" ht="15.6">
      <c r="A45" s="146"/>
      <c r="B45" s="130" t="s">
        <v>118</v>
      </c>
      <c r="C45" s="115" t="s">
        <v>25</v>
      </c>
      <c r="D45" s="116" t="s">
        <v>87</v>
      </c>
      <c r="E45" s="46">
        <v>1.0881944444444445</v>
      </c>
      <c r="F45" s="115">
        <v>36</v>
      </c>
      <c r="G45" s="54"/>
      <c r="H45" s="53"/>
      <c r="I45" s="94"/>
      <c r="J45" s="41"/>
      <c r="K45" s="52"/>
      <c r="L45" s="89"/>
      <c r="M45" s="52">
        <v>2</v>
      </c>
      <c r="N45" s="52" t="s">
        <v>115</v>
      </c>
      <c r="O45" s="42"/>
      <c r="P45" s="137" t="s">
        <v>441</v>
      </c>
      <c r="Q45" s="35"/>
    </row>
    <row r="46" spans="1:17" ht="15.6">
      <c r="A46" s="146"/>
      <c r="B46" s="130" t="s">
        <v>145</v>
      </c>
      <c r="C46" s="115" t="s">
        <v>391</v>
      </c>
      <c r="D46" s="116" t="s">
        <v>87</v>
      </c>
      <c r="E46" s="46">
        <v>1.0888888888888888</v>
      </c>
      <c r="F46" s="115">
        <v>37</v>
      </c>
      <c r="G46" s="104"/>
      <c r="H46" s="67"/>
      <c r="I46" s="104"/>
      <c r="J46" s="67"/>
      <c r="K46" s="52"/>
      <c r="L46" s="91"/>
      <c r="M46" s="52">
        <v>2</v>
      </c>
      <c r="N46" s="52" t="s">
        <v>115</v>
      </c>
      <c r="O46" s="42"/>
      <c r="P46" s="137" t="s">
        <v>441</v>
      </c>
      <c r="Q46" s="35"/>
    </row>
    <row r="47" spans="1:17" ht="15.6">
      <c r="A47" s="147"/>
      <c r="B47" s="130" t="s">
        <v>334</v>
      </c>
      <c r="C47" s="111" t="s">
        <v>40</v>
      </c>
      <c r="D47" s="116" t="s">
        <v>319</v>
      </c>
      <c r="E47" s="46">
        <v>1.0902777777777779</v>
      </c>
      <c r="F47" s="115">
        <v>38</v>
      </c>
      <c r="G47" s="104"/>
      <c r="H47" s="67"/>
      <c r="I47" s="104"/>
      <c r="J47" s="67"/>
      <c r="K47" s="52"/>
      <c r="L47" s="91"/>
      <c r="M47" s="52">
        <v>2</v>
      </c>
      <c r="N47" s="52" t="s">
        <v>115</v>
      </c>
      <c r="O47" s="42"/>
      <c r="P47" s="137" t="s">
        <v>442</v>
      </c>
      <c r="Q47" s="35"/>
    </row>
    <row r="48" spans="1:17" ht="15.6">
      <c r="A48" s="146"/>
      <c r="B48" s="128" t="s">
        <v>105</v>
      </c>
      <c r="C48" s="112" t="s">
        <v>117</v>
      </c>
      <c r="D48" s="116" t="s">
        <v>84</v>
      </c>
      <c r="E48" s="46">
        <v>1.0916666666666666</v>
      </c>
      <c r="F48" s="112">
        <v>39</v>
      </c>
      <c r="G48" s="54"/>
      <c r="H48" s="53"/>
      <c r="I48" s="93"/>
      <c r="J48" s="41"/>
      <c r="K48" s="52"/>
      <c r="L48" s="89"/>
      <c r="M48" s="52">
        <v>2</v>
      </c>
      <c r="N48" s="52" t="s">
        <v>115</v>
      </c>
      <c r="O48" s="42"/>
      <c r="P48" s="137" t="s">
        <v>441</v>
      </c>
      <c r="Q48" s="35"/>
    </row>
    <row r="49" spans="1:17" ht="15.6">
      <c r="A49" s="146"/>
      <c r="B49" s="128" t="s">
        <v>335</v>
      </c>
      <c r="C49" s="112" t="s">
        <v>392</v>
      </c>
      <c r="D49" s="115" t="s">
        <v>315</v>
      </c>
      <c r="E49" s="46">
        <v>1.0930555555555557</v>
      </c>
      <c r="F49" s="115">
        <v>40</v>
      </c>
      <c r="G49" s="104"/>
      <c r="H49" s="67"/>
      <c r="I49" s="104"/>
      <c r="J49" s="67"/>
      <c r="K49" s="52"/>
      <c r="L49" s="91"/>
      <c r="M49" s="52">
        <v>2</v>
      </c>
      <c r="N49" s="52" t="s">
        <v>115</v>
      </c>
      <c r="O49" s="42"/>
      <c r="P49" s="137" t="s">
        <v>441</v>
      </c>
      <c r="Q49" s="35"/>
    </row>
    <row r="50" spans="1:17" ht="15.6">
      <c r="A50" s="147"/>
      <c r="B50" s="130" t="s">
        <v>180</v>
      </c>
      <c r="C50" s="115" t="s">
        <v>34</v>
      </c>
      <c r="D50" s="116" t="s">
        <v>89</v>
      </c>
      <c r="E50" s="46">
        <v>1.0986111111111112</v>
      </c>
      <c r="F50" s="115">
        <v>41</v>
      </c>
      <c r="G50" s="104"/>
      <c r="H50" s="67"/>
      <c r="I50" s="104"/>
      <c r="J50" s="67"/>
      <c r="K50" s="52"/>
      <c r="L50" s="91"/>
      <c r="M50" s="52">
        <v>2</v>
      </c>
      <c r="N50" s="52" t="s">
        <v>115</v>
      </c>
      <c r="O50" s="42"/>
      <c r="P50" s="137" t="s">
        <v>442</v>
      </c>
      <c r="Q50" s="35"/>
    </row>
    <row r="51" spans="1:17" ht="15.6">
      <c r="A51" s="146"/>
      <c r="B51" s="130" t="s">
        <v>336</v>
      </c>
      <c r="C51" s="115" t="s">
        <v>393</v>
      </c>
      <c r="D51" s="116" t="s">
        <v>87</v>
      </c>
      <c r="E51" s="46">
        <v>1.0986226851851852</v>
      </c>
      <c r="F51" s="115">
        <v>42</v>
      </c>
      <c r="G51" s="54"/>
      <c r="H51" s="53"/>
      <c r="I51" s="93"/>
      <c r="J51" s="41"/>
      <c r="K51" s="52"/>
      <c r="L51" s="89"/>
      <c r="M51" s="52">
        <v>2</v>
      </c>
      <c r="N51" s="52" t="s">
        <v>115</v>
      </c>
      <c r="O51" s="42"/>
      <c r="P51" s="137" t="s">
        <v>441</v>
      </c>
      <c r="Q51" s="35"/>
    </row>
    <row r="52" spans="1:17" ht="15.6">
      <c r="A52" s="146"/>
      <c r="B52" s="130" t="s">
        <v>120</v>
      </c>
      <c r="C52" s="115" t="s">
        <v>394</v>
      </c>
      <c r="D52" s="116" t="s">
        <v>88</v>
      </c>
      <c r="E52" s="46">
        <v>1.0993055555555555</v>
      </c>
      <c r="F52" s="115">
        <v>43</v>
      </c>
      <c r="G52" s="54"/>
      <c r="H52" s="53"/>
      <c r="I52" s="93"/>
      <c r="J52" s="41"/>
      <c r="K52" s="52"/>
      <c r="L52" s="89"/>
      <c r="M52" s="52">
        <v>2</v>
      </c>
      <c r="N52" s="52" t="s">
        <v>115</v>
      </c>
      <c r="O52" s="42"/>
      <c r="P52" s="137" t="s">
        <v>441</v>
      </c>
      <c r="Q52" s="35"/>
    </row>
    <row r="53" spans="1:17" ht="15.6">
      <c r="A53" s="146"/>
      <c r="B53" s="130" t="s">
        <v>103</v>
      </c>
      <c r="C53" s="115" t="s">
        <v>136</v>
      </c>
      <c r="D53" s="116" t="s">
        <v>150</v>
      </c>
      <c r="E53" s="46">
        <v>1.1034722222222222</v>
      </c>
      <c r="F53" s="115">
        <v>44</v>
      </c>
      <c r="G53" s="54"/>
      <c r="H53" s="53"/>
      <c r="I53" s="93"/>
      <c r="J53" s="41"/>
      <c r="K53" s="52"/>
      <c r="L53" s="89"/>
      <c r="M53" s="52">
        <v>2</v>
      </c>
      <c r="N53" s="52" t="s">
        <v>115</v>
      </c>
      <c r="O53" s="42"/>
      <c r="P53" s="137" t="s">
        <v>441</v>
      </c>
      <c r="Q53" s="35"/>
    </row>
    <row r="54" spans="1:17" ht="15.6">
      <c r="A54" s="147"/>
      <c r="B54" s="128" t="s">
        <v>135</v>
      </c>
      <c r="C54" s="112" t="s">
        <v>395</v>
      </c>
      <c r="D54" s="116" t="s">
        <v>316</v>
      </c>
      <c r="E54" s="46">
        <v>1.1034837962962962</v>
      </c>
      <c r="F54" s="112">
        <v>45</v>
      </c>
      <c r="G54" s="43"/>
      <c r="H54" s="43"/>
      <c r="I54" s="93"/>
      <c r="J54" s="41"/>
      <c r="K54" s="52"/>
      <c r="L54" s="89"/>
      <c r="M54" s="52">
        <v>2</v>
      </c>
      <c r="N54" s="52" t="s">
        <v>115</v>
      </c>
      <c r="O54" s="42"/>
      <c r="P54" s="137" t="s">
        <v>442</v>
      </c>
      <c r="Q54" s="35"/>
    </row>
    <row r="55" spans="1:17" ht="15.6">
      <c r="A55" s="147"/>
      <c r="B55" s="128" t="s">
        <v>337</v>
      </c>
      <c r="C55" s="112" t="s">
        <v>396</v>
      </c>
      <c r="D55" s="116" t="s">
        <v>316</v>
      </c>
      <c r="E55" s="47">
        <v>1.10625</v>
      </c>
      <c r="F55" s="112">
        <v>46</v>
      </c>
      <c r="G55" s="43"/>
      <c r="H55" s="43"/>
      <c r="I55" s="93"/>
      <c r="J55" s="41"/>
      <c r="K55" s="52"/>
      <c r="L55" s="89"/>
      <c r="M55" s="52">
        <v>2</v>
      </c>
      <c r="N55" s="52" t="s">
        <v>115</v>
      </c>
      <c r="O55" s="42"/>
      <c r="P55" s="137" t="s">
        <v>442</v>
      </c>
      <c r="Q55" s="35"/>
    </row>
    <row r="56" spans="1:17" ht="15.6">
      <c r="A56" s="146"/>
      <c r="B56" s="130" t="s">
        <v>338</v>
      </c>
      <c r="C56" s="115" t="s">
        <v>397</v>
      </c>
      <c r="D56" s="116" t="s">
        <v>88</v>
      </c>
      <c r="E56" s="46">
        <v>1.1069444444444445</v>
      </c>
      <c r="F56" s="115">
        <v>47</v>
      </c>
      <c r="G56" s="104"/>
      <c r="H56" s="67"/>
      <c r="I56" s="104"/>
      <c r="J56" s="67"/>
      <c r="K56" s="52"/>
      <c r="L56" s="91"/>
      <c r="M56" s="52">
        <v>2</v>
      </c>
      <c r="N56" s="52" t="s">
        <v>115</v>
      </c>
      <c r="O56" s="42"/>
      <c r="P56" s="137" t="s">
        <v>441</v>
      </c>
      <c r="Q56" s="35"/>
    </row>
    <row r="57" spans="1:17" ht="15.6">
      <c r="A57" s="146"/>
      <c r="B57" s="130" t="s">
        <v>339</v>
      </c>
      <c r="C57" s="115" t="s">
        <v>24</v>
      </c>
      <c r="D57" s="116" t="s">
        <v>85</v>
      </c>
      <c r="E57" s="46">
        <v>1.1125</v>
      </c>
      <c r="F57" s="115">
        <v>48</v>
      </c>
      <c r="G57" s="104"/>
      <c r="H57" s="67"/>
      <c r="I57" s="104"/>
      <c r="J57" s="67"/>
      <c r="K57" s="52"/>
      <c r="L57" s="91"/>
      <c r="M57" s="52">
        <v>2</v>
      </c>
      <c r="N57" s="52" t="s">
        <v>115</v>
      </c>
      <c r="O57" s="42"/>
      <c r="P57" s="137" t="s">
        <v>441</v>
      </c>
      <c r="Q57" s="35"/>
    </row>
    <row r="58" spans="1:17" ht="15.6">
      <c r="A58" s="146"/>
      <c r="B58" s="130" t="s">
        <v>182</v>
      </c>
      <c r="C58" s="115" t="s">
        <v>138</v>
      </c>
      <c r="D58" s="116" t="s">
        <v>86</v>
      </c>
      <c r="E58" s="47">
        <v>1.1125115740740741</v>
      </c>
      <c r="F58" s="115">
        <v>49</v>
      </c>
      <c r="G58" s="54"/>
      <c r="H58" s="53"/>
      <c r="I58" s="93"/>
      <c r="J58" s="41"/>
      <c r="K58" s="52"/>
      <c r="L58" s="89"/>
      <c r="M58" s="52">
        <v>2</v>
      </c>
      <c r="N58" s="52" t="s">
        <v>115</v>
      </c>
      <c r="O58" s="42"/>
      <c r="P58" s="137" t="s">
        <v>441</v>
      </c>
      <c r="Q58" s="35"/>
    </row>
    <row r="59" spans="1:17" ht="15.6">
      <c r="A59" s="146"/>
      <c r="B59" s="130" t="s">
        <v>125</v>
      </c>
      <c r="C59" s="115" t="s">
        <v>266</v>
      </c>
      <c r="D59" s="116" t="s">
        <v>87</v>
      </c>
      <c r="E59" s="46">
        <v>1.117361111111111</v>
      </c>
      <c r="F59" s="115">
        <v>50</v>
      </c>
      <c r="G59" s="54"/>
      <c r="H59" s="53"/>
      <c r="I59" s="93"/>
      <c r="J59" s="41"/>
      <c r="K59" s="52"/>
      <c r="L59" s="89"/>
      <c r="M59" s="52">
        <v>2</v>
      </c>
      <c r="N59" s="52" t="s">
        <v>115</v>
      </c>
      <c r="O59" s="42"/>
      <c r="P59" s="137" t="s">
        <v>441</v>
      </c>
      <c r="Q59" s="35"/>
    </row>
    <row r="60" spans="1:17" ht="15.6">
      <c r="A60" s="147"/>
      <c r="B60" s="130" t="s">
        <v>144</v>
      </c>
      <c r="C60" s="115" t="s">
        <v>112</v>
      </c>
      <c r="D60" s="116" t="s">
        <v>318</v>
      </c>
      <c r="E60" s="46">
        <v>1.1194444444444445</v>
      </c>
      <c r="F60" s="115">
        <v>51</v>
      </c>
      <c r="G60" s="54"/>
      <c r="H60" s="53"/>
      <c r="I60" s="83"/>
      <c r="J60" s="41"/>
      <c r="K60" s="52"/>
      <c r="L60" s="89"/>
      <c r="M60" s="52">
        <v>2</v>
      </c>
      <c r="N60" s="52" t="s">
        <v>115</v>
      </c>
      <c r="O60" s="42"/>
      <c r="P60" s="137" t="s">
        <v>442</v>
      </c>
      <c r="Q60" s="35"/>
    </row>
    <row r="61" spans="1:17" ht="15.6">
      <c r="A61" s="146"/>
      <c r="B61" s="130" t="s">
        <v>340</v>
      </c>
      <c r="C61" s="115" t="s">
        <v>398</v>
      </c>
      <c r="D61" s="116" t="s">
        <v>87</v>
      </c>
      <c r="E61" s="46">
        <v>1.1201388888888888</v>
      </c>
      <c r="F61" s="115">
        <v>52</v>
      </c>
      <c r="G61" s="104"/>
      <c r="H61" s="67"/>
      <c r="I61" s="104"/>
      <c r="J61" s="67"/>
      <c r="K61" s="52"/>
      <c r="L61" s="91"/>
      <c r="M61" s="52">
        <v>2</v>
      </c>
      <c r="N61" s="52" t="s">
        <v>115</v>
      </c>
      <c r="O61" s="42"/>
      <c r="P61" s="137" t="s">
        <v>441</v>
      </c>
      <c r="Q61" s="35"/>
    </row>
    <row r="62" spans="1:17" ht="15.6">
      <c r="A62" s="146"/>
      <c r="B62" s="130" t="s">
        <v>97</v>
      </c>
      <c r="C62" s="115" t="s">
        <v>128</v>
      </c>
      <c r="D62" s="116" t="s">
        <v>150</v>
      </c>
      <c r="E62" s="46">
        <v>1.125</v>
      </c>
      <c r="F62" s="115">
        <v>53</v>
      </c>
      <c r="G62" s="55"/>
      <c r="H62" s="53"/>
      <c r="I62" s="93"/>
      <c r="J62" s="41"/>
      <c r="K62" s="52"/>
      <c r="L62" s="89"/>
      <c r="M62" s="52">
        <v>2</v>
      </c>
      <c r="N62" s="52" t="s">
        <v>115</v>
      </c>
      <c r="O62" s="42"/>
      <c r="P62" s="137" t="s">
        <v>441</v>
      </c>
      <c r="Q62" s="35"/>
    </row>
    <row r="63" spans="1:17" ht="15.6">
      <c r="A63" s="146"/>
      <c r="B63" s="130" t="s">
        <v>341</v>
      </c>
      <c r="C63" s="115" t="s">
        <v>43</v>
      </c>
      <c r="D63" s="116" t="s">
        <v>87</v>
      </c>
      <c r="E63" s="46">
        <v>1.1284722222222221</v>
      </c>
      <c r="F63" s="115">
        <v>54</v>
      </c>
      <c r="G63" s="43"/>
      <c r="H63" s="43"/>
      <c r="I63" s="93"/>
      <c r="J63" s="41"/>
      <c r="K63" s="52"/>
      <c r="L63" s="90"/>
      <c r="M63" s="52">
        <v>2</v>
      </c>
      <c r="N63" s="52" t="s">
        <v>115</v>
      </c>
      <c r="O63" s="42"/>
      <c r="P63" s="137" t="s">
        <v>441</v>
      </c>
      <c r="Q63" s="35"/>
    </row>
    <row r="64" spans="1:17" ht="15.6">
      <c r="A64" s="146"/>
      <c r="B64" s="130" t="s">
        <v>40</v>
      </c>
      <c r="C64" s="115" t="s">
        <v>399</v>
      </c>
      <c r="D64" s="116" t="s">
        <v>87</v>
      </c>
      <c r="E64" s="46">
        <v>1.1305555555555555</v>
      </c>
      <c r="F64" s="115">
        <v>55</v>
      </c>
      <c r="G64" s="93"/>
      <c r="H64" s="41"/>
      <c r="I64" s="93"/>
      <c r="J64" s="41"/>
      <c r="K64" s="52"/>
      <c r="L64" s="90"/>
      <c r="M64" s="52">
        <v>2</v>
      </c>
      <c r="N64" s="52" t="s">
        <v>115</v>
      </c>
      <c r="O64" s="42"/>
      <c r="P64" s="137" t="s">
        <v>441</v>
      </c>
      <c r="Q64" s="35"/>
    </row>
    <row r="65" spans="1:17" ht="15.6">
      <c r="A65" s="146"/>
      <c r="B65" s="130" t="s">
        <v>107</v>
      </c>
      <c r="C65" s="115" t="s">
        <v>40</v>
      </c>
      <c r="D65" s="116" t="s">
        <v>150</v>
      </c>
      <c r="E65" s="46">
        <v>1.1340277777777776</v>
      </c>
      <c r="F65" s="115">
        <v>56</v>
      </c>
      <c r="G65" s="43"/>
      <c r="H65" s="43"/>
      <c r="I65" s="93"/>
      <c r="J65" s="41"/>
      <c r="K65" s="52"/>
      <c r="L65" s="89"/>
      <c r="M65" s="52">
        <v>2</v>
      </c>
      <c r="N65" s="52" t="s">
        <v>115</v>
      </c>
      <c r="O65" s="42"/>
      <c r="P65" s="137" t="s">
        <v>441</v>
      </c>
      <c r="Q65" s="35"/>
    </row>
    <row r="66" spans="1:17" ht="15.6">
      <c r="A66" s="146"/>
      <c r="B66" s="128" t="s">
        <v>342</v>
      </c>
      <c r="C66" s="112" t="s">
        <v>125</v>
      </c>
      <c r="D66" s="115" t="s">
        <v>315</v>
      </c>
      <c r="E66" s="47">
        <v>1.1361111111111111</v>
      </c>
      <c r="F66" s="115">
        <v>57</v>
      </c>
      <c r="G66" s="43"/>
      <c r="H66" s="43"/>
      <c r="I66" s="93"/>
      <c r="J66" s="41"/>
      <c r="K66" s="52"/>
      <c r="L66" s="90"/>
      <c r="M66" s="52">
        <v>2</v>
      </c>
      <c r="N66" s="52" t="s">
        <v>115</v>
      </c>
      <c r="O66" s="42"/>
      <c r="P66" s="137" t="s">
        <v>441</v>
      </c>
      <c r="Q66" s="35"/>
    </row>
    <row r="67" spans="1:17" ht="15.6">
      <c r="A67" s="147"/>
      <c r="B67" s="128" t="s">
        <v>343</v>
      </c>
      <c r="C67" s="112" t="s">
        <v>400</v>
      </c>
      <c r="D67" s="116" t="s">
        <v>316</v>
      </c>
      <c r="E67" s="46">
        <v>1.1402777777777777</v>
      </c>
      <c r="F67" s="112">
        <v>58</v>
      </c>
      <c r="G67" s="93"/>
      <c r="H67" s="41"/>
      <c r="I67" s="93"/>
      <c r="J67" s="41"/>
      <c r="K67" s="52"/>
      <c r="L67" s="90"/>
      <c r="M67" s="52">
        <v>2</v>
      </c>
      <c r="N67" s="52" t="s">
        <v>115</v>
      </c>
      <c r="O67" s="42"/>
      <c r="P67" s="137" t="s">
        <v>442</v>
      </c>
      <c r="Q67" s="35"/>
    </row>
    <row r="68" spans="1:17" ht="15.6">
      <c r="A68" s="146"/>
      <c r="B68" s="130" t="s">
        <v>344</v>
      </c>
      <c r="C68" s="115" t="s">
        <v>337</v>
      </c>
      <c r="D68" s="116" t="s">
        <v>86</v>
      </c>
      <c r="E68" s="46">
        <v>1.1430555555555555</v>
      </c>
      <c r="F68" s="115">
        <v>59</v>
      </c>
      <c r="G68" s="104"/>
      <c r="H68" s="67"/>
      <c r="I68" s="104"/>
      <c r="J68" s="67"/>
      <c r="K68" s="52"/>
      <c r="L68" s="91"/>
      <c r="M68" s="52">
        <v>2</v>
      </c>
      <c r="N68" s="52" t="s">
        <v>115</v>
      </c>
      <c r="O68" s="42"/>
      <c r="P68" s="137" t="s">
        <v>441</v>
      </c>
      <c r="Q68" s="35"/>
    </row>
    <row r="69" spans="1:17" ht="15.6">
      <c r="A69" s="146"/>
      <c r="B69" s="130" t="s">
        <v>345</v>
      </c>
      <c r="C69" s="115" t="s">
        <v>40</v>
      </c>
      <c r="D69" s="116" t="s">
        <v>86</v>
      </c>
      <c r="E69" s="46">
        <v>1.1493055555555556</v>
      </c>
      <c r="F69" s="115">
        <v>60</v>
      </c>
      <c r="G69" s="93"/>
      <c r="H69" s="41"/>
      <c r="I69" s="93"/>
      <c r="J69" s="41"/>
      <c r="K69" s="52"/>
      <c r="L69" s="90"/>
      <c r="M69" s="52">
        <v>2</v>
      </c>
      <c r="N69" s="52" t="s">
        <v>115</v>
      </c>
      <c r="O69" s="42"/>
      <c r="P69" s="137" t="s">
        <v>441</v>
      </c>
      <c r="Q69" s="35"/>
    </row>
    <row r="70" spans="1:17" ht="15.6">
      <c r="A70" s="146"/>
      <c r="B70" s="130" t="s">
        <v>346</v>
      </c>
      <c r="C70" s="115" t="s">
        <v>117</v>
      </c>
      <c r="D70" s="116" t="s">
        <v>86</v>
      </c>
      <c r="E70" s="47">
        <v>1.1513888888888888</v>
      </c>
      <c r="F70" s="115">
        <v>61</v>
      </c>
      <c r="G70" s="43"/>
      <c r="H70" s="43"/>
      <c r="I70" s="93"/>
      <c r="J70" s="41"/>
      <c r="K70" s="52"/>
      <c r="L70" s="89"/>
      <c r="M70" s="52">
        <v>2</v>
      </c>
      <c r="N70" s="52" t="s">
        <v>115</v>
      </c>
      <c r="O70" s="42"/>
      <c r="P70" s="137" t="s">
        <v>441</v>
      </c>
      <c r="Q70" s="35"/>
    </row>
    <row r="71" spans="1:17" ht="15.6">
      <c r="A71" s="146"/>
      <c r="B71" s="128" t="s">
        <v>347</v>
      </c>
      <c r="C71" s="112" t="s">
        <v>401</v>
      </c>
      <c r="D71" s="115" t="s">
        <v>315</v>
      </c>
      <c r="E71" s="46">
        <v>1.1597222222222221</v>
      </c>
      <c r="F71" s="114">
        <v>62</v>
      </c>
      <c r="G71" s="93"/>
      <c r="H71" s="41"/>
      <c r="I71" s="93"/>
      <c r="J71" s="41"/>
      <c r="K71" s="52"/>
      <c r="L71" s="90"/>
      <c r="M71" s="52">
        <v>2</v>
      </c>
      <c r="N71" s="52" t="s">
        <v>115</v>
      </c>
      <c r="O71" s="42"/>
      <c r="P71" s="137" t="s">
        <v>441</v>
      </c>
      <c r="Q71" s="35"/>
    </row>
    <row r="72" spans="1:17" ht="15.6">
      <c r="A72" s="146"/>
      <c r="B72" s="143" t="s">
        <v>179</v>
      </c>
      <c r="C72" s="111" t="s">
        <v>196</v>
      </c>
      <c r="D72" s="116" t="s">
        <v>88</v>
      </c>
      <c r="E72" s="46">
        <v>1.1624999999999999</v>
      </c>
      <c r="F72" s="115">
        <v>63</v>
      </c>
      <c r="G72" s="93"/>
      <c r="H72" s="41"/>
      <c r="I72" s="93"/>
      <c r="J72" s="41"/>
      <c r="K72" s="52"/>
      <c r="L72" s="90"/>
      <c r="M72" s="52">
        <v>2</v>
      </c>
      <c r="N72" s="52" t="s">
        <v>115</v>
      </c>
      <c r="O72" s="42"/>
      <c r="P72" s="137" t="s">
        <v>441</v>
      </c>
      <c r="Q72" s="35"/>
    </row>
    <row r="73" spans="1:17" ht="15.6">
      <c r="A73" s="146"/>
      <c r="B73" s="130" t="s">
        <v>36</v>
      </c>
      <c r="C73" s="115" t="s">
        <v>129</v>
      </c>
      <c r="D73" s="116" t="s">
        <v>150</v>
      </c>
      <c r="E73" s="46">
        <v>1.1722222222222223</v>
      </c>
      <c r="F73" s="115">
        <v>64</v>
      </c>
      <c r="G73" s="93"/>
      <c r="H73" s="41"/>
      <c r="I73" s="93"/>
      <c r="J73" s="41"/>
      <c r="K73" s="52"/>
      <c r="L73" s="90"/>
      <c r="M73" s="52">
        <v>2</v>
      </c>
      <c r="N73" s="52" t="s">
        <v>115</v>
      </c>
      <c r="O73" s="42"/>
      <c r="P73" s="137" t="s">
        <v>441</v>
      </c>
      <c r="Q73" s="35"/>
    </row>
    <row r="74" spans="1:17" ht="15.6">
      <c r="A74" s="147"/>
      <c r="B74" s="128" t="s">
        <v>145</v>
      </c>
      <c r="C74" s="112" t="s">
        <v>24</v>
      </c>
      <c r="D74" s="116" t="s">
        <v>316</v>
      </c>
      <c r="E74" s="46">
        <v>1.1805555555555556</v>
      </c>
      <c r="F74" s="112">
        <v>65</v>
      </c>
      <c r="G74" s="93"/>
      <c r="H74" s="41"/>
      <c r="I74" s="93"/>
      <c r="J74" s="41"/>
      <c r="K74" s="52"/>
      <c r="L74" s="90"/>
      <c r="M74" s="52">
        <v>2</v>
      </c>
      <c r="N74" s="52" t="s">
        <v>115</v>
      </c>
      <c r="O74" s="42"/>
      <c r="P74" s="137" t="s">
        <v>442</v>
      </c>
      <c r="Q74" s="35"/>
    </row>
    <row r="75" spans="1:17" ht="15.6">
      <c r="A75" s="147"/>
      <c r="B75" s="130" t="s">
        <v>348</v>
      </c>
      <c r="C75" s="115" t="s">
        <v>31</v>
      </c>
      <c r="D75" s="116" t="s">
        <v>89</v>
      </c>
      <c r="E75" s="46">
        <v>1.1861111111111111</v>
      </c>
      <c r="F75" s="115">
        <v>66</v>
      </c>
      <c r="G75" s="43"/>
      <c r="H75" s="43"/>
      <c r="I75" s="93"/>
      <c r="J75" s="41"/>
      <c r="K75" s="52"/>
      <c r="L75" s="90"/>
      <c r="M75" s="52">
        <v>2</v>
      </c>
      <c r="N75" s="52" t="s">
        <v>115</v>
      </c>
      <c r="O75" s="42"/>
      <c r="P75" s="137" t="s">
        <v>442</v>
      </c>
      <c r="Q75" s="35"/>
    </row>
    <row r="76" spans="1:17" ht="15.6">
      <c r="A76" s="146"/>
      <c r="B76" s="130" t="s">
        <v>137</v>
      </c>
      <c r="C76" s="115" t="s">
        <v>93</v>
      </c>
      <c r="D76" s="116" t="s">
        <v>88</v>
      </c>
      <c r="E76" s="46">
        <v>1.1875</v>
      </c>
      <c r="F76" s="115">
        <v>67</v>
      </c>
      <c r="G76" s="93"/>
      <c r="H76" s="41"/>
      <c r="I76" s="93"/>
      <c r="J76" s="41"/>
      <c r="K76" s="52"/>
      <c r="L76" s="90"/>
      <c r="M76" s="52">
        <v>2</v>
      </c>
      <c r="N76" s="52" t="s">
        <v>115</v>
      </c>
      <c r="O76" s="42"/>
      <c r="P76" s="137" t="s">
        <v>441</v>
      </c>
      <c r="Q76" s="35"/>
    </row>
    <row r="77" spans="1:17" ht="15.6">
      <c r="A77" s="146"/>
      <c r="B77" s="130" t="s">
        <v>119</v>
      </c>
      <c r="C77" s="115" t="s">
        <v>111</v>
      </c>
      <c r="D77" s="116" t="s">
        <v>88</v>
      </c>
      <c r="E77" s="46">
        <v>1.1881944444444443</v>
      </c>
      <c r="F77" s="115">
        <v>68</v>
      </c>
      <c r="G77" s="93"/>
      <c r="H77" s="41"/>
      <c r="I77" s="93"/>
      <c r="J77" s="41"/>
      <c r="K77" s="52"/>
      <c r="L77" s="90"/>
      <c r="M77" s="52">
        <v>2</v>
      </c>
      <c r="N77" s="52" t="s">
        <v>115</v>
      </c>
      <c r="O77" s="42"/>
      <c r="P77" s="137" t="s">
        <v>441</v>
      </c>
      <c r="Q77" s="35"/>
    </row>
    <row r="78" spans="1:17" ht="15.6">
      <c r="A78" s="147"/>
      <c r="B78" s="130" t="s">
        <v>349</v>
      </c>
      <c r="C78" s="115" t="s">
        <v>402</v>
      </c>
      <c r="D78" s="116" t="s">
        <v>318</v>
      </c>
      <c r="E78" s="46">
        <v>1.1916666666666667</v>
      </c>
      <c r="F78" s="115">
        <v>69</v>
      </c>
      <c r="G78" s="104"/>
      <c r="H78" s="67"/>
      <c r="I78" s="104"/>
      <c r="J78" s="67"/>
      <c r="K78" s="52"/>
      <c r="L78" s="91"/>
      <c r="M78" s="52">
        <v>2</v>
      </c>
      <c r="N78" s="52" t="s">
        <v>115</v>
      </c>
      <c r="O78" s="42"/>
      <c r="P78" s="137" t="s">
        <v>442</v>
      </c>
      <c r="Q78" s="35"/>
    </row>
    <row r="79" spans="1:17" ht="15.6">
      <c r="A79" s="147"/>
      <c r="B79" s="130" t="s">
        <v>350</v>
      </c>
      <c r="C79" s="111" t="s">
        <v>142</v>
      </c>
      <c r="D79" s="116" t="s">
        <v>319</v>
      </c>
      <c r="E79" s="46">
        <v>1.1965277777777776</v>
      </c>
      <c r="F79" s="115">
        <v>70</v>
      </c>
      <c r="G79" s="93"/>
      <c r="H79" s="41"/>
      <c r="I79" s="93"/>
      <c r="J79" s="41"/>
      <c r="K79" s="52"/>
      <c r="L79" s="90"/>
      <c r="M79" s="52">
        <v>2</v>
      </c>
      <c r="N79" s="52" t="s">
        <v>115</v>
      </c>
      <c r="O79" s="42"/>
      <c r="P79" s="137" t="s">
        <v>442</v>
      </c>
      <c r="Q79" s="35"/>
    </row>
    <row r="80" spans="1:17" ht="15.6">
      <c r="A80" s="146"/>
      <c r="B80" s="130" t="s">
        <v>46</v>
      </c>
      <c r="C80" s="115" t="s">
        <v>118</v>
      </c>
      <c r="D80" s="116" t="s">
        <v>83</v>
      </c>
      <c r="E80" s="46">
        <v>1.1986111111111111</v>
      </c>
      <c r="F80" s="115">
        <v>71</v>
      </c>
      <c r="G80" s="67"/>
      <c r="H80" s="67"/>
      <c r="I80" s="104"/>
      <c r="J80" s="67"/>
      <c r="K80" s="52"/>
      <c r="L80" s="92"/>
      <c r="M80" s="52">
        <v>2</v>
      </c>
      <c r="N80" s="52" t="s">
        <v>115</v>
      </c>
      <c r="O80" s="42"/>
      <c r="P80" s="137" t="s">
        <v>441</v>
      </c>
      <c r="Q80" s="35"/>
    </row>
    <row r="81" spans="1:17" ht="15.6">
      <c r="A81" s="146"/>
      <c r="B81" s="130" t="s">
        <v>351</v>
      </c>
      <c r="C81" s="115" t="s">
        <v>403</v>
      </c>
      <c r="D81" s="116" t="s">
        <v>90</v>
      </c>
      <c r="E81" s="46">
        <v>1.2138888888888888</v>
      </c>
      <c r="F81" s="115">
        <v>72</v>
      </c>
      <c r="G81" s="104"/>
      <c r="H81" s="67"/>
      <c r="I81" s="104"/>
      <c r="J81" s="67"/>
      <c r="K81" s="52"/>
      <c r="L81" s="91"/>
      <c r="M81" s="52">
        <v>2</v>
      </c>
      <c r="N81" s="52" t="s">
        <v>115</v>
      </c>
      <c r="O81" s="42"/>
      <c r="P81" s="137" t="s">
        <v>441</v>
      </c>
      <c r="Q81" s="35"/>
    </row>
    <row r="82" spans="1:17" ht="15.6">
      <c r="A82" s="147"/>
      <c r="B82" s="130" t="s">
        <v>40</v>
      </c>
      <c r="C82" s="115" t="s">
        <v>404</v>
      </c>
      <c r="D82" s="116" t="s">
        <v>89</v>
      </c>
      <c r="E82" s="46">
        <v>1.2201388888888889</v>
      </c>
      <c r="F82" s="115">
        <v>73</v>
      </c>
      <c r="G82" s="104"/>
      <c r="H82" s="67"/>
      <c r="I82" s="104"/>
      <c r="J82" s="67"/>
      <c r="K82" s="52"/>
      <c r="L82" s="91"/>
      <c r="M82" s="52">
        <v>2</v>
      </c>
      <c r="N82" s="52" t="s">
        <v>115</v>
      </c>
      <c r="O82" s="42"/>
      <c r="P82" s="137" t="s">
        <v>442</v>
      </c>
      <c r="Q82" s="35"/>
    </row>
    <row r="83" spans="1:17" ht="15.6">
      <c r="A83" s="146"/>
      <c r="B83" s="130" t="s">
        <v>183</v>
      </c>
      <c r="C83" s="115" t="s">
        <v>184</v>
      </c>
      <c r="D83" s="116" t="s">
        <v>150</v>
      </c>
      <c r="E83" s="46">
        <v>1.2215277777777778</v>
      </c>
      <c r="F83" s="115">
        <v>74</v>
      </c>
      <c r="G83" s="93"/>
      <c r="H83" s="41"/>
      <c r="I83" s="93"/>
      <c r="J83" s="41"/>
      <c r="K83" s="52"/>
      <c r="L83" s="90"/>
      <c r="M83" s="52">
        <v>2</v>
      </c>
      <c r="N83" s="52" t="s">
        <v>115</v>
      </c>
      <c r="O83" s="42"/>
      <c r="P83" s="137" t="s">
        <v>441</v>
      </c>
      <c r="Q83" s="35"/>
    </row>
    <row r="84" spans="1:17" ht="15.6">
      <c r="A84" s="146"/>
      <c r="B84" s="130" t="s">
        <v>177</v>
      </c>
      <c r="C84" s="115" t="s">
        <v>405</v>
      </c>
      <c r="D84" s="116" t="s">
        <v>88</v>
      </c>
      <c r="E84" s="46">
        <v>1.2222222222222221</v>
      </c>
      <c r="F84" s="115">
        <v>75</v>
      </c>
      <c r="G84" s="93"/>
      <c r="H84" s="41"/>
      <c r="I84" s="93"/>
      <c r="J84" s="41"/>
      <c r="K84" s="52"/>
      <c r="L84" s="90"/>
      <c r="M84" s="52">
        <v>2</v>
      </c>
      <c r="N84" s="52" t="s">
        <v>115</v>
      </c>
      <c r="O84" s="42"/>
      <c r="P84" s="137" t="s">
        <v>441</v>
      </c>
      <c r="Q84" s="35"/>
    </row>
    <row r="85" spans="1:17" ht="15.6">
      <c r="A85" s="146"/>
      <c r="B85" s="130" t="s">
        <v>352</v>
      </c>
      <c r="C85" s="115" t="s">
        <v>406</v>
      </c>
      <c r="D85" s="116" t="s">
        <v>90</v>
      </c>
      <c r="E85" s="47">
        <v>1.2604166666666667</v>
      </c>
      <c r="F85" s="115">
        <v>76</v>
      </c>
      <c r="G85" s="48"/>
      <c r="H85" s="41"/>
      <c r="I85" s="93"/>
      <c r="J85" s="41"/>
      <c r="K85" s="52"/>
      <c r="L85" s="90"/>
      <c r="M85" s="52">
        <v>2</v>
      </c>
      <c r="N85" s="52" t="s">
        <v>115</v>
      </c>
      <c r="O85" s="42"/>
      <c r="P85" s="137" t="s">
        <v>441</v>
      </c>
      <c r="Q85" s="35"/>
    </row>
    <row r="86" spans="1:17" ht="15.6">
      <c r="A86" s="146"/>
      <c r="B86" s="130" t="s">
        <v>353</v>
      </c>
      <c r="C86" s="115" t="s">
        <v>407</v>
      </c>
      <c r="D86" s="116" t="s">
        <v>90</v>
      </c>
      <c r="E86" s="46">
        <v>1.2743055555555556</v>
      </c>
      <c r="F86" s="115">
        <v>77</v>
      </c>
      <c r="G86" s="93"/>
      <c r="H86" s="41"/>
      <c r="I86" s="93"/>
      <c r="J86" s="41"/>
      <c r="K86" s="52"/>
      <c r="L86" s="90"/>
      <c r="M86" s="52">
        <v>2</v>
      </c>
      <c r="N86" s="52" t="s">
        <v>115</v>
      </c>
      <c r="O86" s="42"/>
      <c r="P86" s="137" t="s">
        <v>441</v>
      </c>
      <c r="Q86" s="35"/>
    </row>
    <row r="87" spans="1:17" ht="15.6">
      <c r="A87" s="147"/>
      <c r="B87" s="130" t="s">
        <v>125</v>
      </c>
      <c r="C87" s="115" t="s">
        <v>104</v>
      </c>
      <c r="D87" s="116" t="s">
        <v>317</v>
      </c>
      <c r="E87" s="46">
        <v>1.28125</v>
      </c>
      <c r="F87" s="115">
        <v>78</v>
      </c>
      <c r="G87" s="93"/>
      <c r="H87" s="41"/>
      <c r="I87" s="93"/>
      <c r="J87" s="41"/>
      <c r="K87" s="52"/>
      <c r="L87" s="90"/>
      <c r="M87" s="52">
        <v>2</v>
      </c>
      <c r="N87" s="52" t="s">
        <v>115</v>
      </c>
      <c r="O87" s="42"/>
      <c r="P87" s="137" t="s">
        <v>442</v>
      </c>
      <c r="Q87" s="35"/>
    </row>
    <row r="88" spans="1:17" ht="15.6">
      <c r="A88" s="146"/>
      <c r="B88" s="128" t="s">
        <v>108</v>
      </c>
      <c r="C88" s="112" t="s">
        <v>408</v>
      </c>
      <c r="D88" s="116" t="s">
        <v>84</v>
      </c>
      <c r="E88" s="46">
        <v>1.2840277777777778</v>
      </c>
      <c r="F88" s="112">
        <v>79</v>
      </c>
      <c r="G88" s="93"/>
      <c r="H88" s="41"/>
      <c r="I88" s="93"/>
      <c r="J88" s="41"/>
      <c r="K88" s="52"/>
      <c r="L88" s="90"/>
      <c r="M88" s="52">
        <v>2</v>
      </c>
      <c r="N88" s="52" t="s">
        <v>115</v>
      </c>
      <c r="O88" s="42"/>
      <c r="P88" s="137" t="s">
        <v>441</v>
      </c>
      <c r="Q88" s="35"/>
    </row>
    <row r="89" spans="1:17" ht="15.6">
      <c r="A89" s="146"/>
      <c r="B89" s="130" t="s">
        <v>354</v>
      </c>
      <c r="C89" s="115" t="s">
        <v>36</v>
      </c>
      <c r="D89" s="116" t="s">
        <v>90</v>
      </c>
      <c r="E89" s="46">
        <v>1.2868055555555555</v>
      </c>
      <c r="F89" s="115">
        <v>80</v>
      </c>
      <c r="G89" s="48"/>
      <c r="H89" s="41"/>
      <c r="I89" s="93"/>
      <c r="J89" s="41"/>
      <c r="K89" s="52"/>
      <c r="L89" s="90"/>
      <c r="M89" s="52">
        <v>2</v>
      </c>
      <c r="N89" s="52" t="s">
        <v>115</v>
      </c>
      <c r="O89" s="42"/>
      <c r="P89" s="137" t="s">
        <v>441</v>
      </c>
      <c r="Q89" s="35"/>
    </row>
    <row r="90" spans="1:17" ht="15.6">
      <c r="A90" s="146"/>
      <c r="B90" s="130" t="s">
        <v>355</v>
      </c>
      <c r="C90" s="115" t="s">
        <v>409</v>
      </c>
      <c r="D90" s="116" t="s">
        <v>90</v>
      </c>
      <c r="E90" s="46">
        <v>1.29375</v>
      </c>
      <c r="F90" s="115">
        <v>81</v>
      </c>
      <c r="G90" s="48"/>
      <c r="H90" s="41"/>
      <c r="I90" s="93"/>
      <c r="J90" s="41"/>
      <c r="K90" s="52"/>
      <c r="L90" s="90"/>
      <c r="M90" s="52">
        <v>2</v>
      </c>
      <c r="N90" s="52" t="s">
        <v>115</v>
      </c>
      <c r="O90" s="42"/>
      <c r="P90" s="137" t="s">
        <v>441</v>
      </c>
      <c r="Q90" s="35"/>
    </row>
    <row r="91" spans="1:17" ht="15.6">
      <c r="A91" s="146"/>
      <c r="B91" s="130" t="s">
        <v>46</v>
      </c>
      <c r="C91" s="115" t="s">
        <v>143</v>
      </c>
      <c r="D91" s="116" t="s">
        <v>150</v>
      </c>
      <c r="E91" s="46">
        <v>1.2979166666666666</v>
      </c>
      <c r="F91" s="115">
        <v>82</v>
      </c>
      <c r="G91" s="43"/>
      <c r="H91" s="43"/>
      <c r="I91" s="93"/>
      <c r="J91" s="41"/>
      <c r="K91" s="52"/>
      <c r="L91" s="90"/>
      <c r="M91" s="52">
        <v>2</v>
      </c>
      <c r="N91" s="52" t="s">
        <v>115</v>
      </c>
      <c r="O91" s="42"/>
      <c r="P91" s="137" t="s">
        <v>441</v>
      </c>
      <c r="Q91" s="35"/>
    </row>
    <row r="92" spans="1:17" ht="15.6">
      <c r="A92" s="146"/>
      <c r="B92" s="130" t="s">
        <v>356</v>
      </c>
      <c r="C92" s="111" t="s">
        <v>105</v>
      </c>
      <c r="D92" s="116" t="s">
        <v>88</v>
      </c>
      <c r="E92" s="46">
        <v>1.3006944444444444</v>
      </c>
      <c r="F92" s="115">
        <v>83</v>
      </c>
      <c r="G92" s="48"/>
      <c r="H92" s="41"/>
      <c r="I92" s="93"/>
      <c r="J92" s="41"/>
      <c r="K92" s="52"/>
      <c r="L92" s="90"/>
      <c r="M92" s="52">
        <v>2</v>
      </c>
      <c r="N92" s="52" t="s">
        <v>115</v>
      </c>
      <c r="O92" s="42"/>
      <c r="P92" s="137" t="s">
        <v>441</v>
      </c>
      <c r="Q92" s="35"/>
    </row>
    <row r="93" spans="1:17" ht="15.6">
      <c r="A93" s="147"/>
      <c r="B93" s="128" t="s">
        <v>357</v>
      </c>
      <c r="C93" s="112" t="s">
        <v>410</v>
      </c>
      <c r="D93" s="116" t="s">
        <v>316</v>
      </c>
      <c r="E93" s="46">
        <v>1.3020833333333333</v>
      </c>
      <c r="F93" s="112">
        <v>84</v>
      </c>
      <c r="G93" s="104"/>
      <c r="H93" s="67"/>
      <c r="I93" s="104"/>
      <c r="J93" s="67"/>
      <c r="K93" s="52"/>
      <c r="L93" s="91"/>
      <c r="M93" s="52">
        <v>2</v>
      </c>
      <c r="N93" s="52" t="s">
        <v>115</v>
      </c>
      <c r="O93" s="42"/>
      <c r="P93" s="137" t="s">
        <v>442</v>
      </c>
      <c r="Q93" s="35"/>
    </row>
    <row r="94" spans="1:17" ht="15.6">
      <c r="A94" s="147"/>
      <c r="B94" s="130" t="s">
        <v>177</v>
      </c>
      <c r="C94" s="115" t="s">
        <v>411</v>
      </c>
      <c r="D94" s="116" t="s">
        <v>314</v>
      </c>
      <c r="E94" s="46">
        <v>1.3034722222222224</v>
      </c>
      <c r="F94" s="115">
        <v>85</v>
      </c>
      <c r="G94" s="48"/>
      <c r="H94" s="41"/>
      <c r="I94" s="93"/>
      <c r="J94" s="41"/>
      <c r="K94" s="52"/>
      <c r="L94" s="90"/>
      <c r="M94" s="52">
        <v>2</v>
      </c>
      <c r="N94" s="52" t="s">
        <v>115</v>
      </c>
      <c r="O94" s="42"/>
      <c r="P94" s="137" t="s">
        <v>442</v>
      </c>
      <c r="Q94" s="35"/>
    </row>
    <row r="95" spans="1:17" ht="15.6">
      <c r="A95" s="146"/>
      <c r="B95" s="130" t="s">
        <v>35</v>
      </c>
      <c r="C95" s="115" t="s">
        <v>117</v>
      </c>
      <c r="D95" s="116" t="s">
        <v>150</v>
      </c>
      <c r="E95" s="46">
        <v>1.3076388888888888</v>
      </c>
      <c r="F95" s="115">
        <v>86</v>
      </c>
      <c r="G95" s="43"/>
      <c r="H95" s="43"/>
      <c r="I95" s="93"/>
      <c r="J95" s="41"/>
      <c r="K95" s="52"/>
      <c r="L95" s="90"/>
      <c r="M95" s="52">
        <v>2</v>
      </c>
      <c r="N95" s="52" t="s">
        <v>115</v>
      </c>
      <c r="O95" s="42"/>
      <c r="P95" s="137" t="s">
        <v>441</v>
      </c>
      <c r="Q95" s="35"/>
    </row>
    <row r="96" spans="1:17" ht="15.6">
      <c r="A96" s="146"/>
      <c r="B96" s="130" t="s">
        <v>358</v>
      </c>
      <c r="C96" s="115" t="s">
        <v>146</v>
      </c>
      <c r="D96" s="116" t="s">
        <v>150</v>
      </c>
      <c r="E96" s="46">
        <v>1.3118055555555557</v>
      </c>
      <c r="F96" s="115">
        <v>87</v>
      </c>
      <c r="G96" s="93"/>
      <c r="H96" s="41"/>
      <c r="I96" s="48"/>
      <c r="J96" s="41"/>
      <c r="K96" s="52"/>
      <c r="L96" s="90"/>
      <c r="M96" s="52">
        <v>2</v>
      </c>
      <c r="N96" s="52" t="s">
        <v>115</v>
      </c>
      <c r="O96" s="42"/>
      <c r="P96" s="137" t="s">
        <v>441</v>
      </c>
      <c r="Q96" s="35"/>
    </row>
    <row r="97" spans="1:17" ht="15.6">
      <c r="A97" s="146"/>
      <c r="B97" s="130" t="s">
        <v>359</v>
      </c>
      <c r="C97" s="115" t="s">
        <v>181</v>
      </c>
      <c r="D97" s="116" t="s">
        <v>90</v>
      </c>
      <c r="E97" s="46">
        <v>1.3187499999999999</v>
      </c>
      <c r="F97" s="115">
        <v>88</v>
      </c>
      <c r="G97" s="48"/>
      <c r="H97" s="41"/>
      <c r="I97" s="93"/>
      <c r="J97" s="41"/>
      <c r="K97" s="52"/>
      <c r="L97" s="90"/>
      <c r="M97" s="52">
        <v>2</v>
      </c>
      <c r="N97" s="52" t="s">
        <v>115</v>
      </c>
      <c r="O97" s="42"/>
      <c r="P97" s="137" t="s">
        <v>441</v>
      </c>
      <c r="Q97" s="35"/>
    </row>
    <row r="98" spans="1:17" ht="15.6">
      <c r="A98" s="146"/>
      <c r="B98" s="130" t="s">
        <v>360</v>
      </c>
      <c r="C98" s="115" t="s">
        <v>412</v>
      </c>
      <c r="D98" s="116" t="s">
        <v>150</v>
      </c>
      <c r="E98" s="46">
        <v>1.3513888888888888</v>
      </c>
      <c r="F98" s="115">
        <v>89</v>
      </c>
      <c r="G98" s="105"/>
      <c r="H98" s="67"/>
      <c r="I98" s="104"/>
      <c r="J98" s="67"/>
      <c r="K98" s="52"/>
      <c r="L98" s="91"/>
      <c r="M98" s="52">
        <v>2</v>
      </c>
      <c r="N98" s="52" t="s">
        <v>115</v>
      </c>
      <c r="O98" s="42"/>
      <c r="P98" s="137" t="s">
        <v>441</v>
      </c>
      <c r="Q98" s="35"/>
    </row>
    <row r="99" spans="1:17" ht="15.6">
      <c r="A99" s="146"/>
      <c r="B99" s="128" t="s">
        <v>109</v>
      </c>
      <c r="C99" s="112" t="s">
        <v>140</v>
      </c>
      <c r="D99" s="115" t="s">
        <v>315</v>
      </c>
      <c r="E99" s="46">
        <v>1.425</v>
      </c>
      <c r="F99" s="115">
        <v>90</v>
      </c>
      <c r="G99" s="105"/>
      <c r="H99" s="67"/>
      <c r="I99" s="104"/>
      <c r="J99" s="67"/>
      <c r="K99" s="52"/>
      <c r="L99" s="91"/>
      <c r="M99" s="52">
        <v>2</v>
      </c>
      <c r="N99" s="52" t="s">
        <v>115</v>
      </c>
      <c r="O99" s="42"/>
      <c r="P99" s="137" t="s">
        <v>441</v>
      </c>
      <c r="Q99" s="35"/>
    </row>
    <row r="100" spans="1:17" ht="15.6">
      <c r="A100" s="146"/>
      <c r="B100" s="130" t="s">
        <v>209</v>
      </c>
      <c r="C100" s="115" t="s">
        <v>35</v>
      </c>
      <c r="D100" s="116" t="s">
        <v>88</v>
      </c>
      <c r="E100" s="46">
        <v>1.4263888888888889</v>
      </c>
      <c r="F100" s="115">
        <v>91</v>
      </c>
      <c r="G100" s="43"/>
      <c r="H100" s="43"/>
      <c r="I100" s="48"/>
      <c r="J100" s="41"/>
      <c r="K100" s="52"/>
      <c r="L100" s="90"/>
      <c r="M100" s="52">
        <v>2</v>
      </c>
      <c r="N100" s="52" t="s">
        <v>115</v>
      </c>
      <c r="O100" s="42"/>
      <c r="P100" s="137" t="s">
        <v>441</v>
      </c>
      <c r="Q100" s="35"/>
    </row>
    <row r="101" spans="1:17" ht="15.6">
      <c r="A101" s="146"/>
      <c r="B101" s="128" t="s">
        <v>110</v>
      </c>
      <c r="C101" s="112" t="s">
        <v>134</v>
      </c>
      <c r="D101" s="116" t="s">
        <v>84</v>
      </c>
      <c r="E101" s="46">
        <v>1.4354166666666668</v>
      </c>
      <c r="F101" s="112">
        <v>92</v>
      </c>
      <c r="G101" s="105"/>
      <c r="H101" s="67"/>
      <c r="I101" s="104"/>
      <c r="J101" s="67"/>
      <c r="K101" s="52"/>
      <c r="L101" s="91"/>
      <c r="M101" s="52">
        <v>2</v>
      </c>
      <c r="N101" s="52" t="s">
        <v>115</v>
      </c>
      <c r="O101" s="42"/>
      <c r="P101" s="137" t="s">
        <v>441</v>
      </c>
      <c r="Q101" s="35"/>
    </row>
    <row r="102" spans="1:17" ht="15.6">
      <c r="A102" s="147"/>
      <c r="B102" s="130" t="s">
        <v>141</v>
      </c>
      <c r="C102" s="115" t="s">
        <v>413</v>
      </c>
      <c r="D102" s="116" t="s">
        <v>89</v>
      </c>
      <c r="E102" s="46">
        <v>1.4444444444444444</v>
      </c>
      <c r="F102" s="115">
        <v>93</v>
      </c>
      <c r="G102" s="48"/>
      <c r="H102" s="41"/>
      <c r="I102" s="93"/>
      <c r="J102" s="41"/>
      <c r="K102" s="52"/>
      <c r="L102" s="90"/>
      <c r="M102" s="52">
        <v>2</v>
      </c>
      <c r="N102" s="52" t="s">
        <v>115</v>
      </c>
      <c r="O102" s="42"/>
      <c r="P102" s="137" t="s">
        <v>442</v>
      </c>
      <c r="Q102" s="35"/>
    </row>
    <row r="103" spans="1:17" ht="15.6">
      <c r="A103" s="147"/>
      <c r="B103" s="130" t="s">
        <v>361</v>
      </c>
      <c r="C103" s="115" t="s">
        <v>414</v>
      </c>
      <c r="D103" s="116" t="s">
        <v>318</v>
      </c>
      <c r="E103" s="46">
        <v>1.4819444444444445</v>
      </c>
      <c r="F103" s="115">
        <v>94</v>
      </c>
      <c r="G103" s="43"/>
      <c r="H103" s="43"/>
      <c r="I103" s="48"/>
      <c r="J103" s="41"/>
      <c r="K103" s="52"/>
      <c r="L103" s="90"/>
      <c r="M103" s="52">
        <v>2</v>
      </c>
      <c r="N103" s="52" t="s">
        <v>115</v>
      </c>
      <c r="O103" s="42"/>
      <c r="P103" s="137" t="s">
        <v>442</v>
      </c>
      <c r="Q103" s="35"/>
    </row>
    <row r="104" spans="1:17" ht="15.6">
      <c r="A104" s="146"/>
      <c r="B104" s="128" t="s">
        <v>362</v>
      </c>
      <c r="C104" s="112" t="s">
        <v>415</v>
      </c>
      <c r="D104" s="116" t="s">
        <v>84</v>
      </c>
      <c r="E104" s="46">
        <v>1.5250000000000001</v>
      </c>
      <c r="F104" s="112">
        <v>95</v>
      </c>
      <c r="G104" s="48"/>
      <c r="H104" s="41"/>
      <c r="I104" s="48"/>
      <c r="J104" s="41"/>
      <c r="K104" s="52"/>
      <c r="L104" s="90"/>
      <c r="M104" s="52">
        <v>2</v>
      </c>
      <c r="N104" s="52" t="s">
        <v>115</v>
      </c>
      <c r="O104" s="42"/>
      <c r="P104" s="137" t="s">
        <v>441</v>
      </c>
      <c r="Q104" s="35"/>
    </row>
    <row r="105" spans="1:17" ht="15.6">
      <c r="A105" s="146"/>
      <c r="B105" s="144" t="s">
        <v>75</v>
      </c>
      <c r="C105" s="112" t="s">
        <v>124</v>
      </c>
      <c r="D105" s="116" t="s">
        <v>84</v>
      </c>
      <c r="E105" s="46">
        <v>1.5333333333333332</v>
      </c>
      <c r="F105" s="112">
        <v>96</v>
      </c>
      <c r="G105" s="48"/>
      <c r="H105" s="41"/>
      <c r="I105" s="48"/>
      <c r="J105" s="41"/>
      <c r="K105" s="52"/>
      <c r="L105" s="90"/>
      <c r="M105" s="52">
        <v>2</v>
      </c>
      <c r="N105" s="52" t="s">
        <v>115</v>
      </c>
      <c r="O105" s="42"/>
      <c r="P105" s="137" t="s">
        <v>441</v>
      </c>
      <c r="Q105" s="35"/>
    </row>
    <row r="106" spans="1:17" ht="15.6">
      <c r="A106" s="147"/>
      <c r="B106" s="145" t="s">
        <v>363</v>
      </c>
      <c r="C106" s="115" t="s">
        <v>416</v>
      </c>
      <c r="D106" s="116" t="s">
        <v>318</v>
      </c>
      <c r="E106" s="46">
        <v>1.5590277777777777</v>
      </c>
      <c r="F106" s="115">
        <v>97</v>
      </c>
      <c r="G106" s="48"/>
      <c r="H106" s="41"/>
      <c r="I106" s="48"/>
      <c r="J106" s="41"/>
      <c r="K106" s="52"/>
      <c r="L106" s="90"/>
      <c r="M106" s="52">
        <v>2</v>
      </c>
      <c r="N106" s="52" t="s">
        <v>115</v>
      </c>
      <c r="O106" s="42"/>
      <c r="P106" s="137" t="s">
        <v>442</v>
      </c>
      <c r="Q106" s="35"/>
    </row>
    <row r="107" spans="1:17" ht="15.6">
      <c r="A107" s="146"/>
      <c r="B107" s="144" t="s">
        <v>364</v>
      </c>
      <c r="C107" s="112" t="s">
        <v>177</v>
      </c>
      <c r="D107" s="116" t="s">
        <v>84</v>
      </c>
      <c r="E107" s="46">
        <v>1.575</v>
      </c>
      <c r="F107" s="112">
        <v>98</v>
      </c>
      <c r="G107" s="104"/>
      <c r="H107" s="67"/>
      <c r="I107" s="46"/>
      <c r="J107" s="43"/>
      <c r="K107" s="52"/>
      <c r="L107" s="89"/>
      <c r="M107" s="52">
        <v>2</v>
      </c>
      <c r="N107" s="52" t="s">
        <v>115</v>
      </c>
      <c r="O107" s="95"/>
      <c r="P107" s="137" t="s">
        <v>441</v>
      </c>
      <c r="Q107" s="35"/>
    </row>
    <row r="108" spans="1:17" ht="15.6">
      <c r="A108" s="147"/>
      <c r="B108" s="144" t="s">
        <v>132</v>
      </c>
      <c r="C108" s="112" t="s">
        <v>417</v>
      </c>
      <c r="D108" s="116" t="s">
        <v>316</v>
      </c>
      <c r="E108" s="117" t="s">
        <v>149</v>
      </c>
      <c r="F108" s="117" t="s">
        <v>149</v>
      </c>
      <c r="G108" s="54"/>
      <c r="H108" s="53"/>
      <c r="I108" s="43"/>
      <c r="J108" s="43"/>
      <c r="K108" s="52"/>
      <c r="L108" s="89"/>
      <c r="M108" s="52" t="s">
        <v>197</v>
      </c>
      <c r="N108" s="52" t="s">
        <v>115</v>
      </c>
      <c r="O108" s="95"/>
      <c r="P108" s="137" t="s">
        <v>442</v>
      </c>
      <c r="Q108" s="35"/>
    </row>
    <row r="109" spans="1:17" ht="15.6">
      <c r="A109" s="147"/>
      <c r="B109" s="144" t="s">
        <v>365</v>
      </c>
      <c r="C109" s="112" t="s">
        <v>418</v>
      </c>
      <c r="D109" s="116" t="s">
        <v>316</v>
      </c>
      <c r="E109" s="117" t="s">
        <v>149</v>
      </c>
      <c r="F109" s="117" t="s">
        <v>149</v>
      </c>
      <c r="G109" s="93"/>
      <c r="H109" s="41"/>
      <c r="I109" s="43"/>
      <c r="J109" s="43"/>
      <c r="K109" s="52"/>
      <c r="L109" s="89"/>
      <c r="M109" s="52" t="s">
        <v>197</v>
      </c>
      <c r="N109" s="52" t="s">
        <v>115</v>
      </c>
      <c r="O109" s="95"/>
      <c r="P109" s="137" t="s">
        <v>442</v>
      </c>
      <c r="Q109" s="35"/>
    </row>
    <row r="110" spans="1:17" ht="15.6">
      <c r="A110" s="147"/>
      <c r="B110" s="145" t="s">
        <v>366</v>
      </c>
      <c r="C110" s="115" t="s">
        <v>92</v>
      </c>
      <c r="D110" s="116" t="s">
        <v>89</v>
      </c>
      <c r="E110" s="117" t="s">
        <v>149</v>
      </c>
      <c r="F110" s="117" t="s">
        <v>149</v>
      </c>
      <c r="G110" s="93"/>
      <c r="H110" s="41"/>
      <c r="I110" s="43"/>
      <c r="J110" s="43"/>
      <c r="K110" s="52"/>
      <c r="L110" s="89"/>
      <c r="M110" s="52" t="s">
        <v>197</v>
      </c>
      <c r="N110" s="52" t="s">
        <v>115</v>
      </c>
      <c r="O110" s="95"/>
      <c r="P110" s="137" t="s">
        <v>442</v>
      </c>
      <c r="Q110" s="35"/>
    </row>
    <row r="111" spans="1:17" ht="15.6">
      <c r="A111" s="147"/>
      <c r="B111" s="145" t="s">
        <v>367</v>
      </c>
      <c r="C111" s="115" t="s">
        <v>419</v>
      </c>
      <c r="D111" s="116" t="s">
        <v>89</v>
      </c>
      <c r="E111" s="117" t="s">
        <v>149</v>
      </c>
      <c r="F111" s="117" t="s">
        <v>149</v>
      </c>
      <c r="G111" s="43"/>
      <c r="H111" s="43"/>
      <c r="I111" s="43"/>
      <c r="J111" s="43"/>
      <c r="K111" s="52"/>
      <c r="L111" s="89"/>
      <c r="M111" s="52" t="s">
        <v>197</v>
      </c>
      <c r="N111" s="52" t="s">
        <v>115</v>
      </c>
      <c r="O111" s="95"/>
      <c r="P111" s="137" t="s">
        <v>442</v>
      </c>
      <c r="Q111" s="35"/>
    </row>
    <row r="112" spans="1:17" ht="15.6">
      <c r="A112" s="147"/>
      <c r="B112" s="145" t="s">
        <v>368</v>
      </c>
      <c r="C112" s="111" t="s">
        <v>332</v>
      </c>
      <c r="D112" s="116" t="s">
        <v>319</v>
      </c>
      <c r="E112" s="117" t="s">
        <v>149</v>
      </c>
      <c r="F112" s="117" t="s">
        <v>149</v>
      </c>
      <c r="G112" s="93"/>
      <c r="H112" s="41"/>
      <c r="I112" s="43"/>
      <c r="J112" s="43"/>
      <c r="K112" s="52"/>
      <c r="L112" s="89"/>
      <c r="M112" s="52" t="s">
        <v>197</v>
      </c>
      <c r="N112" s="52" t="s">
        <v>115</v>
      </c>
      <c r="O112" s="95"/>
      <c r="P112" s="137" t="s">
        <v>442</v>
      </c>
      <c r="Q112" s="35"/>
    </row>
    <row r="113" spans="1:17" ht="15.6">
      <c r="A113" s="146"/>
      <c r="B113" s="145" t="s">
        <v>134</v>
      </c>
      <c r="C113" s="115" t="s">
        <v>47</v>
      </c>
      <c r="D113" s="116" t="s">
        <v>83</v>
      </c>
      <c r="E113" s="117" t="s">
        <v>149</v>
      </c>
      <c r="F113" s="117" t="s">
        <v>149</v>
      </c>
      <c r="G113" s="43"/>
      <c r="H113" s="43"/>
      <c r="I113" s="103"/>
      <c r="J113" s="43"/>
      <c r="K113" s="52"/>
      <c r="L113" s="89"/>
      <c r="M113" s="52" t="s">
        <v>197</v>
      </c>
      <c r="N113" s="52" t="s">
        <v>115</v>
      </c>
      <c r="O113" s="95"/>
      <c r="P113" s="137" t="s">
        <v>441</v>
      </c>
      <c r="Q113" s="35"/>
    </row>
    <row r="114" spans="1:17" ht="15.6">
      <c r="A114" s="146"/>
      <c r="B114" s="145" t="s">
        <v>134</v>
      </c>
      <c r="C114" s="115" t="s">
        <v>420</v>
      </c>
      <c r="D114" s="116" t="s">
        <v>83</v>
      </c>
      <c r="E114" s="117" t="s">
        <v>149</v>
      </c>
      <c r="F114" s="117" t="s">
        <v>149</v>
      </c>
      <c r="G114" s="104"/>
      <c r="H114" s="67"/>
      <c r="I114" s="43"/>
      <c r="J114" s="43"/>
      <c r="K114" s="52"/>
      <c r="L114" s="89"/>
      <c r="M114" s="52" t="s">
        <v>197</v>
      </c>
      <c r="N114" s="52" t="s">
        <v>115</v>
      </c>
      <c r="O114" s="95"/>
      <c r="P114" s="137" t="s">
        <v>441</v>
      </c>
      <c r="Q114" s="35"/>
    </row>
    <row r="115" spans="1:17" ht="15.6">
      <c r="A115" s="146"/>
      <c r="B115" s="130" t="s">
        <v>369</v>
      </c>
      <c r="C115" s="115" t="s">
        <v>421</v>
      </c>
      <c r="D115" s="116" t="s">
        <v>83</v>
      </c>
      <c r="E115" s="117" t="s">
        <v>149</v>
      </c>
      <c r="F115" s="117" t="s">
        <v>149</v>
      </c>
      <c r="G115" s="104"/>
      <c r="H115" s="67"/>
      <c r="I115" s="43"/>
      <c r="J115" s="43"/>
      <c r="K115" s="52"/>
      <c r="L115" s="89"/>
      <c r="M115" s="52" t="s">
        <v>197</v>
      </c>
      <c r="N115" s="52" t="s">
        <v>115</v>
      </c>
      <c r="O115" s="95"/>
      <c r="P115" s="137" t="s">
        <v>441</v>
      </c>
      <c r="Q115" s="35"/>
    </row>
    <row r="116" spans="1:17" ht="15.6">
      <c r="A116" s="146"/>
      <c r="B116" s="128" t="s">
        <v>370</v>
      </c>
      <c r="C116" s="112" t="s">
        <v>422</v>
      </c>
      <c r="D116" s="116" t="s">
        <v>84</v>
      </c>
      <c r="E116" s="117" t="s">
        <v>149</v>
      </c>
      <c r="F116" s="117" t="s">
        <v>149</v>
      </c>
      <c r="G116" s="43"/>
      <c r="H116" s="43"/>
      <c r="I116" s="43"/>
      <c r="J116" s="43"/>
      <c r="K116" s="52"/>
      <c r="L116" s="89"/>
      <c r="M116" s="52" t="s">
        <v>197</v>
      </c>
      <c r="N116" s="52" t="s">
        <v>115</v>
      </c>
      <c r="O116" s="95"/>
      <c r="P116" s="137" t="s">
        <v>441</v>
      </c>
      <c r="Q116" s="35"/>
    </row>
    <row r="117" spans="1:17" ht="15.6">
      <c r="A117" s="146"/>
      <c r="B117" s="128" t="s">
        <v>93</v>
      </c>
      <c r="C117" s="112" t="s">
        <v>122</v>
      </c>
      <c r="D117" s="116" t="s">
        <v>84</v>
      </c>
      <c r="E117" s="117" t="s">
        <v>149</v>
      </c>
      <c r="F117" s="117" t="s">
        <v>149</v>
      </c>
      <c r="G117" s="48"/>
      <c r="H117" s="41"/>
      <c r="I117" s="43"/>
      <c r="J117" s="43"/>
      <c r="K117" s="52"/>
      <c r="L117" s="89"/>
      <c r="M117" s="52" t="s">
        <v>197</v>
      </c>
      <c r="N117" s="52" t="s">
        <v>115</v>
      </c>
      <c r="O117" s="95"/>
      <c r="P117" s="137" t="s">
        <v>441</v>
      </c>
      <c r="Q117" s="35"/>
    </row>
    <row r="118" spans="1:17" ht="15.6">
      <c r="A118" s="146"/>
      <c r="B118" s="130" t="s">
        <v>133</v>
      </c>
      <c r="C118" s="115" t="s">
        <v>423</v>
      </c>
      <c r="D118" s="116" t="s">
        <v>85</v>
      </c>
      <c r="E118" s="117" t="s">
        <v>149</v>
      </c>
      <c r="F118" s="117" t="s">
        <v>149</v>
      </c>
      <c r="G118" s="105"/>
      <c r="H118" s="67"/>
      <c r="I118" s="43"/>
      <c r="J118" s="43"/>
      <c r="K118" s="52"/>
      <c r="L118" s="89"/>
      <c r="M118" s="52" t="s">
        <v>197</v>
      </c>
      <c r="N118" s="52" t="s">
        <v>115</v>
      </c>
      <c r="O118" s="95"/>
      <c r="P118" s="137" t="s">
        <v>441</v>
      </c>
      <c r="Q118" s="35"/>
    </row>
    <row r="119" spans="1:17" ht="15.6">
      <c r="A119" s="146"/>
      <c r="B119" s="128" t="s">
        <v>371</v>
      </c>
      <c r="C119" s="112" t="s">
        <v>122</v>
      </c>
      <c r="D119" s="115" t="s">
        <v>315</v>
      </c>
      <c r="E119" s="117" t="s">
        <v>149</v>
      </c>
      <c r="F119" s="117" t="s">
        <v>149</v>
      </c>
      <c r="G119" s="43"/>
      <c r="H119" s="43"/>
      <c r="I119" s="43"/>
      <c r="J119" s="43"/>
      <c r="K119" s="52"/>
      <c r="L119" s="89"/>
      <c r="M119" s="52" t="s">
        <v>197</v>
      </c>
      <c r="N119" s="52" t="s">
        <v>115</v>
      </c>
      <c r="O119" s="95"/>
      <c r="P119" s="137" t="s">
        <v>441</v>
      </c>
      <c r="Q119" s="35"/>
    </row>
    <row r="120" spans="1:17" ht="15.6">
      <c r="A120" s="146"/>
      <c r="B120" s="128" t="s">
        <v>46</v>
      </c>
      <c r="C120" s="112" t="s">
        <v>177</v>
      </c>
      <c r="D120" s="115" t="s">
        <v>315</v>
      </c>
      <c r="E120" s="117" t="s">
        <v>149</v>
      </c>
      <c r="F120" s="117" t="s">
        <v>149</v>
      </c>
      <c r="G120" s="105"/>
      <c r="H120" s="67"/>
      <c r="I120" s="43"/>
      <c r="J120" s="43"/>
      <c r="K120" s="52"/>
      <c r="L120" s="89"/>
      <c r="M120" s="52" t="s">
        <v>197</v>
      </c>
      <c r="N120" s="52" t="s">
        <v>115</v>
      </c>
      <c r="O120" s="95"/>
      <c r="P120" s="137" t="s">
        <v>441</v>
      </c>
      <c r="Q120" s="35"/>
    </row>
    <row r="121" spans="1:17" ht="15.6">
      <c r="A121" s="146"/>
      <c r="B121" s="128" t="s">
        <v>174</v>
      </c>
      <c r="C121" s="112" t="s">
        <v>119</v>
      </c>
      <c r="D121" s="115" t="s">
        <v>315</v>
      </c>
      <c r="E121" s="117" t="s">
        <v>149</v>
      </c>
      <c r="F121" s="117" t="s">
        <v>149</v>
      </c>
      <c r="G121" s="43"/>
      <c r="H121" s="43"/>
      <c r="I121" s="43"/>
      <c r="J121" s="43"/>
      <c r="K121" s="52"/>
      <c r="L121" s="89"/>
      <c r="M121" s="52" t="s">
        <v>197</v>
      </c>
      <c r="N121" s="52" t="s">
        <v>115</v>
      </c>
      <c r="O121" s="95"/>
      <c r="P121" s="137" t="s">
        <v>441</v>
      </c>
      <c r="Q121" s="35"/>
    </row>
    <row r="122" spans="1:17" ht="15.6">
      <c r="A122" s="146"/>
      <c r="B122" s="128" t="s">
        <v>372</v>
      </c>
      <c r="C122" s="112" t="s">
        <v>127</v>
      </c>
      <c r="D122" s="115" t="s">
        <v>315</v>
      </c>
      <c r="E122" s="117" t="s">
        <v>149</v>
      </c>
      <c r="F122" s="117" t="s">
        <v>149</v>
      </c>
      <c r="G122" s="43"/>
      <c r="H122" s="43"/>
      <c r="I122" s="43"/>
      <c r="J122" s="43"/>
      <c r="K122" s="52"/>
      <c r="L122" s="89"/>
      <c r="M122" s="52" t="s">
        <v>197</v>
      </c>
      <c r="N122" s="52" t="s">
        <v>115</v>
      </c>
      <c r="O122" s="95"/>
      <c r="P122" s="137" t="s">
        <v>441</v>
      </c>
      <c r="Q122" s="35"/>
    </row>
    <row r="123" spans="1:17" ht="15.6">
      <c r="A123" s="146"/>
      <c r="B123" s="128" t="s">
        <v>373</v>
      </c>
      <c r="C123" s="113" t="s">
        <v>147</v>
      </c>
      <c r="D123" s="115" t="s">
        <v>315</v>
      </c>
      <c r="E123" s="117" t="s">
        <v>149</v>
      </c>
      <c r="F123" s="117" t="s">
        <v>149</v>
      </c>
      <c r="G123" s="43"/>
      <c r="H123" s="43"/>
      <c r="I123" s="43"/>
      <c r="J123" s="43"/>
      <c r="K123" s="52"/>
      <c r="L123" s="89"/>
      <c r="M123" s="52" t="s">
        <v>197</v>
      </c>
      <c r="N123" s="52" t="s">
        <v>115</v>
      </c>
      <c r="O123" s="95"/>
      <c r="P123" s="137" t="s">
        <v>441</v>
      </c>
      <c r="Q123" s="35"/>
    </row>
    <row r="124" spans="1:17" ht="15.6">
      <c r="A124" s="146"/>
      <c r="B124" s="128" t="s">
        <v>175</v>
      </c>
      <c r="C124" s="112" t="s">
        <v>122</v>
      </c>
      <c r="D124" s="115" t="s">
        <v>315</v>
      </c>
      <c r="E124" s="117" t="s">
        <v>149</v>
      </c>
      <c r="F124" s="117" t="s">
        <v>149</v>
      </c>
      <c r="G124" s="43"/>
      <c r="H124" s="43"/>
      <c r="I124" s="43"/>
      <c r="J124" s="43"/>
      <c r="K124" s="52"/>
      <c r="L124" s="89"/>
      <c r="M124" s="52" t="s">
        <v>197</v>
      </c>
      <c r="N124" s="52" t="s">
        <v>115</v>
      </c>
      <c r="O124" s="95"/>
      <c r="P124" s="137" t="s">
        <v>441</v>
      </c>
      <c r="Q124" s="35"/>
    </row>
    <row r="125" spans="1:17" ht="15.6">
      <c r="A125" s="146"/>
      <c r="B125" s="128" t="s">
        <v>374</v>
      </c>
      <c r="C125" s="112" t="s">
        <v>424</v>
      </c>
      <c r="D125" s="115" t="s">
        <v>315</v>
      </c>
      <c r="E125" s="117" t="s">
        <v>149</v>
      </c>
      <c r="F125" s="117" t="s">
        <v>149</v>
      </c>
      <c r="G125" s="43"/>
      <c r="H125" s="43"/>
      <c r="I125" s="43"/>
      <c r="J125" s="43"/>
      <c r="K125" s="52"/>
      <c r="L125" s="89"/>
      <c r="M125" s="52" t="s">
        <v>197</v>
      </c>
      <c r="N125" s="52" t="s">
        <v>115</v>
      </c>
      <c r="O125" s="95"/>
      <c r="P125" s="137" t="s">
        <v>441</v>
      </c>
      <c r="Q125" s="35"/>
    </row>
    <row r="126" spans="1:17" ht="15.6">
      <c r="A126" s="146"/>
      <c r="B126" s="130" t="s">
        <v>124</v>
      </c>
      <c r="C126" s="115" t="s">
        <v>425</v>
      </c>
      <c r="D126" s="116" t="s">
        <v>88</v>
      </c>
      <c r="E126" s="117" t="s">
        <v>149</v>
      </c>
      <c r="F126" s="117" t="s">
        <v>149</v>
      </c>
      <c r="G126" s="43"/>
      <c r="H126" s="43"/>
      <c r="I126" s="43"/>
      <c r="J126" s="43"/>
      <c r="K126" s="52"/>
      <c r="L126" s="89"/>
      <c r="M126" s="52" t="s">
        <v>197</v>
      </c>
      <c r="N126" s="52" t="s">
        <v>115</v>
      </c>
      <c r="O126" s="95"/>
      <c r="P126" s="137" t="s">
        <v>441</v>
      </c>
      <c r="Q126" s="35"/>
    </row>
    <row r="127" spans="1:17" ht="15.6">
      <c r="A127" s="146"/>
      <c r="B127" s="130" t="s">
        <v>375</v>
      </c>
      <c r="C127" s="115" t="s">
        <v>426</v>
      </c>
      <c r="D127" s="116" t="s">
        <v>88</v>
      </c>
      <c r="E127" s="117" t="s">
        <v>149</v>
      </c>
      <c r="F127" s="117" t="s">
        <v>149</v>
      </c>
      <c r="G127" s="43"/>
      <c r="H127" s="43"/>
      <c r="I127" s="43"/>
      <c r="J127" s="43"/>
      <c r="K127" s="52"/>
      <c r="L127" s="89"/>
      <c r="M127" s="52" t="s">
        <v>197</v>
      </c>
      <c r="N127" s="52" t="s">
        <v>115</v>
      </c>
      <c r="O127" s="95"/>
      <c r="P127" s="137" t="s">
        <v>441</v>
      </c>
      <c r="Q127" s="35"/>
    </row>
    <row r="128" spans="1:17" ht="15.6">
      <c r="A128" s="146"/>
      <c r="B128" s="130" t="s">
        <v>186</v>
      </c>
      <c r="C128" s="115" t="s">
        <v>427</v>
      </c>
      <c r="D128" s="116" t="s">
        <v>90</v>
      </c>
      <c r="E128" s="117" t="s">
        <v>149</v>
      </c>
      <c r="F128" s="117" t="s">
        <v>149</v>
      </c>
      <c r="G128" s="43"/>
      <c r="H128" s="43"/>
      <c r="I128" s="43"/>
      <c r="J128" s="43"/>
      <c r="K128" s="52"/>
      <c r="L128" s="89"/>
      <c r="M128" s="52" t="s">
        <v>197</v>
      </c>
      <c r="N128" s="52" t="s">
        <v>115</v>
      </c>
      <c r="O128" s="95"/>
      <c r="P128" s="137" t="s">
        <v>441</v>
      </c>
      <c r="Q128" s="35"/>
    </row>
    <row r="129" spans="1:17" ht="15.6">
      <c r="A129" s="146"/>
      <c r="B129" s="130" t="s">
        <v>351</v>
      </c>
      <c r="C129" s="115" t="s">
        <v>428</v>
      </c>
      <c r="D129" s="116" t="s">
        <v>90</v>
      </c>
      <c r="E129" s="117" t="s">
        <v>149</v>
      </c>
      <c r="F129" s="117" t="s">
        <v>149</v>
      </c>
      <c r="G129" s="48"/>
      <c r="H129" s="41"/>
      <c r="I129" s="106"/>
      <c r="J129" s="107"/>
      <c r="K129" s="52"/>
      <c r="L129" s="90"/>
      <c r="M129" s="52" t="s">
        <v>197</v>
      </c>
      <c r="N129" s="52" t="s">
        <v>115</v>
      </c>
      <c r="O129" s="42"/>
      <c r="P129" s="137" t="s">
        <v>441</v>
      </c>
      <c r="Q129" s="35"/>
    </row>
    <row r="130" spans="1:17" ht="15.6">
      <c r="A130" s="146"/>
      <c r="B130" s="130" t="s">
        <v>138</v>
      </c>
      <c r="C130" s="115" t="s">
        <v>53</v>
      </c>
      <c r="D130" s="116" t="s">
        <v>90</v>
      </c>
      <c r="E130" s="117" t="s">
        <v>149</v>
      </c>
      <c r="F130" s="117" t="s">
        <v>149</v>
      </c>
      <c r="G130" s="48"/>
      <c r="H130" s="41"/>
      <c r="I130" s="106"/>
      <c r="J130" s="107"/>
      <c r="K130" s="52"/>
      <c r="L130" s="90"/>
      <c r="M130" s="52" t="s">
        <v>197</v>
      </c>
      <c r="N130" s="52" t="s">
        <v>115</v>
      </c>
      <c r="O130" s="42"/>
      <c r="P130" s="137" t="s">
        <v>441</v>
      </c>
      <c r="Q130" s="35"/>
    </row>
    <row r="131" spans="1:17" ht="15.6">
      <c r="A131" s="146"/>
      <c r="B131" s="130" t="s">
        <v>37</v>
      </c>
      <c r="C131" s="115" t="s">
        <v>124</v>
      </c>
      <c r="D131" s="116" t="s">
        <v>150</v>
      </c>
      <c r="E131" s="117" t="s">
        <v>149</v>
      </c>
      <c r="F131" s="117" t="s">
        <v>149</v>
      </c>
      <c r="G131" s="105"/>
      <c r="H131" s="67"/>
      <c r="I131" s="108"/>
      <c r="J131" s="109"/>
      <c r="K131" s="52"/>
      <c r="L131" s="91"/>
      <c r="M131" s="52" t="s">
        <v>197</v>
      </c>
      <c r="N131" s="52" t="s">
        <v>115</v>
      </c>
      <c r="O131" s="42"/>
      <c r="P131" s="137" t="s">
        <v>441</v>
      </c>
      <c r="Q131" s="35"/>
    </row>
    <row r="132" spans="1:17" ht="15.6">
      <c r="A132" s="146"/>
      <c r="B132" s="130" t="s">
        <v>376</v>
      </c>
      <c r="C132" s="115" t="s">
        <v>120</v>
      </c>
      <c r="D132" s="116" t="s">
        <v>150</v>
      </c>
      <c r="E132" s="117" t="s">
        <v>149</v>
      </c>
      <c r="F132" s="117" t="s">
        <v>149</v>
      </c>
      <c r="G132" s="43"/>
      <c r="H132" s="43"/>
      <c r="I132" s="106"/>
      <c r="J132" s="107"/>
      <c r="K132" s="52"/>
      <c r="L132" s="90"/>
      <c r="M132" s="52" t="s">
        <v>197</v>
      </c>
      <c r="N132" s="52" t="s">
        <v>115</v>
      </c>
      <c r="O132" s="42"/>
      <c r="P132" s="137" t="s">
        <v>441</v>
      </c>
      <c r="Q132" s="35"/>
    </row>
    <row r="133" spans="1:17" ht="15.6">
      <c r="A133" s="110"/>
      <c r="B133" s="44"/>
      <c r="C133" s="44"/>
      <c r="D133" s="43"/>
      <c r="E133" s="45"/>
      <c r="F133" s="41"/>
      <c r="G133" s="48"/>
      <c r="H133" s="41"/>
      <c r="I133" s="106"/>
      <c r="J133" s="107"/>
      <c r="K133" s="52"/>
      <c r="L133" s="90"/>
      <c r="M133" s="51"/>
      <c r="N133" s="51"/>
      <c r="O133" s="42"/>
      <c r="P133" s="42"/>
      <c r="Q133" s="35"/>
    </row>
    <row r="134" spans="1:17" ht="15.6">
      <c r="A134" s="110"/>
      <c r="B134" s="43"/>
      <c r="C134" s="44"/>
      <c r="D134" s="43"/>
      <c r="E134" s="45"/>
      <c r="F134" s="41"/>
      <c r="G134" s="48"/>
      <c r="H134" s="41"/>
      <c r="I134" s="106"/>
      <c r="J134" s="107"/>
      <c r="K134" s="52"/>
      <c r="L134" s="90"/>
      <c r="M134" s="51"/>
      <c r="N134" s="51"/>
      <c r="O134" s="42"/>
      <c r="P134" s="42"/>
      <c r="Q134" s="35"/>
    </row>
    <row r="135" spans="1:17" ht="15.6">
      <c r="A135" s="110"/>
      <c r="B135" s="50"/>
      <c r="C135" s="50"/>
      <c r="D135" s="50"/>
      <c r="E135" s="43"/>
      <c r="F135" s="43"/>
      <c r="G135" s="105"/>
      <c r="H135" s="67"/>
      <c r="I135" s="108"/>
      <c r="J135" s="109"/>
      <c r="K135" s="52"/>
      <c r="L135" s="91"/>
      <c r="M135" s="49"/>
      <c r="N135" s="49"/>
      <c r="O135" s="42"/>
      <c r="P135" s="42"/>
      <c r="Q135" s="35"/>
    </row>
    <row r="136" spans="1:17" ht="15.6">
      <c r="A136" s="110"/>
      <c r="B136" s="38"/>
      <c r="C136" s="39"/>
      <c r="D136" s="38"/>
      <c r="E136" s="40"/>
      <c r="F136" s="41"/>
      <c r="G136" s="43"/>
      <c r="H136" s="43"/>
      <c r="I136" s="106"/>
      <c r="J136" s="107"/>
      <c r="K136" s="52"/>
      <c r="L136" s="90"/>
      <c r="M136" s="51"/>
      <c r="N136" s="51"/>
      <c r="O136" s="42"/>
      <c r="P136" s="42"/>
      <c r="Q136" s="35"/>
    </row>
    <row r="137" spans="1:17" ht="15.6">
      <c r="A137" s="110"/>
      <c r="B137" s="41"/>
      <c r="C137" s="41"/>
      <c r="D137" s="43"/>
      <c r="E137" s="45"/>
      <c r="F137" s="41"/>
      <c r="G137" s="48"/>
      <c r="H137" s="41"/>
      <c r="I137" s="106"/>
      <c r="J137" s="107"/>
      <c r="K137" s="52"/>
      <c r="L137" s="90"/>
      <c r="M137" s="51"/>
      <c r="N137" s="51"/>
      <c r="O137" s="42"/>
      <c r="P137" s="42"/>
      <c r="Q137" s="35"/>
    </row>
    <row r="138" spans="1:17" ht="15.6">
      <c r="A138" s="110"/>
      <c r="B138" s="50"/>
      <c r="C138" s="50"/>
      <c r="D138" s="50"/>
      <c r="E138" s="43"/>
      <c r="F138" s="43"/>
      <c r="G138" s="105"/>
      <c r="H138" s="67"/>
      <c r="I138" s="108"/>
      <c r="J138" s="109"/>
      <c r="K138" s="52"/>
      <c r="L138" s="91"/>
      <c r="M138" s="49"/>
      <c r="N138" s="51"/>
      <c r="O138" s="42"/>
      <c r="P138" s="42"/>
      <c r="Q138" s="35"/>
    </row>
    <row r="139" spans="1:17" ht="15.6">
      <c r="A139" s="110"/>
      <c r="B139" s="43"/>
      <c r="C139" s="44"/>
      <c r="D139" s="43"/>
      <c r="E139" s="45"/>
      <c r="F139" s="41"/>
      <c r="G139" s="48"/>
      <c r="H139" s="41"/>
      <c r="I139" s="106"/>
      <c r="J139" s="107"/>
      <c r="K139" s="52"/>
      <c r="L139" s="90"/>
      <c r="M139" s="51"/>
      <c r="N139" s="51"/>
      <c r="O139" s="42"/>
      <c r="P139" s="42"/>
      <c r="Q139" s="35"/>
    </row>
    <row r="140" spans="1:17" ht="15.6">
      <c r="A140" s="110"/>
      <c r="B140" s="43"/>
      <c r="C140" s="44"/>
      <c r="D140" s="43"/>
      <c r="E140" s="45"/>
      <c r="F140" s="41"/>
      <c r="G140" s="48"/>
      <c r="H140" s="41"/>
      <c r="I140" s="106"/>
      <c r="J140" s="107"/>
      <c r="K140" s="52"/>
      <c r="L140" s="90"/>
      <c r="M140" s="51"/>
      <c r="N140" s="51"/>
      <c r="O140" s="42"/>
      <c r="P140" s="42"/>
      <c r="Q140" s="35"/>
    </row>
    <row r="141" spans="1:17" ht="15.6">
      <c r="A141" s="110"/>
      <c r="B141" s="43"/>
      <c r="C141" s="44"/>
      <c r="D141" s="43"/>
      <c r="E141" s="45"/>
      <c r="F141" s="41"/>
      <c r="G141" s="48"/>
      <c r="H141" s="41"/>
      <c r="I141" s="106"/>
      <c r="J141" s="107"/>
      <c r="K141" s="52"/>
      <c r="L141" s="90"/>
      <c r="M141" s="51"/>
      <c r="N141" s="51"/>
      <c r="O141" s="42"/>
      <c r="P141" s="42"/>
      <c r="Q141" s="35"/>
    </row>
    <row r="142" spans="1:17" ht="15.6">
      <c r="A142" s="110"/>
      <c r="B142" s="43"/>
      <c r="C142" s="44"/>
      <c r="D142" s="43"/>
      <c r="E142" s="45"/>
      <c r="F142" s="41"/>
      <c r="G142" s="48"/>
      <c r="H142" s="41"/>
      <c r="I142" s="106"/>
      <c r="J142" s="107"/>
      <c r="K142" s="52"/>
      <c r="L142" s="90"/>
      <c r="M142" s="51"/>
      <c r="N142" s="51"/>
      <c r="O142" s="42"/>
      <c r="P142" s="42"/>
      <c r="Q142" s="35"/>
    </row>
    <row r="143" spans="1:17" ht="15.6">
      <c r="A143" s="110"/>
      <c r="B143" s="43"/>
      <c r="C143" s="44"/>
      <c r="D143" s="43"/>
      <c r="E143" s="46"/>
      <c r="F143" s="41"/>
      <c r="G143" s="48"/>
      <c r="H143" s="41"/>
      <c r="I143" s="106"/>
      <c r="J143" s="107"/>
      <c r="K143" s="52"/>
      <c r="L143" s="90"/>
      <c r="M143" s="51"/>
      <c r="N143" s="51"/>
      <c r="O143" s="42"/>
      <c r="P143" s="42"/>
      <c r="Q143" s="35"/>
    </row>
    <row r="144" spans="1:17" ht="15.6">
      <c r="A144" s="110"/>
      <c r="B144" s="38"/>
      <c r="C144" s="39"/>
      <c r="D144" s="38"/>
      <c r="E144" s="47"/>
      <c r="F144" s="41"/>
      <c r="G144" s="48"/>
      <c r="H144" s="41"/>
      <c r="I144" s="106"/>
      <c r="J144" s="107"/>
      <c r="K144" s="52"/>
      <c r="L144" s="90"/>
      <c r="M144" s="51"/>
      <c r="N144" s="51"/>
      <c r="O144" s="42"/>
      <c r="P144" s="42"/>
      <c r="Q144" s="35"/>
    </row>
    <row r="145" spans="1:17" ht="15.6">
      <c r="A145" s="110"/>
      <c r="B145" s="43"/>
      <c r="C145" s="43"/>
      <c r="D145" s="43"/>
      <c r="E145" s="46"/>
      <c r="F145" s="41"/>
      <c r="G145" s="48"/>
      <c r="H145" s="41"/>
      <c r="I145" s="106"/>
      <c r="J145" s="107"/>
      <c r="K145" s="52"/>
      <c r="L145" s="90"/>
      <c r="M145" s="51"/>
      <c r="N145" s="51"/>
      <c r="O145" s="42"/>
      <c r="P145" s="42"/>
      <c r="Q145" s="35"/>
    </row>
    <row r="146" spans="1:17" ht="15.6">
      <c r="A146" s="110"/>
      <c r="B146" s="43"/>
      <c r="C146" s="44"/>
      <c r="D146" s="43"/>
      <c r="E146" s="45"/>
      <c r="F146" s="41"/>
      <c r="G146" s="48"/>
      <c r="H146" s="41"/>
      <c r="I146" s="106"/>
      <c r="J146" s="107"/>
      <c r="K146" s="52"/>
      <c r="L146" s="90"/>
      <c r="M146" s="51"/>
      <c r="N146" s="51"/>
      <c r="O146" s="42"/>
      <c r="P146" s="42"/>
      <c r="Q146" s="35"/>
    </row>
    <row r="147" spans="1:17" ht="15.6">
      <c r="A147" s="110"/>
      <c r="B147" s="43"/>
      <c r="C147" s="44"/>
      <c r="D147" s="43"/>
      <c r="E147" s="46"/>
      <c r="F147" s="41"/>
      <c r="G147" s="48"/>
      <c r="H147" s="41"/>
      <c r="I147" s="106"/>
      <c r="J147" s="107"/>
      <c r="K147" s="52"/>
      <c r="L147" s="90"/>
      <c r="M147" s="51"/>
      <c r="N147" s="51"/>
      <c r="O147" s="42"/>
      <c r="P147" s="42"/>
      <c r="Q147" s="35"/>
    </row>
    <row r="148" spans="1:17" ht="15.6">
      <c r="A148" s="110"/>
      <c r="B148" s="44"/>
      <c r="C148" s="44"/>
      <c r="D148" s="43"/>
      <c r="E148" s="45"/>
      <c r="F148" s="41"/>
      <c r="G148" s="43"/>
      <c r="H148" s="43"/>
      <c r="I148" s="106"/>
      <c r="J148" s="107"/>
      <c r="K148" s="52"/>
      <c r="L148" s="90"/>
      <c r="M148" s="51"/>
      <c r="N148" s="51"/>
      <c r="O148" s="42"/>
      <c r="P148" s="42"/>
      <c r="Q148" s="35"/>
    </row>
    <row r="149" spans="1:17" ht="15.6">
      <c r="A149" s="110"/>
      <c r="B149" s="50"/>
      <c r="C149" s="50"/>
      <c r="D149" s="50"/>
      <c r="E149" s="43"/>
      <c r="F149" s="43"/>
      <c r="G149" s="105"/>
      <c r="H149" s="67"/>
      <c r="I149" s="108"/>
      <c r="J149" s="109"/>
      <c r="K149" s="52"/>
      <c r="L149" s="91"/>
      <c r="M149" s="49"/>
      <c r="N149" s="49"/>
      <c r="O149" s="42"/>
      <c r="P149" s="42"/>
      <c r="Q149" s="35"/>
    </row>
    <row r="150" spans="1:17" ht="15.6">
      <c r="A150" s="110"/>
      <c r="B150" s="43"/>
      <c r="C150" s="44"/>
      <c r="D150" s="43"/>
      <c r="E150" s="45"/>
      <c r="F150" s="41"/>
      <c r="G150" s="48"/>
      <c r="H150" s="41"/>
      <c r="I150" s="106"/>
      <c r="J150" s="107"/>
      <c r="K150" s="52"/>
      <c r="L150" s="90"/>
      <c r="M150" s="51"/>
      <c r="N150" s="51"/>
      <c r="O150" s="42"/>
      <c r="P150" s="42"/>
      <c r="Q150" s="35"/>
    </row>
    <row r="151" spans="1:17" ht="15.6">
      <c r="A151" s="110"/>
      <c r="B151" s="43"/>
      <c r="C151" s="44"/>
      <c r="D151" s="43"/>
      <c r="E151" s="46"/>
      <c r="F151" s="41"/>
      <c r="G151" s="43"/>
      <c r="H151" s="43"/>
      <c r="I151" s="106"/>
      <c r="J151" s="107"/>
      <c r="K151" s="52"/>
      <c r="L151" s="90"/>
      <c r="M151" s="51"/>
      <c r="N151" s="51"/>
      <c r="O151" s="42"/>
      <c r="P151" s="42"/>
      <c r="Q151" s="35"/>
    </row>
    <row r="152" spans="1:17" ht="15.6">
      <c r="A152" s="110"/>
      <c r="B152" s="50"/>
      <c r="C152" s="50"/>
      <c r="D152" s="50"/>
      <c r="E152" s="43"/>
      <c r="F152" s="43"/>
      <c r="G152" s="105"/>
      <c r="H152" s="67"/>
      <c r="I152" s="108"/>
      <c r="J152" s="109"/>
      <c r="K152" s="52"/>
      <c r="L152" s="91"/>
      <c r="M152" s="49"/>
      <c r="N152" s="49"/>
      <c r="O152" s="42"/>
      <c r="P152" s="42"/>
      <c r="Q152" s="35"/>
    </row>
    <row r="153" spans="1:17" ht="15.6">
      <c r="A153" s="110"/>
      <c r="B153" s="38"/>
      <c r="C153" s="39"/>
      <c r="D153" s="38"/>
      <c r="E153" s="47"/>
      <c r="F153" s="41"/>
      <c r="G153" s="48"/>
      <c r="H153" s="41"/>
      <c r="I153" s="106"/>
      <c r="J153" s="107"/>
      <c r="K153" s="52"/>
      <c r="L153" s="90"/>
      <c r="M153" s="51"/>
      <c r="N153" s="51"/>
      <c r="O153" s="42"/>
      <c r="P153" s="42"/>
      <c r="Q153" s="35"/>
    </row>
    <row r="154" spans="1:17" ht="15.6">
      <c r="A154" s="110"/>
      <c r="B154" s="43"/>
      <c r="C154" s="44"/>
      <c r="D154" s="43"/>
      <c r="E154" s="46"/>
      <c r="F154" s="41"/>
      <c r="G154" s="48"/>
      <c r="H154" s="41"/>
      <c r="I154" s="106"/>
      <c r="J154" s="107"/>
      <c r="K154" s="52"/>
      <c r="L154" s="90"/>
      <c r="M154" s="51"/>
      <c r="N154" s="51"/>
      <c r="O154" s="42"/>
      <c r="P154" s="42"/>
      <c r="Q154" s="35"/>
    </row>
    <row r="155" spans="1:17" ht="15.6">
      <c r="A155" s="110"/>
      <c r="B155" s="43"/>
      <c r="C155" s="44"/>
      <c r="D155" s="43"/>
      <c r="E155" s="46"/>
      <c r="F155" s="41"/>
      <c r="G155" s="48"/>
      <c r="H155" s="41"/>
      <c r="I155" s="106"/>
      <c r="J155" s="107"/>
      <c r="K155" s="52"/>
      <c r="L155" s="90"/>
      <c r="M155" s="51"/>
      <c r="N155" s="51"/>
      <c r="O155" s="42"/>
      <c r="P155" s="42"/>
      <c r="Q155" s="35"/>
    </row>
    <row r="156" spans="1:17" ht="15.6">
      <c r="A156" s="110"/>
      <c r="B156" s="50"/>
      <c r="C156" s="50"/>
      <c r="D156" s="50"/>
      <c r="E156" s="43"/>
      <c r="F156" s="43"/>
      <c r="G156" s="105"/>
      <c r="H156" s="67"/>
      <c r="I156" s="108"/>
      <c r="J156" s="109"/>
      <c r="K156" s="52"/>
      <c r="L156" s="91"/>
      <c r="M156" s="49"/>
      <c r="N156" s="51"/>
      <c r="O156" s="42"/>
      <c r="P156" s="42"/>
      <c r="Q156" s="35"/>
    </row>
    <row r="157" spans="1:17" ht="15.6">
      <c r="A157" s="110"/>
      <c r="B157" s="50"/>
      <c r="C157" s="50"/>
      <c r="D157" s="50"/>
      <c r="E157" s="43"/>
      <c r="F157" s="43"/>
      <c r="G157" s="105"/>
      <c r="H157" s="67"/>
      <c r="I157" s="108"/>
      <c r="J157" s="109"/>
      <c r="K157" s="52"/>
      <c r="L157" s="91"/>
      <c r="M157" s="49"/>
      <c r="N157" s="51"/>
      <c r="O157" s="42"/>
      <c r="P157" s="42"/>
      <c r="Q157" s="35"/>
    </row>
    <row r="158" spans="1:17" ht="15.6">
      <c r="A158" s="110"/>
      <c r="B158" s="43"/>
      <c r="C158" s="44"/>
      <c r="D158" s="43"/>
      <c r="E158" s="46"/>
      <c r="F158" s="41"/>
      <c r="G158" s="48"/>
      <c r="H158" s="41"/>
      <c r="I158" s="106"/>
      <c r="J158" s="107"/>
      <c r="K158" s="52"/>
      <c r="L158" s="90"/>
      <c r="M158" s="51"/>
      <c r="N158" s="51"/>
      <c r="O158" s="42"/>
      <c r="P158" s="42"/>
      <c r="Q158" s="35"/>
    </row>
    <row r="159" spans="1:17" ht="15.6">
      <c r="A159" s="110"/>
      <c r="B159" s="50"/>
      <c r="C159" s="50"/>
      <c r="D159" s="50"/>
      <c r="E159" s="43"/>
      <c r="F159" s="43"/>
      <c r="G159" s="105"/>
      <c r="H159" s="67"/>
      <c r="I159" s="108"/>
      <c r="J159" s="109"/>
      <c r="K159" s="52"/>
      <c r="L159" s="91"/>
      <c r="M159" s="49"/>
      <c r="N159" s="49"/>
      <c r="O159" s="42"/>
      <c r="P159" s="42"/>
      <c r="Q159" s="35"/>
    </row>
    <row r="160" spans="1:17" ht="15.6">
      <c r="A160" s="110"/>
      <c r="B160" s="43"/>
      <c r="C160" s="44"/>
      <c r="D160" s="43"/>
      <c r="E160" s="46"/>
      <c r="F160" s="43"/>
      <c r="G160" s="43"/>
      <c r="H160" s="43"/>
      <c r="I160" s="106"/>
      <c r="J160" s="107"/>
      <c r="K160" s="52"/>
      <c r="L160" s="90"/>
      <c r="M160" s="51"/>
      <c r="N160" s="51"/>
      <c r="O160" s="42"/>
      <c r="P160" s="42"/>
      <c r="Q160" s="35"/>
    </row>
    <row r="161" spans="1:17" ht="15.6">
      <c r="A161" s="110"/>
      <c r="B161" s="44"/>
      <c r="C161" s="44"/>
      <c r="D161" s="43"/>
      <c r="E161" s="46"/>
      <c r="F161" s="41"/>
      <c r="G161" s="48"/>
      <c r="H161" s="41"/>
      <c r="I161" s="106"/>
      <c r="J161" s="107"/>
      <c r="K161" s="52"/>
      <c r="L161" s="90"/>
      <c r="M161" s="51"/>
      <c r="N161" s="51"/>
      <c r="O161" s="42"/>
      <c r="P161" s="42"/>
      <c r="Q161" s="35"/>
    </row>
    <row r="162" spans="1:17" ht="15.6">
      <c r="A162" s="110"/>
      <c r="B162" s="43"/>
      <c r="C162" s="44"/>
      <c r="D162" s="43"/>
      <c r="E162" s="46"/>
      <c r="F162" s="41"/>
      <c r="G162" s="48"/>
      <c r="H162" s="41"/>
      <c r="I162" s="106"/>
      <c r="J162" s="107"/>
      <c r="K162" s="52"/>
      <c r="L162" s="90"/>
      <c r="M162" s="51"/>
      <c r="N162" s="51"/>
      <c r="O162" s="42"/>
      <c r="P162" s="42"/>
      <c r="Q162" s="35"/>
    </row>
    <row r="163" spans="1:17" ht="15.6">
      <c r="A163" s="110"/>
      <c r="B163" s="44"/>
      <c r="C163" s="44"/>
      <c r="D163" s="43"/>
      <c r="E163" s="46"/>
      <c r="F163" s="41"/>
      <c r="G163" s="48"/>
      <c r="H163" s="41"/>
      <c r="I163" s="106"/>
      <c r="J163" s="107"/>
      <c r="K163" s="52"/>
      <c r="L163" s="90"/>
      <c r="M163" s="51"/>
      <c r="N163" s="51"/>
      <c r="O163" s="42"/>
      <c r="P163" s="42"/>
      <c r="Q163" s="35"/>
    </row>
    <row r="164" spans="1:17" ht="15.6">
      <c r="A164" s="110"/>
      <c r="B164" s="41"/>
      <c r="C164" s="41"/>
      <c r="D164" s="43"/>
      <c r="E164" s="46"/>
      <c r="F164" s="41"/>
      <c r="G164" s="43"/>
      <c r="H164" s="43"/>
      <c r="I164" s="106"/>
      <c r="J164" s="107"/>
      <c r="K164" s="52"/>
      <c r="L164" s="90"/>
      <c r="M164" s="51"/>
      <c r="N164" s="51"/>
      <c r="O164" s="42"/>
      <c r="P164" s="42"/>
      <c r="Q164" s="35"/>
    </row>
    <row r="165" spans="1:17" ht="15.6">
      <c r="A165" s="110"/>
      <c r="B165" s="43"/>
      <c r="C165" s="44"/>
      <c r="D165" s="43"/>
      <c r="E165" s="46"/>
      <c r="F165" s="41"/>
      <c r="G165" s="48"/>
      <c r="H165" s="41"/>
      <c r="I165" s="106"/>
      <c r="J165" s="107"/>
      <c r="K165" s="52"/>
      <c r="L165" s="90"/>
      <c r="M165" s="51"/>
      <c r="N165" s="51"/>
      <c r="O165" s="42"/>
      <c r="P165" s="42"/>
      <c r="Q165" s="35"/>
    </row>
    <row r="166" spans="1:17" ht="15.6">
      <c r="A166" s="110"/>
      <c r="B166" s="50"/>
      <c r="C166" s="50"/>
      <c r="D166" s="50"/>
      <c r="E166" s="43"/>
      <c r="F166" s="43"/>
      <c r="G166" s="105"/>
      <c r="H166" s="67"/>
      <c r="I166" s="108"/>
      <c r="J166" s="109"/>
      <c r="K166" s="52"/>
      <c r="L166" s="91"/>
      <c r="M166" s="49"/>
      <c r="N166" s="49"/>
      <c r="O166" s="42"/>
      <c r="P166" s="42"/>
      <c r="Q166" s="35"/>
    </row>
    <row r="167" spans="1:17" ht="15.6">
      <c r="A167" s="110"/>
      <c r="B167" s="43"/>
      <c r="C167" s="44"/>
      <c r="D167" s="43"/>
      <c r="E167" s="46"/>
      <c r="F167" s="41"/>
      <c r="G167" s="48"/>
      <c r="H167" s="41"/>
      <c r="I167" s="106"/>
      <c r="J167" s="107"/>
      <c r="K167" s="52"/>
      <c r="L167" s="90"/>
      <c r="M167" s="51"/>
      <c r="N167" s="51"/>
      <c r="O167" s="42"/>
      <c r="P167" s="42"/>
      <c r="Q167" s="35"/>
    </row>
    <row r="168" spans="1:17" ht="15.6">
      <c r="A168" s="110"/>
      <c r="B168" s="44"/>
      <c r="C168" s="44"/>
      <c r="D168" s="43"/>
      <c r="E168" s="46"/>
      <c r="F168" s="41"/>
      <c r="G168" s="48"/>
      <c r="H168" s="41"/>
      <c r="I168" s="106"/>
      <c r="J168" s="107"/>
      <c r="K168" s="52"/>
      <c r="L168" s="90"/>
      <c r="M168" s="51"/>
      <c r="N168" s="51"/>
      <c r="O168" s="42"/>
      <c r="P168" s="42"/>
      <c r="Q168" s="35"/>
    </row>
    <row r="169" spans="1:17" ht="15.6">
      <c r="A169" s="110"/>
      <c r="B169" s="41"/>
      <c r="C169" s="41"/>
      <c r="D169" s="43"/>
      <c r="E169" s="46"/>
      <c r="F169" s="41"/>
      <c r="G169" s="48"/>
      <c r="H169" s="41"/>
      <c r="I169" s="106"/>
      <c r="J169" s="107"/>
      <c r="K169" s="52"/>
      <c r="L169" s="90"/>
      <c r="M169" s="51"/>
      <c r="N169" s="51"/>
      <c r="O169" s="42"/>
      <c r="P169" s="42"/>
      <c r="Q169" s="35"/>
    </row>
    <row r="170" spans="1:17" ht="15.6">
      <c r="A170" s="110"/>
      <c r="B170" s="43"/>
      <c r="C170" s="44"/>
      <c r="D170" s="43"/>
      <c r="E170" s="46"/>
      <c r="F170" s="43"/>
      <c r="G170" s="43"/>
      <c r="H170" s="43"/>
      <c r="I170" s="106"/>
      <c r="J170" s="107"/>
      <c r="K170" s="52"/>
      <c r="L170" s="90"/>
      <c r="M170" s="51"/>
      <c r="N170" s="51"/>
      <c r="O170" s="42"/>
      <c r="P170" s="42"/>
      <c r="Q170" s="35"/>
    </row>
    <row r="171" spans="1:17" ht="15.6">
      <c r="A171" s="110"/>
      <c r="B171" s="41"/>
      <c r="C171" s="41"/>
      <c r="D171" s="43"/>
      <c r="E171" s="46"/>
      <c r="F171" s="41"/>
      <c r="G171" s="48"/>
      <c r="H171" s="41"/>
      <c r="I171" s="43"/>
      <c r="J171" s="43"/>
      <c r="K171" s="68"/>
      <c r="L171" s="90"/>
      <c r="M171" s="51"/>
      <c r="N171" s="51"/>
      <c r="O171" s="95"/>
      <c r="P171" s="95"/>
      <c r="Q171" s="35"/>
    </row>
    <row r="172" spans="1:17" ht="15.6">
      <c r="A172" s="110"/>
      <c r="B172" s="41"/>
      <c r="C172" s="41"/>
      <c r="D172" s="43"/>
      <c r="E172" s="46"/>
      <c r="F172" s="41"/>
      <c r="G172" s="43"/>
      <c r="H172" s="43"/>
      <c r="I172" s="43"/>
      <c r="J172" s="43"/>
      <c r="K172" s="68"/>
      <c r="L172" s="90"/>
      <c r="M172" s="51"/>
      <c r="N172" s="51"/>
      <c r="O172" s="95"/>
      <c r="P172" s="95"/>
      <c r="Q172" s="35"/>
    </row>
    <row r="173" spans="1:17" ht="15.6">
      <c r="A173" s="110"/>
      <c r="B173" s="44"/>
      <c r="C173" s="44"/>
      <c r="D173" s="43"/>
      <c r="E173" s="46"/>
      <c r="F173" s="41"/>
      <c r="G173" s="43"/>
      <c r="H173" s="43"/>
      <c r="I173" s="43"/>
      <c r="J173" s="43"/>
      <c r="K173" s="68"/>
      <c r="L173" s="90"/>
      <c r="M173" s="51"/>
      <c r="N173" s="51"/>
      <c r="O173" s="95"/>
      <c r="P173" s="95"/>
      <c r="Q173" s="35"/>
    </row>
    <row r="174" spans="1:17" ht="15.6">
      <c r="A174" s="110"/>
      <c r="B174" s="50"/>
      <c r="C174" s="50"/>
      <c r="D174" s="50"/>
      <c r="E174" s="43"/>
      <c r="F174" s="43"/>
      <c r="G174" s="105"/>
      <c r="H174" s="67"/>
      <c r="I174" s="108"/>
      <c r="J174" s="109"/>
      <c r="K174" s="52"/>
      <c r="L174" s="91"/>
      <c r="M174" s="49"/>
      <c r="N174" s="51"/>
      <c r="O174" s="42"/>
      <c r="P174" s="42"/>
      <c r="Q174" s="35"/>
    </row>
    <row r="175" spans="1:17" ht="15.6">
      <c r="A175" s="110"/>
      <c r="B175" s="38"/>
      <c r="C175" s="39"/>
      <c r="D175" s="38"/>
      <c r="E175" s="43"/>
      <c r="F175" s="43"/>
      <c r="G175" s="48"/>
      <c r="H175" s="41"/>
      <c r="I175" s="106"/>
      <c r="J175" s="107"/>
      <c r="K175" s="52"/>
      <c r="L175" s="90"/>
      <c r="M175" s="49"/>
      <c r="N175" s="51"/>
      <c r="O175" s="42"/>
      <c r="P175" s="42"/>
      <c r="Q175" s="35"/>
    </row>
    <row r="176" spans="1:17" ht="15.6">
      <c r="A176" s="110"/>
      <c r="B176" s="50"/>
      <c r="C176" s="50"/>
      <c r="D176" s="50"/>
      <c r="E176" s="43"/>
      <c r="F176" s="43"/>
      <c r="G176" s="105"/>
      <c r="H176" s="67"/>
      <c r="I176" s="108"/>
      <c r="J176" s="109"/>
      <c r="K176" s="52"/>
      <c r="L176" s="91"/>
      <c r="M176" s="49"/>
      <c r="N176" s="51"/>
      <c r="O176" s="42"/>
      <c r="P176" s="42"/>
      <c r="Q176" s="35"/>
    </row>
    <row r="177" spans="1:17" ht="15.6">
      <c r="A177" s="110"/>
      <c r="B177" s="43"/>
      <c r="C177" s="44"/>
      <c r="D177" s="43"/>
      <c r="E177" s="43"/>
      <c r="F177" s="43"/>
      <c r="G177" s="48"/>
      <c r="H177" s="41"/>
      <c r="I177" s="106"/>
      <c r="J177" s="107"/>
      <c r="K177" s="52"/>
      <c r="L177" s="90"/>
      <c r="M177" s="49"/>
      <c r="N177" s="51"/>
      <c r="O177" s="42"/>
      <c r="P177" s="42"/>
      <c r="Q177" s="35"/>
    </row>
    <row r="178" spans="1:17" ht="15.6">
      <c r="A178" s="110"/>
      <c r="B178" s="41"/>
      <c r="C178" s="41"/>
      <c r="D178" s="43"/>
      <c r="E178" s="43"/>
      <c r="F178" s="43"/>
      <c r="G178" s="48"/>
      <c r="H178" s="41"/>
      <c r="I178" s="106"/>
      <c r="J178" s="107"/>
      <c r="K178" s="52"/>
      <c r="L178" s="90"/>
      <c r="M178" s="49"/>
      <c r="N178" s="51"/>
      <c r="O178" s="42"/>
      <c r="P178" s="42"/>
      <c r="Q178" s="35"/>
    </row>
    <row r="179" spans="1:17" ht="15.6">
      <c r="A179" s="110"/>
      <c r="B179" s="38"/>
      <c r="C179" s="39"/>
      <c r="D179" s="38"/>
      <c r="E179" s="43"/>
      <c r="F179" s="43"/>
      <c r="G179" s="48"/>
      <c r="H179" s="41"/>
      <c r="I179" s="106"/>
      <c r="J179" s="107"/>
      <c r="K179" s="52"/>
      <c r="L179" s="90"/>
      <c r="M179" s="49"/>
      <c r="N179" s="51"/>
      <c r="O179" s="42"/>
      <c r="P179" s="42"/>
      <c r="Q179" s="35"/>
    </row>
    <row r="180" spans="1:17" ht="15.6">
      <c r="A180" s="110"/>
      <c r="B180" s="50"/>
      <c r="C180" s="50"/>
      <c r="D180" s="50"/>
      <c r="E180" s="43"/>
      <c r="F180" s="43"/>
      <c r="G180" s="105"/>
      <c r="H180" s="67"/>
      <c r="I180" s="108"/>
      <c r="J180" s="109"/>
      <c r="K180" s="52"/>
      <c r="L180" s="91"/>
      <c r="M180" s="49"/>
      <c r="N180" s="51"/>
      <c r="O180" s="42"/>
      <c r="P180" s="42"/>
      <c r="Q180" s="35"/>
    </row>
    <row r="181" spans="1:17" ht="15.6">
      <c r="A181" s="110"/>
      <c r="B181" s="43"/>
      <c r="C181" s="44"/>
      <c r="D181" s="43"/>
      <c r="E181" s="46"/>
      <c r="F181" s="41"/>
      <c r="G181" s="48"/>
      <c r="H181" s="41"/>
      <c r="I181" s="106"/>
      <c r="J181" s="107"/>
      <c r="K181" s="52"/>
      <c r="L181" s="90"/>
      <c r="M181" s="51"/>
      <c r="N181" s="51"/>
      <c r="O181" s="42"/>
      <c r="P181" s="42"/>
      <c r="Q181" s="35"/>
    </row>
    <row r="182" spans="1:17" ht="15.6">
      <c r="A182" s="110"/>
      <c r="B182" s="43"/>
      <c r="C182" s="44"/>
      <c r="D182" s="43"/>
      <c r="E182" s="46"/>
      <c r="F182" s="41"/>
      <c r="G182" s="48"/>
      <c r="H182" s="41"/>
      <c r="I182" s="106"/>
      <c r="J182" s="107"/>
      <c r="K182" s="52"/>
      <c r="L182" s="90"/>
      <c r="M182" s="51"/>
      <c r="N182" s="51"/>
      <c r="O182" s="42"/>
      <c r="P182" s="42"/>
      <c r="Q182" s="35"/>
    </row>
    <row r="183" spans="1:17" ht="15.6">
      <c r="A183" s="110"/>
      <c r="B183" s="41"/>
      <c r="C183" s="41"/>
      <c r="D183" s="43"/>
      <c r="E183" s="46"/>
      <c r="F183" s="41"/>
      <c r="G183" s="48"/>
      <c r="H183" s="41"/>
      <c r="I183" s="106"/>
      <c r="J183" s="107"/>
      <c r="K183" s="52"/>
      <c r="L183" s="90"/>
      <c r="M183" s="51"/>
      <c r="N183" s="51"/>
      <c r="O183" s="42"/>
      <c r="P183" s="42"/>
      <c r="Q183" s="35"/>
    </row>
    <row r="184" spans="1:17" ht="15.6">
      <c r="A184" s="110"/>
      <c r="B184" s="50"/>
      <c r="C184" s="50"/>
      <c r="D184" s="50"/>
      <c r="E184" s="43"/>
      <c r="F184" s="43"/>
      <c r="G184" s="105"/>
      <c r="H184" s="67"/>
      <c r="I184" s="108"/>
      <c r="J184" s="109"/>
      <c r="K184" s="52"/>
      <c r="L184" s="91"/>
      <c r="M184" s="49"/>
      <c r="N184" s="51"/>
      <c r="O184" s="42"/>
      <c r="P184" s="42"/>
      <c r="Q184" s="35"/>
    </row>
    <row r="185" spans="1:17" ht="15.6">
      <c r="A185" s="110"/>
      <c r="B185" s="43"/>
      <c r="C185" s="44"/>
      <c r="D185" s="43"/>
      <c r="E185" s="46"/>
      <c r="F185" s="41"/>
      <c r="G185" s="48"/>
      <c r="H185" s="41"/>
      <c r="I185" s="106"/>
      <c r="J185" s="107"/>
      <c r="K185" s="52"/>
      <c r="L185" s="90"/>
      <c r="M185" s="51"/>
      <c r="N185" s="51"/>
      <c r="O185" s="42"/>
      <c r="P185" s="42"/>
      <c r="Q185" s="35"/>
    </row>
    <row r="186" spans="1:17" ht="15.6">
      <c r="A186" s="110"/>
      <c r="B186" s="43"/>
      <c r="C186" s="44"/>
      <c r="D186" s="43"/>
      <c r="E186" s="46"/>
      <c r="F186" s="41"/>
      <c r="G186" s="48"/>
      <c r="H186" s="41"/>
      <c r="I186" s="106"/>
      <c r="J186" s="107"/>
      <c r="K186" s="52"/>
      <c r="L186" s="90"/>
      <c r="M186" s="51"/>
      <c r="N186" s="51"/>
      <c r="O186" s="42"/>
      <c r="P186" s="42"/>
      <c r="Q186" s="35"/>
    </row>
    <row r="187" spans="1:17" ht="15.6">
      <c r="A187" s="110"/>
      <c r="B187" s="43"/>
      <c r="C187" s="44"/>
      <c r="D187" s="43"/>
      <c r="E187" s="46"/>
      <c r="F187" s="41"/>
      <c r="G187" s="48"/>
      <c r="H187" s="41"/>
      <c r="I187" s="106"/>
      <c r="J187" s="107"/>
      <c r="K187" s="52"/>
      <c r="L187" s="90"/>
      <c r="M187" s="51"/>
      <c r="N187" s="51"/>
      <c r="O187" s="42"/>
      <c r="P187" s="42"/>
      <c r="Q187" s="35"/>
    </row>
    <row r="188" spans="1:17" ht="15.6">
      <c r="A188" s="110"/>
      <c r="B188" s="50"/>
      <c r="C188" s="50"/>
      <c r="D188" s="50"/>
      <c r="E188" s="43"/>
      <c r="F188" s="43"/>
      <c r="G188" s="105"/>
      <c r="H188" s="67"/>
      <c r="I188" s="108"/>
      <c r="J188" s="109"/>
      <c r="K188" s="52"/>
      <c r="L188" s="91"/>
      <c r="M188" s="49"/>
      <c r="N188" s="51"/>
      <c r="O188" s="42"/>
      <c r="P188" s="42"/>
      <c r="Q188" s="35"/>
    </row>
    <row r="189" spans="1:17" ht="15.6">
      <c r="A189" s="110"/>
      <c r="B189" s="43"/>
      <c r="C189" s="44"/>
      <c r="D189" s="43"/>
      <c r="E189" s="46"/>
      <c r="F189" s="41"/>
      <c r="G189" s="43"/>
      <c r="H189" s="43"/>
      <c r="I189" s="106"/>
      <c r="J189" s="107"/>
      <c r="K189" s="52"/>
      <c r="L189" s="90"/>
      <c r="M189" s="51"/>
      <c r="N189" s="51"/>
      <c r="O189" s="42"/>
      <c r="P189" s="42"/>
      <c r="Q189" s="35"/>
    </row>
    <row r="190" spans="1:17" ht="15.6">
      <c r="A190" s="110"/>
      <c r="B190" s="43"/>
      <c r="C190" s="44"/>
      <c r="D190" s="43"/>
      <c r="E190" s="46"/>
      <c r="F190" s="41"/>
      <c r="G190" s="48"/>
      <c r="H190" s="41"/>
      <c r="I190" s="106"/>
      <c r="J190" s="107"/>
      <c r="K190" s="52"/>
      <c r="L190" s="90"/>
      <c r="M190" s="51"/>
      <c r="N190" s="51"/>
      <c r="O190" s="42"/>
      <c r="P190" s="42"/>
      <c r="Q190" s="35"/>
    </row>
    <row r="191" spans="1:17" ht="15.6">
      <c r="A191" s="110"/>
      <c r="B191" s="43"/>
      <c r="C191" s="44"/>
      <c r="D191" s="43"/>
      <c r="E191" s="46"/>
      <c r="F191" s="41"/>
      <c r="G191" s="48"/>
      <c r="H191" s="41"/>
      <c r="I191" s="106"/>
      <c r="J191" s="107"/>
      <c r="K191" s="52"/>
      <c r="L191" s="90"/>
      <c r="M191" s="51"/>
      <c r="N191" s="51"/>
      <c r="O191" s="42"/>
      <c r="P191" s="42"/>
      <c r="Q191" s="35"/>
    </row>
    <row r="192" spans="1:17" ht="15.6">
      <c r="A192" s="110"/>
      <c r="B192" s="44"/>
      <c r="C192" s="44"/>
      <c r="D192" s="43"/>
      <c r="E192" s="46"/>
      <c r="F192" s="41"/>
      <c r="G192" s="48"/>
      <c r="H192" s="41"/>
      <c r="I192" s="106"/>
      <c r="J192" s="107"/>
      <c r="K192" s="52"/>
      <c r="L192" s="90"/>
      <c r="M192" s="51"/>
      <c r="N192" s="51"/>
      <c r="O192" s="42"/>
      <c r="P192" s="42"/>
      <c r="Q192" s="35"/>
    </row>
    <row r="193" spans="1:17" ht="15.6">
      <c r="A193" s="110"/>
      <c r="B193" s="50"/>
      <c r="C193" s="50"/>
      <c r="D193" s="50"/>
      <c r="E193" s="43"/>
      <c r="F193" s="43"/>
      <c r="G193" s="105"/>
      <c r="H193" s="67"/>
      <c r="I193" s="109"/>
      <c r="J193" s="109"/>
      <c r="K193" s="52"/>
      <c r="L193" s="91"/>
      <c r="M193" s="49"/>
      <c r="N193" s="51"/>
      <c r="O193" s="42"/>
      <c r="P193" s="42"/>
      <c r="Q193" s="35"/>
    </row>
    <row r="194" spans="1:17" ht="15.6">
      <c r="A194" s="110"/>
      <c r="B194" s="43"/>
      <c r="C194" s="44"/>
      <c r="D194" s="43"/>
      <c r="E194" s="46"/>
      <c r="F194" s="41"/>
      <c r="G194" s="48"/>
      <c r="H194" s="41"/>
      <c r="I194" s="106"/>
      <c r="J194" s="107"/>
      <c r="K194" s="52"/>
      <c r="L194" s="90"/>
      <c r="M194" s="51"/>
      <c r="N194" s="51"/>
      <c r="O194" s="42"/>
      <c r="P194" s="42"/>
      <c r="Q194" s="35"/>
    </row>
    <row r="195" spans="1:17" ht="15.6">
      <c r="A195" s="110"/>
      <c r="B195" s="43"/>
      <c r="C195" s="44"/>
      <c r="D195" s="43"/>
      <c r="E195" s="46"/>
      <c r="F195" s="41"/>
      <c r="G195" s="48"/>
      <c r="H195" s="41"/>
      <c r="I195" s="106"/>
      <c r="J195" s="107"/>
      <c r="K195" s="52"/>
      <c r="L195" s="90"/>
      <c r="M195" s="51"/>
      <c r="N195" s="51"/>
      <c r="O195" s="42"/>
      <c r="P195" s="42"/>
      <c r="Q195" s="35"/>
    </row>
    <row r="196" spans="1:17" ht="15.6">
      <c r="A196" s="110"/>
      <c r="B196" s="50"/>
      <c r="C196" s="50"/>
      <c r="D196" s="50"/>
      <c r="E196" s="43"/>
      <c r="F196" s="43"/>
      <c r="G196" s="105"/>
      <c r="H196" s="67"/>
      <c r="I196" s="108"/>
      <c r="J196" s="109"/>
      <c r="K196" s="52"/>
      <c r="L196" s="91"/>
      <c r="M196" s="49"/>
      <c r="N196" s="51"/>
      <c r="O196" s="42"/>
      <c r="P196" s="42"/>
      <c r="Q196" s="35"/>
    </row>
    <row r="197" spans="1:17" ht="15.6">
      <c r="A197" s="110"/>
      <c r="B197" s="41"/>
      <c r="C197" s="41"/>
      <c r="D197" s="43"/>
      <c r="E197" s="46"/>
      <c r="F197" s="41"/>
      <c r="G197" s="48"/>
      <c r="H197" s="41"/>
      <c r="I197" s="106"/>
      <c r="J197" s="107"/>
      <c r="K197" s="52"/>
      <c r="L197" s="90"/>
      <c r="M197" s="51"/>
      <c r="N197" s="51"/>
      <c r="O197" s="42"/>
      <c r="P197" s="42"/>
      <c r="Q197" s="35"/>
    </row>
    <row r="198" spans="1:17" ht="15.6">
      <c r="A198" s="110"/>
      <c r="B198" s="43"/>
      <c r="C198" s="44"/>
      <c r="D198" s="43"/>
      <c r="E198" s="46"/>
      <c r="F198" s="41"/>
      <c r="G198" s="48"/>
      <c r="H198" s="41"/>
      <c r="I198" s="106"/>
      <c r="J198" s="107"/>
      <c r="K198" s="52"/>
      <c r="L198" s="90"/>
      <c r="M198" s="51"/>
      <c r="N198" s="51"/>
      <c r="O198" s="42"/>
      <c r="P198" s="42"/>
      <c r="Q198" s="35"/>
    </row>
    <row r="199" spans="1:17" ht="15.6">
      <c r="A199" s="110"/>
      <c r="B199" s="38"/>
      <c r="C199" s="39"/>
      <c r="D199" s="38"/>
      <c r="E199" s="47"/>
      <c r="F199" s="41"/>
      <c r="G199" s="43"/>
      <c r="H199" s="43"/>
      <c r="I199" s="106"/>
      <c r="J199" s="107"/>
      <c r="K199" s="52"/>
      <c r="L199" s="90"/>
      <c r="M199" s="51"/>
      <c r="N199" s="51"/>
      <c r="O199" s="42"/>
      <c r="P199" s="42"/>
      <c r="Q199" s="35"/>
    </row>
    <row r="200" spans="1:17" ht="15.6">
      <c r="A200" s="110"/>
      <c r="B200" s="43"/>
      <c r="C200" s="44"/>
      <c r="D200" s="43"/>
      <c r="E200" s="46"/>
      <c r="F200" s="41"/>
      <c r="G200" s="48"/>
      <c r="H200" s="41"/>
      <c r="I200" s="106"/>
      <c r="J200" s="107"/>
      <c r="K200" s="52"/>
      <c r="L200" s="90"/>
      <c r="M200" s="51"/>
      <c r="N200" s="51"/>
      <c r="O200" s="42"/>
      <c r="P200" s="42"/>
      <c r="Q200" s="35"/>
    </row>
    <row r="201" spans="1:17" ht="15.6">
      <c r="A201" s="110"/>
      <c r="B201" s="50"/>
      <c r="C201" s="50"/>
      <c r="D201" s="50"/>
      <c r="E201" s="43"/>
      <c r="F201" s="43"/>
      <c r="G201" s="105"/>
      <c r="H201" s="67"/>
      <c r="I201" s="108"/>
      <c r="J201" s="109"/>
      <c r="K201" s="52"/>
      <c r="L201" s="91"/>
      <c r="M201" s="49"/>
      <c r="N201" s="49"/>
      <c r="O201" s="42"/>
      <c r="P201" s="42"/>
      <c r="Q201" s="35"/>
    </row>
    <row r="202" spans="1:17" ht="15.6">
      <c r="A202" s="110"/>
      <c r="B202" s="41"/>
      <c r="C202" s="41"/>
      <c r="D202" s="43"/>
      <c r="E202" s="46"/>
      <c r="F202" s="41"/>
      <c r="G202" s="43"/>
      <c r="H202" s="43"/>
      <c r="I202" s="106"/>
      <c r="J202" s="107"/>
      <c r="K202" s="52"/>
      <c r="L202" s="90"/>
      <c r="M202" s="51"/>
      <c r="N202" s="51"/>
      <c r="O202" s="42"/>
      <c r="P202" s="42"/>
      <c r="Q202" s="35"/>
    </row>
    <row r="203" spans="1:17" ht="15.6">
      <c r="A203" s="110"/>
      <c r="B203" s="43"/>
      <c r="C203" s="44"/>
      <c r="D203" s="43"/>
      <c r="E203" s="46"/>
      <c r="F203" s="41"/>
      <c r="G203" s="48"/>
      <c r="H203" s="41"/>
      <c r="I203" s="106"/>
      <c r="J203" s="107"/>
      <c r="K203" s="52"/>
      <c r="L203" s="90"/>
      <c r="M203" s="51"/>
      <c r="N203" s="51"/>
      <c r="O203" s="42"/>
      <c r="P203" s="42"/>
      <c r="Q203" s="35"/>
    </row>
    <row r="204" spans="1:17" ht="15.6">
      <c r="A204" s="110"/>
      <c r="B204" s="44"/>
      <c r="C204" s="44"/>
      <c r="D204" s="43"/>
      <c r="E204" s="46"/>
      <c r="F204" s="41"/>
      <c r="G204" s="48"/>
      <c r="H204" s="41"/>
      <c r="I204" s="106"/>
      <c r="J204" s="107"/>
      <c r="K204" s="52"/>
      <c r="L204" s="90"/>
      <c r="M204" s="51"/>
      <c r="N204" s="51"/>
      <c r="O204" s="42"/>
      <c r="P204" s="42"/>
      <c r="Q204" s="35"/>
    </row>
    <row r="205" spans="1:17" ht="15.6">
      <c r="A205" s="110"/>
      <c r="B205" s="43"/>
      <c r="C205" s="44"/>
      <c r="D205" s="43"/>
      <c r="E205" s="46"/>
      <c r="F205" s="41"/>
      <c r="G205" s="43"/>
      <c r="H205" s="43"/>
      <c r="I205" s="106"/>
      <c r="J205" s="107"/>
      <c r="K205" s="52"/>
      <c r="L205" s="90"/>
      <c r="M205" s="51"/>
      <c r="N205" s="51"/>
      <c r="O205" s="42"/>
      <c r="P205" s="42"/>
      <c r="Q205" s="35"/>
    </row>
    <row r="206" spans="1:17" ht="15.6">
      <c r="A206" s="110"/>
      <c r="B206" s="50"/>
      <c r="C206" s="50"/>
      <c r="D206" s="50"/>
      <c r="E206" s="43"/>
      <c r="F206" s="43"/>
      <c r="G206" s="105"/>
      <c r="H206" s="67"/>
      <c r="I206" s="108"/>
      <c r="J206" s="109"/>
      <c r="K206" s="68"/>
      <c r="L206" s="91"/>
      <c r="M206" s="49"/>
      <c r="N206" s="51"/>
      <c r="O206" s="42"/>
      <c r="P206" s="42"/>
      <c r="Q206" s="35"/>
    </row>
    <row r="207" spans="1:17" ht="15.6">
      <c r="A207" s="110"/>
      <c r="B207" s="50"/>
      <c r="C207" s="50"/>
      <c r="D207" s="50"/>
      <c r="E207" s="43"/>
      <c r="F207" s="43"/>
      <c r="G207" s="105"/>
      <c r="H207" s="67"/>
      <c r="I207" s="108"/>
      <c r="J207" s="109"/>
      <c r="K207" s="52"/>
      <c r="L207" s="91"/>
      <c r="M207" s="49"/>
      <c r="N207" s="49"/>
      <c r="O207" s="42"/>
      <c r="P207" s="42"/>
      <c r="Q207" s="35"/>
    </row>
    <row r="208" spans="1:17" ht="15.6">
      <c r="A208" s="110"/>
      <c r="B208" s="50"/>
      <c r="C208" s="50"/>
      <c r="D208" s="50"/>
      <c r="E208" s="43"/>
      <c r="F208" s="43"/>
      <c r="G208" s="105"/>
      <c r="H208" s="67"/>
      <c r="I208" s="108"/>
      <c r="J208" s="109"/>
      <c r="K208" s="68"/>
      <c r="L208" s="91"/>
      <c r="M208" s="49"/>
      <c r="N208" s="51"/>
      <c r="O208" s="42"/>
      <c r="P208" s="42"/>
    </row>
    <row r="209" spans="1:16" ht="15.6">
      <c r="A209" s="110"/>
      <c r="B209" s="50"/>
      <c r="C209" s="50"/>
      <c r="D209" s="50"/>
      <c r="E209" s="43"/>
      <c r="F209" s="43"/>
      <c r="G209" s="105"/>
      <c r="H209" s="67"/>
      <c r="I209" s="108"/>
      <c r="J209" s="109"/>
      <c r="K209" s="52"/>
      <c r="L209" s="91"/>
      <c r="M209" s="49"/>
      <c r="N209" s="49"/>
      <c r="O209" s="42"/>
      <c r="P209" s="42"/>
    </row>
    <row r="210" spans="1:16" ht="15.6">
      <c r="A210" s="110"/>
      <c r="B210" s="38"/>
      <c r="C210" s="39"/>
      <c r="D210" s="38"/>
      <c r="E210" s="47"/>
      <c r="F210" s="41"/>
      <c r="G210" s="48"/>
      <c r="H210" s="41"/>
      <c r="I210" s="106"/>
      <c r="J210" s="107"/>
      <c r="K210" s="52"/>
      <c r="L210" s="90"/>
      <c r="M210" s="51"/>
      <c r="N210" s="51"/>
      <c r="O210" s="42"/>
      <c r="P210" s="42"/>
    </row>
    <row r="211" spans="1:16" ht="15.6">
      <c r="A211" s="110"/>
      <c r="B211" s="43"/>
      <c r="C211" s="44"/>
      <c r="D211" s="43"/>
      <c r="E211" s="46"/>
      <c r="F211" s="41"/>
      <c r="G211" s="48"/>
      <c r="H211" s="41"/>
      <c r="I211" s="106"/>
      <c r="J211" s="107"/>
      <c r="K211" s="52"/>
      <c r="L211" s="90"/>
      <c r="M211" s="51"/>
      <c r="N211" s="51"/>
      <c r="O211" s="42"/>
      <c r="P211" s="42"/>
    </row>
    <row r="212" spans="1:16" ht="15.6">
      <c r="A212" s="110"/>
      <c r="B212" s="50"/>
      <c r="C212" s="50"/>
      <c r="D212" s="50"/>
      <c r="E212" s="43"/>
      <c r="F212" s="43"/>
      <c r="G212" s="105"/>
      <c r="H212" s="67"/>
      <c r="I212" s="108"/>
      <c r="J212" s="109"/>
      <c r="K212" s="52"/>
      <c r="L212" s="91"/>
      <c r="M212" s="49"/>
      <c r="N212" s="49"/>
      <c r="O212" s="42"/>
      <c r="P212" s="42"/>
    </row>
    <row r="213" spans="1:16" ht="15.6">
      <c r="A213" s="110"/>
      <c r="B213" s="44"/>
      <c r="C213" s="44"/>
      <c r="D213" s="43"/>
      <c r="E213" s="46"/>
      <c r="F213" s="41"/>
      <c r="G213" s="48"/>
      <c r="H213" s="41"/>
      <c r="I213" s="106"/>
      <c r="J213" s="107"/>
      <c r="K213" s="52"/>
      <c r="L213" s="90"/>
      <c r="M213" s="51"/>
      <c r="N213" s="51"/>
      <c r="O213" s="42"/>
      <c r="P213" s="42"/>
    </row>
    <row r="214" spans="1:16" ht="15.6">
      <c r="A214" s="110"/>
      <c r="B214" s="44"/>
      <c r="C214" s="44"/>
      <c r="D214" s="43"/>
      <c r="E214" s="46"/>
      <c r="F214" s="41"/>
      <c r="G214" s="48"/>
      <c r="H214" s="41"/>
      <c r="I214" s="106"/>
      <c r="J214" s="107"/>
      <c r="K214" s="52"/>
      <c r="L214" s="90"/>
      <c r="M214" s="51"/>
      <c r="N214" s="51"/>
      <c r="O214" s="42"/>
      <c r="P214" s="42"/>
    </row>
    <row r="215" spans="1:16" ht="15.6">
      <c r="A215" s="110"/>
      <c r="B215" s="43"/>
      <c r="C215" s="44"/>
      <c r="D215" s="43"/>
      <c r="E215" s="46"/>
      <c r="F215" s="41"/>
      <c r="G215" s="48"/>
      <c r="H215" s="41"/>
      <c r="I215" s="106"/>
      <c r="J215" s="107"/>
      <c r="K215" s="52"/>
      <c r="L215" s="90"/>
      <c r="M215" s="51"/>
      <c r="N215" s="51"/>
      <c r="O215" s="42"/>
      <c r="P215" s="42"/>
    </row>
    <row r="216" spans="1:16" ht="15.6">
      <c r="B216" s="49"/>
      <c r="C216" s="49"/>
      <c r="D216" s="49"/>
      <c r="E216" s="49"/>
      <c r="F216" s="49"/>
      <c r="G216" s="49"/>
      <c r="H216" s="49"/>
      <c r="I216" s="86"/>
      <c r="J216" s="86"/>
      <c r="K216" s="52"/>
    </row>
  </sheetData>
  <sheetProtection password="CA3A" sheet="1" objects="1" scenarios="1" selectLockedCells="1" sort="0" autoFilter="0" selectUnlockedCells="1"/>
  <autoFilter ref="B7:O215">
    <filterColumn colId="2"/>
    <filterColumn colId="3" showButton="0"/>
    <filterColumn colId="5" showButton="0"/>
    <filterColumn colId="7" showButton="0"/>
    <filterColumn colId="12"/>
    <sortState ref="B12:O265">
      <sortCondition ref="N7:N265"/>
    </sortState>
  </autoFilter>
  <mergeCells count="16">
    <mergeCell ref="E2:G2"/>
    <mergeCell ref="E3:G3"/>
    <mergeCell ref="E4:G4"/>
    <mergeCell ref="P7:P8"/>
    <mergeCell ref="I7:J7"/>
    <mergeCell ref="M7:M9"/>
    <mergeCell ref="N7:N9"/>
    <mergeCell ref="Q7:Q9"/>
    <mergeCell ref="I8:J8"/>
    <mergeCell ref="B7:B9"/>
    <mergeCell ref="C7:C9"/>
    <mergeCell ref="D7:D9"/>
    <mergeCell ref="E7:F7"/>
    <mergeCell ref="G7:H7"/>
    <mergeCell ref="E8:F8"/>
    <mergeCell ref="G8:H8"/>
  </mergeCells>
  <pageMargins left="0.7" right="0.7" top="0.75" bottom="0.75" header="0.3" footer="0.3"/>
  <pageSetup scale="7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3</vt:i4>
      </vt:variant>
      <vt:variant>
        <vt:lpstr>Plages nommées</vt:lpstr>
      </vt:variant>
      <vt:variant>
        <vt:i4>2</vt:i4>
      </vt:variant>
    </vt:vector>
  </HeadingPairs>
  <TitlesOfParts>
    <vt:vector size="5" baseType="lpstr">
      <vt:lpstr>Par équipe</vt:lpstr>
      <vt:lpstr>Féminin</vt:lpstr>
      <vt:lpstr>Masculin</vt:lpstr>
      <vt:lpstr>Féminin!Zone_d_impression</vt:lpstr>
      <vt:lpstr>Masculin!Zone_d_impression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Marc-Andre</dc:creator>
  <cp:lastModifiedBy>Marc-Andre</cp:lastModifiedBy>
  <cp:lastPrinted>2012-09-11T17:53:44Z</cp:lastPrinted>
  <dcterms:created xsi:type="dcterms:W3CDTF">2011-08-24T14:20:32Z</dcterms:created>
  <dcterms:modified xsi:type="dcterms:W3CDTF">2012-09-11T18:16:11Z</dcterms:modified>
</cp:coreProperties>
</file>