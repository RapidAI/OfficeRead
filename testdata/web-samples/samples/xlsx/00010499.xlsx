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8730" windowWidth="11310" windowHeight="4335" activeTab="2"/>
  </bookViews>
  <sheets>
    <sheet name="alignement" sheetId="1" r:id="rId1"/>
    <sheet name="joueurs" sheetId="2" r:id="rId2"/>
    <sheet name="RÉSULTATS" sheetId="3" r:id="rId3"/>
  </sheets>
  <definedNames>
    <definedName name="_xlnm._FilterDatabase" localSheetId="1" hidden="1">joueurs!$B$1:$B$5</definedName>
    <definedName name="BEAvsCLL">alignement!#REF!</definedName>
    <definedName name="BEAvsLIM">alignement!#REF!</definedName>
    <definedName name="BEAvsRDL">alignement!#REF!</definedName>
    <definedName name="BEAvsRIM">alignement!#REF!</definedName>
    <definedName name="CLLvsFXG">alignement!#REF!</definedName>
    <definedName name="CLLvsLIM">alignement!#REF!</definedName>
    <definedName name="CLLvsRIM">alignement!#REF!</definedName>
    <definedName name="CSFvsBEA">alignement!#REF!</definedName>
    <definedName name="CSFvsCLL">alignement!#REF!</definedName>
    <definedName name="CSFvsRIM">alignement!#REF!</definedName>
    <definedName name="FXGvsBEA">alignement!#REF!</definedName>
    <definedName name="FXGvsCSF">alignement!#REF!</definedName>
    <definedName name="FXGvsLIM">alignement!#REF!</definedName>
    <definedName name="FXGvsRDL">alignement!#REF!</definedName>
    <definedName name="LIMvsCSF">alignement!#REF!</definedName>
    <definedName name="LIMvsRDL">alignement!#REF!</definedName>
    <definedName name="RDLvsCLL">alignement!#REF!</definedName>
    <definedName name="RDLvsCSF">alignement!#REF!</definedName>
    <definedName name="RDLvsRIM">alignement!#REF!</definedName>
    <definedName name="RIMvsFXG">alignement!#REF!</definedName>
    <definedName name="RIMvsLIM">alignement!#REF!</definedName>
  </definedNames>
  <calcPr calcId="145621"/>
</workbook>
</file>

<file path=xl/calcChain.xml><?xml version="1.0" encoding="utf-8"?>
<calcChain xmlns="http://schemas.openxmlformats.org/spreadsheetml/2006/main">
  <c r="D326" i="1" l="1"/>
  <c r="S5" i="1" l="1"/>
  <c r="S6" i="1"/>
  <c r="S7" i="1"/>
  <c r="S8" i="1"/>
  <c r="S9" i="1"/>
  <c r="S12" i="1"/>
  <c r="S13" i="1"/>
  <c r="S14" i="1"/>
  <c r="S15" i="1"/>
  <c r="S16" i="1"/>
  <c r="S17" i="1"/>
  <c r="S24" i="1"/>
  <c r="S25" i="1"/>
  <c r="S26" i="1"/>
  <c r="S27" i="1"/>
  <c r="S28" i="1"/>
  <c r="S29" i="1"/>
  <c r="S30" i="1"/>
  <c r="S31" i="1"/>
  <c r="S32" i="1"/>
  <c r="S33" i="1"/>
  <c r="S34" i="1"/>
  <c r="S37" i="1"/>
  <c r="S38" i="1"/>
  <c r="S39" i="1"/>
  <c r="S40" i="1"/>
  <c r="S41" i="1"/>
  <c r="S42" i="1"/>
  <c r="S47" i="1"/>
  <c r="S48" i="1"/>
  <c r="S49" i="1"/>
  <c r="S50" i="1"/>
  <c r="S51" i="1"/>
  <c r="S56" i="1"/>
  <c r="S57" i="1"/>
  <c r="S58" i="1"/>
  <c r="S59" i="1"/>
  <c r="S60" i="1"/>
  <c r="S64" i="1"/>
  <c r="S65" i="1"/>
  <c r="S66" i="1"/>
  <c r="S67" i="1"/>
  <c r="S68" i="1"/>
  <c r="S69" i="1"/>
  <c r="S70" i="1"/>
  <c r="S71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4" i="1"/>
  <c r="Q25" i="1"/>
  <c r="Q26" i="1"/>
  <c r="Q27" i="1"/>
  <c r="Q28" i="1"/>
  <c r="Q29" i="1"/>
  <c r="Q30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6" i="1"/>
  <c r="Q57" i="1"/>
  <c r="Q58" i="1"/>
  <c r="Q59" i="1"/>
  <c r="Q60" i="1"/>
  <c r="Q61" i="1"/>
  <c r="Q62" i="1"/>
  <c r="Q64" i="1"/>
  <c r="Q65" i="1"/>
  <c r="Q66" i="1"/>
  <c r="Q67" i="1"/>
  <c r="Q68" i="1"/>
  <c r="Q69" i="1"/>
  <c r="Q70" i="1"/>
  <c r="Q71" i="1"/>
  <c r="G69" i="2"/>
  <c r="G68" i="2"/>
  <c r="B69" i="2"/>
  <c r="G56" i="2"/>
  <c r="B50" i="2"/>
  <c r="B39" i="2"/>
  <c r="G6" i="2"/>
  <c r="G7" i="2"/>
  <c r="G5" i="2"/>
  <c r="G4" i="2"/>
  <c r="B60" i="2"/>
  <c r="B59" i="2"/>
  <c r="G49" i="2"/>
  <c r="G48" i="2"/>
  <c r="G32" i="2"/>
  <c r="G31" i="2"/>
  <c r="B33" i="2"/>
  <c r="G15" i="2"/>
  <c r="G14" i="2"/>
  <c r="B19" i="2"/>
  <c r="B52" i="2"/>
  <c r="B14" i="2" l="1"/>
  <c r="G45" i="2"/>
  <c r="G67" i="2"/>
  <c r="G66" i="2"/>
  <c r="G65" i="2"/>
  <c r="G64" i="2"/>
  <c r="G63" i="2"/>
  <c r="G62" i="2"/>
  <c r="G58" i="2"/>
  <c r="G57" i="2"/>
  <c r="G55" i="2"/>
  <c r="G54" i="2"/>
  <c r="G47" i="2"/>
  <c r="G46" i="2"/>
  <c r="G40" i="2"/>
  <c r="G39" i="2"/>
  <c r="G38" i="2"/>
  <c r="G37" i="2"/>
  <c r="G36" i="2"/>
  <c r="G35" i="2"/>
  <c r="G30" i="2"/>
  <c r="G29" i="2"/>
  <c r="G28" i="2"/>
  <c r="G27" i="2"/>
  <c r="G26" i="2"/>
  <c r="G25" i="2"/>
  <c r="G24" i="2"/>
  <c r="G23" i="2"/>
  <c r="G22" i="2"/>
  <c r="G13" i="2"/>
  <c r="G12" i="2"/>
  <c r="G11" i="2"/>
  <c r="G10" i="2"/>
  <c r="B68" i="2"/>
  <c r="B67" i="2"/>
  <c r="B66" i="2"/>
  <c r="B65" i="2"/>
  <c r="B64" i="2"/>
  <c r="B63" i="2"/>
  <c r="B62" i="2"/>
  <c r="B58" i="2"/>
  <c r="B57" i="2"/>
  <c r="B56" i="2"/>
  <c r="B55" i="2"/>
  <c r="B54" i="2"/>
  <c r="B51" i="2"/>
  <c r="B49" i="2"/>
  <c r="B48" i="2"/>
  <c r="B47" i="2"/>
  <c r="B46" i="2"/>
  <c r="B45" i="2"/>
  <c r="B43" i="2"/>
  <c r="B42" i="2"/>
  <c r="B41" i="2"/>
  <c r="B40" i="2"/>
  <c r="B38" i="2"/>
  <c r="B37" i="2"/>
  <c r="B36" i="2"/>
  <c r="B35" i="2"/>
  <c r="B32" i="2"/>
  <c r="B31" i="2"/>
  <c r="B30" i="2"/>
  <c r="B29" i="2"/>
  <c r="B28" i="2"/>
  <c r="B27" i="2"/>
  <c r="B26" i="2"/>
  <c r="B25" i="2"/>
  <c r="B24" i="2"/>
  <c r="B23" i="2"/>
  <c r="B22" i="2"/>
  <c r="B20" i="2"/>
  <c r="B18" i="2"/>
  <c r="B17" i="2"/>
  <c r="B16" i="2"/>
  <c r="B15" i="2"/>
  <c r="B13" i="2"/>
  <c r="B12" i="2"/>
  <c r="B11" i="2"/>
  <c r="B10" i="2"/>
  <c r="B8" i="2"/>
  <c r="B7" i="2"/>
  <c r="B6" i="2"/>
  <c r="B5" i="2"/>
  <c r="B4" i="2"/>
  <c r="B3" i="2"/>
  <c r="G71" i="2"/>
  <c r="G92" i="2"/>
  <c r="G91" i="2"/>
  <c r="G84" i="2"/>
  <c r="G70" i="2"/>
  <c r="G83" i="2"/>
  <c r="G90" i="2"/>
  <c r="G3" i="2"/>
  <c r="G82" i="2"/>
  <c r="G89" i="2"/>
  <c r="G81" i="2"/>
  <c r="O998" i="1"/>
  <c r="D998" i="1"/>
  <c r="O950" i="1"/>
  <c r="D950" i="1"/>
  <c r="O902" i="1"/>
  <c r="D902" i="1"/>
  <c r="O854" i="1"/>
  <c r="D854" i="1"/>
  <c r="O806" i="1"/>
  <c r="D806" i="1"/>
  <c r="O758" i="1"/>
  <c r="D758" i="1"/>
  <c r="G111" i="2"/>
  <c r="G130" i="2"/>
  <c r="G129" i="2"/>
  <c r="G103" i="2"/>
  <c r="G102" i="2"/>
  <c r="G93" i="2"/>
  <c r="G110" i="2"/>
  <c r="G120" i="2"/>
  <c r="G101" i="2"/>
  <c r="G128" i="2"/>
  <c r="G127" i="2"/>
  <c r="G119" i="2"/>
  <c r="G118" i="2"/>
  <c r="G126" i="2"/>
  <c r="G99" i="2"/>
  <c r="G109" i="2"/>
  <c r="G98" i="2"/>
  <c r="G97" i="2"/>
  <c r="G135" i="2"/>
  <c r="G134" i="2"/>
  <c r="G133" i="2"/>
  <c r="G132" i="2"/>
  <c r="G131" i="2"/>
  <c r="G100" i="2"/>
  <c r="G121" i="2"/>
  <c r="B81" i="2"/>
  <c r="B80" i="2"/>
  <c r="B79" i="2"/>
  <c r="G112" i="2"/>
  <c r="G94" i="2"/>
  <c r="O710" i="1"/>
  <c r="D614" i="1"/>
  <c r="O614" i="1"/>
  <c r="O38" i="1"/>
  <c r="B20" i="3" s="1"/>
  <c r="D710" i="1"/>
  <c r="O662" i="1"/>
  <c r="D662" i="1"/>
  <c r="O566" i="1"/>
  <c r="D566" i="1"/>
  <c r="O518" i="1"/>
  <c r="D518" i="1"/>
  <c r="O470" i="1"/>
  <c r="D470" i="1"/>
  <c r="O422" i="1"/>
  <c r="D422" i="1"/>
  <c r="O374" i="1"/>
  <c r="D374" i="1"/>
  <c r="O326" i="1"/>
  <c r="S20" i="3" s="1"/>
  <c r="O278" i="1"/>
  <c r="D19" i="3" s="1"/>
  <c r="D278" i="1"/>
  <c r="O230" i="1"/>
  <c r="D230" i="1"/>
  <c r="J17" i="3" s="1"/>
  <c r="O182" i="1"/>
  <c r="D182" i="1"/>
  <c r="G18" i="3" s="1"/>
  <c r="O134" i="1"/>
  <c r="D134" i="1"/>
  <c r="O86" i="1"/>
  <c r="D86" i="1"/>
  <c r="H18" i="3" s="1"/>
  <c r="D38" i="1"/>
  <c r="D20" i="3" s="1"/>
  <c r="J18" i="3" l="1"/>
  <c r="N16" i="3" s="1"/>
  <c r="E19" i="3"/>
  <c r="S15" i="3" s="1"/>
  <c r="G19" i="3"/>
  <c r="Q15" i="3" s="1"/>
  <c r="E18" i="3"/>
  <c r="P15" i="3" s="1"/>
  <c r="H17" i="3"/>
  <c r="M16" i="3" s="1"/>
  <c r="B19" i="3"/>
  <c r="Q20" i="3"/>
  <c r="V19" i="3" s="1"/>
  <c r="B18" i="3"/>
  <c r="P14" i="3" s="1"/>
  <c r="D18" i="3"/>
  <c r="N14" i="3" s="1"/>
  <c r="E17" i="3"/>
  <c r="M15" i="3" s="1"/>
  <c r="G17" i="3"/>
  <c r="K15" i="3" s="1"/>
  <c r="J19" i="3"/>
  <c r="Q16" i="3" s="1"/>
  <c r="H19" i="3"/>
  <c r="S16" i="3" s="1"/>
  <c r="E20" i="3"/>
  <c r="V15" i="3" s="1"/>
  <c r="G20" i="3"/>
  <c r="T15" i="3" s="1"/>
  <c r="K18" i="3"/>
  <c r="P17" i="3" s="1"/>
  <c r="M18" i="3"/>
  <c r="N17" i="3" s="1"/>
  <c r="G16" i="3"/>
  <c r="H15" i="3" s="1"/>
  <c r="E16" i="3"/>
  <c r="J15" i="3" s="1"/>
  <c r="N20" i="3"/>
  <c r="V18" i="3" s="1"/>
  <c r="B17" i="3"/>
  <c r="M14" i="3" s="1"/>
  <c r="D17" i="3"/>
  <c r="K14" i="3" s="1"/>
  <c r="P20" i="3"/>
  <c r="T18" i="3" s="1"/>
  <c r="N19" i="3"/>
  <c r="S18" i="3" s="1"/>
  <c r="P19" i="3"/>
  <c r="Q18" i="3" s="1"/>
  <c r="M20" i="3"/>
  <c r="T17" i="3" s="1"/>
  <c r="K20" i="3"/>
  <c r="V17" i="3" s="1"/>
  <c r="B16" i="3"/>
  <c r="J14" i="3" s="1"/>
  <c r="D16" i="3"/>
  <c r="H14" i="3" s="1"/>
  <c r="D15" i="3"/>
  <c r="E14" i="3" s="1"/>
  <c r="B15" i="3"/>
  <c r="G14" i="3" s="1"/>
  <c r="K19" i="3"/>
  <c r="S17" i="3" s="1"/>
  <c r="M19" i="3"/>
  <c r="Q17" i="3" s="1"/>
  <c r="H20" i="3"/>
  <c r="V16" i="3" s="1"/>
  <c r="J20" i="3"/>
  <c r="T16" i="3" s="1"/>
  <c r="P16" i="3"/>
  <c r="T19" i="3"/>
  <c r="Q14" i="3"/>
  <c r="N15" i="3"/>
  <c r="K16" i="3"/>
  <c r="T14" i="3"/>
  <c r="V14" i="3"/>
  <c r="Z18" i="3" l="1"/>
  <c r="Y20" i="3"/>
  <c r="K27" i="3" s="1"/>
  <c r="Z20" i="3"/>
  <c r="Y18" i="3"/>
  <c r="Z15" i="3"/>
  <c r="Z19" i="3"/>
  <c r="Y17" i="3"/>
  <c r="Z17" i="3"/>
  <c r="Y14" i="3"/>
  <c r="Y16" i="3"/>
  <c r="Y15" i="3"/>
  <c r="Z16" i="3"/>
  <c r="Y19" i="3"/>
  <c r="S14" i="3"/>
  <c r="Z14" i="3" s="1"/>
  <c r="M28" i="3" l="1"/>
  <c r="AA20" i="3"/>
  <c r="AA16" i="3"/>
  <c r="K28" i="3"/>
  <c r="AA17" i="3"/>
  <c r="K25" i="3"/>
  <c r="AA15" i="3"/>
  <c r="K24" i="3"/>
  <c r="M25" i="3" s="1"/>
  <c r="AA18" i="3"/>
  <c r="K30" i="3"/>
  <c r="AA19" i="3"/>
  <c r="K29" i="3"/>
  <c r="M30" i="3" s="1"/>
  <c r="AA14" i="3"/>
  <c r="K26" i="3"/>
  <c r="M27" i="3" s="1"/>
  <c r="M26" i="3" l="1"/>
  <c r="M29" i="3"/>
</calcChain>
</file>

<file path=xl/sharedStrings.xml><?xml version="1.0" encoding="utf-8"?>
<sst xmlns="http://schemas.openxmlformats.org/spreadsheetml/2006/main" count="1959" uniqueCount="224">
  <si>
    <t>No.</t>
  </si>
  <si>
    <t>Nom</t>
  </si>
  <si>
    <t>Pts</t>
  </si>
  <si>
    <t>Résultats</t>
  </si>
  <si>
    <t>Total de points</t>
  </si>
  <si>
    <t>Signature de l'entraîneur</t>
  </si>
  <si>
    <t>Feuille de pointage</t>
  </si>
  <si>
    <t>Badminton «AA» (Équipe)</t>
  </si>
  <si>
    <t>pt</t>
  </si>
  <si>
    <t>pts</t>
  </si>
  <si>
    <t>VISITEUR</t>
  </si>
  <si>
    <t>RECEVEUR</t>
  </si>
  <si>
    <t>HEURE</t>
  </si>
  <si>
    <t>TERRAIN</t>
  </si>
  <si>
    <t>victoire 1 set</t>
  </si>
  <si>
    <t>SUBSTITUTS</t>
  </si>
  <si>
    <t>COLL</t>
  </si>
  <si>
    <t>victoire d'un match</t>
  </si>
  <si>
    <t>plafond pour le perdant</t>
  </si>
  <si>
    <t>9-16</t>
  </si>
  <si>
    <t>17 et +</t>
  </si>
  <si>
    <t>SIMPLE MASCULIN 2/3 21pts</t>
  </si>
  <si>
    <t>SIMPLE FÉMININ 2/3 21pts</t>
  </si>
  <si>
    <t>DOUBLE FÉMININ 2/3 21pts</t>
  </si>
  <si>
    <t>DOUBLE MASCULIN 2/3 21pts</t>
  </si>
  <si>
    <t>DOUBLE MIXTE 2/3 21pts</t>
  </si>
  <si>
    <t>CLASSEMENT MASCULIN</t>
  </si>
  <si>
    <t>CLASSEMENT FÉMININ</t>
  </si>
  <si>
    <t>1-2-3</t>
  </si>
  <si>
    <t>4-5-6</t>
  </si>
  <si>
    <t>7-8</t>
  </si>
  <si>
    <t>,</t>
  </si>
  <si>
    <t>4.RIMOUSKI</t>
  </si>
  <si>
    <t>5.RIVIÈRE-DU-LOUP</t>
  </si>
  <si>
    <t>3.LÉVIS-LAUZON</t>
  </si>
  <si>
    <t>1-8</t>
  </si>
  <si>
    <t>Équipe</t>
  </si>
  <si>
    <t>Vic.</t>
  </si>
  <si>
    <t>Déf.</t>
  </si>
  <si>
    <t>Pts p.</t>
  </si>
  <si>
    <t>Pts c.</t>
  </si>
  <si>
    <t>Points</t>
  </si>
  <si>
    <t>#</t>
  </si>
  <si>
    <t>6.LIMOILOU</t>
  </si>
  <si>
    <t>7.BEAUCE-APPALACHES</t>
  </si>
  <si>
    <t>09h30</t>
  </si>
  <si>
    <t>10h45</t>
  </si>
  <si>
    <t>12h00</t>
  </si>
  <si>
    <t>13h15</t>
  </si>
  <si>
    <t>14h30</t>
  </si>
  <si>
    <t>15h45</t>
  </si>
  <si>
    <t>17h00</t>
  </si>
  <si>
    <t>CSF</t>
  </si>
  <si>
    <t>CLL</t>
  </si>
  <si>
    <t>RIM</t>
  </si>
  <si>
    <t>RDL</t>
  </si>
  <si>
    <t>LIM</t>
  </si>
  <si>
    <t>BEA SYLVAIN LALIBERTÉ 1</t>
  </si>
  <si>
    <t>BEA ALEXANDRE POULIN 2</t>
  </si>
  <si>
    <t>BEA ALEX DUCLOS 3</t>
  </si>
  <si>
    <t>BEA JOSIANE LANGLOIS  1</t>
  </si>
  <si>
    <t>BEA MARIE-ÈVE MATHIEU 4</t>
  </si>
  <si>
    <t>BEAU LANY FORTIN 5</t>
  </si>
  <si>
    <t>CLL WILLIAM BROUARD  1</t>
  </si>
  <si>
    <t>CLL PASCAL BOURGAULT 2</t>
  </si>
  <si>
    <t>CLL MAXIME GAUDET 5</t>
  </si>
  <si>
    <t>CLL SAMUEL BEAULIEU 9</t>
  </si>
  <si>
    <t>CLL MARILOU HAMEL  1</t>
  </si>
  <si>
    <t>CLL VALÉRIE DESRUISSEAUX  2</t>
  </si>
  <si>
    <t>CLL AUDREY GAGNÉ 3</t>
  </si>
  <si>
    <t>CLL CHLOÉ BRETON 4</t>
  </si>
  <si>
    <t>CSF SIMON JEAN-PINEAULT  2</t>
  </si>
  <si>
    <t>CSF ALEXANDRE MAZIADE 3</t>
  </si>
  <si>
    <t>CSF MARC-ANTOINE GENEST 4</t>
  </si>
  <si>
    <t>CSF MATHIEU GENEST 5</t>
  </si>
  <si>
    <t>CSF WILLIAM BARRY 6</t>
  </si>
  <si>
    <t>CSF SHANNON CYR-KIRK 7</t>
  </si>
  <si>
    <t>CSF DANIEL GUÉRIN 8</t>
  </si>
  <si>
    <t>CSF WILLIAM ARBOUR 9</t>
  </si>
  <si>
    <t>CSF NICOLAS GUÉRETTE 10</t>
  </si>
  <si>
    <t>CSF FÉLIX BERNIER-TREMBLAY 11</t>
  </si>
  <si>
    <t>CSF ALEXANDRE GAUDRY 12</t>
  </si>
  <si>
    <t>CSF VIRGINIE SAVARD 2</t>
  </si>
  <si>
    <t>CSF CATHERINE SAVARD 4</t>
  </si>
  <si>
    <t>CSF STÉPHANIE BELISLE 5</t>
  </si>
  <si>
    <t>CSF CAROLINE LAVOIE-MOORE 7</t>
  </si>
  <si>
    <t>CSF KAYALA RITCHIE 8</t>
  </si>
  <si>
    <t>CSF LAURIE ASPIRAULT 9</t>
  </si>
  <si>
    <t>CSF SABRINA BERGERON 10</t>
  </si>
  <si>
    <t>CSF MAUDE CANTIN 11</t>
  </si>
  <si>
    <t>FXG MARC-OLIVIER BÉLIVEAU 1</t>
  </si>
  <si>
    <t>FXG SÉBASTIEN DROUIN LEMIEUX  2</t>
  </si>
  <si>
    <t>FXG PHILIPPE RENY  3</t>
  </si>
  <si>
    <t>FXG MAXIME SIROIS 4</t>
  </si>
  <si>
    <t>FXG VANESSA GENDRON 1</t>
  </si>
  <si>
    <t>FXG EMMANUELLE DUNN 2</t>
  </si>
  <si>
    <t>LIM OLIVIER BUJOLD 8</t>
  </si>
  <si>
    <t>LIM ANNICK MOREAU 1</t>
  </si>
  <si>
    <t>LIM CLAUDIE CHABOT 2</t>
  </si>
  <si>
    <t>LIM ÉLODIE LAVALLÉE 3</t>
  </si>
  <si>
    <t>LIM ALEXANDRA CÔTÉ 4</t>
  </si>
  <si>
    <t>LIM ÉLISE LATOUR 5</t>
  </si>
  <si>
    <t>RDL VINCENT RIOUX-BERROUARD  1</t>
  </si>
  <si>
    <t>RDL FÉLIX MORIN 4</t>
  </si>
  <si>
    <t>RDL LAURIE PELLETIER  1</t>
  </si>
  <si>
    <t>RDL MARILOU SINCLAIR 4</t>
  </si>
  <si>
    <t>RIM OLIVIER MORIN  1</t>
  </si>
  <si>
    <t>RIM FRANCOIS BLAIS  2</t>
  </si>
  <si>
    <t>RIM JEAN-CHRISTOPHE LEMIEUX  3</t>
  </si>
  <si>
    <t>RIM FRÉDÉRIC LACOSTE 4</t>
  </si>
  <si>
    <t>RIM DANY GONTHIER 5</t>
  </si>
  <si>
    <t>RIM PASCAL BERGERON 6</t>
  </si>
  <si>
    <t>RIM ALEXANDRE TURCOTTE 7</t>
  </si>
  <si>
    <t>RIM VANESSA RAIL-BOND 1</t>
  </si>
  <si>
    <t>RIM MYRIAM ROSS 2</t>
  </si>
  <si>
    <t>RIM JOSIANNE BEAULIEU 3</t>
  </si>
  <si>
    <t>RIM AMÉLIE MERCIER 4</t>
  </si>
  <si>
    <t>RIM LAURIE BLAIS 5</t>
  </si>
  <si>
    <t>GARNEAU</t>
  </si>
  <si>
    <t>SAINTE-FOY</t>
  </si>
  <si>
    <t>LÉVIS-LAUZON</t>
  </si>
  <si>
    <t>BEAUCE-APPALACHES</t>
  </si>
  <si>
    <t>RIMOUSKI</t>
  </si>
  <si>
    <t>LIMOILOU</t>
  </si>
  <si>
    <t>RIVIÈRE-DU-LOUP</t>
  </si>
  <si>
    <t>1.GARNEAU</t>
  </si>
  <si>
    <t>2.SAINTE-FOY</t>
  </si>
  <si>
    <t>4 RIMOUSKI</t>
  </si>
  <si>
    <t>Résultats du tournoi par équipe du 24 novembre 2012</t>
  </si>
  <si>
    <t>BEA CALVIN CHEN 4</t>
  </si>
  <si>
    <t>BEA ROMAIN LEMIEUX 5</t>
  </si>
  <si>
    <t>BEA PIER-ALEXANDRE BOUCHER 6</t>
  </si>
  <si>
    <t>BEA ALEX LECLERC 2</t>
  </si>
  <si>
    <t>CLL SAMUEL GUAY 3</t>
  </si>
  <si>
    <t>CLL ALEXANDRE HAMEL 4</t>
  </si>
  <si>
    <t>CLL OLIVIER BARRETTE 6</t>
  </si>
  <si>
    <t>CLL ESTÉBAN JOMPHE 7</t>
  </si>
  <si>
    <t>CLL ANTHONY CAREY 10</t>
  </si>
  <si>
    <t>CLL ÉTIENNE THIBAULT 11</t>
  </si>
  <si>
    <t>CLL JULIE MÉTHOT 5</t>
  </si>
  <si>
    <t>CLL CATHERINE GUIMONT 6</t>
  </si>
  <si>
    <t>CSF CHRISTINE MALTAIS 6</t>
  </si>
  <si>
    <t>FXG GABRIEL GOULET-MAILHOT 5</t>
  </si>
  <si>
    <t>FXG ANTOINE BABY BOUCHARD 6</t>
  </si>
  <si>
    <t>FXG CHARLES-ANDRÉ BEAUDRY 8</t>
  </si>
  <si>
    <t>FXG PHILIPPE GOBEIL BOUCHARD 9</t>
  </si>
  <si>
    <t>FXG JOSIANNE BOULANGER 3</t>
  </si>
  <si>
    <t>FXG DOMINIQUE PITRE 4</t>
  </si>
  <si>
    <t>FXG ÉLISE GRANDGUILLOT 5</t>
  </si>
  <si>
    <t>LIM JOAKIM PARÉ  1</t>
  </si>
  <si>
    <t>LIM SÉBASTIEN DOUCET 2</t>
  </si>
  <si>
    <t>LIM MAXIME LAPERRIÈRE 3</t>
  </si>
  <si>
    <t>LIM PHILIPPE DEMONTIGNY 5</t>
  </si>
  <si>
    <t>LIM FRÉDÉRICK BERTRAND-CHARETTE 6</t>
  </si>
  <si>
    <t>RDL JEFF LEBEL 6</t>
  </si>
  <si>
    <t>RDL BRYAN LÉVESQUE 7</t>
  </si>
  <si>
    <t>RDL CATHERINE HODGSON 2</t>
  </si>
  <si>
    <t>RDL ANNE-MARIE ROBITAILLE 3</t>
  </si>
  <si>
    <t>RIM CHLOÉ CORMIER-PAQUET 6</t>
  </si>
  <si>
    <t>RIM ANNIE-PIER DEA</t>
  </si>
  <si>
    <t>Date: 24 NOVEMBRE 2012</t>
  </si>
  <si>
    <t>Endroit : Lévis-Lauzon</t>
  </si>
  <si>
    <t>Équipe # 2</t>
  </si>
  <si>
    <t>ÉQUIPE #2</t>
  </si>
  <si>
    <t>présent</t>
  </si>
  <si>
    <t>RDL ÉTIENNE DESROSIERS 5</t>
  </si>
  <si>
    <t>8-21</t>
  </si>
  <si>
    <t>5-21</t>
  </si>
  <si>
    <t>17-21</t>
  </si>
  <si>
    <t>14-21</t>
  </si>
  <si>
    <t>15-21</t>
  </si>
  <si>
    <t>21-23</t>
  </si>
  <si>
    <t>21-9</t>
  </si>
  <si>
    <t>21-10</t>
  </si>
  <si>
    <t>19-21</t>
  </si>
  <si>
    <t>10-21</t>
  </si>
  <si>
    <t>9-21</t>
  </si>
  <si>
    <t>12-21</t>
  </si>
  <si>
    <t>21-11</t>
  </si>
  <si>
    <t>11-21</t>
  </si>
  <si>
    <t>13-21</t>
  </si>
  <si>
    <t>21-15</t>
  </si>
  <si>
    <t>4-21</t>
  </si>
  <si>
    <t>18-21</t>
  </si>
  <si>
    <t>21-19</t>
  </si>
  <si>
    <t>21-17</t>
  </si>
  <si>
    <t>23-25</t>
  </si>
  <si>
    <t>21-14</t>
  </si>
  <si>
    <t>21-18</t>
  </si>
  <si>
    <t>6-21</t>
  </si>
  <si>
    <t>21-1</t>
  </si>
  <si>
    <t>21-5</t>
  </si>
  <si>
    <t>21-7</t>
  </si>
  <si>
    <t>21-12</t>
  </si>
  <si>
    <t>22-20</t>
  </si>
  <si>
    <t>21-13</t>
  </si>
  <si>
    <t>16-21</t>
  </si>
  <si>
    <t>20-22</t>
  </si>
  <si>
    <t>21-2</t>
  </si>
  <si>
    <t>21-3</t>
  </si>
  <si>
    <t>TOTAL</t>
  </si>
  <si>
    <t>21-0</t>
  </si>
  <si>
    <t>21-6</t>
  </si>
  <si>
    <t>21-8</t>
  </si>
  <si>
    <t>1-21</t>
  </si>
  <si>
    <t>2-21</t>
  </si>
  <si>
    <t>24-22</t>
  </si>
  <si>
    <t>21-16</t>
  </si>
  <si>
    <t>FXG MARC-ANTHONY BLACKBURN 7</t>
  </si>
  <si>
    <t>25-23</t>
  </si>
  <si>
    <t>21-4</t>
  </si>
  <si>
    <t>7-21</t>
  </si>
  <si>
    <t>29-30</t>
  </si>
  <si>
    <t>22-24</t>
  </si>
  <si>
    <t>tenu à Lévis-Lauzon</t>
  </si>
  <si>
    <t>écart</t>
  </si>
  <si>
    <t xml:space="preserve"> ------</t>
  </si>
  <si>
    <t>X</t>
  </si>
  <si>
    <t>Équipe #1</t>
  </si>
  <si>
    <t>Équipe #2</t>
  </si>
  <si>
    <t>Équipe #3</t>
  </si>
  <si>
    <t>GAR</t>
  </si>
  <si>
    <t>BAP</t>
  </si>
  <si>
    <t xml:space="preserve">Ligue de badminton mixte division 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</si>
</sst>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1" fillId="0" borderId="7" xfId="0" applyFont="1" applyFill="1" applyBorder="1"/>
    <xf numFmtId="0" fontId="1" fillId="0" borderId="0" xfId="0" applyFont="1" applyFill="1" applyBorder="1"/>
    <xf numFmtId="0" fontId="1" fillId="0" borderId="4" xfId="0" applyFont="1" applyFill="1" applyBorder="1"/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4" fontId="3" fillId="0" borderId="8" xfId="0" applyNumberFormat="1" applyFont="1" applyFill="1" applyBorder="1" applyAlignment="1">
      <alignment horizontal="center"/>
    </xf>
    <xf numFmtId="0" fontId="1" fillId="0" borderId="0" xfId="0" applyFont="1" applyFill="1"/>
    <xf numFmtId="49" fontId="1" fillId="0" borderId="0" xfId="0" applyNumberFormat="1" applyFont="1" applyFill="1"/>
    <xf numFmtId="49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49" fontId="2" fillId="0" borderId="0" xfId="0" applyNumberFormat="1" applyFont="1" applyFill="1" applyAlignment="1"/>
    <xf numFmtId="0" fontId="1" fillId="0" borderId="0" xfId="0" applyFont="1" applyFill="1" applyBorder="1" applyAlignment="1">
      <alignment horizontal="left"/>
    </xf>
    <xf numFmtId="0" fontId="3" fillId="0" borderId="0" xfId="0" applyFont="1" applyFill="1"/>
    <xf numFmtId="0" fontId="3" fillId="0" borderId="4" xfId="0" applyFont="1" applyFill="1" applyBorder="1" applyAlignment="1">
      <alignment horizontal="left"/>
    </xf>
    <xf numFmtId="0" fontId="1" fillId="0" borderId="0" xfId="0" applyFont="1" applyFill="1" applyAlignment="1"/>
    <xf numFmtId="0" fontId="3" fillId="0" borderId="4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Border="1"/>
    <xf numFmtId="49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49" fontId="3" fillId="0" borderId="0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0" borderId="0" xfId="0" quotePrefix="1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/>
    </xf>
    <xf numFmtId="49" fontId="4" fillId="0" borderId="11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Alignment="1">
      <alignment horizontal="center"/>
    </xf>
    <xf numFmtId="49" fontId="4" fillId="0" borderId="13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/>
    <xf numFmtId="49" fontId="4" fillId="0" borderId="1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0" fillId="0" borderId="0" xfId="0" applyFont="1" applyFill="1" applyBorder="1"/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8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/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left"/>
    </xf>
    <xf numFmtId="49" fontId="1" fillId="0" borderId="12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4" fillId="0" borderId="9" xfId="0" applyFon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9" xfId="0" applyBorder="1"/>
    <xf numFmtId="0" fontId="0" fillId="0" borderId="0" xfId="0" applyBorder="1"/>
    <xf numFmtId="1" fontId="1" fillId="0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/>
    <xf numFmtId="164" fontId="1" fillId="0" borderId="0" xfId="0" applyNumberFormat="1" applyFont="1" applyAlignment="1">
      <alignment horizontal="center"/>
    </xf>
    <xf numFmtId="1" fontId="0" fillId="0" borderId="9" xfId="0" applyNumberFormat="1" applyBorder="1"/>
    <xf numFmtId="1" fontId="0" fillId="4" borderId="9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49" fontId="1" fillId="0" borderId="7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3" xfId="0" applyFont="1" applyFill="1" applyBorder="1" applyAlignment="1"/>
    <xf numFmtId="0" fontId="3" fillId="0" borderId="1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7" fillId="0" borderId="0" xfId="0" applyFont="1" applyFill="1" applyAlignment="1"/>
    <xf numFmtId="49" fontId="3" fillId="0" borderId="7" xfId="0" applyNumberFormat="1" applyFont="1" applyFill="1" applyBorder="1" applyAlignment="1">
      <alignment horizontal="center"/>
    </xf>
    <xf numFmtId="49" fontId="3" fillId="0" borderId="5" xfId="0" applyNumberFormat="1" applyFont="1" applyFill="1" applyBorder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49" fontId="1" fillId="0" borderId="4" xfId="0" applyNumberFormat="1" applyFont="1" applyFill="1" applyBorder="1" applyAlignment="1"/>
    <xf numFmtId="49" fontId="3" fillId="0" borderId="4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  <xf numFmtId="0" fontId="5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49" fontId="1" fillId="0" borderId="0" xfId="0" applyNumberFormat="1" applyFont="1" applyFill="1" applyBorder="1" applyAlignment="1"/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 applyAlignment="1"/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41713</xdr:colOff>
      <xdr:row>49</xdr:row>
      <xdr:rowOff>9525</xdr:rowOff>
    </xdr:from>
    <xdr:to>
      <xdr:col>1</xdr:col>
      <xdr:colOff>1310837</xdr:colOff>
      <xdr:row>51</xdr:row>
      <xdr:rowOff>66675</xdr:rowOff>
    </xdr:to>
    <xdr:pic>
      <xdr:nvPicPr>
        <xdr:cNvPr id="85685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98888" y="9448800"/>
          <a:ext cx="1269124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86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86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47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48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49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0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1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2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3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4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5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6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7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8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6959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0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1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2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3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4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5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6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7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8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69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70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71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72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6973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37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38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39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0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1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2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3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4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5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6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7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8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49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0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1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2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3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4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5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6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7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8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59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0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1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2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3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4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5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6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7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8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69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0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1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2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3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4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5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6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7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8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79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0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1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2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3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4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5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6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7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8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89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0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1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2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3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4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5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6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7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1943100</xdr:colOff>
      <xdr:row>627</xdr:row>
      <xdr:rowOff>57150</xdr:rowOff>
    </xdr:to>
    <xdr:pic>
      <xdr:nvPicPr>
        <xdr:cNvPr id="857398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1638597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625</xdr:row>
      <xdr:rowOff>0</xdr:rowOff>
    </xdr:from>
    <xdr:to>
      <xdr:col>1</xdr:col>
      <xdr:colOff>828675</xdr:colOff>
      <xdr:row>627</xdr:row>
      <xdr:rowOff>57150</xdr:rowOff>
    </xdr:to>
    <xdr:pic>
      <xdr:nvPicPr>
        <xdr:cNvPr id="857399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119129175"/>
          <a:ext cx="107632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28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29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0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1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2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3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4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5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6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7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8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39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0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1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2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3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4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5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6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7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8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49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0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1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2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3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4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5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6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7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8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59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0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1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2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3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4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5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6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7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8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69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0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1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2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3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4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5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6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7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8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79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0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1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2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3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4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5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6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7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8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89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0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1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2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3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4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5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6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7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8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499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0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1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2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3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4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5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6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7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8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09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0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1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2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3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4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5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6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7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8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19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0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1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2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3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4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5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6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7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8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29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30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31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673</xdr:row>
      <xdr:rowOff>0</xdr:rowOff>
    </xdr:from>
    <xdr:to>
      <xdr:col>1</xdr:col>
      <xdr:colOff>1943100</xdr:colOff>
      <xdr:row>675</xdr:row>
      <xdr:rowOff>57150</xdr:rowOff>
    </xdr:to>
    <xdr:pic>
      <xdr:nvPicPr>
        <xdr:cNvPr id="857532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2521565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33" name="Picture 6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34" name="Picture 6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35" name="Picture 6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36" name="Picture 6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37" name="Picture 6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38" name="Picture 6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39" name="Picture 6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0" name="Picture 6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1" name="Picture 6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2" name="Picture 6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3" name="Picture 6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4" name="Picture 6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5" name="Picture 6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6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7" name="Picture 6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8" name="Picture 7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49" name="Picture 7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0" name="Picture 7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1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2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3" name="Picture 7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4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5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6" name="Picture 7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7" name="Picture 7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8" name="Picture 7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59" name="Picture 7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0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1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2" name="Picture 7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3" name="Picture 7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4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5" name="Picture 7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6" name="Picture 7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7" name="Picture 7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8" name="Picture 7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69" name="Picture 7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0" name="Picture 7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1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2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3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4" name="Picture 7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5" name="Picture 7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6" name="Picture 7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7" name="Picture 7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8" name="Picture 7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79" name="Picture 7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0" name="Picture 7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1" name="Picture 7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2" name="Picture 7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3" name="Picture 7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4" name="Picture 7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5" name="Picture 7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6" name="Picture 7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7" name="Picture 7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8" name="Picture 7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89" name="Picture 7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0" name="Picture 7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1" name="Picture 7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2" name="Picture 7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3" name="Picture 7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4" name="Picture 7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5" name="Picture 7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6" name="Picture 7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7" name="Picture 7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8" name="Picture 7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599" name="Picture 7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0" name="Picture 7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1" name="Picture 7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2" name="Picture 7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3" name="Picture 7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4" name="Picture 7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5" name="Picture 7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6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7" name="Picture 7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8" name="Picture 7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09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0" name="Picture 7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1" name="Picture 7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2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3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4" name="Picture 7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5" name="Picture 7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6" name="Picture 7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7" name="Picture 7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8" name="Picture 7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19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0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1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2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3" name="Picture 7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4" name="Picture 7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5" name="Picture 7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6" name="Picture 7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7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8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29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0" name="Picture 7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1" name="Picture 7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2" name="Picture 7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3" name="Picture 7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4" name="Picture 7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5" name="Picture 7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6" name="Picture 7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7" name="Picture 7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8" name="Picture 7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39" name="Picture 7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0" name="Picture 7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1" name="Picture 7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2" name="Picture 7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3" name="Picture 7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4" name="Picture 7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5" name="Picture 7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6" name="Picture 7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7" name="Picture 7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8" name="Picture 8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49" name="Picture 8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0" name="Picture 8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1" name="Picture 8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2" name="Picture 8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3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4" name="Picture 8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5" name="Picture 8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6" name="Picture 8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7" name="Picture 8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8" name="Picture 8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59" name="Picture 8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0" name="Picture 8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1" name="Picture 8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2" name="Picture 8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3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4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5" name="Picture 8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6" name="Picture 8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7" name="Picture 8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8" name="Picture 8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69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0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1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2" name="Picture 8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3" name="Picture 8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4" name="Picture 8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5" name="Picture 8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6" name="Picture 8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7" name="Picture 8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8" name="Picture 8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79" name="Picture 8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0" name="Picture 8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1" name="Picture 8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2" name="Picture 8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3" name="Picture 8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4" name="Picture 8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5" name="Picture 8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6" name="Picture 8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7" name="Picture 8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8" name="Picture 8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89" name="Picture 8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0" name="Picture 8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1" name="Picture 8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2" name="Picture 8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3" name="Picture 8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4" name="Picture 8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5" name="Picture 8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6" name="Picture 8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7" name="Picture 8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8" name="Picture 8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699" name="Picture 8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0" name="Picture 8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1" name="Picture 8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2" name="Picture 8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3" name="Picture 8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4" name="Picture 8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5" name="Picture 8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6" name="Picture 8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7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8" name="Picture 8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09" name="Picture 8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0" name="Picture 8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1" name="Picture 8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2" name="Picture 8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3" name="Picture 8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4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5" name="Picture 8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6" name="Picture 8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7" name="Picture 8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8" name="Picture 8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19" name="Picture 8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0" name="Picture 8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1" name="Picture 8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2" name="Picture 8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3" name="Picture 8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4" name="Picture 8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5" name="Picture 8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6" name="Picture 8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7" name="Picture 8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8" name="Picture 8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29" name="Picture 8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0" name="Picture 8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1" name="Picture 8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2" name="Picture 8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3" name="Picture 8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4" name="Picture 8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5" name="Picture 8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6" name="Picture 8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7" name="Picture 8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8" name="Picture 8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39" name="Picture 8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0" name="Picture 8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1" name="Picture 8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2" name="Picture 8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3" name="Picture 8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4" name="Picture 8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5" name="Picture 8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6" name="Picture 8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7" name="Picture 8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8" name="Picture 9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49" name="Picture 9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0" name="Picture 9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1" name="Picture 9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2" name="Picture 9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3" name="Picture 9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4" name="Picture 9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5" name="Picture 9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6" name="Picture 9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7" name="Picture 9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8" name="Picture 9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59" name="Picture 9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0" name="Picture 9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1" name="Picture 9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2" name="Picture 9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3" name="Picture 9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4" name="Picture 9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5" name="Picture 9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6" name="Picture 9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7" name="Picture 9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8" name="Picture 9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69" name="Picture 9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0" name="Picture 9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1" name="Picture 9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2" name="Picture 9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3" name="Picture 9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4" name="Picture 9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5" name="Picture 9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6" name="Picture 9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7" name="Picture 9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8" name="Picture 9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79" name="Picture 9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0" name="Picture 9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1" name="Picture 9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2" name="Picture 9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3" name="Picture 9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4" name="Picture 9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5" name="Picture 9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6" name="Picture 9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7" name="Picture 9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8" name="Picture 9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89" name="Picture 9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0" name="Picture 9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1" name="Picture 9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2" name="Picture 9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3" name="Picture 9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4" name="Picture 9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5" name="Picture 9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6" name="Picture 9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7" name="Picture 9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8" name="Picture 9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799" name="Picture 9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0" name="Picture 9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1" name="Picture 9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2" name="Picture 9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3" name="Picture 9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4" name="Picture 9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5" name="Picture 9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6" name="Picture 9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7" name="Picture 9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8" name="Picture 9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09" name="Picture 9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0" name="Picture 9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1" name="Picture 9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2" name="Picture 9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3" name="Picture 9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4" name="Picture 9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5" name="Picture 9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6" name="Picture 9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7" name="Picture 9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8" name="Picture 9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19" name="Picture 9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0" name="Picture 9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1" name="Picture 9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2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3" name="Picture 9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4" name="Picture 9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5" name="Picture 9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6" name="Picture 9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7" name="Picture 9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8" name="Picture 9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29" name="Picture 9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0" name="Picture 9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1" name="Picture 9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2" name="Picture 9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3" name="Picture 9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4" name="Picture 9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5" name="Picture 9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6" name="Picture 9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7" name="Picture 9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8" name="Picture 9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39" name="Picture 9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0" name="Picture 9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1" name="Picture 9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2" name="Picture 9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3" name="Picture 9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4" name="Picture 9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5" name="Picture 9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6" name="Picture 9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7" name="Picture 9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8" name="Picture 10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49" name="Picture 1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0" name="Picture 1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1" name="Picture 10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2" name="Picture 10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3" name="Picture 10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4" name="Picture 10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5" name="Picture 10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6" name="Picture 10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7" name="Picture 10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8" name="Picture 10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59" name="Picture 10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0" name="Picture 10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1" name="Picture 10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2" name="Picture 10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3" name="Picture 10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4" name="Picture 10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5" name="Picture 10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6" name="Picture 10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7" name="Picture 10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8" name="Picture 10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69" name="Picture 10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0" name="Picture 10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1" name="Picture 10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2" name="Picture 10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3" name="Picture 10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4" name="Picture 10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5" name="Picture 10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6" name="Picture 10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7" name="Picture 10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8" name="Picture 10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79" name="Picture 10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0" name="Picture 10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1" name="Picture 10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2" name="Picture 10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3" name="Picture 10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4" name="Picture 10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5" name="Picture 10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6" name="Picture 10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7" name="Picture 10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8" name="Picture 10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89" name="Picture 10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0" name="Picture 10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1" name="Picture 10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2" name="Picture 10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3" name="Picture 10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4" name="Picture 10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5" name="Picture 10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6" name="Picture 10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7" name="Picture 10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8" name="Picture 10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899" name="Picture 10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0" name="Picture 10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1" name="Picture 10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2" name="Picture 10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3" name="Picture 10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4" name="Picture 10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5" name="Picture 10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6" name="Picture 10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7" name="Picture 10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8" name="Picture 10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09" name="Picture 10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0" name="Picture 10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1" name="Picture 10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2" name="Picture 10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3" name="Picture 10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4" name="Picture 10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5" name="Picture 10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6" name="Picture 10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7" name="Picture 10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8" name="Picture 10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19" name="Picture 10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0" name="Picture 10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1" name="Picture 10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2" name="Picture 10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3" name="Picture 10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4" name="Picture 10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5" name="Picture 10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6" name="Picture 10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7" name="Picture 10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8" name="Picture 10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29" name="Picture 10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0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1" name="Picture 10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2" name="Picture 10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3" name="Picture 10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4" name="Picture 10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5" name="Picture 10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6" name="Picture 10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7" name="Picture 10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8" name="Picture 10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39" name="Picture 10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0" name="Picture 10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1" name="Picture 10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2" name="Picture 10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3" name="Picture 10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4" name="Picture 10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5" name="Picture 10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6" name="Picture 10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7" name="Picture 10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8" name="Picture 11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49" name="Picture 11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0" name="Picture 11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1" name="Picture 11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2" name="Picture 11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3" name="Picture 11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4" name="Picture 11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5" name="Picture 11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6" name="Picture 1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7" name="Picture 1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8" name="Picture 11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59" name="Picture 1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0" name="Picture 11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1" name="Picture 1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2" name="Picture 11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3" name="Picture 11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4" name="Picture 11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5" name="Picture 11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6" name="Picture 11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7" name="Picture 11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8" name="Picture 11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69" name="Picture 11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0" name="Picture 11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1" name="Picture 11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2" name="Picture 11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3" name="Picture 11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4" name="Picture 11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5" name="Picture 11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6" name="Picture 11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7" name="Picture 11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8" name="Picture 11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79" name="Picture 11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0" name="Picture 11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1" name="Picture 11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2" name="Picture 11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3" name="Picture 11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4" name="Picture 11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5" name="Picture 11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6" name="Picture 11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7" name="Picture 11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8" name="Picture 11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89" name="Picture 11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0" name="Picture 11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1" name="Picture 11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2" name="Picture 11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3" name="Picture 11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4" name="Picture 11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5" name="Picture 11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6" name="Picture 11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7" name="Picture 11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8" name="Picture 11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7999" name="Picture 11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0" name="Picture 11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1" name="Picture 11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2" name="Picture 11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3" name="Picture 11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4" name="Picture 11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5" name="Picture 11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6" name="Picture 11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7" name="Picture 11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8" name="Picture 11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09" name="Picture 11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0" name="Picture 11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1" name="Picture 11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2" name="Picture 11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3" name="Picture 11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4" name="Picture 11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5" name="Picture 11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6" name="Picture 11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7" name="Picture 11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8" name="Picture 11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19" name="Picture 11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0" name="Picture 11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1" name="Picture 11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2" name="Picture 11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3" name="Picture 11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4" name="Picture 11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5" name="Picture 11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6" name="Picture 11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7" name="Picture 11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8" name="Picture 11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29" name="Picture 11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30" name="Picture 11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720</xdr:row>
      <xdr:rowOff>0</xdr:rowOff>
    </xdr:from>
    <xdr:to>
      <xdr:col>1</xdr:col>
      <xdr:colOff>1943100</xdr:colOff>
      <xdr:row>722</xdr:row>
      <xdr:rowOff>104775</xdr:rowOff>
    </xdr:to>
    <xdr:pic>
      <xdr:nvPicPr>
        <xdr:cNvPr id="858031" name="Picture 11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816725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3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3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3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38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39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0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1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2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3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4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5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6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7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8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49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0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1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2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3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4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5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6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7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8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59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60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61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062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63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64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65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66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67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68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69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70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71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72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73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74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75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076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77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78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79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0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1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2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3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4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5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6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7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8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89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0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1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2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3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4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5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6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7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8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099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0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1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2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3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4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5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6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7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8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09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0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1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2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3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4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5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6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7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8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19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0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1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2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3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4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5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6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7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8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29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0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1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2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3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4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5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6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7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8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39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40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41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42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43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721</xdr:row>
      <xdr:rowOff>0</xdr:rowOff>
    </xdr:from>
    <xdr:to>
      <xdr:col>1</xdr:col>
      <xdr:colOff>1943100</xdr:colOff>
      <xdr:row>723</xdr:row>
      <xdr:rowOff>57150</xdr:rowOff>
    </xdr:to>
    <xdr:pic>
      <xdr:nvPicPr>
        <xdr:cNvPr id="858144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33997700"/>
          <a:ext cx="21907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49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0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1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2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3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4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5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6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7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8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59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0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1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2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3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4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5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6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7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8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69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0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1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2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3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4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5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6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7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8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79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0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1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2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3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4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5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6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7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8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89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0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1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2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3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4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5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6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7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8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199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0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1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2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3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4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5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6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7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8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09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0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1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2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3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4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5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6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7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8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19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0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1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2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3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4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5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6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7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8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29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0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1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2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3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4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5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6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7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8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769</xdr:row>
      <xdr:rowOff>0</xdr:rowOff>
    </xdr:from>
    <xdr:to>
      <xdr:col>1</xdr:col>
      <xdr:colOff>1943100</xdr:colOff>
      <xdr:row>770</xdr:row>
      <xdr:rowOff>152400</xdr:rowOff>
    </xdr:to>
    <xdr:pic>
      <xdr:nvPicPr>
        <xdr:cNvPr id="858239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420653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0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1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2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3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4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5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6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7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8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49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0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1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2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3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4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5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6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7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8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59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0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1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2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3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4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5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6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7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8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69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0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1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2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3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4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5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6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7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8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79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0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1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2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3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4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5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6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7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8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89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0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1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2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3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4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5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6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7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8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299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0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1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2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3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4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5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6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7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8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09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0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1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2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3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4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5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6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7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8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19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0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1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2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3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4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5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6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7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8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29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0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1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2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3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4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5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6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7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8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39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40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41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42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43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1943100</xdr:colOff>
      <xdr:row>818</xdr:row>
      <xdr:rowOff>152400</xdr:rowOff>
    </xdr:to>
    <xdr:pic>
      <xdr:nvPicPr>
        <xdr:cNvPr id="858344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009495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4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4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4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48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49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0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1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2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3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4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5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6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7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8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59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0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1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2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3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4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5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6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7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8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69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70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71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372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73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74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75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76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77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78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79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80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81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82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83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84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85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386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87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88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89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0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1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2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3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4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5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6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7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8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399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0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1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2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3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4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5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6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7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8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09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0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1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2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3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4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5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6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7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8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19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0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1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2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3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4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5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6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7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8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29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0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1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2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3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4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5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6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7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8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39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0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1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2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3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4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5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6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7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8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49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0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1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2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3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4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5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6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7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8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59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60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61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62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63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865</xdr:row>
      <xdr:rowOff>0</xdr:rowOff>
    </xdr:from>
    <xdr:to>
      <xdr:col>1</xdr:col>
      <xdr:colOff>1943100</xdr:colOff>
      <xdr:row>866</xdr:row>
      <xdr:rowOff>152400</xdr:rowOff>
    </xdr:to>
    <xdr:pic>
      <xdr:nvPicPr>
        <xdr:cNvPr id="858464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65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66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67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68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69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0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1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2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3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4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5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6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7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8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79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0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1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2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3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4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5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6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7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8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89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0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1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2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3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4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5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6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7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8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499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0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1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2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3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4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5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6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7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8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09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0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1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2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3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4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5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6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7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8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19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20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21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22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23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24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913</xdr:row>
      <xdr:rowOff>0</xdr:rowOff>
    </xdr:from>
    <xdr:to>
      <xdr:col>1</xdr:col>
      <xdr:colOff>1943100</xdr:colOff>
      <xdr:row>914</xdr:row>
      <xdr:rowOff>152400</xdr:rowOff>
    </xdr:to>
    <xdr:pic>
      <xdr:nvPicPr>
        <xdr:cNvPr id="858525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56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57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58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59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0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1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2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3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4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5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6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7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8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69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0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1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2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3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4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5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6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7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8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79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0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1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2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3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4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5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6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7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8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89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0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1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2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3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4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5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6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7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8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599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0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1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2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3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4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5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6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7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8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09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0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1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2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3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4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5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6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7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8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19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0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1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2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3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4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5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6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7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8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29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0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1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2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3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4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5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6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7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8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39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0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1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2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3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4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5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6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7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8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49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0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1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2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3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4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5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6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7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8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59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961</xdr:row>
      <xdr:rowOff>0</xdr:rowOff>
    </xdr:from>
    <xdr:to>
      <xdr:col>1</xdr:col>
      <xdr:colOff>1943100</xdr:colOff>
      <xdr:row>962</xdr:row>
      <xdr:rowOff>152400</xdr:rowOff>
    </xdr:to>
    <xdr:pic>
      <xdr:nvPicPr>
        <xdr:cNvPr id="858660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0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1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3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4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5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6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7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8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19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0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1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2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3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4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5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6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7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8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29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0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1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2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3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4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5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6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7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8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39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0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1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2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3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4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5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6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7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8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49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0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1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2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3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4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5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6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7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8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59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0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1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2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3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4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5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6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7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8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6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0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1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3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4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6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7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8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79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0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1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2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3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4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5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6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7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8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89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0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1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2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3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4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5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6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7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89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0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1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2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3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4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5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6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7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8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09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0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1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2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3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4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5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6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7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8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19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1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2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3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4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5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6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7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2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0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1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2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3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4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5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6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7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8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39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0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1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2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3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4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5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6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7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8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49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0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1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2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3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4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5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6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7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8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59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0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1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2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3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4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5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6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7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8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69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0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1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2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3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4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5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6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7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8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79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0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1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2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4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5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6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7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8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89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0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1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2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3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4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5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6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7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8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1999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0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1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2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3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5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6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7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8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0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0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1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2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3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4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5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6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7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8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19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0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1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2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3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4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5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6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7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8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29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0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1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2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3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4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5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6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7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8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39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0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1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2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3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4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5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6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7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8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49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0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1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2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3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4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5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6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7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8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59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0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1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2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3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4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5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6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7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8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69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0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1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2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5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6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7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8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79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0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1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2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3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4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5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6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7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8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89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0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2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3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4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5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6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7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8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099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0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1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2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3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4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5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6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7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8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09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0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1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2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3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4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5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6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7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8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19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0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1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2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3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4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5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29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0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1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2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3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4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5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6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7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8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39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0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1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2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3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4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5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6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7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8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49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0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1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2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3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4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5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6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7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8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59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0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1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2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3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4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5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6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7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7418367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8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69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0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1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2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3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4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5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6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7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8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79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0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1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2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3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4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5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6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7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8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89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0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1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2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3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4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5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6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7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8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199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0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1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2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3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4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5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6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7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8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09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0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1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2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3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4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5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6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7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8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19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0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1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2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3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4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5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6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7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8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29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0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1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2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3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4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5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6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7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8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39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0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1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2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3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4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5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58124525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6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7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8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49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0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1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2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3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4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5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6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7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8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59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0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1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2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3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4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5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6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7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8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69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0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1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2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3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4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5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6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7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8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79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0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1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2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3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4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5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6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7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8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89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0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1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2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3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4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5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6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7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8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299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0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1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2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3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4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5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6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7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8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09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0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1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2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3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4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5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6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7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8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19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0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1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2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3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4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5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6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7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8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29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30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31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32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33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34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35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1009</xdr:row>
      <xdr:rowOff>0</xdr:rowOff>
    </xdr:from>
    <xdr:to>
      <xdr:col>1</xdr:col>
      <xdr:colOff>1943100</xdr:colOff>
      <xdr:row>1010</xdr:row>
      <xdr:rowOff>152400</xdr:rowOff>
    </xdr:to>
    <xdr:pic>
      <xdr:nvPicPr>
        <xdr:cNvPr id="2336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66154100"/>
          <a:ext cx="2190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47626</xdr:colOff>
      <xdr:row>1</xdr:row>
      <xdr:rowOff>1</xdr:rowOff>
    </xdr:from>
    <xdr:to>
      <xdr:col>1</xdr:col>
      <xdr:colOff>1419226</xdr:colOff>
      <xdr:row>3</xdr:row>
      <xdr:rowOff>98683</xdr:rowOff>
    </xdr:to>
    <xdr:pic>
      <xdr:nvPicPr>
        <xdr:cNvPr id="2440" name="Image 2439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1" y="161926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145</xdr:row>
      <xdr:rowOff>9525</xdr:rowOff>
    </xdr:from>
    <xdr:to>
      <xdr:col>1</xdr:col>
      <xdr:colOff>1381125</xdr:colOff>
      <xdr:row>147</xdr:row>
      <xdr:rowOff>108207</xdr:rowOff>
    </xdr:to>
    <xdr:pic>
      <xdr:nvPicPr>
        <xdr:cNvPr id="2443" name="Image 2442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277082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193</xdr:row>
      <xdr:rowOff>9525</xdr:rowOff>
    </xdr:from>
    <xdr:to>
      <xdr:col>1</xdr:col>
      <xdr:colOff>1400175</xdr:colOff>
      <xdr:row>195</xdr:row>
      <xdr:rowOff>108207</xdr:rowOff>
    </xdr:to>
    <xdr:pic>
      <xdr:nvPicPr>
        <xdr:cNvPr id="2444" name="Image 2443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36804600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241</xdr:row>
      <xdr:rowOff>19050</xdr:rowOff>
    </xdr:from>
    <xdr:to>
      <xdr:col>1</xdr:col>
      <xdr:colOff>1381125</xdr:colOff>
      <xdr:row>243</xdr:row>
      <xdr:rowOff>117732</xdr:rowOff>
    </xdr:to>
    <xdr:pic>
      <xdr:nvPicPr>
        <xdr:cNvPr id="2445" name="Image 2444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458438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289</xdr:row>
      <xdr:rowOff>0</xdr:rowOff>
    </xdr:from>
    <xdr:to>
      <xdr:col>1</xdr:col>
      <xdr:colOff>1428750</xdr:colOff>
      <xdr:row>291</xdr:row>
      <xdr:rowOff>98682</xdr:rowOff>
    </xdr:to>
    <xdr:pic>
      <xdr:nvPicPr>
        <xdr:cNvPr id="2446" name="Image 2445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549878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337</xdr:row>
      <xdr:rowOff>19050</xdr:rowOff>
    </xdr:from>
    <xdr:to>
      <xdr:col>1</xdr:col>
      <xdr:colOff>1400175</xdr:colOff>
      <xdr:row>339</xdr:row>
      <xdr:rowOff>117732</xdr:rowOff>
    </xdr:to>
    <xdr:pic>
      <xdr:nvPicPr>
        <xdr:cNvPr id="2447" name="Image 2446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641699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385</xdr:row>
      <xdr:rowOff>0</xdr:rowOff>
    </xdr:from>
    <xdr:to>
      <xdr:col>1</xdr:col>
      <xdr:colOff>1438275</xdr:colOff>
      <xdr:row>387</xdr:row>
      <xdr:rowOff>98682</xdr:rowOff>
    </xdr:to>
    <xdr:pic>
      <xdr:nvPicPr>
        <xdr:cNvPr id="2448" name="Image 2447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3850" y="7344727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433</xdr:row>
      <xdr:rowOff>0</xdr:rowOff>
    </xdr:from>
    <xdr:to>
      <xdr:col>1</xdr:col>
      <xdr:colOff>1400175</xdr:colOff>
      <xdr:row>435</xdr:row>
      <xdr:rowOff>98682</xdr:rowOff>
    </xdr:to>
    <xdr:pic>
      <xdr:nvPicPr>
        <xdr:cNvPr id="2449" name="Image 2448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826103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481</xdr:row>
      <xdr:rowOff>9525</xdr:rowOff>
    </xdr:from>
    <xdr:to>
      <xdr:col>1</xdr:col>
      <xdr:colOff>1409700</xdr:colOff>
      <xdr:row>483</xdr:row>
      <xdr:rowOff>174882</xdr:rowOff>
    </xdr:to>
    <xdr:pic>
      <xdr:nvPicPr>
        <xdr:cNvPr id="2450" name="Image 2449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91782900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529</xdr:row>
      <xdr:rowOff>28575</xdr:rowOff>
    </xdr:from>
    <xdr:to>
      <xdr:col>1</xdr:col>
      <xdr:colOff>1381125</xdr:colOff>
      <xdr:row>531</xdr:row>
      <xdr:rowOff>193932</xdr:rowOff>
    </xdr:to>
    <xdr:pic>
      <xdr:nvPicPr>
        <xdr:cNvPr id="2451" name="Image 2450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1008983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577</xdr:row>
      <xdr:rowOff>0</xdr:rowOff>
    </xdr:from>
    <xdr:to>
      <xdr:col>1</xdr:col>
      <xdr:colOff>1390650</xdr:colOff>
      <xdr:row>579</xdr:row>
      <xdr:rowOff>98682</xdr:rowOff>
    </xdr:to>
    <xdr:pic>
      <xdr:nvPicPr>
        <xdr:cNvPr id="2452" name="Image 2451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1099661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625</xdr:row>
      <xdr:rowOff>57150</xdr:rowOff>
    </xdr:from>
    <xdr:to>
      <xdr:col>1</xdr:col>
      <xdr:colOff>1390650</xdr:colOff>
      <xdr:row>627</xdr:row>
      <xdr:rowOff>155832</xdr:rowOff>
    </xdr:to>
    <xdr:pic>
      <xdr:nvPicPr>
        <xdr:cNvPr id="2453" name="Image 2452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1191863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673</xdr:row>
      <xdr:rowOff>38100</xdr:rowOff>
    </xdr:from>
    <xdr:to>
      <xdr:col>1</xdr:col>
      <xdr:colOff>1400175</xdr:colOff>
      <xdr:row>675</xdr:row>
      <xdr:rowOff>136782</xdr:rowOff>
    </xdr:to>
    <xdr:pic>
      <xdr:nvPicPr>
        <xdr:cNvPr id="2454" name="Image 2453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28263650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769</xdr:row>
      <xdr:rowOff>9525</xdr:rowOff>
    </xdr:from>
    <xdr:to>
      <xdr:col>1</xdr:col>
      <xdr:colOff>1428750</xdr:colOff>
      <xdr:row>771</xdr:row>
      <xdr:rowOff>108207</xdr:rowOff>
    </xdr:to>
    <xdr:pic>
      <xdr:nvPicPr>
        <xdr:cNvPr id="2455" name="Image 2454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14568487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817</xdr:row>
      <xdr:rowOff>0</xdr:rowOff>
    </xdr:from>
    <xdr:to>
      <xdr:col>1</xdr:col>
      <xdr:colOff>1123950</xdr:colOff>
      <xdr:row>819</xdr:row>
      <xdr:rowOff>98682</xdr:rowOff>
    </xdr:to>
    <xdr:pic>
      <xdr:nvPicPr>
        <xdr:cNvPr id="2456" name="Image 2455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150094950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865</xdr:row>
      <xdr:rowOff>28575</xdr:rowOff>
    </xdr:from>
    <xdr:to>
      <xdr:col>1</xdr:col>
      <xdr:colOff>1352550</xdr:colOff>
      <xdr:row>867</xdr:row>
      <xdr:rowOff>127257</xdr:rowOff>
    </xdr:to>
    <xdr:pic>
      <xdr:nvPicPr>
        <xdr:cNvPr id="2457" name="Image 2456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16242982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913</xdr:row>
      <xdr:rowOff>28575</xdr:rowOff>
    </xdr:from>
    <xdr:to>
      <xdr:col>1</xdr:col>
      <xdr:colOff>1390650</xdr:colOff>
      <xdr:row>915</xdr:row>
      <xdr:rowOff>127257</xdr:rowOff>
    </xdr:to>
    <xdr:pic>
      <xdr:nvPicPr>
        <xdr:cNvPr id="2458" name="Image 2457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170792775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961</xdr:row>
      <xdr:rowOff>57150</xdr:rowOff>
    </xdr:from>
    <xdr:to>
      <xdr:col>1</xdr:col>
      <xdr:colOff>1400175</xdr:colOff>
      <xdr:row>963</xdr:row>
      <xdr:rowOff>155832</xdr:rowOff>
    </xdr:to>
    <xdr:pic>
      <xdr:nvPicPr>
        <xdr:cNvPr id="2459" name="Image 2458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79184300"/>
          <a:ext cx="1371600" cy="5558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1269124</xdr:colOff>
      <xdr:row>99</xdr:row>
      <xdr:rowOff>57150</xdr:rowOff>
    </xdr:to>
    <xdr:pic>
      <xdr:nvPicPr>
        <xdr:cNvPr id="233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57175" y="18402300"/>
          <a:ext cx="1269124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28575</xdr:colOff>
      <xdr:row>720</xdr:row>
      <xdr:rowOff>152400</xdr:rowOff>
    </xdr:from>
    <xdr:to>
      <xdr:col>1</xdr:col>
      <xdr:colOff>1400175</xdr:colOff>
      <xdr:row>723</xdr:row>
      <xdr:rowOff>70107</xdr:rowOff>
    </xdr:to>
    <xdr:pic>
      <xdr:nvPicPr>
        <xdr:cNvPr id="2338" name="Image 2337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37245725"/>
          <a:ext cx="1371600" cy="5558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149086</xdr:colOff>
      <xdr:row>0</xdr:row>
      <xdr:rowOff>0</xdr:rowOff>
    </xdr:from>
    <xdr:to>
      <xdr:col>16</xdr:col>
      <xdr:colOff>69573</xdr:colOff>
      <xdr:row>6</xdr:row>
      <xdr:rowOff>29903</xdr:rowOff>
    </xdr:to>
    <xdr:pic>
      <xdr:nvPicPr>
        <xdr:cNvPr id="3" name="Image 2" descr="RSEQ-Badminton-CMYK-HR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15847" y="0"/>
          <a:ext cx="2526196" cy="1023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8"/>
  <sheetViews>
    <sheetView zoomScale="85" zoomScaleNormal="85" zoomScaleSheetLayoutView="100" workbookViewId="0">
      <selection activeCell="B941" sqref="B941"/>
    </sheetView>
  </sheetViews>
  <sheetFormatPr baseColWidth="10" defaultRowHeight="12.75" x14ac:dyDescent="0.2"/>
  <cols>
    <col min="1" max="1" width="3.85546875" style="22" customWidth="1"/>
    <col min="2" max="2" width="38.140625" style="22" customWidth="1"/>
    <col min="3" max="3" width="2.7109375" style="22" customWidth="1"/>
    <col min="4" max="4" width="3.7109375" style="6" customWidth="1"/>
    <col min="5" max="5" width="1.7109375" style="22" customWidth="1"/>
    <col min="6" max="6" width="6.7109375" style="23" customWidth="1"/>
    <col min="7" max="7" width="1.7109375" style="23" customWidth="1"/>
    <col min="8" max="8" width="6.7109375" style="23" customWidth="1"/>
    <col min="9" max="9" width="1.7109375" style="23" customWidth="1"/>
    <col min="10" max="10" width="6.7109375" style="23" customWidth="1"/>
    <col min="11" max="11" width="1.7109375" style="22" customWidth="1"/>
    <col min="12" max="12" width="4" style="22" customWidth="1"/>
    <col min="13" max="13" width="37.140625" style="22" bestFit="1" customWidth="1"/>
    <col min="14" max="14" width="2.85546875" style="22" customWidth="1"/>
    <col min="15" max="15" width="3.7109375" style="6" customWidth="1"/>
    <col min="16" max="16" width="4.7109375" style="22" customWidth="1"/>
    <col min="17" max="17" width="41.85546875" style="22" bestFit="1" customWidth="1"/>
    <col min="18" max="18" width="5" style="22" customWidth="1"/>
    <col min="19" max="19" width="42.42578125" style="22" bestFit="1" customWidth="1"/>
    <col min="20" max="20" width="4.7109375" style="22" customWidth="1"/>
    <col min="21" max="21" width="23.42578125" style="22" customWidth="1"/>
    <col min="22" max="22" width="10.7109375" style="22" customWidth="1"/>
    <col min="23" max="23" width="5.28515625" style="22" customWidth="1"/>
    <col min="24" max="24" width="4.7109375" style="22" customWidth="1"/>
    <col min="25" max="25" width="20.7109375" style="22" customWidth="1"/>
    <col min="26" max="26" width="10.7109375" style="22" customWidth="1"/>
    <col min="27" max="27" width="3.85546875" style="22" customWidth="1"/>
    <col min="28" max="28" width="4.7109375" style="22" customWidth="1"/>
    <col min="29" max="29" width="20.7109375" style="22" customWidth="1"/>
    <col min="30" max="30" width="10.7109375" style="22" customWidth="1"/>
    <col min="31" max="31" width="4" style="22" customWidth="1"/>
    <col min="32" max="32" width="4.7109375" style="22" customWidth="1"/>
    <col min="33" max="33" width="20.7109375" style="22" customWidth="1"/>
    <col min="34" max="34" width="10.7109375" style="22" customWidth="1"/>
    <col min="35" max="35" width="4.28515625" style="22" customWidth="1"/>
    <col min="36" max="36" width="4.7109375" style="22" customWidth="1"/>
    <col min="37" max="37" width="20.7109375" style="22" customWidth="1"/>
    <col min="38" max="38" width="10.7109375" style="22" customWidth="1"/>
    <col min="39" max="39" width="5" style="22" customWidth="1"/>
    <col min="40" max="40" width="4.7109375" style="22" customWidth="1"/>
    <col min="41" max="41" width="20.7109375" style="22" customWidth="1"/>
    <col min="42" max="42" width="10.7109375" style="22" customWidth="1"/>
    <col min="43" max="44" width="4.7109375" style="22" customWidth="1"/>
    <col min="45" max="45" width="20.7109375" style="22" customWidth="1"/>
    <col min="46" max="46" width="10.7109375" style="22" customWidth="1"/>
    <col min="47" max="47" width="4" style="22" customWidth="1"/>
    <col min="48" max="48" width="4.7109375" style="22" customWidth="1"/>
    <col min="49" max="49" width="20.7109375" style="22" customWidth="1"/>
    <col min="50" max="50" width="10.7109375" style="22" customWidth="1"/>
    <col min="51" max="16384" width="11.42578125" style="22"/>
  </cols>
  <sheetData>
    <row r="1" spans="1:50" x14ac:dyDescent="0.2">
      <c r="T1" s="123"/>
      <c r="U1" s="121"/>
      <c r="V1" s="10"/>
      <c r="W1" s="10"/>
      <c r="X1" s="123"/>
      <c r="Y1" s="121"/>
      <c r="Z1" s="10"/>
      <c r="AA1" s="10"/>
      <c r="AB1" s="121"/>
      <c r="AC1" s="121"/>
      <c r="AD1" s="10"/>
      <c r="AE1" s="10"/>
      <c r="AF1" s="121"/>
      <c r="AG1" s="121"/>
      <c r="AH1" s="10"/>
      <c r="AI1" s="10"/>
      <c r="AJ1" s="121"/>
      <c r="AK1" s="121"/>
      <c r="AL1" s="10"/>
      <c r="AM1" s="10"/>
      <c r="AN1" s="121"/>
      <c r="AO1" s="121"/>
      <c r="AP1" s="10"/>
      <c r="AQ1" s="10"/>
      <c r="AR1" s="121"/>
      <c r="AS1" s="121"/>
      <c r="AT1" s="10"/>
      <c r="AU1" s="10"/>
      <c r="AV1" s="121"/>
      <c r="AW1" s="121"/>
      <c r="AX1" s="10"/>
    </row>
    <row r="2" spans="1:50" ht="18" x14ac:dyDescent="0.25">
      <c r="I2" s="26"/>
      <c r="J2" s="26"/>
      <c r="K2" s="120" t="s">
        <v>7</v>
      </c>
      <c r="L2" s="120"/>
      <c r="M2" s="120"/>
      <c r="N2" s="120"/>
      <c r="O2" s="12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ht="18" x14ac:dyDescent="0.25">
      <c r="I3" s="26"/>
      <c r="J3" s="26"/>
      <c r="K3" s="115" t="s">
        <v>6</v>
      </c>
      <c r="L3" s="115"/>
      <c r="M3" s="115"/>
      <c r="N3" s="115"/>
      <c r="O3" s="115"/>
      <c r="T3" s="10"/>
      <c r="U3" s="81" t="s">
        <v>125</v>
      </c>
      <c r="V3" s="27"/>
      <c r="W3" s="10"/>
      <c r="X3" s="10"/>
      <c r="Y3" s="122"/>
      <c r="Z3" s="122"/>
      <c r="AA3" s="10"/>
      <c r="AB3" s="10"/>
      <c r="AC3" s="122"/>
      <c r="AD3" s="122"/>
      <c r="AE3" s="10"/>
      <c r="AF3" s="10"/>
      <c r="AG3" s="122"/>
      <c r="AH3" s="122"/>
      <c r="AI3" s="10"/>
      <c r="AJ3" s="10"/>
      <c r="AK3" s="122"/>
      <c r="AL3" s="122"/>
      <c r="AM3" s="10"/>
      <c r="AN3" s="10"/>
      <c r="AO3" s="122"/>
      <c r="AP3" s="122"/>
      <c r="AQ3" s="10"/>
      <c r="AR3" s="10"/>
      <c r="AS3" s="122"/>
      <c r="AT3" s="122"/>
      <c r="AU3" s="10"/>
      <c r="AV3" s="10"/>
      <c r="AW3" s="122"/>
      <c r="AX3" s="122"/>
    </row>
    <row r="4" spans="1:50" ht="18" x14ac:dyDescent="0.25">
      <c r="K4" s="115"/>
      <c r="L4" s="115"/>
      <c r="M4" s="115"/>
      <c r="N4" s="115"/>
      <c r="O4" s="115"/>
      <c r="S4" s="24"/>
      <c r="T4" s="10"/>
      <c r="U4" s="10" t="s">
        <v>126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22"/>
      <c r="AL4" s="122"/>
      <c r="AM4" s="10"/>
      <c r="AN4" s="10"/>
      <c r="AO4" s="122"/>
      <c r="AP4" s="122"/>
      <c r="AQ4" s="10"/>
      <c r="AR4" s="10"/>
      <c r="AS4" s="122"/>
      <c r="AT4" s="122"/>
      <c r="AU4" s="10"/>
      <c r="AV4" s="10"/>
      <c r="AW4" s="122"/>
      <c r="AX4" s="122"/>
    </row>
    <row r="5" spans="1:50" x14ac:dyDescent="0.2">
      <c r="A5" s="28" t="s">
        <v>160</v>
      </c>
      <c r="B5" s="29"/>
      <c r="C5" s="113" t="s">
        <v>161</v>
      </c>
      <c r="D5" s="116"/>
      <c r="E5" s="116"/>
      <c r="F5" s="116"/>
      <c r="G5" s="116"/>
      <c r="H5" s="116"/>
      <c r="I5" s="116"/>
      <c r="J5" s="116"/>
      <c r="K5" s="116"/>
      <c r="L5" s="11"/>
      <c r="M5" s="31" t="s">
        <v>162</v>
      </c>
      <c r="N5" s="11"/>
      <c r="O5" s="5"/>
      <c r="Q5" s="22" t="str">
        <f>joueurs!C3</f>
        <v>BEA SYLVAIN LALIBERTÉ 1</v>
      </c>
      <c r="S5" s="10" t="str">
        <f>joueurs!H3</f>
        <v>BEA JOSIANE LANGLOIS  1</v>
      </c>
      <c r="T5" s="10"/>
      <c r="U5" s="10" t="s">
        <v>34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">
      <c r="B6" s="32"/>
      <c r="C6" s="10"/>
      <c r="E6" s="10"/>
      <c r="F6" s="33"/>
      <c r="G6" s="33"/>
      <c r="H6" s="33"/>
      <c r="I6" s="33"/>
      <c r="J6" s="34"/>
      <c r="K6" s="35"/>
      <c r="L6" s="10"/>
      <c r="M6" s="10"/>
      <c r="Q6" s="15" t="str">
        <f>joueurs!C4</f>
        <v>BEA ALEXANDRE POULIN 2</v>
      </c>
      <c r="S6" s="10" t="str">
        <f>joueurs!H4</f>
        <v>BEA ALEX LECLERC 2</v>
      </c>
      <c r="T6" s="10"/>
      <c r="U6" s="81" t="s">
        <v>32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ht="15" x14ac:dyDescent="0.25">
      <c r="A7" s="117" t="s">
        <v>10</v>
      </c>
      <c r="B7" s="116"/>
      <c r="C7" s="116"/>
      <c r="D7" s="116"/>
      <c r="E7" s="10"/>
      <c r="F7" s="36" t="s">
        <v>12</v>
      </c>
      <c r="G7" s="36"/>
      <c r="H7" s="36"/>
      <c r="I7" s="114" t="s">
        <v>13</v>
      </c>
      <c r="J7" s="118"/>
      <c r="K7" s="6"/>
      <c r="L7" s="117" t="s">
        <v>11</v>
      </c>
      <c r="M7" s="117"/>
      <c r="N7" s="117"/>
      <c r="O7" s="117"/>
      <c r="Q7" s="22" t="str">
        <f>joueurs!C5</f>
        <v>BEA ALEX DUCLOS 3</v>
      </c>
      <c r="S7" s="10">
        <f>joueurs!H5</f>
        <v>0</v>
      </c>
      <c r="T7" s="10"/>
      <c r="U7" s="10" t="s">
        <v>33</v>
      </c>
      <c r="V7" s="27"/>
      <c r="W7" s="10"/>
      <c r="X7" s="10"/>
      <c r="Y7" s="122"/>
      <c r="Z7" s="122"/>
      <c r="AA7" s="10"/>
      <c r="AB7" s="10"/>
      <c r="AC7" s="122"/>
      <c r="AD7" s="122"/>
      <c r="AE7" s="10"/>
      <c r="AF7" s="10"/>
      <c r="AG7" s="122"/>
      <c r="AH7" s="122"/>
      <c r="AI7" s="10"/>
      <c r="AJ7" s="10"/>
      <c r="AK7" s="122"/>
      <c r="AL7" s="122"/>
      <c r="AM7" s="10"/>
      <c r="AN7" s="10"/>
      <c r="AO7" s="122"/>
      <c r="AP7" s="122"/>
      <c r="AQ7" s="10"/>
      <c r="AR7" s="10"/>
      <c r="AS7" s="122"/>
      <c r="AT7" s="122"/>
      <c r="AU7" s="10"/>
      <c r="AV7" s="10"/>
      <c r="AW7" s="122"/>
      <c r="AX7" s="122"/>
    </row>
    <row r="8" spans="1:50" ht="18" customHeight="1" x14ac:dyDescent="0.25">
      <c r="A8" s="110" t="s">
        <v>125</v>
      </c>
      <c r="B8" s="111"/>
      <c r="C8" s="111"/>
      <c r="D8" s="111"/>
      <c r="E8" s="10"/>
      <c r="F8" s="73" t="s">
        <v>45</v>
      </c>
      <c r="G8" s="36"/>
      <c r="H8" s="36"/>
      <c r="I8" s="112" t="s">
        <v>28</v>
      </c>
      <c r="J8" s="111"/>
      <c r="K8" s="25"/>
      <c r="L8" s="110" t="s">
        <v>44</v>
      </c>
      <c r="M8" s="111"/>
      <c r="N8" s="111"/>
      <c r="O8" s="111"/>
      <c r="Q8" s="22" t="str">
        <f>joueurs!C6</f>
        <v>BEA CALVIN CHEN 4</v>
      </c>
      <c r="S8" s="10" t="str">
        <f>joueurs!H6</f>
        <v>BEA MARIE-ÈVE MATHIEU 4</v>
      </c>
      <c r="T8" s="10"/>
      <c r="U8" s="10" t="s">
        <v>43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22"/>
      <c r="AL8" s="122"/>
      <c r="AM8" s="10"/>
      <c r="AN8" s="10"/>
      <c r="AO8" s="122"/>
      <c r="AP8" s="122"/>
      <c r="AQ8" s="10"/>
      <c r="AR8" s="10"/>
      <c r="AS8" s="122"/>
      <c r="AT8" s="122"/>
      <c r="AU8" s="10"/>
      <c r="AV8" s="10"/>
      <c r="AW8" s="122"/>
      <c r="AX8" s="122"/>
    </row>
    <row r="9" spans="1:50" x14ac:dyDescent="0.2">
      <c r="Q9" s="22" t="str">
        <f>joueurs!C7</f>
        <v>BEA ROMAIN LEMIEUX 5</v>
      </c>
      <c r="S9" s="10" t="str">
        <f>joueurs!H7</f>
        <v>BEAU LANY FORTIN 5</v>
      </c>
      <c r="T9" s="10"/>
      <c r="U9" s="10" t="s">
        <v>44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ht="13.5" customHeight="1" x14ac:dyDescent="0.2">
      <c r="A10" s="113"/>
      <c r="B10" s="113"/>
      <c r="D10" s="106" t="s">
        <v>21</v>
      </c>
      <c r="E10" s="107"/>
      <c r="F10" s="107"/>
      <c r="G10" s="107"/>
      <c r="H10" s="107"/>
      <c r="I10" s="107"/>
      <c r="J10" s="107"/>
      <c r="K10" s="107"/>
      <c r="L10" s="107"/>
      <c r="Q10" s="22" t="str">
        <f>joueurs!C8</f>
        <v>BEA PIER-ALEXANDRE BOUCHER 6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ht="12.75" customHeight="1" x14ac:dyDescent="0.2"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">
      <c r="A12" s="28" t="s">
        <v>0</v>
      </c>
      <c r="B12" s="7" t="s">
        <v>1</v>
      </c>
      <c r="C12" s="28"/>
      <c r="D12" s="7" t="s">
        <v>2</v>
      </c>
      <c r="E12" s="28"/>
      <c r="F12" s="114" t="s">
        <v>3</v>
      </c>
      <c r="G12" s="114"/>
      <c r="H12" s="114"/>
      <c r="I12" s="114"/>
      <c r="J12" s="114"/>
      <c r="K12" s="28"/>
      <c r="L12" s="28" t="s">
        <v>0</v>
      </c>
      <c r="M12" s="7" t="s">
        <v>1</v>
      </c>
      <c r="N12" s="28"/>
      <c r="O12" s="7" t="s">
        <v>2</v>
      </c>
      <c r="Q12" s="22" t="str">
        <f>joueurs!C10</f>
        <v>CLL WILLIAM BROUARD  1</v>
      </c>
      <c r="S12" s="22" t="str">
        <f>joueurs!H10</f>
        <v>CLL MARILOU HAMEL  1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ht="18" customHeight="1" x14ac:dyDescent="0.2">
      <c r="A13" s="7">
        <v>1</v>
      </c>
      <c r="B13" s="11" t="s">
        <v>92</v>
      </c>
      <c r="C13" s="51"/>
      <c r="D13" s="5">
        <v>5</v>
      </c>
      <c r="F13" s="37" t="s">
        <v>170</v>
      </c>
      <c r="G13" s="38"/>
      <c r="H13" s="37" t="s">
        <v>171</v>
      </c>
      <c r="I13" s="38"/>
      <c r="J13" s="37"/>
      <c r="L13" s="7"/>
      <c r="M13" s="11" t="s">
        <v>57</v>
      </c>
      <c r="O13" s="5">
        <v>12</v>
      </c>
      <c r="Q13" s="22" t="str">
        <f>joueurs!C11</f>
        <v>CLL PASCAL BOURGAULT 2</v>
      </c>
      <c r="S13" s="22" t="str">
        <f>joueurs!H11</f>
        <v>CLL VALÉRIE DESRUISSEAUX  2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ht="18" customHeight="1" x14ac:dyDescent="0.2">
      <c r="A14" s="7"/>
      <c r="C14" s="51"/>
      <c r="D14" s="78"/>
      <c r="F14" s="82"/>
      <c r="G14" s="56"/>
      <c r="H14" s="82"/>
      <c r="I14" s="56"/>
      <c r="J14" s="82"/>
      <c r="L14" s="7"/>
      <c r="M14" s="10"/>
      <c r="O14" s="78"/>
      <c r="Q14" s="22" t="str">
        <f>joueurs!C12</f>
        <v>CLL SAMUEL GUAY 3</v>
      </c>
      <c r="S14" s="22" t="str">
        <f>joueurs!H12</f>
        <v>CLL AUDREY GAGNÉ 3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ht="18" customHeight="1" x14ac:dyDescent="0.2">
      <c r="A15" s="7"/>
      <c r="C15" s="51"/>
      <c r="D15" s="4"/>
      <c r="F15" s="56"/>
      <c r="G15" s="56"/>
      <c r="H15" s="56"/>
      <c r="I15" s="56"/>
      <c r="J15" s="56"/>
      <c r="L15" s="7"/>
      <c r="M15" s="10"/>
      <c r="O15" s="4"/>
      <c r="Q15" s="22" t="str">
        <f>joueurs!C13</f>
        <v>CLL ALEXANDRE HAMEL 4</v>
      </c>
      <c r="S15" s="22" t="str">
        <f>joueurs!H13</f>
        <v>CLL CHLOÉ BRETON 4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">
      <c r="D16" s="4"/>
      <c r="F16" s="39"/>
      <c r="G16" s="39"/>
      <c r="H16" s="39"/>
      <c r="I16" s="39"/>
      <c r="J16" s="39"/>
      <c r="M16" s="10"/>
      <c r="O16" s="4"/>
      <c r="Q16" s="22" t="str">
        <f>joueurs!C14</f>
        <v>CLL MAXIME GAUDET 5</v>
      </c>
      <c r="S16" s="22" t="str">
        <f>joueurs!H14</f>
        <v>CLL JULIE MÉTHOT 5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">
      <c r="A17" s="17"/>
      <c r="D17" s="106" t="s">
        <v>22</v>
      </c>
      <c r="E17" s="107"/>
      <c r="F17" s="107"/>
      <c r="G17" s="107"/>
      <c r="H17" s="107"/>
      <c r="I17" s="107"/>
      <c r="J17" s="107"/>
      <c r="K17" s="107"/>
      <c r="L17" s="107"/>
      <c r="Q17" s="22" t="str">
        <f>joueurs!C15</f>
        <v>CLL OLIVIER BARRETTE 6</v>
      </c>
      <c r="S17" s="22" t="str">
        <f>joueurs!H15</f>
        <v>CLL CATHERINE GUIMONT 6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">
      <c r="F18" s="40"/>
      <c r="G18" s="40"/>
      <c r="H18" s="40"/>
      <c r="I18" s="40"/>
      <c r="J18" s="40"/>
      <c r="Q18" s="22" t="str">
        <f>joueurs!C16</f>
        <v>CLL ESTÉBAN JOMPHE 7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ht="18" customHeight="1" x14ac:dyDescent="0.2">
      <c r="A19" s="7">
        <v>1</v>
      </c>
      <c r="B19" s="11" t="s">
        <v>94</v>
      </c>
      <c r="D19" s="5">
        <v>10</v>
      </c>
      <c r="E19" s="41"/>
      <c r="F19" s="37" t="s">
        <v>177</v>
      </c>
      <c r="G19" s="38"/>
      <c r="H19" s="37" t="s">
        <v>178</v>
      </c>
      <c r="I19" s="38"/>
      <c r="J19" s="37" t="s">
        <v>179</v>
      </c>
      <c r="K19" s="41"/>
      <c r="L19" s="7"/>
      <c r="M19" s="11" t="s">
        <v>60</v>
      </c>
      <c r="O19" s="5">
        <v>12</v>
      </c>
      <c r="Q19" s="22">
        <f>joueurs!C17</f>
        <v>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ht="18" customHeight="1" x14ac:dyDescent="0.2">
      <c r="D20" s="4"/>
      <c r="F20" s="39"/>
      <c r="G20" s="39"/>
      <c r="H20" s="39"/>
      <c r="I20" s="39"/>
      <c r="J20" s="39"/>
      <c r="M20" s="10"/>
      <c r="O20" s="4"/>
      <c r="Q20" s="22" t="str">
        <f>joueurs!C18</f>
        <v>CLL SAMUEL BEAULIEU 9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">
      <c r="A21" s="17"/>
      <c r="D21" s="106" t="s">
        <v>23</v>
      </c>
      <c r="E21" s="107"/>
      <c r="F21" s="107"/>
      <c r="G21" s="107"/>
      <c r="H21" s="107"/>
      <c r="I21" s="107"/>
      <c r="J21" s="107"/>
      <c r="K21" s="107"/>
      <c r="L21" s="107"/>
      <c r="Q21" s="22" t="str">
        <f>joueurs!C19</f>
        <v>CLL ANTHONY CAREY 10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">
      <c r="F22" s="40"/>
      <c r="G22" s="40"/>
      <c r="H22" s="40"/>
      <c r="I22" s="40"/>
      <c r="J22" s="40"/>
      <c r="Q22" s="22" t="str">
        <f>joueurs!C20</f>
        <v>CLL ÉTIENNE THIBAULT 11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ht="18" customHeight="1" x14ac:dyDescent="0.2">
      <c r="A23" s="7">
        <v>1</v>
      </c>
      <c r="B23" s="11" t="s">
        <v>95</v>
      </c>
      <c r="D23" s="5">
        <v>12</v>
      </c>
      <c r="F23" s="37" t="s">
        <v>172</v>
      </c>
      <c r="G23" s="38"/>
      <c r="H23" s="37" t="s">
        <v>173</v>
      </c>
      <c r="I23" s="38"/>
      <c r="J23" s="37"/>
      <c r="L23" s="7"/>
      <c r="M23" s="11" t="s">
        <v>132</v>
      </c>
      <c r="O23" s="5">
        <v>4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ht="18" customHeight="1" x14ac:dyDescent="0.2">
      <c r="B24" s="11" t="s">
        <v>146</v>
      </c>
      <c r="F24" s="40"/>
      <c r="G24" s="40"/>
      <c r="H24" s="40"/>
      <c r="I24" s="40"/>
      <c r="J24" s="40"/>
      <c r="M24" s="11" t="s">
        <v>62</v>
      </c>
      <c r="Q24" s="22">
        <f>joueurs!C22</f>
        <v>0</v>
      </c>
      <c r="S24" s="10">
        <f>joueurs!H22</f>
        <v>0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ht="18" customHeight="1" x14ac:dyDescent="0.2">
      <c r="F25" s="40"/>
      <c r="G25" s="40"/>
      <c r="H25" s="40"/>
      <c r="I25" s="40"/>
      <c r="J25" s="40"/>
      <c r="M25" s="10"/>
      <c r="Q25" s="22" t="str">
        <f>joueurs!C23</f>
        <v>CSF SIMON JEAN-PINEAULT  2</v>
      </c>
      <c r="S25" s="10" t="str">
        <f>joueurs!H23</f>
        <v>CSF VIRGINIE SAVARD 2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">
      <c r="A26" s="17"/>
      <c r="B26" s="17"/>
      <c r="D26" s="106" t="s">
        <v>24</v>
      </c>
      <c r="E26" s="107"/>
      <c r="F26" s="107"/>
      <c r="G26" s="107"/>
      <c r="H26" s="107"/>
      <c r="I26" s="107"/>
      <c r="J26" s="107"/>
      <c r="K26" s="107"/>
      <c r="L26" s="107"/>
      <c r="Q26" s="22" t="str">
        <f>joueurs!C24</f>
        <v>CSF ALEXANDRE MAZIADE 3</v>
      </c>
      <c r="S26" s="10">
        <f>joueurs!H24</f>
        <v>0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">
      <c r="F27" s="40"/>
      <c r="G27" s="40"/>
      <c r="H27" s="40"/>
      <c r="I27" s="40"/>
      <c r="J27" s="40"/>
      <c r="Q27" s="22" t="str">
        <f>joueurs!C25</f>
        <v>CSF MARC-ANTOINE GENEST 4</v>
      </c>
      <c r="S27" s="10" t="str">
        <f>joueurs!H25</f>
        <v>CSF CATHERINE SAVARD 4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ht="18" customHeight="1" x14ac:dyDescent="0.2">
      <c r="A28" s="7">
        <v>1</v>
      </c>
      <c r="B28" s="11" t="s">
        <v>142</v>
      </c>
      <c r="D28" s="5">
        <v>12</v>
      </c>
      <c r="F28" s="37" t="s">
        <v>183</v>
      </c>
      <c r="G28" s="38"/>
      <c r="H28" s="37" t="s">
        <v>184</v>
      </c>
      <c r="I28" s="38"/>
      <c r="J28" s="37" t="s">
        <v>185</v>
      </c>
      <c r="L28" s="7"/>
      <c r="M28" s="11" t="s">
        <v>58</v>
      </c>
      <c r="O28" s="5">
        <v>10</v>
      </c>
      <c r="Q28" s="22" t="str">
        <f>joueurs!C26</f>
        <v>CSF MATHIEU GENEST 5</v>
      </c>
      <c r="S28" s="10" t="str">
        <f>joueurs!H26</f>
        <v>CSF STÉPHANIE BELISLE 5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ht="18" customHeight="1" x14ac:dyDescent="0.2">
      <c r="A29" s="7"/>
      <c r="B29" s="11" t="s">
        <v>93</v>
      </c>
      <c r="F29" s="42"/>
      <c r="G29" s="42"/>
      <c r="H29" s="42"/>
      <c r="I29" s="42"/>
      <c r="J29" s="42"/>
      <c r="L29" s="7"/>
      <c r="M29" s="11" t="s">
        <v>130</v>
      </c>
      <c r="Q29" s="22" t="str">
        <f>joueurs!C27</f>
        <v>CSF WILLIAM BARRY 6</v>
      </c>
      <c r="S29" s="10" t="str">
        <f>joueurs!H27</f>
        <v>CSF CHRISTINE MALTAIS 6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ht="18" customHeight="1" x14ac:dyDescent="0.2">
      <c r="A30" s="17"/>
      <c r="C30" s="10"/>
      <c r="D30" s="4"/>
      <c r="E30" s="10"/>
      <c r="F30" s="56"/>
      <c r="G30" s="56"/>
      <c r="H30" s="56"/>
      <c r="I30" s="56"/>
      <c r="J30" s="56"/>
      <c r="K30" s="10"/>
      <c r="L30" s="17"/>
      <c r="M30" s="47"/>
      <c r="N30" s="10"/>
      <c r="O30" s="4"/>
      <c r="Q30" s="22" t="str">
        <f>joueurs!C28</f>
        <v>CSF SHANNON CYR-KIRK 7</v>
      </c>
      <c r="S30" s="10" t="str">
        <f>joueurs!H28</f>
        <v>CSF CAROLINE LAVOIE-MOORE 7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ht="18" customHeight="1" x14ac:dyDescent="0.2">
      <c r="A31" s="10"/>
      <c r="C31" s="10"/>
      <c r="D31" s="4"/>
      <c r="E31" s="10"/>
      <c r="F31" s="57"/>
      <c r="G31" s="57"/>
      <c r="H31" s="57"/>
      <c r="I31" s="57"/>
      <c r="J31" s="57"/>
      <c r="K31" s="10"/>
      <c r="L31" s="10"/>
      <c r="M31" s="47"/>
      <c r="N31" s="10"/>
      <c r="O31" s="4"/>
      <c r="Q31" s="22" t="str">
        <f>joueurs!C29</f>
        <v>CSF DANIEL GUÉRIN 8</v>
      </c>
      <c r="S31" s="10" t="str">
        <f>joueurs!H29</f>
        <v>CSF KAYALA RITCHIE 8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ht="18" customHeight="1" x14ac:dyDescent="0.2">
      <c r="A32" s="10"/>
      <c r="C32" s="10"/>
      <c r="D32" s="4"/>
      <c r="E32" s="10"/>
      <c r="F32" s="57"/>
      <c r="G32" s="57"/>
      <c r="H32" s="57"/>
      <c r="I32" s="57"/>
      <c r="J32" s="57"/>
      <c r="K32" s="10"/>
      <c r="L32" s="10"/>
      <c r="M32" s="10"/>
      <c r="N32" s="10"/>
      <c r="O32" s="4"/>
      <c r="Q32" s="22" t="str">
        <f>joueurs!C30</f>
        <v>CSF WILLIAM ARBOUR 9</v>
      </c>
      <c r="S32" s="10" t="str">
        <f>joueurs!H30</f>
        <v>CSF LAURIE ASPIRAULT 9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">
      <c r="A33" s="17"/>
      <c r="D33" s="106" t="s">
        <v>25</v>
      </c>
      <c r="E33" s="107"/>
      <c r="F33" s="107"/>
      <c r="G33" s="107"/>
      <c r="H33" s="107"/>
      <c r="I33" s="107"/>
      <c r="J33" s="107"/>
      <c r="K33" s="107"/>
      <c r="L33" s="107"/>
      <c r="Q33" s="22" t="str">
        <f>joueurs!C31</f>
        <v>CSF NICOLAS GUÉRETTE 10</v>
      </c>
      <c r="S33" s="10" t="str">
        <f>joueurs!H31</f>
        <v>CSF SABRINA BERGERON 10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">
      <c r="F34" s="40"/>
      <c r="G34" s="40"/>
      <c r="H34" s="40"/>
      <c r="I34" s="40"/>
      <c r="J34" s="40"/>
      <c r="Q34" s="22" t="str">
        <f>joueurs!C32</f>
        <v>CSF FÉLIX BERNIER-TREMBLAY 11</v>
      </c>
      <c r="S34" s="10" t="str">
        <f>joueurs!H32</f>
        <v>CSF MAUDE CANTIN 11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ht="18" customHeight="1" x14ac:dyDescent="0.2">
      <c r="A35" s="7">
        <v>1</v>
      </c>
      <c r="B35" s="11" t="s">
        <v>147</v>
      </c>
      <c r="D35" s="5">
        <v>12</v>
      </c>
      <c r="F35" s="37" t="s">
        <v>178</v>
      </c>
      <c r="G35" s="38"/>
      <c r="H35" s="37" t="s">
        <v>186</v>
      </c>
      <c r="I35" s="38"/>
      <c r="J35" s="37" t="s">
        <v>187</v>
      </c>
      <c r="L35" s="7"/>
      <c r="M35" s="11" t="s">
        <v>61</v>
      </c>
      <c r="O35" s="5">
        <v>10</v>
      </c>
      <c r="Q35" s="22" t="str">
        <f>joueurs!C33</f>
        <v>CSF ALEXANDRE GAUDRY 12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ht="18" customHeight="1" x14ac:dyDescent="0.2">
      <c r="B36" s="11" t="s">
        <v>91</v>
      </c>
      <c r="M36" s="11" t="s">
        <v>59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ht="18" customHeight="1" x14ac:dyDescent="0.2">
      <c r="D37" s="7"/>
      <c r="O37" s="7"/>
      <c r="Q37" s="22" t="str">
        <f>joueurs!C35</f>
        <v>FXG MARC-OLIVIER BÉLIVEAU 1</v>
      </c>
      <c r="S37" s="22" t="str">
        <f>joueurs!H35</f>
        <v>FXG VANESSA GENDRON 1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ht="18" customHeight="1" x14ac:dyDescent="0.2">
      <c r="C38" s="9"/>
      <c r="D38" s="3">
        <f>SUM(D13:D35)</f>
        <v>51</v>
      </c>
      <c r="F38" s="108" t="s">
        <v>15</v>
      </c>
      <c r="G38" s="109"/>
      <c r="H38" s="109"/>
      <c r="I38" s="109"/>
      <c r="J38" s="43" t="s">
        <v>16</v>
      </c>
      <c r="M38" s="41" t="s">
        <v>4</v>
      </c>
      <c r="N38" s="9"/>
      <c r="O38" s="3">
        <f>SUM(O13:O35)</f>
        <v>48</v>
      </c>
      <c r="Q38" s="22" t="str">
        <f>joueurs!C36</f>
        <v>FXG SÉBASTIEN DROUIN LEMIEUX  2</v>
      </c>
      <c r="S38" s="10" t="str">
        <f>joueurs!H36</f>
        <v>FXG EMMANUELLE DUNN 2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ht="18" customHeight="1" x14ac:dyDescent="0.2">
      <c r="C39" s="10"/>
      <c r="D39" s="4"/>
      <c r="F39" s="101"/>
      <c r="G39" s="102"/>
      <c r="H39" s="102"/>
      <c r="I39" s="103"/>
      <c r="J39" s="44"/>
      <c r="N39" s="10"/>
      <c r="O39" s="4"/>
      <c r="Q39" s="22" t="str">
        <f>joueurs!C37</f>
        <v>FXG PHILIPPE RENY  3</v>
      </c>
      <c r="S39" s="10" t="str">
        <f>joueurs!H37</f>
        <v>FXG JOSIANNE BOULANGER 3</v>
      </c>
      <c r="T39" s="24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">
      <c r="C40" s="11"/>
      <c r="D40" s="5"/>
      <c r="F40" s="101"/>
      <c r="G40" s="102"/>
      <c r="H40" s="102"/>
      <c r="I40" s="103"/>
      <c r="J40" s="44"/>
      <c r="M40" s="11"/>
      <c r="N40" s="11"/>
      <c r="O40" s="5"/>
      <c r="Q40" s="22" t="str">
        <f>joueurs!C38</f>
        <v>FXG MAXIME SIROIS 4</v>
      </c>
      <c r="S40" s="10" t="str">
        <f>joueurs!H38</f>
        <v>FXG DOMINIQUE PITRE 4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ht="12.75" customHeight="1" x14ac:dyDescent="0.2">
      <c r="B41" s="104" t="s">
        <v>5</v>
      </c>
      <c r="C41" s="105"/>
      <c r="D41" s="105"/>
      <c r="F41" s="101"/>
      <c r="G41" s="102"/>
      <c r="H41" s="102"/>
      <c r="I41" s="103"/>
      <c r="J41" s="44"/>
      <c r="M41" s="104" t="s">
        <v>5</v>
      </c>
      <c r="N41" s="105"/>
      <c r="O41" s="105"/>
      <c r="Q41" s="22" t="str">
        <f>joueurs!C39</f>
        <v>FXG GABRIEL GOULET-MAILHOT 5</v>
      </c>
      <c r="S41" s="10" t="str">
        <f>joueurs!H39</f>
        <v>FXG ÉLISE GRANDGUILLOT 5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">
      <c r="D42" s="4"/>
      <c r="E42" s="10"/>
      <c r="F42" s="101"/>
      <c r="G42" s="102"/>
      <c r="H42" s="102"/>
      <c r="I42" s="103"/>
      <c r="J42" s="44"/>
      <c r="K42" s="10"/>
      <c r="Q42" s="22" t="str">
        <f>joueurs!C40</f>
        <v>FXG ANTOINE BABY BOUCHARD 6</v>
      </c>
      <c r="S42" s="10">
        <f>joueurs!H40</f>
        <v>0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ht="12.75" customHeight="1" x14ac:dyDescent="0.2">
      <c r="B43" s="45" t="s">
        <v>35</v>
      </c>
      <c r="C43" s="46">
        <v>1</v>
      </c>
      <c r="D43" s="8" t="s">
        <v>8</v>
      </c>
      <c r="E43" s="47"/>
      <c r="F43" s="101"/>
      <c r="G43" s="102"/>
      <c r="H43" s="102"/>
      <c r="I43" s="103"/>
      <c r="J43" s="44"/>
      <c r="K43" s="47"/>
      <c r="L43" s="48"/>
      <c r="M43" s="45" t="s">
        <v>35</v>
      </c>
      <c r="N43" s="46">
        <v>1</v>
      </c>
      <c r="O43" s="8" t="s">
        <v>8</v>
      </c>
      <c r="Q43" s="22" t="str">
        <f>joueurs!C41</f>
        <v>FXG MARC-ANTHONY BLACKBURN 7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">
      <c r="B44" s="49" t="s">
        <v>19</v>
      </c>
      <c r="C44" s="50">
        <v>2</v>
      </c>
      <c r="D44" s="1" t="s">
        <v>8</v>
      </c>
      <c r="E44" s="47"/>
      <c r="F44" s="101"/>
      <c r="G44" s="102"/>
      <c r="H44" s="102"/>
      <c r="I44" s="103"/>
      <c r="J44" s="44"/>
      <c r="K44" s="47"/>
      <c r="L44" s="51"/>
      <c r="M44" s="49" t="s">
        <v>19</v>
      </c>
      <c r="N44" s="50">
        <v>2</v>
      </c>
      <c r="O44" s="1" t="s">
        <v>8</v>
      </c>
      <c r="Q44" s="58" t="str">
        <f>joueurs!C42</f>
        <v>FXG CHARLES-ANDRÉ BEAUDRY 8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">
      <c r="B45" s="49" t="s">
        <v>20</v>
      </c>
      <c r="C45" s="50">
        <v>3</v>
      </c>
      <c r="D45" s="1" t="s">
        <v>9</v>
      </c>
      <c r="E45" s="47"/>
      <c r="F45" s="101"/>
      <c r="G45" s="102"/>
      <c r="H45" s="102"/>
      <c r="I45" s="103"/>
      <c r="J45" s="44"/>
      <c r="K45" s="47"/>
      <c r="L45" s="51"/>
      <c r="M45" s="49" t="s">
        <v>20</v>
      </c>
      <c r="N45" s="50">
        <v>3</v>
      </c>
      <c r="O45" s="1" t="s">
        <v>9</v>
      </c>
      <c r="Q45" s="58" t="str">
        <f>joueurs!C43</f>
        <v>FXG PHILIPPE GOBEIL BOUCHARD 9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">
      <c r="B46" s="49" t="s">
        <v>14</v>
      </c>
      <c r="C46" s="50">
        <v>6</v>
      </c>
      <c r="D46" s="1" t="s">
        <v>9</v>
      </c>
      <c r="E46" s="47"/>
      <c r="F46" s="101"/>
      <c r="G46" s="102"/>
      <c r="H46" s="102"/>
      <c r="I46" s="103"/>
      <c r="J46" s="44"/>
      <c r="K46" s="47"/>
      <c r="L46" s="51"/>
      <c r="M46" s="49" t="s">
        <v>14</v>
      </c>
      <c r="N46" s="50">
        <v>6</v>
      </c>
      <c r="O46" s="1" t="s">
        <v>9</v>
      </c>
      <c r="Q46" s="58">
        <f>joueurs!C44</f>
        <v>0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">
      <c r="B47" s="49" t="s">
        <v>17</v>
      </c>
      <c r="C47" s="50">
        <v>12</v>
      </c>
      <c r="D47" s="1" t="s">
        <v>9</v>
      </c>
      <c r="E47" s="47"/>
      <c r="F47" s="101"/>
      <c r="G47" s="102"/>
      <c r="H47" s="102"/>
      <c r="I47" s="103"/>
      <c r="J47" s="44"/>
      <c r="K47" s="47"/>
      <c r="L47" s="51"/>
      <c r="M47" s="49" t="s">
        <v>17</v>
      </c>
      <c r="N47" s="50">
        <v>12</v>
      </c>
      <c r="O47" s="1" t="s">
        <v>9</v>
      </c>
      <c r="Q47" s="58" t="str">
        <f>joueurs!C45</f>
        <v>LIM JOAKIM PARÉ  1</v>
      </c>
      <c r="S47" s="22" t="str">
        <f>joueurs!H45</f>
        <v>LIM ANNICK MOREAU 1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">
      <c r="B48" s="52" t="s">
        <v>18</v>
      </c>
      <c r="C48" s="53">
        <v>10</v>
      </c>
      <c r="D48" s="2" t="s">
        <v>9</v>
      </c>
      <c r="E48" s="47"/>
      <c r="F48" s="101"/>
      <c r="G48" s="102"/>
      <c r="H48" s="102"/>
      <c r="I48" s="103"/>
      <c r="J48" s="44"/>
      <c r="K48" s="47"/>
      <c r="L48" s="51"/>
      <c r="M48" s="52" t="s">
        <v>18</v>
      </c>
      <c r="N48" s="53">
        <v>10</v>
      </c>
      <c r="O48" s="2" t="s">
        <v>9</v>
      </c>
      <c r="Q48" s="58" t="str">
        <f>joueurs!C46</f>
        <v>LIM SÉBASTIEN DOUCET 2</v>
      </c>
      <c r="S48" s="22" t="str">
        <f>joueurs!H46</f>
        <v>LIM CLAUDIE CHABOT 2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">
      <c r="Q49" s="58" t="str">
        <f>joueurs!C47</f>
        <v>LIM MAXIME LAPERRIÈRE 3</v>
      </c>
      <c r="S49" s="22" t="str">
        <f>joueurs!H47</f>
        <v>LIM ÉLODIE LAVALLÉE 3</v>
      </c>
      <c r="T49" s="10"/>
      <c r="U49" s="25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ht="18" x14ac:dyDescent="0.25">
      <c r="I50" s="26"/>
      <c r="J50" s="26"/>
      <c r="K50" s="120" t="s">
        <v>7</v>
      </c>
      <c r="L50" s="120"/>
      <c r="M50" s="120"/>
      <c r="N50" s="120"/>
      <c r="O50" s="120"/>
      <c r="Q50" s="58">
        <f>joueurs!C48</f>
        <v>0</v>
      </c>
      <c r="S50" s="22" t="str">
        <f>joueurs!H48</f>
        <v>LIM ALEXANDRA CÔTÉ 4</v>
      </c>
      <c r="T50" s="10"/>
      <c r="U50" s="10"/>
      <c r="V50" s="10"/>
      <c r="W50" s="10"/>
      <c r="X50" s="123"/>
      <c r="Y50" s="121"/>
      <c r="Z50" s="10"/>
      <c r="AA50" s="10"/>
      <c r="AB50" s="121"/>
      <c r="AC50" s="121"/>
      <c r="AD50" s="10"/>
      <c r="AE50" s="10"/>
      <c r="AF50" s="121"/>
      <c r="AG50" s="121"/>
      <c r="AH50" s="10"/>
      <c r="AI50" s="10"/>
      <c r="AJ50" s="121"/>
      <c r="AK50" s="121"/>
      <c r="AL50" s="10"/>
      <c r="AM50" s="10"/>
      <c r="AN50" s="121"/>
      <c r="AO50" s="121"/>
      <c r="AP50" s="10"/>
      <c r="AQ50" s="10"/>
      <c r="AR50" s="121"/>
      <c r="AS50" s="121"/>
      <c r="AT50" s="10"/>
      <c r="AU50" s="10"/>
      <c r="AV50" s="121"/>
      <c r="AW50" s="121"/>
      <c r="AX50" s="10"/>
    </row>
    <row r="51" spans="1:50" ht="18" x14ac:dyDescent="0.25">
      <c r="I51" s="26"/>
      <c r="J51" s="26"/>
      <c r="K51" s="115" t="s">
        <v>6</v>
      </c>
      <c r="L51" s="115"/>
      <c r="M51" s="115"/>
      <c r="N51" s="115"/>
      <c r="O51" s="115"/>
      <c r="Q51" s="58" t="str">
        <f>joueurs!C49</f>
        <v>LIM PHILIPPE DEMONTIGNY 5</v>
      </c>
      <c r="S51" s="10" t="str">
        <f>joueurs!H49</f>
        <v>LIM ÉLISE LATOUR 5</v>
      </c>
      <c r="T51" s="10"/>
      <c r="U51" s="25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ht="18" x14ac:dyDescent="0.25">
      <c r="K52" s="115"/>
      <c r="L52" s="115"/>
      <c r="M52" s="115"/>
      <c r="N52" s="115"/>
      <c r="O52" s="115"/>
      <c r="Q52" s="22" t="str">
        <f>joueurs!C50</f>
        <v>LIM FRÉDÉRICK BERTRAND-CHARETTE 6</v>
      </c>
      <c r="S52" s="10"/>
      <c r="T52" s="10"/>
      <c r="U52" s="10"/>
      <c r="V52" s="25"/>
      <c r="W52" s="10"/>
      <c r="X52" s="10"/>
      <c r="Y52" s="121"/>
      <c r="Z52" s="121"/>
      <c r="AA52" s="10"/>
      <c r="AB52" s="10"/>
      <c r="AC52" s="121"/>
      <c r="AD52" s="121"/>
      <c r="AE52" s="10"/>
      <c r="AF52" s="10"/>
      <c r="AG52" s="121"/>
      <c r="AH52" s="121"/>
      <c r="AI52" s="10"/>
      <c r="AJ52" s="10"/>
      <c r="AK52" s="121"/>
      <c r="AL52" s="121"/>
      <c r="AM52" s="10"/>
      <c r="AN52" s="10"/>
      <c r="AO52" s="121"/>
      <c r="AP52" s="121"/>
      <c r="AQ52" s="10"/>
      <c r="AR52" s="10"/>
      <c r="AS52" s="121"/>
      <c r="AT52" s="121"/>
      <c r="AU52" s="10"/>
      <c r="AV52" s="10"/>
      <c r="AW52" s="121"/>
      <c r="AX52" s="121"/>
    </row>
    <row r="53" spans="1:50" x14ac:dyDescent="0.2">
      <c r="A53" s="28" t="s">
        <v>160</v>
      </c>
      <c r="B53" s="29"/>
      <c r="C53" s="113" t="s">
        <v>161</v>
      </c>
      <c r="D53" s="116"/>
      <c r="E53" s="116"/>
      <c r="F53" s="116"/>
      <c r="G53" s="116"/>
      <c r="H53" s="116"/>
      <c r="I53" s="116"/>
      <c r="J53" s="116"/>
      <c r="K53" s="116"/>
      <c r="L53" s="11"/>
      <c r="M53" s="31" t="s">
        <v>162</v>
      </c>
      <c r="N53" s="11"/>
      <c r="O53" s="5"/>
      <c r="Q53" s="22">
        <f>joueurs!C51</f>
        <v>0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21"/>
      <c r="AL53" s="121"/>
      <c r="AM53" s="10"/>
      <c r="AN53" s="10"/>
      <c r="AO53" s="121"/>
      <c r="AP53" s="121"/>
      <c r="AQ53" s="10"/>
      <c r="AR53" s="10"/>
      <c r="AS53" s="121"/>
      <c r="AT53" s="121"/>
      <c r="AU53" s="10"/>
      <c r="AV53" s="10"/>
      <c r="AW53" s="121"/>
      <c r="AX53" s="121"/>
    </row>
    <row r="54" spans="1:50" x14ac:dyDescent="0.2">
      <c r="B54" s="32"/>
      <c r="C54" s="10"/>
      <c r="E54" s="10"/>
      <c r="F54" s="33"/>
      <c r="G54" s="33"/>
      <c r="H54" s="33"/>
      <c r="I54" s="33"/>
      <c r="J54" s="34"/>
      <c r="K54" s="35"/>
      <c r="L54" s="10"/>
      <c r="M54" s="10"/>
      <c r="Q54" s="22" t="str">
        <f>joueurs!C52</f>
        <v>LIM OLIVIER BUJOLD 8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ht="15" x14ac:dyDescent="0.25">
      <c r="A55" s="117" t="s">
        <v>11</v>
      </c>
      <c r="B55" s="116"/>
      <c r="C55" s="116"/>
      <c r="D55" s="116"/>
      <c r="E55" s="10"/>
      <c r="F55" s="36" t="s">
        <v>12</v>
      </c>
      <c r="G55" s="36"/>
      <c r="H55" s="36"/>
      <c r="I55" s="114" t="s">
        <v>13</v>
      </c>
      <c r="J55" s="118"/>
      <c r="K55" s="6"/>
      <c r="L55" s="119" t="s">
        <v>10</v>
      </c>
      <c r="M55" s="119"/>
      <c r="N55" s="119"/>
      <c r="O55" s="119"/>
      <c r="S55" s="10"/>
      <c r="T55" s="10"/>
      <c r="U55" s="25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ht="15" x14ac:dyDescent="0.25">
      <c r="A56" s="110" t="s">
        <v>33</v>
      </c>
      <c r="B56" s="111"/>
      <c r="C56" s="111"/>
      <c r="D56" s="111"/>
      <c r="E56" s="10"/>
      <c r="F56" s="73" t="s">
        <v>45</v>
      </c>
      <c r="G56" s="36"/>
      <c r="H56" s="36"/>
      <c r="I56" s="112" t="s">
        <v>29</v>
      </c>
      <c r="J56" s="111"/>
      <c r="K56" s="25"/>
      <c r="L56" s="110" t="s">
        <v>34</v>
      </c>
      <c r="M56" s="111"/>
      <c r="N56" s="111"/>
      <c r="O56" s="111"/>
      <c r="Q56" s="22" t="str">
        <f>joueurs!C54</f>
        <v>RDL VINCENT RIOUX-BERROUARD  1</v>
      </c>
      <c r="S56" s="10" t="str">
        <f>joueurs!H54</f>
        <v>RDL LAURIE PELLETIER  1</v>
      </c>
      <c r="T56" s="10"/>
      <c r="U56" s="10"/>
      <c r="V56" s="25"/>
      <c r="W56" s="10"/>
      <c r="X56" s="10"/>
      <c r="Y56" s="121"/>
      <c r="Z56" s="121"/>
      <c r="AA56" s="10"/>
      <c r="AB56" s="10"/>
      <c r="AC56" s="121"/>
      <c r="AD56" s="121"/>
      <c r="AE56" s="10"/>
      <c r="AF56" s="10"/>
      <c r="AG56" s="121"/>
      <c r="AH56" s="121"/>
      <c r="AI56" s="10"/>
      <c r="AJ56" s="10"/>
      <c r="AK56" s="121"/>
      <c r="AL56" s="121"/>
      <c r="AM56" s="10"/>
      <c r="AN56" s="10"/>
      <c r="AO56" s="121"/>
      <c r="AP56" s="121"/>
      <c r="AQ56" s="10"/>
      <c r="AR56" s="10"/>
      <c r="AS56" s="121"/>
      <c r="AT56" s="121"/>
      <c r="AU56" s="10"/>
      <c r="AV56" s="10"/>
      <c r="AW56" s="121"/>
      <c r="AX56" s="121"/>
    </row>
    <row r="57" spans="1:50" x14ac:dyDescent="0.2">
      <c r="Q57" s="22">
        <f>joueurs!C55</f>
        <v>0</v>
      </c>
      <c r="S57" s="10" t="str">
        <f>joueurs!H55</f>
        <v>RDL CATHERINE HODGSON 2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21"/>
      <c r="AL57" s="121"/>
      <c r="AM57" s="10"/>
      <c r="AN57" s="10"/>
      <c r="AO57" s="121"/>
      <c r="AP57" s="121"/>
      <c r="AQ57" s="10"/>
      <c r="AR57" s="10"/>
      <c r="AS57" s="121"/>
      <c r="AT57" s="121"/>
      <c r="AU57" s="10"/>
      <c r="AV57" s="10"/>
      <c r="AW57" s="121"/>
      <c r="AX57" s="121"/>
    </row>
    <row r="58" spans="1:50" x14ac:dyDescent="0.2">
      <c r="A58" s="113"/>
      <c r="B58" s="113"/>
      <c r="D58" s="106" t="s">
        <v>21</v>
      </c>
      <c r="E58" s="107"/>
      <c r="F58" s="107"/>
      <c r="G58" s="107"/>
      <c r="H58" s="107"/>
      <c r="I58" s="107"/>
      <c r="J58" s="107"/>
      <c r="K58" s="107"/>
      <c r="L58" s="107"/>
      <c r="Q58" s="22">
        <f>joueurs!C56</f>
        <v>0</v>
      </c>
      <c r="S58" s="25" t="str">
        <f>joueurs!H56</f>
        <v>RDL ANNE-MARIE ROBITAILLE 3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">
      <c r="Q59" s="22" t="str">
        <f>joueurs!C57</f>
        <v>RDL FÉLIX MORIN 4</v>
      </c>
      <c r="S59" s="25" t="str">
        <f>joueurs!H57</f>
        <v>RDL MARILOU SINCLAIR 4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">
      <c r="A60" s="28" t="s">
        <v>0</v>
      </c>
      <c r="B60" s="7" t="s">
        <v>1</v>
      </c>
      <c r="C60" s="28"/>
      <c r="D60" s="7" t="s">
        <v>2</v>
      </c>
      <c r="E60" s="28"/>
      <c r="F60" s="114" t="s">
        <v>3</v>
      </c>
      <c r="G60" s="114"/>
      <c r="H60" s="114"/>
      <c r="I60" s="114"/>
      <c r="J60" s="114"/>
      <c r="K60" s="28"/>
      <c r="L60" s="28" t="s">
        <v>0</v>
      </c>
      <c r="M60" s="7" t="s">
        <v>1</v>
      </c>
      <c r="N60" s="28"/>
      <c r="O60" s="7" t="s">
        <v>2</v>
      </c>
      <c r="Q60" s="22" t="str">
        <f>joueurs!C58</f>
        <v>RDL ÉTIENNE DESROSIERS 5</v>
      </c>
      <c r="S60" s="25">
        <f>joueurs!H58</f>
        <v>0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">
      <c r="A61" s="7">
        <v>1</v>
      </c>
      <c r="B61" s="11" t="s">
        <v>102</v>
      </c>
      <c r="D61" s="5">
        <v>5</v>
      </c>
      <c r="F61" s="37" t="s">
        <v>180</v>
      </c>
      <c r="G61" s="38"/>
      <c r="H61" s="37" t="s">
        <v>168</v>
      </c>
      <c r="I61" s="38"/>
      <c r="J61" s="37"/>
      <c r="L61" s="7"/>
      <c r="M61" s="11" t="s">
        <v>64</v>
      </c>
      <c r="O61" s="5">
        <v>12</v>
      </c>
      <c r="Q61" s="22" t="str">
        <f>joueurs!C59</f>
        <v>RDL JEFF LEBEL 6</v>
      </c>
      <c r="S61" s="2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ht="18" customHeight="1" x14ac:dyDescent="0.2">
      <c r="A62" s="80"/>
      <c r="C62" s="51"/>
      <c r="D62" s="79"/>
      <c r="F62" s="82"/>
      <c r="G62" s="56"/>
      <c r="H62" s="82"/>
      <c r="I62" s="56"/>
      <c r="J62" s="82"/>
      <c r="L62" s="80"/>
      <c r="M62" s="10"/>
      <c r="O62" s="79"/>
      <c r="Q62" s="22" t="str">
        <f>joueurs!C60</f>
        <v>RDL BRYAN LÉVESQUE 7</v>
      </c>
      <c r="S62" s="2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ht="18" customHeight="1" x14ac:dyDescent="0.2">
      <c r="A63" s="80"/>
      <c r="C63" s="51"/>
      <c r="D63" s="4"/>
      <c r="F63" s="56"/>
      <c r="G63" s="56"/>
      <c r="H63" s="56"/>
      <c r="I63" s="56"/>
      <c r="J63" s="56"/>
      <c r="L63" s="80"/>
      <c r="M63" s="10"/>
      <c r="O63" s="4"/>
      <c r="S63" s="2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ht="18" customHeight="1" x14ac:dyDescent="0.2">
      <c r="B64" s="10"/>
      <c r="D64" s="4"/>
      <c r="F64" s="39"/>
      <c r="G64" s="39"/>
      <c r="H64" s="39"/>
      <c r="I64" s="39"/>
      <c r="J64" s="39"/>
      <c r="M64" s="10"/>
      <c r="O64" s="4" t="s">
        <v>31</v>
      </c>
      <c r="Q64" s="22" t="str">
        <f>joueurs!C62</f>
        <v>RIM OLIVIER MORIN  1</v>
      </c>
      <c r="S64" s="25" t="str">
        <f>joueurs!H62</f>
        <v>RIM VANESSA RAIL-BOND 1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">
      <c r="A65" s="17"/>
      <c r="B65" s="17"/>
      <c r="D65" s="106" t="s">
        <v>22</v>
      </c>
      <c r="E65" s="107"/>
      <c r="F65" s="107"/>
      <c r="G65" s="107"/>
      <c r="H65" s="107"/>
      <c r="I65" s="107"/>
      <c r="J65" s="107"/>
      <c r="K65" s="107"/>
      <c r="L65" s="107"/>
      <c r="Q65" s="22" t="str">
        <f>joueurs!C63</f>
        <v>RIM FRANCOIS BLAIS  2</v>
      </c>
      <c r="S65" s="25" t="str">
        <f>joueurs!H63</f>
        <v>RIM MYRIAM ROSS 2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">
      <c r="F66" s="40"/>
      <c r="G66" s="40"/>
      <c r="H66" s="40"/>
      <c r="I66" s="40"/>
      <c r="J66" s="40"/>
      <c r="Q66" s="22" t="str">
        <f>joueurs!C64</f>
        <v>RIM JEAN-CHRISTOPHE LEMIEUX  3</v>
      </c>
      <c r="S66" s="25" t="str">
        <f>joueurs!H64</f>
        <v>RIM JOSIANNE BEAULIEU 3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">
      <c r="A67" s="7">
        <v>1</v>
      </c>
      <c r="B67" s="11" t="s">
        <v>157</v>
      </c>
      <c r="D67" s="5">
        <v>5</v>
      </c>
      <c r="E67" s="41"/>
      <c r="F67" s="37" t="s">
        <v>174</v>
      </c>
      <c r="G67" s="38"/>
      <c r="H67" s="37" t="s">
        <v>175</v>
      </c>
      <c r="I67" s="38"/>
      <c r="J67" s="37"/>
      <c r="K67" s="41"/>
      <c r="L67" s="7"/>
      <c r="M67" s="11" t="s">
        <v>67</v>
      </c>
      <c r="O67" s="5">
        <v>12</v>
      </c>
      <c r="Q67" s="22" t="str">
        <f>joueurs!C65</f>
        <v>RIM FRÉDÉRIC LACOSTE 4</v>
      </c>
      <c r="S67" s="25" t="str">
        <f>joueurs!H65</f>
        <v>RIM AMÉLIE MERCIER 4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ht="18" customHeight="1" x14ac:dyDescent="0.2">
      <c r="B68" s="10"/>
      <c r="D68" s="4"/>
      <c r="F68" s="39"/>
      <c r="G68" s="39"/>
      <c r="H68" s="39"/>
      <c r="I68" s="39"/>
      <c r="J68" s="39"/>
      <c r="M68" s="10"/>
      <c r="O68" s="4"/>
      <c r="Q68" s="22" t="str">
        <f>joueurs!C66</f>
        <v>RIM DANY GONTHIER 5</v>
      </c>
      <c r="S68" s="10" t="str">
        <f>joueurs!H66</f>
        <v>RIM LAURIE BLAIS 5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ht="18" customHeight="1" x14ac:dyDescent="0.2">
      <c r="A69" s="17"/>
      <c r="B69" s="17"/>
      <c r="D69" s="106" t="s">
        <v>23</v>
      </c>
      <c r="E69" s="107"/>
      <c r="F69" s="107"/>
      <c r="G69" s="107"/>
      <c r="H69" s="107"/>
      <c r="I69" s="107"/>
      <c r="J69" s="107"/>
      <c r="K69" s="107"/>
      <c r="L69" s="107"/>
      <c r="Q69" s="22" t="str">
        <f>joueurs!C67</f>
        <v>RIM PASCAL BERGERON 6</v>
      </c>
      <c r="S69" s="10" t="str">
        <f>joueurs!H67</f>
        <v>RIM CHLOÉ CORMIER-PAQUET 6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">
      <c r="F70" s="40"/>
      <c r="G70" s="40"/>
      <c r="H70" s="40"/>
      <c r="I70" s="40"/>
      <c r="J70" s="40"/>
      <c r="Q70" s="22" t="str">
        <f>joueurs!C68</f>
        <v>RIM ALEXANDRE TURCOTTE 7</v>
      </c>
      <c r="S70" s="10" t="str">
        <f>joueurs!H68</f>
        <v>RIM ANNIE-PIER DEA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">
      <c r="A71" s="7">
        <v>1</v>
      </c>
      <c r="B71" s="11" t="s">
        <v>156</v>
      </c>
      <c r="D71" s="5">
        <v>12</v>
      </c>
      <c r="F71" s="37" t="s">
        <v>181</v>
      </c>
      <c r="G71" s="38"/>
      <c r="H71" s="37" t="s">
        <v>178</v>
      </c>
      <c r="I71" s="38"/>
      <c r="J71" s="37"/>
      <c r="L71" s="7"/>
      <c r="M71" s="11" t="s">
        <v>70</v>
      </c>
      <c r="O71" s="5">
        <v>4</v>
      </c>
      <c r="Q71" s="22">
        <f>joueurs!C69</f>
        <v>0</v>
      </c>
      <c r="S71" s="10">
        <f>joueurs!H69</f>
        <v>0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">
      <c r="B72" s="11" t="s">
        <v>105</v>
      </c>
      <c r="F72" s="40"/>
      <c r="G72" s="40"/>
      <c r="H72" s="40"/>
      <c r="I72" s="40"/>
      <c r="J72" s="40"/>
      <c r="M72" s="11" t="s">
        <v>139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ht="18" customHeight="1" x14ac:dyDescent="0.2">
      <c r="B73" s="10"/>
      <c r="F73" s="40"/>
      <c r="G73" s="40"/>
      <c r="H73" s="40"/>
      <c r="I73" s="40"/>
      <c r="J73" s="40"/>
      <c r="M73" s="10"/>
      <c r="S73" s="25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ht="18" customHeight="1" x14ac:dyDescent="0.2">
      <c r="A74" s="17"/>
      <c r="B74" s="17"/>
      <c r="D74" s="106" t="s">
        <v>24</v>
      </c>
      <c r="E74" s="107"/>
      <c r="F74" s="107"/>
      <c r="G74" s="107"/>
      <c r="H74" s="107"/>
      <c r="I74" s="107"/>
      <c r="J74" s="107"/>
      <c r="K74" s="107"/>
      <c r="L74" s="107"/>
      <c r="S74" s="25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">
      <c r="F75" s="40"/>
      <c r="G75" s="40"/>
      <c r="H75" s="40"/>
      <c r="I75" s="40"/>
      <c r="J75" s="40"/>
      <c r="S75" s="25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">
      <c r="A76" s="7">
        <v>1</v>
      </c>
      <c r="B76" s="11" t="s">
        <v>165</v>
      </c>
      <c r="D76" s="5">
        <v>3</v>
      </c>
      <c r="F76" s="37" t="s">
        <v>176</v>
      </c>
      <c r="G76" s="38"/>
      <c r="H76" s="37" t="s">
        <v>166</v>
      </c>
      <c r="I76" s="38"/>
      <c r="J76" s="37"/>
      <c r="L76" s="7"/>
      <c r="M76" s="11" t="s">
        <v>133</v>
      </c>
      <c r="O76" s="5">
        <v>12</v>
      </c>
      <c r="S76" s="25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">
      <c r="A77" s="7"/>
      <c r="B77" s="11" t="s">
        <v>154</v>
      </c>
      <c r="F77" s="42"/>
      <c r="G77" s="42"/>
      <c r="H77" s="42"/>
      <c r="I77" s="42"/>
      <c r="J77" s="42"/>
      <c r="L77" s="7"/>
      <c r="M77" s="11" t="s">
        <v>134</v>
      </c>
      <c r="S77" s="25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ht="18" customHeight="1" x14ac:dyDescent="0.2">
      <c r="A78" s="17"/>
      <c r="B78" s="47"/>
      <c r="C78" s="10"/>
      <c r="D78" s="4"/>
      <c r="E78" s="10"/>
      <c r="F78" s="56"/>
      <c r="G78" s="56"/>
      <c r="H78" s="56"/>
      <c r="I78" s="56"/>
      <c r="J78" s="56"/>
      <c r="K78" s="10"/>
      <c r="L78" s="17"/>
      <c r="M78" s="47"/>
      <c r="N78" s="10"/>
      <c r="O78" s="4"/>
      <c r="S78" s="25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ht="18" customHeight="1" x14ac:dyDescent="0.2">
      <c r="A79" s="10"/>
      <c r="B79" s="47"/>
      <c r="C79" s="10"/>
      <c r="D79" s="4"/>
      <c r="E79" s="10"/>
      <c r="F79" s="57"/>
      <c r="G79" s="57"/>
      <c r="H79" s="57"/>
      <c r="I79" s="57"/>
      <c r="J79" s="57"/>
      <c r="K79" s="10"/>
      <c r="L79" s="10"/>
      <c r="M79" s="47"/>
      <c r="N79" s="10"/>
      <c r="O79" s="4"/>
      <c r="S79" s="25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ht="18" customHeight="1" x14ac:dyDescent="0.2">
      <c r="B80" s="10"/>
      <c r="F80" s="40"/>
      <c r="G80" s="40"/>
      <c r="H80" s="40"/>
      <c r="I80" s="40"/>
      <c r="J80" s="40"/>
      <c r="M80" s="10"/>
      <c r="S80" s="25"/>
      <c r="T80" s="24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ht="18" customHeight="1" x14ac:dyDescent="0.2">
      <c r="A81" s="17"/>
      <c r="B81" s="17"/>
      <c r="D81" s="106" t="s">
        <v>25</v>
      </c>
      <c r="E81" s="107"/>
      <c r="F81" s="107"/>
      <c r="G81" s="107"/>
      <c r="H81" s="107"/>
      <c r="I81" s="107"/>
      <c r="J81" s="107"/>
      <c r="K81" s="107"/>
      <c r="L81" s="107"/>
      <c r="S81" s="25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">
      <c r="F82" s="40"/>
      <c r="G82" s="40"/>
      <c r="H82" s="40"/>
      <c r="I82" s="40"/>
      <c r="J82" s="40"/>
      <c r="S82" s="25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">
      <c r="A83" s="7">
        <v>1</v>
      </c>
      <c r="B83" s="11" t="s">
        <v>104</v>
      </c>
      <c r="D83" s="5">
        <v>3</v>
      </c>
      <c r="F83" s="37" t="s">
        <v>170</v>
      </c>
      <c r="G83" s="38"/>
      <c r="H83" s="37" t="s">
        <v>182</v>
      </c>
      <c r="I83" s="38"/>
      <c r="J83" s="37"/>
      <c r="L83" s="7"/>
      <c r="M83" s="11" t="s">
        <v>69</v>
      </c>
      <c r="O83" s="5">
        <v>12</v>
      </c>
      <c r="S83" s="25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">
      <c r="B84" s="11" t="s">
        <v>103</v>
      </c>
      <c r="M84" s="11" t="s">
        <v>63</v>
      </c>
      <c r="S84" s="25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ht="18" customHeight="1" x14ac:dyDescent="0.2">
      <c r="S85" s="25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ht="18" customHeight="1" x14ac:dyDescent="0.2">
      <c r="B86" s="41" t="s">
        <v>4</v>
      </c>
      <c r="C86" s="9"/>
      <c r="D86" s="3">
        <f>SUM(D61:D83)</f>
        <v>28</v>
      </c>
      <c r="F86" s="108" t="s">
        <v>15</v>
      </c>
      <c r="G86" s="109"/>
      <c r="H86" s="109"/>
      <c r="I86" s="109"/>
      <c r="J86" s="43" t="s">
        <v>16</v>
      </c>
      <c r="M86" s="41" t="s">
        <v>4</v>
      </c>
      <c r="N86" s="9"/>
      <c r="O86" s="3">
        <f>SUM(O61:O83)</f>
        <v>52</v>
      </c>
      <c r="S86" s="25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">
      <c r="C87" s="10"/>
      <c r="D87" s="4"/>
      <c r="F87" s="101"/>
      <c r="G87" s="102"/>
      <c r="H87" s="102"/>
      <c r="I87" s="103"/>
      <c r="J87" s="44"/>
      <c r="N87" s="10"/>
      <c r="O87" s="4"/>
      <c r="S87" s="25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ht="18" customHeight="1" x14ac:dyDescent="0.2">
      <c r="B88" s="11"/>
      <c r="C88" s="11"/>
      <c r="D88" s="5"/>
      <c r="F88" s="101"/>
      <c r="G88" s="102"/>
      <c r="H88" s="102"/>
      <c r="I88" s="103"/>
      <c r="J88" s="44"/>
      <c r="M88" s="11"/>
      <c r="N88" s="11"/>
      <c r="O88" s="5"/>
      <c r="S88" s="25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">
      <c r="B89" s="104" t="s">
        <v>5</v>
      </c>
      <c r="C89" s="105"/>
      <c r="D89" s="105"/>
      <c r="F89" s="101"/>
      <c r="G89" s="102"/>
      <c r="H89" s="102"/>
      <c r="I89" s="103"/>
      <c r="J89" s="44"/>
      <c r="M89" s="104" t="s">
        <v>5</v>
      </c>
      <c r="N89" s="105"/>
      <c r="O89" s="105"/>
      <c r="S89" s="25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ht="12.75" customHeight="1" x14ac:dyDescent="0.2">
      <c r="D90" s="4"/>
      <c r="E90" s="10"/>
      <c r="F90" s="101"/>
      <c r="G90" s="102"/>
      <c r="H90" s="102"/>
      <c r="I90" s="103"/>
      <c r="J90" s="44"/>
      <c r="K90" s="10"/>
      <c r="S90" s="25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">
      <c r="B91" s="45" t="s">
        <v>35</v>
      </c>
      <c r="C91" s="46">
        <v>1</v>
      </c>
      <c r="D91" s="8" t="s">
        <v>8</v>
      </c>
      <c r="E91" s="47"/>
      <c r="F91" s="101"/>
      <c r="G91" s="102"/>
      <c r="H91" s="102"/>
      <c r="I91" s="103"/>
      <c r="J91" s="44"/>
      <c r="K91" s="47"/>
      <c r="L91" s="48"/>
      <c r="M91" s="45" t="s">
        <v>35</v>
      </c>
      <c r="N91" s="46">
        <v>1</v>
      </c>
      <c r="O91" s="8" t="s">
        <v>8</v>
      </c>
      <c r="S91" s="25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">
      <c r="B92" s="49" t="s">
        <v>19</v>
      </c>
      <c r="C92" s="50">
        <v>2</v>
      </c>
      <c r="D92" s="1" t="s">
        <v>8</v>
      </c>
      <c r="E92" s="47"/>
      <c r="F92" s="101"/>
      <c r="G92" s="102"/>
      <c r="H92" s="102"/>
      <c r="I92" s="103"/>
      <c r="J92" s="44"/>
      <c r="K92" s="47"/>
      <c r="L92" s="51"/>
      <c r="M92" s="49" t="s">
        <v>19</v>
      </c>
      <c r="N92" s="50">
        <v>2</v>
      </c>
      <c r="O92" s="1" t="s">
        <v>8</v>
      </c>
      <c r="S92" s="25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">
      <c r="B93" s="49" t="s">
        <v>20</v>
      </c>
      <c r="C93" s="50">
        <v>3</v>
      </c>
      <c r="D93" s="1" t="s">
        <v>9</v>
      </c>
      <c r="E93" s="47"/>
      <c r="F93" s="101"/>
      <c r="G93" s="102"/>
      <c r="H93" s="102"/>
      <c r="I93" s="103"/>
      <c r="J93" s="44"/>
      <c r="K93" s="47"/>
      <c r="L93" s="51"/>
      <c r="M93" s="49" t="s">
        <v>20</v>
      </c>
      <c r="N93" s="50">
        <v>3</v>
      </c>
      <c r="O93" s="1" t="s">
        <v>9</v>
      </c>
      <c r="S93" s="25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">
      <c r="B94" s="49" t="s">
        <v>14</v>
      </c>
      <c r="C94" s="50">
        <v>6</v>
      </c>
      <c r="D94" s="1" t="s">
        <v>9</v>
      </c>
      <c r="E94" s="47"/>
      <c r="F94" s="101"/>
      <c r="G94" s="102"/>
      <c r="H94" s="102"/>
      <c r="I94" s="103"/>
      <c r="J94" s="44"/>
      <c r="K94" s="47"/>
      <c r="L94" s="51"/>
      <c r="M94" s="49" t="s">
        <v>14</v>
      </c>
      <c r="N94" s="50">
        <v>6</v>
      </c>
      <c r="O94" s="1" t="s">
        <v>9</v>
      </c>
      <c r="S94" s="25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">
      <c r="B95" s="49" t="s">
        <v>17</v>
      </c>
      <c r="C95" s="50">
        <v>12</v>
      </c>
      <c r="D95" s="1" t="s">
        <v>9</v>
      </c>
      <c r="E95" s="47"/>
      <c r="F95" s="101"/>
      <c r="G95" s="102"/>
      <c r="H95" s="102"/>
      <c r="I95" s="103"/>
      <c r="J95" s="44"/>
      <c r="K95" s="47"/>
      <c r="L95" s="51"/>
      <c r="M95" s="49" t="s">
        <v>17</v>
      </c>
      <c r="N95" s="50">
        <v>12</v>
      </c>
      <c r="O95" s="1" t="s">
        <v>9</v>
      </c>
      <c r="S95" s="25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">
      <c r="B96" s="52" t="s">
        <v>18</v>
      </c>
      <c r="C96" s="53">
        <v>10</v>
      </c>
      <c r="D96" s="2" t="s">
        <v>9</v>
      </c>
      <c r="E96" s="47"/>
      <c r="F96" s="101"/>
      <c r="G96" s="102"/>
      <c r="H96" s="102"/>
      <c r="I96" s="103"/>
      <c r="J96" s="44"/>
      <c r="K96" s="47"/>
      <c r="L96" s="51"/>
      <c r="M96" s="52" t="s">
        <v>18</v>
      </c>
      <c r="N96" s="53">
        <v>10</v>
      </c>
      <c r="O96" s="2" t="s">
        <v>9</v>
      </c>
      <c r="S96" s="25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">
      <c r="S97" s="25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ht="18" x14ac:dyDescent="0.25">
      <c r="I98" s="26"/>
      <c r="J98" s="26"/>
      <c r="K98" s="120" t="s">
        <v>7</v>
      </c>
      <c r="L98" s="120"/>
      <c r="M98" s="120"/>
      <c r="N98" s="120"/>
      <c r="O98" s="120"/>
      <c r="S98" s="25"/>
      <c r="T98" s="10"/>
      <c r="U98" s="25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ht="18" x14ac:dyDescent="0.25">
      <c r="I99" s="26"/>
      <c r="J99" s="26"/>
      <c r="K99" s="115" t="s">
        <v>6</v>
      </c>
      <c r="L99" s="115"/>
      <c r="M99" s="115"/>
      <c r="N99" s="115"/>
      <c r="O99" s="115"/>
      <c r="S99" s="25"/>
      <c r="T99" s="10"/>
      <c r="U99" s="10"/>
      <c r="V99" s="10"/>
      <c r="W99" s="10"/>
      <c r="X99" s="123"/>
      <c r="Y99" s="121"/>
      <c r="Z99" s="10"/>
      <c r="AA99" s="10"/>
      <c r="AB99" s="121"/>
      <c r="AC99" s="121"/>
      <c r="AD99" s="10"/>
      <c r="AE99" s="10"/>
      <c r="AF99" s="121"/>
      <c r="AG99" s="121"/>
      <c r="AH99" s="10"/>
      <c r="AI99" s="10"/>
      <c r="AJ99" s="121"/>
      <c r="AK99" s="121"/>
      <c r="AL99" s="10"/>
      <c r="AM99" s="10"/>
      <c r="AN99" s="121"/>
      <c r="AO99" s="121"/>
      <c r="AP99" s="10"/>
      <c r="AQ99" s="10"/>
      <c r="AR99" s="121"/>
      <c r="AS99" s="121"/>
      <c r="AT99" s="10"/>
      <c r="AU99" s="10"/>
      <c r="AV99" s="121"/>
      <c r="AW99" s="121"/>
      <c r="AX99" s="10"/>
    </row>
    <row r="100" spans="1:50" ht="18" x14ac:dyDescent="0.25">
      <c r="K100" s="115"/>
      <c r="L100" s="115"/>
      <c r="M100" s="115"/>
      <c r="N100" s="115"/>
      <c r="O100" s="115"/>
      <c r="S100" s="25"/>
      <c r="T100" s="10"/>
      <c r="U100" s="25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">
      <c r="A101" s="28" t="s">
        <v>160</v>
      </c>
      <c r="B101" s="29"/>
      <c r="C101" s="113" t="s">
        <v>161</v>
      </c>
      <c r="D101" s="116"/>
      <c r="E101" s="116"/>
      <c r="F101" s="116"/>
      <c r="G101" s="116"/>
      <c r="H101" s="116"/>
      <c r="I101" s="116"/>
      <c r="J101" s="116"/>
      <c r="K101" s="116"/>
      <c r="L101" s="11"/>
      <c r="M101" s="31" t="s">
        <v>162</v>
      </c>
      <c r="N101" s="11"/>
      <c r="O101" s="5"/>
      <c r="S101" s="25"/>
      <c r="T101" s="10"/>
      <c r="U101" s="10"/>
      <c r="V101" s="25"/>
      <c r="W101" s="10"/>
      <c r="X101" s="10"/>
      <c r="Y101" s="121"/>
      <c r="Z101" s="121"/>
      <c r="AA101" s="10"/>
      <c r="AB101" s="10"/>
      <c r="AC101" s="121"/>
      <c r="AD101" s="121"/>
      <c r="AE101" s="10"/>
      <c r="AF101" s="10"/>
      <c r="AG101" s="121"/>
      <c r="AH101" s="121"/>
      <c r="AI101" s="10"/>
      <c r="AJ101" s="10"/>
      <c r="AK101" s="121"/>
      <c r="AL101" s="121"/>
      <c r="AM101" s="10"/>
      <c r="AN101" s="10"/>
      <c r="AO101" s="121"/>
      <c r="AP101" s="121"/>
      <c r="AQ101" s="10"/>
      <c r="AR101" s="10"/>
      <c r="AS101" s="121"/>
      <c r="AT101" s="121"/>
      <c r="AU101" s="10"/>
      <c r="AV101" s="10"/>
      <c r="AW101" s="121"/>
      <c r="AX101" s="121"/>
    </row>
    <row r="102" spans="1:50" x14ac:dyDescent="0.2">
      <c r="B102" s="32"/>
      <c r="C102" s="10"/>
      <c r="E102" s="10"/>
      <c r="F102" s="33"/>
      <c r="G102" s="33"/>
      <c r="H102" s="33"/>
      <c r="I102" s="33"/>
      <c r="J102" s="34"/>
      <c r="K102" s="35"/>
      <c r="L102" s="10"/>
      <c r="M102" s="10"/>
      <c r="S102" s="25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21"/>
      <c r="AL102" s="121"/>
      <c r="AM102" s="10"/>
      <c r="AN102" s="10"/>
      <c r="AO102" s="121"/>
      <c r="AP102" s="121"/>
      <c r="AQ102" s="10"/>
      <c r="AR102" s="10"/>
      <c r="AS102" s="121"/>
      <c r="AT102" s="121"/>
      <c r="AU102" s="10"/>
      <c r="AV102" s="10"/>
      <c r="AW102" s="121"/>
      <c r="AX102" s="121"/>
    </row>
    <row r="103" spans="1:50" ht="15" x14ac:dyDescent="0.25">
      <c r="A103" s="117" t="s">
        <v>11</v>
      </c>
      <c r="B103" s="116"/>
      <c r="C103" s="116"/>
      <c r="D103" s="116"/>
      <c r="E103" s="10"/>
      <c r="F103" s="36" t="s">
        <v>12</v>
      </c>
      <c r="G103" s="36"/>
      <c r="H103" s="36"/>
      <c r="I103" s="114" t="s">
        <v>13</v>
      </c>
      <c r="J103" s="118"/>
      <c r="K103" s="6"/>
      <c r="L103" s="119" t="s">
        <v>10</v>
      </c>
      <c r="M103" s="119"/>
      <c r="N103" s="119"/>
      <c r="O103" s="119"/>
      <c r="S103" s="25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ht="15" x14ac:dyDescent="0.25">
      <c r="A104" s="110" t="s">
        <v>43</v>
      </c>
      <c r="B104" s="111"/>
      <c r="C104" s="111"/>
      <c r="D104" s="111"/>
      <c r="E104" s="10"/>
      <c r="F104" s="73" t="s">
        <v>45</v>
      </c>
      <c r="G104" s="36"/>
      <c r="H104" s="36"/>
      <c r="I104" s="112" t="s">
        <v>30</v>
      </c>
      <c r="J104" s="111"/>
      <c r="K104" s="25"/>
      <c r="L104" s="110" t="s">
        <v>126</v>
      </c>
      <c r="M104" s="111"/>
      <c r="N104" s="111"/>
      <c r="O104" s="111"/>
      <c r="S104" s="25"/>
      <c r="T104" s="10"/>
      <c r="U104" s="25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">
      <c r="S105" s="25"/>
      <c r="T105" s="10"/>
      <c r="U105" s="10"/>
      <c r="V105" s="25"/>
      <c r="W105" s="10"/>
      <c r="X105" s="10"/>
      <c r="Y105" s="121"/>
      <c r="Z105" s="121"/>
      <c r="AA105" s="10"/>
      <c r="AB105" s="10"/>
      <c r="AC105" s="121"/>
      <c r="AD105" s="121"/>
      <c r="AE105" s="10"/>
      <c r="AF105" s="10"/>
      <c r="AG105" s="121"/>
      <c r="AH105" s="121"/>
      <c r="AI105" s="10"/>
      <c r="AJ105" s="10"/>
      <c r="AK105" s="121"/>
      <c r="AL105" s="121"/>
      <c r="AM105" s="10"/>
      <c r="AN105" s="10"/>
      <c r="AO105" s="121"/>
      <c r="AP105" s="121"/>
      <c r="AQ105" s="10"/>
      <c r="AR105" s="10"/>
      <c r="AS105" s="121"/>
      <c r="AT105" s="121"/>
      <c r="AU105" s="10"/>
      <c r="AV105" s="10"/>
      <c r="AW105" s="121"/>
      <c r="AX105" s="121"/>
    </row>
    <row r="106" spans="1:50" x14ac:dyDescent="0.2">
      <c r="A106" s="113"/>
      <c r="B106" s="113"/>
      <c r="D106" s="106" t="s">
        <v>21</v>
      </c>
      <c r="E106" s="107"/>
      <c r="F106" s="107"/>
      <c r="G106" s="107"/>
      <c r="H106" s="107"/>
      <c r="I106" s="107"/>
      <c r="J106" s="107"/>
      <c r="K106" s="107"/>
      <c r="L106" s="107"/>
      <c r="S106" s="24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21"/>
      <c r="AL106" s="121"/>
      <c r="AM106" s="10"/>
      <c r="AN106" s="10"/>
      <c r="AO106" s="121"/>
      <c r="AP106" s="121"/>
      <c r="AQ106" s="10"/>
      <c r="AR106" s="10"/>
      <c r="AS106" s="121"/>
      <c r="AT106" s="121"/>
      <c r="AU106" s="10"/>
      <c r="AV106" s="10"/>
      <c r="AW106" s="121"/>
      <c r="AX106" s="121"/>
    </row>
    <row r="107" spans="1:50" x14ac:dyDescent="0.2">
      <c r="S107" s="25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">
      <c r="A108" s="28" t="s">
        <v>0</v>
      </c>
      <c r="B108" s="7" t="s">
        <v>1</v>
      </c>
      <c r="C108" s="28"/>
      <c r="D108" s="7" t="s">
        <v>2</v>
      </c>
      <c r="E108" s="28"/>
      <c r="F108" s="114" t="s">
        <v>3</v>
      </c>
      <c r="G108" s="114"/>
      <c r="H108" s="114"/>
      <c r="I108" s="114"/>
      <c r="J108" s="114"/>
      <c r="K108" s="28"/>
      <c r="L108" s="28" t="s">
        <v>0</v>
      </c>
      <c r="M108" s="7" t="s">
        <v>1</v>
      </c>
      <c r="N108" s="28"/>
      <c r="O108" s="7" t="s">
        <v>2</v>
      </c>
      <c r="S108" s="25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ht="18" customHeight="1" x14ac:dyDescent="0.2">
      <c r="A109" s="7">
        <v>1</v>
      </c>
      <c r="B109" s="11" t="s">
        <v>151</v>
      </c>
      <c r="D109" s="5">
        <v>3</v>
      </c>
      <c r="F109" s="37" t="s">
        <v>169</v>
      </c>
      <c r="G109" s="38"/>
      <c r="H109" s="37" t="s">
        <v>189</v>
      </c>
      <c r="I109" s="38"/>
      <c r="J109" s="37"/>
      <c r="L109" s="7"/>
      <c r="M109" s="11" t="s">
        <v>73</v>
      </c>
      <c r="O109" s="5">
        <v>12</v>
      </c>
      <c r="S109" s="25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">
      <c r="A110" s="80"/>
      <c r="C110" s="51"/>
      <c r="D110" s="79"/>
      <c r="F110" s="82"/>
      <c r="G110" s="56"/>
      <c r="H110" s="82"/>
      <c r="I110" s="56"/>
      <c r="J110" s="82"/>
      <c r="L110" s="80"/>
      <c r="M110" s="10"/>
      <c r="O110" s="79"/>
      <c r="S110" s="25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ht="18" customHeight="1" x14ac:dyDescent="0.2">
      <c r="A111" s="80"/>
      <c r="C111" s="51"/>
      <c r="D111" s="4"/>
      <c r="F111" s="56"/>
      <c r="G111" s="56"/>
      <c r="H111" s="56"/>
      <c r="I111" s="56"/>
      <c r="J111" s="56"/>
      <c r="L111" s="80"/>
      <c r="M111" s="10"/>
      <c r="O111" s="4"/>
      <c r="S111" s="25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ht="18" customHeight="1" x14ac:dyDescent="0.2">
      <c r="B112" s="10"/>
      <c r="D112" s="4"/>
      <c r="F112" s="39"/>
      <c r="G112" s="39"/>
      <c r="H112" s="39"/>
      <c r="I112" s="39"/>
      <c r="J112" s="39"/>
      <c r="M112" s="10"/>
      <c r="O112" s="4"/>
      <c r="S112" s="25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ht="18" customHeight="1" x14ac:dyDescent="0.2">
      <c r="A113" s="17"/>
      <c r="B113" s="17"/>
      <c r="D113" s="106" t="s">
        <v>22</v>
      </c>
      <c r="E113" s="107"/>
      <c r="F113" s="107"/>
      <c r="G113" s="107"/>
      <c r="H113" s="107"/>
      <c r="I113" s="107"/>
      <c r="J113" s="107"/>
      <c r="K113" s="107"/>
      <c r="L113" s="107"/>
      <c r="S113" s="25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">
      <c r="F114" s="40"/>
      <c r="G114" s="40"/>
      <c r="H114" s="40"/>
      <c r="I114" s="40"/>
      <c r="J114" s="40"/>
      <c r="S114" s="25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ht="18" customHeight="1" x14ac:dyDescent="0.2">
      <c r="A115" s="7">
        <v>1</v>
      </c>
      <c r="B115" s="11" t="s">
        <v>100</v>
      </c>
      <c r="D115" s="5">
        <v>2</v>
      </c>
      <c r="E115" s="41"/>
      <c r="F115" s="37" t="s">
        <v>166</v>
      </c>
      <c r="G115" s="38"/>
      <c r="H115" s="37" t="s">
        <v>167</v>
      </c>
      <c r="I115" s="38"/>
      <c r="J115" s="37"/>
      <c r="K115" s="41"/>
      <c r="L115" s="7"/>
      <c r="M115" s="11" t="s">
        <v>87</v>
      </c>
      <c r="O115" s="5">
        <v>12</v>
      </c>
      <c r="S115" s="25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">
      <c r="B116" s="10"/>
      <c r="D116" s="4"/>
      <c r="F116" s="39"/>
      <c r="G116" s="39"/>
      <c r="H116" s="39"/>
      <c r="I116" s="39"/>
      <c r="J116" s="39"/>
      <c r="M116" s="10"/>
      <c r="O116" s="4"/>
      <c r="S116" s="25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ht="18" customHeight="1" x14ac:dyDescent="0.2">
      <c r="A117" s="17"/>
      <c r="B117" s="17"/>
      <c r="D117" s="106" t="s">
        <v>23</v>
      </c>
      <c r="E117" s="107"/>
      <c r="F117" s="107"/>
      <c r="G117" s="107"/>
      <c r="H117" s="107"/>
      <c r="I117" s="107"/>
      <c r="J117" s="107"/>
      <c r="K117" s="107"/>
      <c r="L117" s="107"/>
      <c r="S117" s="25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ht="18" customHeight="1" x14ac:dyDescent="0.2">
      <c r="F118" s="40"/>
      <c r="G118" s="40"/>
      <c r="H118" s="40"/>
      <c r="I118" s="40"/>
      <c r="J118" s="40"/>
      <c r="S118" s="25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ht="18" customHeight="1" x14ac:dyDescent="0.2">
      <c r="A119" s="7">
        <v>1</v>
      </c>
      <c r="B119" s="11" t="s">
        <v>98</v>
      </c>
      <c r="D119" s="5">
        <v>2</v>
      </c>
      <c r="F119" s="37" t="s">
        <v>166</v>
      </c>
      <c r="G119" s="38"/>
      <c r="H119" s="37" t="s">
        <v>166</v>
      </c>
      <c r="I119" s="38"/>
      <c r="J119" s="37"/>
      <c r="L119" s="7"/>
      <c r="M119" s="11" t="s">
        <v>82</v>
      </c>
      <c r="O119" s="5">
        <v>12</v>
      </c>
      <c r="S119" s="25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">
      <c r="B120" s="11" t="s">
        <v>101</v>
      </c>
      <c r="F120" s="40"/>
      <c r="G120" s="40"/>
      <c r="H120" s="40"/>
      <c r="I120" s="40"/>
      <c r="J120" s="40"/>
      <c r="M120" s="11" t="s">
        <v>88</v>
      </c>
      <c r="S120" s="25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">
      <c r="B121" s="10"/>
      <c r="F121" s="40"/>
      <c r="G121" s="40"/>
      <c r="H121" s="40"/>
      <c r="I121" s="40"/>
      <c r="J121" s="40"/>
      <c r="M121" s="10"/>
      <c r="S121" s="25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ht="18" customHeight="1" x14ac:dyDescent="0.2">
      <c r="A122" s="17"/>
      <c r="B122" s="17"/>
      <c r="D122" s="106" t="s">
        <v>24</v>
      </c>
      <c r="E122" s="107"/>
      <c r="F122" s="107"/>
      <c r="G122" s="107"/>
      <c r="H122" s="107"/>
      <c r="I122" s="107"/>
      <c r="J122" s="107"/>
      <c r="K122" s="107"/>
      <c r="L122" s="107"/>
      <c r="S122" s="25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ht="18" customHeight="1" x14ac:dyDescent="0.2">
      <c r="F123" s="40"/>
      <c r="G123" s="40"/>
      <c r="H123" s="40"/>
      <c r="I123" s="40"/>
      <c r="J123" s="40"/>
      <c r="S123" s="25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ht="18" customHeight="1" x14ac:dyDescent="0.2">
      <c r="A124" s="7">
        <v>1</v>
      </c>
      <c r="B124" s="11" t="s">
        <v>150</v>
      </c>
      <c r="D124" s="5">
        <v>5</v>
      </c>
      <c r="F124" s="37" t="s">
        <v>168</v>
      </c>
      <c r="G124" s="38"/>
      <c r="H124" s="37" t="s">
        <v>169</v>
      </c>
      <c r="I124" s="38"/>
      <c r="J124" s="37"/>
      <c r="L124" s="7"/>
      <c r="M124" s="11" t="s">
        <v>72</v>
      </c>
      <c r="O124" s="5">
        <v>12</v>
      </c>
      <c r="S124" s="25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">
      <c r="A125" s="7"/>
      <c r="B125" s="11" t="s">
        <v>152</v>
      </c>
      <c r="F125" s="42"/>
      <c r="G125" s="42"/>
      <c r="H125" s="42"/>
      <c r="I125" s="42"/>
      <c r="J125" s="42"/>
      <c r="L125" s="7"/>
      <c r="M125" s="11" t="s">
        <v>74</v>
      </c>
      <c r="S125" s="25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">
      <c r="A126" s="17"/>
      <c r="B126" s="47"/>
      <c r="C126" s="10"/>
      <c r="D126" s="4"/>
      <c r="E126" s="10"/>
      <c r="F126" s="56"/>
      <c r="G126" s="56"/>
      <c r="H126" s="56"/>
      <c r="I126" s="56"/>
      <c r="J126" s="56"/>
      <c r="K126" s="10"/>
      <c r="L126" s="17"/>
      <c r="M126" s="47"/>
      <c r="N126" s="10"/>
      <c r="O126" s="4"/>
      <c r="S126" s="25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ht="18" customHeight="1" x14ac:dyDescent="0.2">
      <c r="A127" s="10"/>
      <c r="B127" s="47"/>
      <c r="C127" s="10"/>
      <c r="D127" s="4"/>
      <c r="E127" s="10"/>
      <c r="F127" s="57"/>
      <c r="G127" s="57"/>
      <c r="H127" s="57"/>
      <c r="I127" s="57"/>
      <c r="J127" s="57"/>
      <c r="K127" s="10"/>
      <c r="L127" s="10"/>
      <c r="M127" s="47"/>
      <c r="N127" s="10"/>
      <c r="O127" s="4"/>
      <c r="S127" s="25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ht="18" customHeight="1" x14ac:dyDescent="0.2">
      <c r="B128" s="10"/>
      <c r="F128" s="40"/>
      <c r="G128" s="40"/>
      <c r="H128" s="40"/>
      <c r="I128" s="40"/>
      <c r="J128" s="40"/>
      <c r="M128" s="10"/>
      <c r="S128" s="25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ht="18" customHeight="1" x14ac:dyDescent="0.2">
      <c r="A129" s="17"/>
      <c r="B129" s="17"/>
      <c r="D129" s="106" t="s">
        <v>25</v>
      </c>
      <c r="E129" s="107"/>
      <c r="F129" s="107"/>
      <c r="G129" s="107"/>
      <c r="H129" s="107"/>
      <c r="I129" s="107"/>
      <c r="J129" s="107"/>
      <c r="K129" s="107"/>
      <c r="L129" s="107"/>
      <c r="S129" s="25"/>
      <c r="T129" s="24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ht="18" customHeight="1" x14ac:dyDescent="0.2">
      <c r="F130" s="40"/>
      <c r="G130" s="40"/>
      <c r="H130" s="40"/>
      <c r="I130" s="40"/>
      <c r="J130" s="40"/>
      <c r="S130" s="25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ht="18" customHeight="1" x14ac:dyDescent="0.2">
      <c r="A131" s="7">
        <v>1</v>
      </c>
      <c r="B131" s="11" t="s">
        <v>97</v>
      </c>
      <c r="D131" s="5">
        <v>10</v>
      </c>
      <c r="F131" s="37" t="s">
        <v>188</v>
      </c>
      <c r="G131" s="38"/>
      <c r="H131" s="37" t="s">
        <v>174</v>
      </c>
      <c r="I131" s="38"/>
      <c r="J131" s="37" t="s">
        <v>176</v>
      </c>
      <c r="L131" s="7"/>
      <c r="M131" s="11" t="s">
        <v>83</v>
      </c>
      <c r="O131" s="5">
        <v>12</v>
      </c>
      <c r="S131" s="25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">
      <c r="B132" s="11" t="s">
        <v>149</v>
      </c>
      <c r="M132" s="11" t="s">
        <v>71</v>
      </c>
      <c r="S132" s="25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">
      <c r="S133" s="25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ht="18" customHeight="1" x14ac:dyDescent="0.2">
      <c r="B134" s="41" t="s">
        <v>4</v>
      </c>
      <c r="C134" s="9"/>
      <c r="D134" s="3">
        <f>SUM(D109:D131)</f>
        <v>22</v>
      </c>
      <c r="F134" s="108" t="s">
        <v>15</v>
      </c>
      <c r="G134" s="109"/>
      <c r="H134" s="109"/>
      <c r="I134" s="109"/>
      <c r="J134" s="43" t="s">
        <v>16</v>
      </c>
      <c r="M134" s="41" t="s">
        <v>4</v>
      </c>
      <c r="N134" s="9"/>
      <c r="O134" s="3">
        <f>SUM(O109:O131)</f>
        <v>60</v>
      </c>
      <c r="S134" s="25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ht="18" customHeight="1" x14ac:dyDescent="0.2">
      <c r="C135" s="10"/>
      <c r="D135" s="4"/>
      <c r="F135" s="101"/>
      <c r="G135" s="102"/>
      <c r="H135" s="102"/>
      <c r="I135" s="103"/>
      <c r="J135" s="44"/>
      <c r="N135" s="10"/>
      <c r="O135" s="4"/>
      <c r="S135" s="25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">
      <c r="B136" s="11"/>
      <c r="C136" s="11"/>
      <c r="D136" s="5"/>
      <c r="F136" s="101"/>
      <c r="G136" s="102"/>
      <c r="H136" s="102"/>
      <c r="I136" s="103"/>
      <c r="J136" s="44"/>
      <c r="M136" s="11"/>
      <c r="N136" s="11"/>
      <c r="O136" s="5"/>
      <c r="S136" s="25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ht="18" customHeight="1" x14ac:dyDescent="0.2">
      <c r="B137" s="104" t="s">
        <v>5</v>
      </c>
      <c r="C137" s="105"/>
      <c r="D137" s="105"/>
      <c r="F137" s="101"/>
      <c r="G137" s="102"/>
      <c r="H137" s="102"/>
      <c r="I137" s="103"/>
      <c r="J137" s="44"/>
      <c r="M137" s="104" t="s">
        <v>5</v>
      </c>
      <c r="N137" s="105"/>
      <c r="O137" s="105"/>
      <c r="S137" s="25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">
      <c r="D138" s="4"/>
      <c r="E138" s="10"/>
      <c r="F138" s="101"/>
      <c r="G138" s="102"/>
      <c r="H138" s="102"/>
      <c r="I138" s="103"/>
      <c r="J138" s="44"/>
      <c r="K138" s="10"/>
      <c r="S138" s="25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ht="12.75" customHeight="1" x14ac:dyDescent="0.2">
      <c r="B139" s="45" t="s">
        <v>35</v>
      </c>
      <c r="C139" s="46">
        <v>1</v>
      </c>
      <c r="D139" s="8" t="s">
        <v>8</v>
      </c>
      <c r="E139" s="47"/>
      <c r="F139" s="101"/>
      <c r="G139" s="102"/>
      <c r="H139" s="102"/>
      <c r="I139" s="103"/>
      <c r="J139" s="44"/>
      <c r="K139" s="47"/>
      <c r="L139" s="48"/>
      <c r="M139" s="45" t="s">
        <v>35</v>
      </c>
      <c r="N139" s="46">
        <v>1</v>
      </c>
      <c r="O139" s="8" t="s">
        <v>8</v>
      </c>
      <c r="S139" s="25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">
      <c r="B140" s="49" t="s">
        <v>19</v>
      </c>
      <c r="C140" s="50">
        <v>2</v>
      </c>
      <c r="D140" s="1" t="s">
        <v>8</v>
      </c>
      <c r="E140" s="47"/>
      <c r="F140" s="101"/>
      <c r="G140" s="102"/>
      <c r="H140" s="102"/>
      <c r="I140" s="103"/>
      <c r="J140" s="44"/>
      <c r="K140" s="47"/>
      <c r="L140" s="51"/>
      <c r="M140" s="49" t="s">
        <v>19</v>
      </c>
      <c r="N140" s="50">
        <v>2</v>
      </c>
      <c r="O140" s="1" t="s">
        <v>8</v>
      </c>
      <c r="S140" s="25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">
      <c r="B141" s="49" t="s">
        <v>20</v>
      </c>
      <c r="C141" s="50">
        <v>3</v>
      </c>
      <c r="D141" s="1" t="s">
        <v>9</v>
      </c>
      <c r="E141" s="47"/>
      <c r="F141" s="101"/>
      <c r="G141" s="102"/>
      <c r="H141" s="102"/>
      <c r="I141" s="103"/>
      <c r="J141" s="44"/>
      <c r="K141" s="47"/>
      <c r="L141" s="51"/>
      <c r="M141" s="49" t="s">
        <v>20</v>
      </c>
      <c r="N141" s="50">
        <v>3</v>
      </c>
      <c r="O141" s="1" t="s">
        <v>9</v>
      </c>
      <c r="S141" s="25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">
      <c r="B142" s="49" t="s">
        <v>14</v>
      </c>
      <c r="C142" s="50">
        <v>6</v>
      </c>
      <c r="D142" s="1" t="s">
        <v>9</v>
      </c>
      <c r="E142" s="47"/>
      <c r="F142" s="101"/>
      <c r="G142" s="102"/>
      <c r="H142" s="102"/>
      <c r="I142" s="103"/>
      <c r="J142" s="44"/>
      <c r="K142" s="47"/>
      <c r="L142" s="51"/>
      <c r="M142" s="49" t="s">
        <v>14</v>
      </c>
      <c r="N142" s="50">
        <v>6</v>
      </c>
      <c r="O142" s="1" t="s">
        <v>9</v>
      </c>
      <c r="S142" s="25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">
      <c r="B143" s="49" t="s">
        <v>17</v>
      </c>
      <c r="C143" s="50">
        <v>12</v>
      </c>
      <c r="D143" s="1" t="s">
        <v>9</v>
      </c>
      <c r="E143" s="47"/>
      <c r="F143" s="101"/>
      <c r="G143" s="102"/>
      <c r="H143" s="102"/>
      <c r="I143" s="103"/>
      <c r="J143" s="44"/>
      <c r="K143" s="47"/>
      <c r="L143" s="51"/>
      <c r="M143" s="49" t="s">
        <v>17</v>
      </c>
      <c r="N143" s="50">
        <v>12</v>
      </c>
      <c r="O143" s="1" t="s">
        <v>9</v>
      </c>
      <c r="S143" s="25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">
      <c r="B144" s="52" t="s">
        <v>18</v>
      </c>
      <c r="C144" s="53">
        <v>10</v>
      </c>
      <c r="D144" s="2" t="s">
        <v>9</v>
      </c>
      <c r="E144" s="47"/>
      <c r="F144" s="101"/>
      <c r="G144" s="102"/>
      <c r="H144" s="102"/>
      <c r="I144" s="103"/>
      <c r="J144" s="44"/>
      <c r="K144" s="47"/>
      <c r="L144" s="51"/>
      <c r="M144" s="52" t="s">
        <v>18</v>
      </c>
      <c r="N144" s="53">
        <v>10</v>
      </c>
      <c r="O144" s="2" t="s">
        <v>9</v>
      </c>
      <c r="S144" s="25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">
      <c r="S145" s="25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ht="18" x14ac:dyDescent="0.25">
      <c r="I146" s="26"/>
      <c r="J146" s="26"/>
      <c r="K146" s="120" t="s">
        <v>7</v>
      </c>
      <c r="L146" s="120"/>
      <c r="M146" s="120"/>
      <c r="N146" s="120"/>
      <c r="O146" s="120"/>
      <c r="S146" s="25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ht="18" x14ac:dyDescent="0.25">
      <c r="I147" s="26"/>
      <c r="J147" s="26"/>
      <c r="K147" s="115" t="s">
        <v>6</v>
      </c>
      <c r="L147" s="115"/>
      <c r="M147" s="115"/>
      <c r="N147" s="115"/>
      <c r="O147" s="115"/>
      <c r="S147" s="25"/>
      <c r="T147" s="10"/>
      <c r="U147" s="25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ht="18" x14ac:dyDescent="0.25">
      <c r="K148" s="115"/>
      <c r="L148" s="115"/>
      <c r="M148" s="115"/>
      <c r="N148" s="115"/>
      <c r="O148" s="115"/>
      <c r="S148" s="25"/>
      <c r="T148" s="10"/>
      <c r="U148" s="10"/>
      <c r="V148" s="10"/>
      <c r="W148" s="10"/>
      <c r="X148" s="123"/>
      <c r="Y148" s="121"/>
      <c r="Z148" s="10"/>
      <c r="AA148" s="10"/>
      <c r="AB148" s="121"/>
      <c r="AC148" s="121"/>
      <c r="AD148" s="10"/>
      <c r="AE148" s="10"/>
      <c r="AF148" s="121"/>
      <c r="AG148" s="121"/>
      <c r="AH148" s="10"/>
      <c r="AI148" s="10"/>
      <c r="AJ148" s="121"/>
      <c r="AK148" s="121"/>
      <c r="AL148" s="10"/>
      <c r="AM148" s="10"/>
      <c r="AN148" s="121"/>
      <c r="AO148" s="121"/>
      <c r="AP148" s="10"/>
      <c r="AQ148" s="10"/>
      <c r="AR148" s="121"/>
      <c r="AS148" s="121"/>
      <c r="AT148" s="10"/>
      <c r="AU148" s="10"/>
      <c r="AV148" s="121"/>
      <c r="AW148" s="121"/>
      <c r="AX148" s="10"/>
    </row>
    <row r="149" spans="1:50" x14ac:dyDescent="0.2">
      <c r="A149" s="28" t="s">
        <v>160</v>
      </c>
      <c r="B149" s="29"/>
      <c r="C149" s="113" t="s">
        <v>161</v>
      </c>
      <c r="D149" s="116"/>
      <c r="E149" s="116"/>
      <c r="F149" s="116"/>
      <c r="G149" s="116"/>
      <c r="H149" s="116"/>
      <c r="I149" s="116"/>
      <c r="J149" s="116"/>
      <c r="K149" s="116"/>
      <c r="L149" s="11"/>
      <c r="M149" s="31" t="s">
        <v>162</v>
      </c>
      <c r="N149" s="11"/>
      <c r="O149" s="5"/>
      <c r="S149" s="25"/>
      <c r="T149" s="10"/>
      <c r="U149" s="25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">
      <c r="B150" s="32"/>
      <c r="C150" s="10"/>
      <c r="E150" s="10"/>
      <c r="F150" s="33"/>
      <c r="G150" s="33"/>
      <c r="H150" s="33"/>
      <c r="I150" s="33"/>
      <c r="J150" s="34"/>
      <c r="K150" s="35"/>
      <c r="L150" s="10"/>
      <c r="M150" s="10"/>
      <c r="S150" s="25"/>
      <c r="T150" s="10"/>
      <c r="U150" s="10"/>
      <c r="V150" s="25"/>
      <c r="W150" s="10"/>
      <c r="X150" s="10"/>
      <c r="Y150" s="121"/>
      <c r="Z150" s="121"/>
      <c r="AA150" s="10"/>
      <c r="AB150" s="10"/>
      <c r="AC150" s="121"/>
      <c r="AD150" s="121"/>
      <c r="AE150" s="10"/>
      <c r="AF150" s="10"/>
      <c r="AG150" s="121"/>
      <c r="AH150" s="121"/>
      <c r="AI150" s="10"/>
      <c r="AJ150" s="10"/>
      <c r="AK150" s="121"/>
      <c r="AL150" s="121"/>
      <c r="AM150" s="10"/>
      <c r="AN150" s="10"/>
      <c r="AO150" s="121"/>
      <c r="AP150" s="121"/>
      <c r="AQ150" s="10"/>
      <c r="AR150" s="10"/>
      <c r="AS150" s="121"/>
      <c r="AT150" s="121"/>
      <c r="AU150" s="10"/>
      <c r="AV150" s="10"/>
      <c r="AW150" s="121"/>
      <c r="AX150" s="121"/>
    </row>
    <row r="151" spans="1:50" ht="15" x14ac:dyDescent="0.25">
      <c r="A151" s="117" t="s">
        <v>10</v>
      </c>
      <c r="B151" s="116"/>
      <c r="C151" s="116"/>
      <c r="D151" s="116"/>
      <c r="E151" s="10"/>
      <c r="F151" s="36" t="s">
        <v>12</v>
      </c>
      <c r="G151" s="36"/>
      <c r="H151" s="36"/>
      <c r="I151" s="114" t="s">
        <v>13</v>
      </c>
      <c r="J151" s="118"/>
      <c r="K151" s="6"/>
      <c r="L151" s="119" t="s">
        <v>11</v>
      </c>
      <c r="M151" s="119"/>
      <c r="N151" s="119"/>
      <c r="O151" s="119"/>
      <c r="S151" s="25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21"/>
      <c r="AL151" s="121"/>
      <c r="AM151" s="10"/>
      <c r="AN151" s="10"/>
      <c r="AO151" s="121"/>
      <c r="AP151" s="121"/>
      <c r="AQ151" s="10"/>
      <c r="AR151" s="10"/>
      <c r="AS151" s="121"/>
      <c r="AT151" s="121"/>
      <c r="AU151" s="10"/>
      <c r="AV151" s="10"/>
      <c r="AW151" s="121"/>
      <c r="AX151" s="121"/>
    </row>
    <row r="152" spans="1:50" ht="15" x14ac:dyDescent="0.25">
      <c r="A152" s="110" t="s">
        <v>126</v>
      </c>
      <c r="B152" s="111"/>
      <c r="C152" s="111"/>
      <c r="D152" s="111"/>
      <c r="E152" s="10"/>
      <c r="F152" s="73" t="s">
        <v>46</v>
      </c>
      <c r="G152" s="36"/>
      <c r="H152" s="36"/>
      <c r="I152" s="112" t="s">
        <v>28</v>
      </c>
      <c r="J152" s="111"/>
      <c r="K152" s="25"/>
      <c r="L152" s="110" t="s">
        <v>33</v>
      </c>
      <c r="M152" s="111"/>
      <c r="N152" s="111"/>
      <c r="O152" s="111"/>
      <c r="S152" s="25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">
      <c r="S153" s="25"/>
      <c r="T153" s="10"/>
      <c r="U153" s="25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">
      <c r="A154" s="113"/>
      <c r="B154" s="113"/>
      <c r="D154" s="106" t="s">
        <v>21</v>
      </c>
      <c r="E154" s="107"/>
      <c r="F154" s="107"/>
      <c r="G154" s="107"/>
      <c r="H154" s="107"/>
      <c r="I154" s="107"/>
      <c r="J154" s="107"/>
      <c r="K154" s="107"/>
      <c r="L154" s="107"/>
      <c r="S154" s="25"/>
      <c r="T154" s="10"/>
      <c r="U154" s="10"/>
      <c r="V154" s="25"/>
      <c r="W154" s="10"/>
      <c r="X154" s="10"/>
      <c r="Y154" s="121"/>
      <c r="Z154" s="121"/>
      <c r="AA154" s="10"/>
      <c r="AB154" s="10"/>
      <c r="AC154" s="121"/>
      <c r="AD154" s="121"/>
      <c r="AE154" s="10"/>
      <c r="AF154" s="10"/>
      <c r="AG154" s="121"/>
      <c r="AH154" s="121"/>
      <c r="AI154" s="10"/>
      <c r="AJ154" s="10"/>
      <c r="AK154" s="121"/>
      <c r="AL154" s="121"/>
      <c r="AM154" s="10"/>
      <c r="AN154" s="10"/>
      <c r="AO154" s="121"/>
      <c r="AP154" s="121"/>
      <c r="AQ154" s="10"/>
      <c r="AR154" s="10"/>
      <c r="AS154" s="121"/>
      <c r="AT154" s="121"/>
      <c r="AU154" s="10"/>
      <c r="AV154" s="10"/>
      <c r="AW154" s="121"/>
      <c r="AX154" s="121"/>
    </row>
    <row r="155" spans="1:50" x14ac:dyDescent="0.2">
      <c r="S155" s="24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21"/>
      <c r="AL155" s="121"/>
      <c r="AM155" s="10"/>
      <c r="AN155" s="10"/>
      <c r="AO155" s="121"/>
      <c r="AP155" s="121"/>
      <c r="AQ155" s="10"/>
      <c r="AR155" s="10"/>
      <c r="AS155" s="121"/>
      <c r="AT155" s="121"/>
      <c r="AU155" s="10"/>
      <c r="AV155" s="10"/>
      <c r="AW155" s="121"/>
      <c r="AX155" s="121"/>
    </row>
    <row r="156" spans="1:50" x14ac:dyDescent="0.2">
      <c r="A156" s="28" t="s">
        <v>0</v>
      </c>
      <c r="B156" s="7" t="s">
        <v>1</v>
      </c>
      <c r="C156" s="28"/>
      <c r="D156" s="7" t="s">
        <v>2</v>
      </c>
      <c r="E156" s="28"/>
      <c r="F156" s="114" t="s">
        <v>3</v>
      </c>
      <c r="G156" s="114"/>
      <c r="H156" s="114"/>
      <c r="I156" s="114"/>
      <c r="J156" s="114"/>
      <c r="K156" s="28"/>
      <c r="L156" s="28" t="s">
        <v>0</v>
      </c>
      <c r="M156" s="7" t="s">
        <v>1</v>
      </c>
      <c r="N156" s="28"/>
      <c r="O156" s="7" t="s">
        <v>2</v>
      </c>
      <c r="S156" s="25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ht="18" customHeight="1" x14ac:dyDescent="0.2">
      <c r="A157" s="7">
        <v>1</v>
      </c>
      <c r="B157" s="11" t="s">
        <v>72</v>
      </c>
      <c r="D157" s="5">
        <v>12</v>
      </c>
      <c r="F157" s="37" t="s">
        <v>190</v>
      </c>
      <c r="G157" s="38"/>
      <c r="H157" s="37" t="s">
        <v>172</v>
      </c>
      <c r="I157" s="38"/>
      <c r="J157" s="37"/>
      <c r="L157" s="7"/>
      <c r="M157" s="11" t="s">
        <v>165</v>
      </c>
      <c r="O157" s="5">
        <v>3</v>
      </c>
      <c r="S157" s="25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">
      <c r="A158" s="80"/>
      <c r="B158" s="10"/>
      <c r="C158" s="51"/>
      <c r="D158" s="79"/>
      <c r="F158" s="82"/>
      <c r="G158" s="56"/>
      <c r="H158" s="82"/>
      <c r="I158" s="56"/>
      <c r="J158" s="82"/>
      <c r="L158" s="80"/>
      <c r="O158" s="79"/>
      <c r="S158" s="25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">
      <c r="A159" s="80"/>
      <c r="B159" s="10"/>
      <c r="C159" s="51"/>
      <c r="D159" s="4"/>
      <c r="F159" s="56"/>
      <c r="G159" s="56"/>
      <c r="H159" s="56"/>
      <c r="I159" s="56"/>
      <c r="J159" s="56"/>
      <c r="L159" s="80"/>
      <c r="O159" s="4"/>
      <c r="S159" s="25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ht="18" customHeight="1" x14ac:dyDescent="0.2">
      <c r="B160" s="10"/>
      <c r="D160" s="4"/>
      <c r="F160" s="39"/>
      <c r="G160" s="39"/>
      <c r="H160" s="39"/>
      <c r="I160" s="39"/>
      <c r="J160" s="39"/>
      <c r="M160" s="10"/>
      <c r="O160" s="4"/>
      <c r="S160" s="25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ht="18" customHeight="1" x14ac:dyDescent="0.2">
      <c r="D161" s="106" t="s">
        <v>22</v>
      </c>
      <c r="E161" s="107"/>
      <c r="F161" s="107"/>
      <c r="G161" s="107"/>
      <c r="H161" s="107"/>
      <c r="I161" s="107"/>
      <c r="J161" s="107"/>
      <c r="K161" s="107"/>
      <c r="L161" s="107"/>
      <c r="M161" s="83"/>
      <c r="S161" s="25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ht="18" customHeight="1" x14ac:dyDescent="0.2">
      <c r="F162" s="40"/>
      <c r="G162" s="40"/>
      <c r="H162" s="40"/>
      <c r="I162" s="40"/>
      <c r="J162" s="40"/>
      <c r="S162" s="25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ht="18" customHeight="1" x14ac:dyDescent="0.2">
      <c r="A163" s="7">
        <v>1</v>
      </c>
      <c r="B163" s="11" t="s">
        <v>82</v>
      </c>
      <c r="D163" s="5">
        <v>12</v>
      </c>
      <c r="E163" s="41"/>
      <c r="F163" s="37" t="s">
        <v>191</v>
      </c>
      <c r="G163" s="38"/>
      <c r="H163" s="37" t="s">
        <v>192</v>
      </c>
      <c r="I163" s="38"/>
      <c r="J163" s="37"/>
      <c r="K163" s="41"/>
      <c r="L163" s="7"/>
      <c r="M163" s="11" t="s">
        <v>105</v>
      </c>
      <c r="O163" s="5">
        <v>2</v>
      </c>
      <c r="S163" s="25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">
      <c r="B164" s="10"/>
      <c r="D164" s="4"/>
      <c r="F164" s="39"/>
      <c r="G164" s="39"/>
      <c r="H164" s="39"/>
      <c r="I164" s="39"/>
      <c r="J164" s="39"/>
      <c r="M164" s="10"/>
      <c r="O164" s="4"/>
      <c r="S164" s="25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">
      <c r="D165" s="106" t="s">
        <v>23</v>
      </c>
      <c r="E165" s="107"/>
      <c r="F165" s="107"/>
      <c r="G165" s="107"/>
      <c r="H165" s="107"/>
      <c r="I165" s="107"/>
      <c r="J165" s="107"/>
      <c r="K165" s="107"/>
      <c r="L165" s="107"/>
      <c r="M165" s="83"/>
      <c r="S165" s="25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ht="18" customHeight="1" x14ac:dyDescent="0.2">
      <c r="F166" s="40"/>
      <c r="G166" s="40"/>
      <c r="H166" s="40"/>
      <c r="I166" s="40"/>
      <c r="J166" s="40"/>
      <c r="S166" s="25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ht="18" customHeight="1" x14ac:dyDescent="0.2">
      <c r="A167" s="7">
        <v>1</v>
      </c>
      <c r="B167" s="11" t="s">
        <v>141</v>
      </c>
      <c r="D167" s="5">
        <v>12</v>
      </c>
      <c r="F167" s="37" t="s">
        <v>181</v>
      </c>
      <c r="G167" s="38"/>
      <c r="H167" s="37" t="s">
        <v>173</v>
      </c>
      <c r="I167" s="38"/>
      <c r="J167" s="37"/>
      <c r="L167" s="7"/>
      <c r="M167" s="11" t="s">
        <v>157</v>
      </c>
      <c r="O167" s="5">
        <v>4</v>
      </c>
      <c r="S167" s="25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">
      <c r="B168" s="11" t="s">
        <v>83</v>
      </c>
      <c r="F168" s="40"/>
      <c r="G168" s="40"/>
      <c r="H168" s="40"/>
      <c r="I168" s="40"/>
      <c r="J168" s="40"/>
      <c r="M168" s="11" t="s">
        <v>156</v>
      </c>
      <c r="S168" s="25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">
      <c r="B169" s="10"/>
      <c r="F169" s="40"/>
      <c r="G169" s="40"/>
      <c r="H169" s="40"/>
      <c r="I169" s="40"/>
      <c r="J169" s="40"/>
      <c r="M169" s="10"/>
      <c r="S169" s="25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">
      <c r="D170" s="106" t="s">
        <v>24</v>
      </c>
      <c r="E170" s="107"/>
      <c r="F170" s="107"/>
      <c r="G170" s="107"/>
      <c r="H170" s="107"/>
      <c r="I170" s="107"/>
      <c r="J170" s="107"/>
      <c r="K170" s="107"/>
      <c r="L170" s="107"/>
      <c r="M170" s="83"/>
      <c r="S170" s="25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ht="18" customHeight="1" x14ac:dyDescent="0.2">
      <c r="F171" s="40"/>
      <c r="G171" s="40"/>
      <c r="H171" s="40"/>
      <c r="I171" s="40"/>
      <c r="J171" s="40"/>
      <c r="S171" s="25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ht="18" customHeight="1" x14ac:dyDescent="0.2">
      <c r="A172" s="7">
        <v>1</v>
      </c>
      <c r="B172" s="11" t="s">
        <v>75</v>
      </c>
      <c r="D172" s="5">
        <v>12</v>
      </c>
      <c r="F172" s="37" t="s">
        <v>178</v>
      </c>
      <c r="G172" s="38"/>
      <c r="H172" s="37" t="s">
        <v>193</v>
      </c>
      <c r="I172" s="38"/>
      <c r="J172" s="37"/>
      <c r="L172" s="7"/>
      <c r="M172" s="11" t="s">
        <v>103</v>
      </c>
      <c r="O172" s="5">
        <v>4</v>
      </c>
      <c r="S172" s="25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">
      <c r="A173" s="7"/>
      <c r="B173" s="11" t="s">
        <v>78</v>
      </c>
      <c r="F173" s="42"/>
      <c r="G173" s="42"/>
      <c r="H173" s="42"/>
      <c r="I173" s="42"/>
      <c r="J173" s="42"/>
      <c r="L173" s="7"/>
      <c r="M173" s="11" t="s">
        <v>155</v>
      </c>
      <c r="S173" s="25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">
      <c r="A174" s="17"/>
      <c r="B174" s="47"/>
      <c r="C174" s="10"/>
      <c r="D174" s="4"/>
      <c r="E174" s="10"/>
      <c r="F174" s="56"/>
      <c r="G174" s="56"/>
      <c r="H174" s="56"/>
      <c r="I174" s="56"/>
      <c r="J174" s="56"/>
      <c r="K174" s="10"/>
      <c r="L174" s="17"/>
      <c r="M174" s="47"/>
      <c r="N174" s="10"/>
      <c r="O174" s="4"/>
      <c r="S174" s="25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">
      <c r="A175" s="10"/>
      <c r="B175" s="47"/>
      <c r="C175" s="10"/>
      <c r="D175" s="4"/>
      <c r="E175" s="10"/>
      <c r="F175" s="57"/>
      <c r="G175" s="57"/>
      <c r="H175" s="57"/>
      <c r="I175" s="57"/>
      <c r="J175" s="57"/>
      <c r="K175" s="10"/>
      <c r="L175" s="10"/>
      <c r="M175" s="47"/>
      <c r="N175" s="10"/>
      <c r="O175" s="4"/>
      <c r="Q175" s="22">
        <v>0</v>
      </c>
      <c r="S175" s="25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ht="18" customHeight="1" x14ac:dyDescent="0.2">
      <c r="B176" s="10"/>
      <c r="F176" s="40"/>
      <c r="G176" s="40"/>
      <c r="H176" s="40"/>
      <c r="I176" s="40"/>
      <c r="J176" s="40"/>
      <c r="M176" s="10"/>
      <c r="S176" s="25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ht="18" customHeight="1" x14ac:dyDescent="0.2">
      <c r="D177" s="106" t="s">
        <v>25</v>
      </c>
      <c r="E177" s="107"/>
      <c r="F177" s="107"/>
      <c r="G177" s="107"/>
      <c r="H177" s="107"/>
      <c r="I177" s="107"/>
      <c r="J177" s="107"/>
      <c r="K177" s="107"/>
      <c r="L177" s="107"/>
      <c r="M177" s="83"/>
      <c r="S177" s="25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ht="18" customHeight="1" x14ac:dyDescent="0.2">
      <c r="F178" s="40"/>
      <c r="G178" s="40"/>
      <c r="H178" s="40"/>
      <c r="I178" s="40"/>
      <c r="J178" s="40"/>
      <c r="S178" s="25"/>
      <c r="T178" s="24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ht="18" customHeight="1" x14ac:dyDescent="0.2">
      <c r="A179" s="7">
        <v>1</v>
      </c>
      <c r="B179" s="11" t="s">
        <v>84</v>
      </c>
      <c r="D179" s="5">
        <v>12</v>
      </c>
      <c r="F179" s="37" t="s">
        <v>194</v>
      </c>
      <c r="G179" s="38"/>
      <c r="H179" s="37" t="s">
        <v>187</v>
      </c>
      <c r="I179" s="38"/>
      <c r="J179" s="37"/>
      <c r="L179" s="7"/>
      <c r="M179" s="11" t="s">
        <v>104</v>
      </c>
      <c r="O179" s="5">
        <v>5</v>
      </c>
      <c r="S179" s="25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">
      <c r="B180" s="11" t="s">
        <v>71</v>
      </c>
      <c r="M180" s="11" t="s">
        <v>102</v>
      </c>
      <c r="S180" s="25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">
      <c r="S181" s="25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">
      <c r="B182" s="41" t="s">
        <v>4</v>
      </c>
      <c r="C182" s="9"/>
      <c r="D182" s="3">
        <f>SUM(D157:D179)</f>
        <v>60</v>
      </c>
      <c r="F182" s="108" t="s">
        <v>15</v>
      </c>
      <c r="G182" s="109"/>
      <c r="H182" s="109"/>
      <c r="I182" s="109"/>
      <c r="J182" s="43" t="s">
        <v>16</v>
      </c>
      <c r="M182" s="41" t="s">
        <v>4</v>
      </c>
      <c r="N182" s="9"/>
      <c r="O182" s="3">
        <f>SUM(O157:O179)</f>
        <v>18</v>
      </c>
      <c r="S182" s="25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ht="18" customHeight="1" x14ac:dyDescent="0.2">
      <c r="C183" s="10"/>
      <c r="D183" s="4"/>
      <c r="F183" s="101"/>
      <c r="G183" s="102"/>
      <c r="H183" s="102"/>
      <c r="I183" s="103"/>
      <c r="J183" s="44"/>
      <c r="N183" s="10"/>
      <c r="O183" s="4"/>
      <c r="S183" s="25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ht="18" customHeight="1" x14ac:dyDescent="0.2">
      <c r="B184" s="11"/>
      <c r="C184" s="11"/>
      <c r="D184" s="5"/>
      <c r="F184" s="101"/>
      <c r="G184" s="102"/>
      <c r="H184" s="102"/>
      <c r="I184" s="103"/>
      <c r="J184" s="44"/>
      <c r="M184" s="11"/>
      <c r="N184" s="11"/>
      <c r="O184" s="5"/>
      <c r="S184" s="25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">
      <c r="B185" s="104" t="s">
        <v>5</v>
      </c>
      <c r="C185" s="105"/>
      <c r="D185" s="105"/>
      <c r="F185" s="101"/>
      <c r="G185" s="102"/>
      <c r="H185" s="102"/>
      <c r="I185" s="103"/>
      <c r="J185" s="44"/>
      <c r="M185" s="104" t="s">
        <v>5</v>
      </c>
      <c r="N185" s="105"/>
      <c r="O185" s="105"/>
      <c r="S185" s="25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ht="18" customHeight="1" x14ac:dyDescent="0.2">
      <c r="D186" s="4"/>
      <c r="E186" s="10"/>
      <c r="F186" s="101"/>
      <c r="G186" s="102"/>
      <c r="H186" s="102"/>
      <c r="I186" s="103"/>
      <c r="J186" s="44"/>
      <c r="K186" s="10"/>
      <c r="S186" s="25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">
      <c r="B187" s="45" t="s">
        <v>35</v>
      </c>
      <c r="C187" s="46">
        <v>1</v>
      </c>
      <c r="D187" s="8" t="s">
        <v>8</v>
      </c>
      <c r="E187" s="47"/>
      <c r="F187" s="101"/>
      <c r="G187" s="102"/>
      <c r="H187" s="102"/>
      <c r="I187" s="103"/>
      <c r="J187" s="44"/>
      <c r="K187" s="47"/>
      <c r="L187" s="48"/>
      <c r="M187" s="45" t="s">
        <v>35</v>
      </c>
      <c r="N187" s="46">
        <v>1</v>
      </c>
      <c r="O187" s="8" t="s">
        <v>8</v>
      </c>
      <c r="S187" s="25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ht="12.75" customHeight="1" x14ac:dyDescent="0.2">
      <c r="B188" s="49" t="s">
        <v>19</v>
      </c>
      <c r="C188" s="50">
        <v>2</v>
      </c>
      <c r="D188" s="1" t="s">
        <v>8</v>
      </c>
      <c r="E188" s="47"/>
      <c r="F188" s="101"/>
      <c r="G188" s="102"/>
      <c r="H188" s="102"/>
      <c r="I188" s="103"/>
      <c r="J188" s="44"/>
      <c r="K188" s="47"/>
      <c r="L188" s="51"/>
      <c r="M188" s="49" t="s">
        <v>19</v>
      </c>
      <c r="N188" s="50">
        <v>2</v>
      </c>
      <c r="O188" s="1" t="s">
        <v>8</v>
      </c>
      <c r="S188" s="25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">
      <c r="B189" s="49" t="s">
        <v>20</v>
      </c>
      <c r="C189" s="50">
        <v>3</v>
      </c>
      <c r="D189" s="1" t="s">
        <v>9</v>
      </c>
      <c r="E189" s="47"/>
      <c r="F189" s="101"/>
      <c r="G189" s="102"/>
      <c r="H189" s="102"/>
      <c r="I189" s="103"/>
      <c r="J189" s="44"/>
      <c r="K189" s="47"/>
      <c r="L189" s="51"/>
      <c r="M189" s="49" t="s">
        <v>20</v>
      </c>
      <c r="N189" s="50">
        <v>3</v>
      </c>
      <c r="O189" s="1" t="s">
        <v>9</v>
      </c>
      <c r="S189" s="25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">
      <c r="B190" s="49" t="s">
        <v>14</v>
      </c>
      <c r="C190" s="50">
        <v>6</v>
      </c>
      <c r="D190" s="1" t="s">
        <v>9</v>
      </c>
      <c r="E190" s="47"/>
      <c r="F190" s="101"/>
      <c r="G190" s="102"/>
      <c r="H190" s="102"/>
      <c r="I190" s="103"/>
      <c r="J190" s="44"/>
      <c r="K190" s="47"/>
      <c r="L190" s="51"/>
      <c r="M190" s="49" t="s">
        <v>14</v>
      </c>
      <c r="N190" s="50">
        <v>6</v>
      </c>
      <c r="O190" s="1" t="s">
        <v>9</v>
      </c>
      <c r="S190" s="25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">
      <c r="B191" s="49" t="s">
        <v>17</v>
      </c>
      <c r="C191" s="50">
        <v>12</v>
      </c>
      <c r="D191" s="1" t="s">
        <v>9</v>
      </c>
      <c r="E191" s="47"/>
      <c r="F191" s="101"/>
      <c r="G191" s="102"/>
      <c r="H191" s="102"/>
      <c r="I191" s="103"/>
      <c r="J191" s="44"/>
      <c r="K191" s="47"/>
      <c r="L191" s="51"/>
      <c r="M191" s="49" t="s">
        <v>17</v>
      </c>
      <c r="N191" s="50">
        <v>12</v>
      </c>
      <c r="O191" s="1" t="s">
        <v>9</v>
      </c>
      <c r="S191" s="25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">
      <c r="B192" s="52" t="s">
        <v>18</v>
      </c>
      <c r="C192" s="53">
        <v>10</v>
      </c>
      <c r="D192" s="2" t="s">
        <v>9</v>
      </c>
      <c r="E192" s="47"/>
      <c r="F192" s="101"/>
      <c r="G192" s="102"/>
      <c r="H192" s="102"/>
      <c r="I192" s="103"/>
      <c r="J192" s="44"/>
      <c r="K192" s="47"/>
      <c r="L192" s="51"/>
      <c r="M192" s="52" t="s">
        <v>18</v>
      </c>
      <c r="N192" s="53">
        <v>10</v>
      </c>
      <c r="O192" s="2" t="s">
        <v>9</v>
      </c>
      <c r="S192" s="25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">
      <c r="S193" s="25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ht="18" x14ac:dyDescent="0.25">
      <c r="I194" s="26"/>
      <c r="J194" s="26"/>
      <c r="K194" s="120" t="s">
        <v>7</v>
      </c>
      <c r="L194" s="120"/>
      <c r="M194" s="120"/>
      <c r="N194" s="120"/>
      <c r="O194" s="120"/>
      <c r="S194" s="25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ht="18" x14ac:dyDescent="0.25">
      <c r="I195" s="26"/>
      <c r="J195" s="26"/>
      <c r="K195" s="115" t="s">
        <v>6</v>
      </c>
      <c r="L195" s="115"/>
      <c r="M195" s="115"/>
      <c r="N195" s="115"/>
      <c r="O195" s="115"/>
      <c r="S195" s="25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ht="18" x14ac:dyDescent="0.25">
      <c r="K196" s="115"/>
      <c r="L196" s="115"/>
      <c r="M196" s="115"/>
      <c r="N196" s="115"/>
      <c r="O196" s="115"/>
      <c r="S196" s="25"/>
      <c r="T196" s="10"/>
      <c r="U196" s="25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">
      <c r="A197" s="28" t="s">
        <v>160</v>
      </c>
      <c r="B197" s="29"/>
      <c r="C197" s="113" t="s">
        <v>161</v>
      </c>
      <c r="D197" s="116"/>
      <c r="E197" s="116"/>
      <c r="F197" s="116"/>
      <c r="G197" s="116"/>
      <c r="H197" s="116"/>
      <c r="I197" s="116"/>
      <c r="J197" s="116"/>
      <c r="K197" s="116"/>
      <c r="L197" s="11"/>
      <c r="M197" s="31" t="s">
        <v>162</v>
      </c>
      <c r="N197" s="11"/>
      <c r="O197" s="5"/>
      <c r="S197" s="25"/>
      <c r="T197" s="10"/>
      <c r="U197" s="10"/>
      <c r="V197" s="10"/>
      <c r="W197" s="10"/>
      <c r="X197" s="123"/>
      <c r="Y197" s="121"/>
      <c r="Z197" s="10"/>
      <c r="AA197" s="10"/>
      <c r="AB197" s="121"/>
      <c r="AC197" s="121"/>
      <c r="AD197" s="10"/>
      <c r="AE197" s="10"/>
      <c r="AF197" s="121"/>
      <c r="AG197" s="121"/>
      <c r="AH197" s="10"/>
      <c r="AI197" s="10"/>
      <c r="AJ197" s="121"/>
      <c r="AK197" s="121"/>
      <c r="AL197" s="10"/>
      <c r="AM197" s="10"/>
      <c r="AN197" s="121"/>
      <c r="AO197" s="121"/>
      <c r="AP197" s="10"/>
      <c r="AQ197" s="10"/>
      <c r="AR197" s="121"/>
      <c r="AS197" s="121"/>
      <c r="AT197" s="10"/>
      <c r="AU197" s="10"/>
      <c r="AV197" s="121"/>
      <c r="AW197" s="121"/>
      <c r="AX197" s="10"/>
    </row>
    <row r="198" spans="1:50" x14ac:dyDescent="0.2">
      <c r="B198" s="32"/>
      <c r="C198" s="10"/>
      <c r="E198" s="10"/>
      <c r="F198" s="33"/>
      <c r="G198" s="33"/>
      <c r="H198" s="33"/>
      <c r="I198" s="33"/>
      <c r="J198" s="34"/>
      <c r="K198" s="35"/>
      <c r="L198" s="10"/>
      <c r="M198" s="10"/>
      <c r="S198" s="25"/>
      <c r="T198" s="10"/>
      <c r="U198" s="25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ht="15" x14ac:dyDescent="0.25">
      <c r="A199" s="117" t="s">
        <v>10</v>
      </c>
      <c r="B199" s="116"/>
      <c r="C199" s="116"/>
      <c r="D199" s="116"/>
      <c r="E199" s="10"/>
      <c r="F199" s="36" t="s">
        <v>12</v>
      </c>
      <c r="G199" s="36"/>
      <c r="H199" s="36"/>
      <c r="I199" s="114" t="s">
        <v>13</v>
      </c>
      <c r="J199" s="118"/>
      <c r="K199" s="6"/>
      <c r="L199" s="119" t="s">
        <v>11</v>
      </c>
      <c r="M199" s="119"/>
      <c r="N199" s="119"/>
      <c r="O199" s="119"/>
      <c r="S199" s="25"/>
      <c r="T199" s="10"/>
      <c r="U199" s="10"/>
      <c r="V199" s="25"/>
      <c r="W199" s="10"/>
      <c r="X199" s="10"/>
      <c r="Y199" s="121"/>
      <c r="Z199" s="121"/>
      <c r="AA199" s="10"/>
      <c r="AB199" s="10"/>
      <c r="AC199" s="121"/>
      <c r="AD199" s="121"/>
      <c r="AE199" s="10"/>
      <c r="AF199" s="10"/>
      <c r="AG199" s="121"/>
      <c r="AH199" s="121"/>
      <c r="AI199" s="10"/>
      <c r="AJ199" s="10"/>
      <c r="AK199" s="121"/>
      <c r="AL199" s="121"/>
      <c r="AM199" s="10"/>
      <c r="AN199" s="10"/>
      <c r="AO199" s="121"/>
      <c r="AP199" s="121"/>
      <c r="AQ199" s="10"/>
      <c r="AR199" s="10"/>
      <c r="AS199" s="121"/>
      <c r="AT199" s="121"/>
      <c r="AU199" s="10"/>
      <c r="AV199" s="10"/>
      <c r="AW199" s="121"/>
      <c r="AX199" s="121"/>
    </row>
    <row r="200" spans="1:50" ht="15" x14ac:dyDescent="0.25">
      <c r="A200" s="110" t="s">
        <v>34</v>
      </c>
      <c r="B200" s="111"/>
      <c r="C200" s="111"/>
      <c r="D200" s="111"/>
      <c r="E200" s="10"/>
      <c r="F200" s="73" t="s">
        <v>46</v>
      </c>
      <c r="G200" s="36"/>
      <c r="H200" s="36"/>
      <c r="I200" s="112" t="s">
        <v>29</v>
      </c>
      <c r="J200" s="111"/>
      <c r="K200" s="25"/>
      <c r="L200" s="110" t="s">
        <v>32</v>
      </c>
      <c r="M200" s="111"/>
      <c r="N200" s="111"/>
      <c r="O200" s="111"/>
      <c r="S200" s="25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21"/>
      <c r="AL200" s="121"/>
      <c r="AM200" s="10"/>
      <c r="AN200" s="10"/>
      <c r="AO200" s="121"/>
      <c r="AP200" s="121"/>
      <c r="AQ200" s="10"/>
      <c r="AR200" s="10"/>
      <c r="AS200" s="121"/>
      <c r="AT200" s="121"/>
      <c r="AU200" s="10"/>
      <c r="AV200" s="10"/>
      <c r="AW200" s="121"/>
      <c r="AX200" s="121"/>
    </row>
    <row r="201" spans="1:50" x14ac:dyDescent="0.2">
      <c r="S201" s="25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">
      <c r="A202" s="113"/>
      <c r="B202" s="113"/>
      <c r="D202" s="106" t="s">
        <v>21</v>
      </c>
      <c r="E202" s="107"/>
      <c r="F202" s="107"/>
      <c r="G202" s="107"/>
      <c r="H202" s="107"/>
      <c r="I202" s="107"/>
      <c r="J202" s="107"/>
      <c r="K202" s="107"/>
      <c r="L202" s="107"/>
      <c r="S202" s="25"/>
      <c r="T202" s="10"/>
      <c r="U202" s="25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">
      <c r="S203" s="25"/>
      <c r="T203" s="10"/>
      <c r="U203" s="10"/>
      <c r="V203" s="25"/>
      <c r="W203" s="10"/>
      <c r="X203" s="10"/>
      <c r="Y203" s="121"/>
      <c r="Z203" s="121"/>
      <c r="AA203" s="10"/>
      <c r="AB203" s="10"/>
      <c r="AC203" s="121"/>
      <c r="AD203" s="121"/>
      <c r="AE203" s="10"/>
      <c r="AF203" s="10"/>
      <c r="AG203" s="121"/>
      <c r="AH203" s="121"/>
      <c r="AI203" s="10"/>
      <c r="AJ203" s="10"/>
      <c r="AK203" s="121"/>
      <c r="AL203" s="121"/>
      <c r="AM203" s="10"/>
      <c r="AN203" s="10"/>
      <c r="AO203" s="121"/>
      <c r="AP203" s="121"/>
      <c r="AQ203" s="10"/>
      <c r="AR203" s="10"/>
      <c r="AS203" s="121"/>
      <c r="AT203" s="121"/>
      <c r="AU203" s="10"/>
      <c r="AV203" s="10"/>
      <c r="AW203" s="121"/>
      <c r="AX203" s="121"/>
    </row>
    <row r="204" spans="1:50" x14ac:dyDescent="0.2">
      <c r="A204" s="28" t="s">
        <v>0</v>
      </c>
      <c r="B204" s="7" t="s">
        <v>1</v>
      </c>
      <c r="C204" s="28"/>
      <c r="D204" s="7" t="s">
        <v>2</v>
      </c>
      <c r="E204" s="28"/>
      <c r="F204" s="114" t="s">
        <v>3</v>
      </c>
      <c r="G204" s="114"/>
      <c r="H204" s="114"/>
      <c r="I204" s="114"/>
      <c r="J204" s="114"/>
      <c r="K204" s="28"/>
      <c r="L204" s="28" t="s">
        <v>0</v>
      </c>
      <c r="M204" s="7" t="s">
        <v>1</v>
      </c>
      <c r="N204" s="28"/>
      <c r="O204" s="7" t="s">
        <v>2</v>
      </c>
      <c r="S204" s="24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21"/>
      <c r="AL204" s="121"/>
      <c r="AM204" s="10"/>
      <c r="AN204" s="10"/>
      <c r="AO204" s="121"/>
      <c r="AP204" s="121"/>
      <c r="AQ204" s="10"/>
      <c r="AR204" s="10"/>
      <c r="AS204" s="121"/>
      <c r="AT204" s="121"/>
      <c r="AU204" s="10"/>
      <c r="AV204" s="10"/>
      <c r="AW204" s="121"/>
      <c r="AX204" s="121"/>
    </row>
    <row r="205" spans="1:50" ht="18" customHeight="1" x14ac:dyDescent="0.2">
      <c r="A205" s="7">
        <v>1</v>
      </c>
      <c r="B205" s="11" t="s">
        <v>63</v>
      </c>
      <c r="D205" s="5">
        <v>10</v>
      </c>
      <c r="F205" s="37" t="s">
        <v>174</v>
      </c>
      <c r="G205" s="38"/>
      <c r="H205" s="37" t="s">
        <v>187</v>
      </c>
      <c r="I205" s="38"/>
      <c r="J205" s="37" t="s">
        <v>169</v>
      </c>
      <c r="L205" s="7"/>
      <c r="M205" s="11" t="s">
        <v>106</v>
      </c>
      <c r="O205" s="5">
        <v>12</v>
      </c>
      <c r="S205" s="25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">
      <c r="A206" s="80"/>
      <c r="B206" s="10"/>
      <c r="C206" s="51"/>
      <c r="D206" s="79"/>
      <c r="F206" s="82"/>
      <c r="G206" s="56"/>
      <c r="H206" s="82"/>
      <c r="I206" s="56"/>
      <c r="J206" s="82"/>
      <c r="L206" s="80"/>
      <c r="M206" s="10"/>
      <c r="O206" s="79"/>
      <c r="S206" s="25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">
      <c r="A207" s="80"/>
      <c r="B207" s="10"/>
      <c r="C207" s="51"/>
      <c r="D207" s="4"/>
      <c r="F207" s="56"/>
      <c r="G207" s="56"/>
      <c r="H207" s="56"/>
      <c r="I207" s="56"/>
      <c r="J207" s="56"/>
      <c r="L207" s="80"/>
      <c r="M207" s="10"/>
      <c r="O207" s="4"/>
      <c r="S207" s="25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ht="12.75" customHeight="1" x14ac:dyDescent="0.2">
      <c r="B208" s="10"/>
      <c r="D208" s="4"/>
      <c r="F208" s="39"/>
      <c r="G208" s="39"/>
      <c r="H208" s="39"/>
      <c r="I208" s="39"/>
      <c r="J208" s="39"/>
      <c r="M208" s="10"/>
      <c r="O208" s="4"/>
      <c r="S208" s="25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ht="18" customHeight="1" x14ac:dyDescent="0.2">
      <c r="D209" s="106" t="s">
        <v>22</v>
      </c>
      <c r="E209" s="107"/>
      <c r="F209" s="107"/>
      <c r="G209" s="107"/>
      <c r="H209" s="107"/>
      <c r="I209" s="107"/>
      <c r="J209" s="107"/>
      <c r="K209" s="107"/>
      <c r="L209" s="107"/>
      <c r="M209" s="62"/>
      <c r="S209" s="25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ht="18" customHeight="1" x14ac:dyDescent="0.2">
      <c r="F210" s="40"/>
      <c r="G210" s="40"/>
      <c r="H210" s="40"/>
      <c r="I210" s="40"/>
      <c r="J210" s="40"/>
      <c r="S210" s="25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ht="18" customHeight="1" x14ac:dyDescent="0.2">
      <c r="A211" s="7">
        <v>1</v>
      </c>
      <c r="B211" s="11" t="s">
        <v>70</v>
      </c>
      <c r="D211" s="5">
        <v>3</v>
      </c>
      <c r="E211" s="41"/>
      <c r="F211" s="37" t="s">
        <v>189</v>
      </c>
      <c r="G211" s="38"/>
      <c r="H211" s="37" t="s">
        <v>177</v>
      </c>
      <c r="I211" s="38"/>
      <c r="J211" s="37"/>
      <c r="K211" s="41"/>
      <c r="L211" s="7"/>
      <c r="M211" s="11" t="s">
        <v>113</v>
      </c>
      <c r="O211" s="5">
        <v>12</v>
      </c>
      <c r="S211" s="25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">
      <c r="B212" s="10"/>
      <c r="D212" s="4"/>
      <c r="F212" s="39"/>
      <c r="G212" s="39"/>
      <c r="H212" s="39"/>
      <c r="I212" s="39"/>
      <c r="J212" s="39"/>
      <c r="M212" s="10"/>
      <c r="O212" s="4"/>
      <c r="S212" s="25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">
      <c r="D213" s="106" t="s">
        <v>23</v>
      </c>
      <c r="E213" s="107"/>
      <c r="F213" s="107"/>
      <c r="G213" s="107"/>
      <c r="H213" s="107"/>
      <c r="I213" s="107"/>
      <c r="J213" s="107"/>
      <c r="K213" s="107"/>
      <c r="L213" s="107"/>
      <c r="M213" s="62"/>
      <c r="S213" s="25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">
      <c r="F214" s="40"/>
      <c r="G214" s="40"/>
      <c r="H214" s="40"/>
      <c r="I214" s="40"/>
      <c r="J214" s="40"/>
      <c r="S214" s="25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ht="18" customHeight="1" x14ac:dyDescent="0.2">
      <c r="A215" s="7">
        <v>1</v>
      </c>
      <c r="B215" s="11" t="s">
        <v>67</v>
      </c>
      <c r="D215" s="5">
        <v>12</v>
      </c>
      <c r="F215" s="37" t="s">
        <v>195</v>
      </c>
      <c r="G215" s="38"/>
      <c r="H215" s="37" t="s">
        <v>181</v>
      </c>
      <c r="I215" s="38"/>
      <c r="J215" s="37"/>
      <c r="L215" s="7"/>
      <c r="M215" s="11" t="s">
        <v>159</v>
      </c>
      <c r="O215" s="5">
        <v>4</v>
      </c>
      <c r="S215" s="25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ht="18" customHeight="1" x14ac:dyDescent="0.2">
      <c r="B216" s="11" t="s">
        <v>69</v>
      </c>
      <c r="F216" s="40"/>
      <c r="G216" s="40"/>
      <c r="H216" s="40"/>
      <c r="I216" s="40"/>
      <c r="J216" s="40"/>
      <c r="M216" s="11" t="s">
        <v>158</v>
      </c>
      <c r="S216" s="25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">
      <c r="B217" s="10"/>
      <c r="F217" s="40"/>
      <c r="G217" s="40"/>
      <c r="H217" s="40"/>
      <c r="I217" s="40"/>
      <c r="J217" s="40"/>
      <c r="M217" s="10"/>
      <c r="S217" s="25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">
      <c r="D218" s="106" t="s">
        <v>24</v>
      </c>
      <c r="E218" s="107"/>
      <c r="F218" s="107"/>
      <c r="G218" s="107"/>
      <c r="H218" s="107"/>
      <c r="I218" s="107"/>
      <c r="J218" s="107"/>
      <c r="K218" s="107"/>
      <c r="L218" s="107"/>
      <c r="M218" s="62"/>
      <c r="S218" s="25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">
      <c r="F219" s="40"/>
      <c r="G219" s="40"/>
      <c r="H219" s="40"/>
      <c r="I219" s="40"/>
      <c r="J219" s="40"/>
      <c r="S219" s="25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ht="18" customHeight="1" x14ac:dyDescent="0.2">
      <c r="A220" s="7">
        <v>1</v>
      </c>
      <c r="B220" s="11" t="s">
        <v>64</v>
      </c>
      <c r="D220" s="5">
        <v>5</v>
      </c>
      <c r="F220" s="37" t="s">
        <v>183</v>
      </c>
      <c r="G220" s="38"/>
      <c r="H220" s="37" t="s">
        <v>169</v>
      </c>
      <c r="I220" s="38"/>
      <c r="J220" s="37"/>
      <c r="L220" s="7"/>
      <c r="M220" s="11" t="s">
        <v>109</v>
      </c>
      <c r="O220" s="5">
        <v>12</v>
      </c>
      <c r="S220" s="25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ht="18" customHeight="1" x14ac:dyDescent="0.2">
      <c r="A221" s="7"/>
      <c r="B221" s="11" t="s">
        <v>133</v>
      </c>
      <c r="F221" s="42"/>
      <c r="G221" s="42"/>
      <c r="H221" s="42"/>
      <c r="I221" s="42"/>
      <c r="J221" s="42"/>
      <c r="L221" s="7"/>
      <c r="M221" s="11" t="s">
        <v>108</v>
      </c>
      <c r="S221" s="25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">
      <c r="A222" s="17"/>
      <c r="B222" s="47"/>
      <c r="C222" s="10"/>
      <c r="D222" s="4"/>
      <c r="E222" s="10"/>
      <c r="F222" s="56"/>
      <c r="G222" s="56"/>
      <c r="H222" s="56"/>
      <c r="I222" s="56"/>
      <c r="J222" s="56"/>
      <c r="K222" s="10"/>
      <c r="L222" s="17"/>
      <c r="M222" s="47"/>
      <c r="N222" s="10"/>
      <c r="O222" s="4"/>
      <c r="S222" s="25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">
      <c r="A223" s="10"/>
      <c r="B223" s="47"/>
      <c r="C223" s="10"/>
      <c r="D223" s="4"/>
      <c r="E223" s="10"/>
      <c r="F223" s="57"/>
      <c r="G223" s="57"/>
      <c r="H223" s="57"/>
      <c r="I223" s="57"/>
      <c r="J223" s="57"/>
      <c r="K223" s="10"/>
      <c r="L223" s="10"/>
      <c r="M223" s="47"/>
      <c r="N223" s="10"/>
      <c r="O223" s="4"/>
      <c r="S223" s="25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">
      <c r="B224" s="10"/>
      <c r="F224" s="40"/>
      <c r="G224" s="40"/>
      <c r="H224" s="40"/>
      <c r="I224" s="40"/>
      <c r="J224" s="40"/>
      <c r="M224" s="10"/>
      <c r="S224" s="25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ht="18" customHeight="1" x14ac:dyDescent="0.2">
      <c r="D225" s="106" t="s">
        <v>25</v>
      </c>
      <c r="E225" s="107"/>
      <c r="F225" s="107"/>
      <c r="G225" s="107"/>
      <c r="H225" s="107"/>
      <c r="I225" s="107"/>
      <c r="J225" s="107"/>
      <c r="K225" s="107"/>
      <c r="L225" s="107"/>
      <c r="M225" s="62"/>
      <c r="S225" s="25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ht="18" customHeight="1" x14ac:dyDescent="0.2">
      <c r="F226" s="40"/>
      <c r="G226" s="40"/>
      <c r="H226" s="40"/>
      <c r="I226" s="40"/>
      <c r="J226" s="40"/>
      <c r="S226" s="25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ht="18" customHeight="1" x14ac:dyDescent="0.2">
      <c r="A227" s="7">
        <v>1</v>
      </c>
      <c r="B227" s="11" t="s">
        <v>139</v>
      </c>
      <c r="D227" s="5">
        <v>4</v>
      </c>
      <c r="F227" s="37" t="s">
        <v>180</v>
      </c>
      <c r="G227" s="38"/>
      <c r="H227" s="37" t="s">
        <v>176</v>
      </c>
      <c r="I227" s="38"/>
      <c r="J227" s="37"/>
      <c r="L227" s="7"/>
      <c r="M227" s="11" t="s">
        <v>115</v>
      </c>
      <c r="O227" s="5">
        <v>12</v>
      </c>
      <c r="S227" s="25"/>
      <c r="T227" s="24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ht="18" customHeight="1" x14ac:dyDescent="0.2">
      <c r="B228" s="11" t="s">
        <v>65</v>
      </c>
      <c r="M228" s="11" t="s">
        <v>111</v>
      </c>
      <c r="S228" s="25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">
      <c r="S229" s="25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">
      <c r="B230" s="41" t="s">
        <v>4</v>
      </c>
      <c r="C230" s="9"/>
      <c r="D230" s="3">
        <f>SUM(D205:D227)</f>
        <v>34</v>
      </c>
      <c r="F230" s="108" t="s">
        <v>15</v>
      </c>
      <c r="G230" s="109"/>
      <c r="H230" s="109"/>
      <c r="I230" s="109"/>
      <c r="J230" s="43" t="s">
        <v>16</v>
      </c>
      <c r="M230" s="41" t="s">
        <v>4</v>
      </c>
      <c r="N230" s="9"/>
      <c r="O230" s="3">
        <f>SUM(O205:O227)</f>
        <v>52</v>
      </c>
      <c r="S230" s="25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">
      <c r="C231" s="10"/>
      <c r="D231" s="4"/>
      <c r="F231" s="101"/>
      <c r="G231" s="102"/>
      <c r="H231" s="102"/>
      <c r="I231" s="103"/>
      <c r="J231" s="44"/>
      <c r="N231" s="10"/>
      <c r="O231" s="4"/>
      <c r="S231" s="25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ht="18" customHeight="1" x14ac:dyDescent="0.2">
      <c r="B232" s="11"/>
      <c r="C232" s="11"/>
      <c r="D232" s="5"/>
      <c r="F232" s="101"/>
      <c r="G232" s="102"/>
      <c r="H232" s="102"/>
      <c r="I232" s="103"/>
      <c r="J232" s="44"/>
      <c r="M232" s="11"/>
      <c r="N232" s="11"/>
      <c r="O232" s="5"/>
      <c r="S232" s="25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ht="18" customHeight="1" x14ac:dyDescent="0.2">
      <c r="B233" s="104" t="s">
        <v>5</v>
      </c>
      <c r="C233" s="105"/>
      <c r="D233" s="105"/>
      <c r="F233" s="101"/>
      <c r="G233" s="102"/>
      <c r="H233" s="102"/>
      <c r="I233" s="103"/>
      <c r="J233" s="44"/>
      <c r="M233" s="104" t="s">
        <v>5</v>
      </c>
      <c r="N233" s="105"/>
      <c r="O233" s="105"/>
      <c r="S233" s="25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">
      <c r="D234" s="4"/>
      <c r="E234" s="10"/>
      <c r="F234" s="101"/>
      <c r="G234" s="102"/>
      <c r="H234" s="102"/>
      <c r="I234" s="103"/>
      <c r="J234" s="44"/>
      <c r="K234" s="10"/>
      <c r="S234" s="25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ht="18" customHeight="1" x14ac:dyDescent="0.2">
      <c r="B235" s="45" t="s">
        <v>35</v>
      </c>
      <c r="C235" s="46">
        <v>1</v>
      </c>
      <c r="D235" s="8" t="s">
        <v>8</v>
      </c>
      <c r="E235" s="47"/>
      <c r="F235" s="101"/>
      <c r="G235" s="102"/>
      <c r="H235" s="102"/>
      <c r="I235" s="103"/>
      <c r="J235" s="44"/>
      <c r="K235" s="47"/>
      <c r="L235" s="48"/>
      <c r="M235" s="45" t="s">
        <v>35</v>
      </c>
      <c r="N235" s="46">
        <v>1</v>
      </c>
      <c r="O235" s="8" t="s">
        <v>8</v>
      </c>
      <c r="S235" s="25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">
      <c r="B236" s="49" t="s">
        <v>19</v>
      </c>
      <c r="C236" s="50">
        <v>2</v>
      </c>
      <c r="D236" s="1" t="s">
        <v>8</v>
      </c>
      <c r="E236" s="47"/>
      <c r="F236" s="101"/>
      <c r="G236" s="102"/>
      <c r="H236" s="102"/>
      <c r="I236" s="103"/>
      <c r="J236" s="44"/>
      <c r="K236" s="47"/>
      <c r="L236" s="51"/>
      <c r="M236" s="49" t="s">
        <v>19</v>
      </c>
      <c r="N236" s="50">
        <v>2</v>
      </c>
      <c r="O236" s="1" t="s">
        <v>8</v>
      </c>
      <c r="S236" s="25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ht="12.75" customHeight="1" x14ac:dyDescent="0.2">
      <c r="B237" s="49" t="s">
        <v>20</v>
      </c>
      <c r="C237" s="50">
        <v>3</v>
      </c>
      <c r="D237" s="1" t="s">
        <v>9</v>
      </c>
      <c r="E237" s="47"/>
      <c r="F237" s="101"/>
      <c r="G237" s="102"/>
      <c r="H237" s="102"/>
      <c r="I237" s="103"/>
      <c r="J237" s="44"/>
      <c r="K237" s="47"/>
      <c r="L237" s="51"/>
      <c r="M237" s="49" t="s">
        <v>20</v>
      </c>
      <c r="N237" s="50">
        <v>3</v>
      </c>
      <c r="O237" s="1" t="s">
        <v>9</v>
      </c>
      <c r="S237" s="25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">
      <c r="B238" s="49" t="s">
        <v>14</v>
      </c>
      <c r="C238" s="50">
        <v>6</v>
      </c>
      <c r="D238" s="1" t="s">
        <v>9</v>
      </c>
      <c r="E238" s="47"/>
      <c r="F238" s="101"/>
      <c r="G238" s="102"/>
      <c r="H238" s="102"/>
      <c r="I238" s="103"/>
      <c r="J238" s="44"/>
      <c r="K238" s="47"/>
      <c r="L238" s="51"/>
      <c r="M238" s="49" t="s">
        <v>14</v>
      </c>
      <c r="N238" s="50">
        <v>6</v>
      </c>
      <c r="O238" s="1" t="s">
        <v>9</v>
      </c>
      <c r="S238" s="25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">
      <c r="B239" s="49" t="s">
        <v>17</v>
      </c>
      <c r="C239" s="50">
        <v>12</v>
      </c>
      <c r="D239" s="1" t="s">
        <v>9</v>
      </c>
      <c r="E239" s="47"/>
      <c r="F239" s="101"/>
      <c r="G239" s="102"/>
      <c r="H239" s="102"/>
      <c r="I239" s="103"/>
      <c r="J239" s="44"/>
      <c r="K239" s="47"/>
      <c r="L239" s="51"/>
      <c r="M239" s="49" t="s">
        <v>17</v>
      </c>
      <c r="N239" s="50">
        <v>12</v>
      </c>
      <c r="O239" s="1" t="s">
        <v>9</v>
      </c>
      <c r="S239" s="25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">
      <c r="B240" s="52" t="s">
        <v>18</v>
      </c>
      <c r="C240" s="53">
        <v>10</v>
      </c>
      <c r="D240" s="2" t="s">
        <v>9</v>
      </c>
      <c r="E240" s="47"/>
      <c r="F240" s="101"/>
      <c r="G240" s="102"/>
      <c r="H240" s="102"/>
      <c r="I240" s="103"/>
      <c r="J240" s="44"/>
      <c r="K240" s="47"/>
      <c r="L240" s="51"/>
      <c r="M240" s="52" t="s">
        <v>18</v>
      </c>
      <c r="N240" s="53">
        <v>10</v>
      </c>
      <c r="O240" s="2" t="s">
        <v>9</v>
      </c>
      <c r="S240" s="25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">
      <c r="S241" s="25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ht="18" x14ac:dyDescent="0.25">
      <c r="I242" s="26"/>
      <c r="J242" s="26"/>
      <c r="K242" s="120" t="s">
        <v>7</v>
      </c>
      <c r="L242" s="120"/>
      <c r="M242" s="120"/>
      <c r="N242" s="120"/>
      <c r="O242" s="120"/>
      <c r="S242" s="25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ht="18" x14ac:dyDescent="0.25">
      <c r="I243" s="26"/>
      <c r="J243" s="26"/>
      <c r="K243" s="115" t="s">
        <v>6</v>
      </c>
      <c r="L243" s="115"/>
      <c r="M243" s="115"/>
      <c r="N243" s="115"/>
      <c r="O243" s="115"/>
      <c r="S243" s="25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ht="18" x14ac:dyDescent="0.25">
      <c r="K244" s="115"/>
      <c r="L244" s="115"/>
      <c r="M244" s="115"/>
      <c r="N244" s="115"/>
      <c r="O244" s="115"/>
      <c r="S244" s="25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">
      <c r="A245" s="28" t="s">
        <v>160</v>
      </c>
      <c r="B245" s="29"/>
      <c r="C245" s="113" t="s">
        <v>161</v>
      </c>
      <c r="D245" s="116"/>
      <c r="E245" s="116"/>
      <c r="F245" s="116"/>
      <c r="G245" s="116"/>
      <c r="H245" s="116"/>
      <c r="I245" s="116"/>
      <c r="J245" s="116"/>
      <c r="K245" s="116"/>
      <c r="L245" s="11"/>
      <c r="M245" s="31" t="s">
        <v>162</v>
      </c>
      <c r="N245" s="11"/>
      <c r="O245" s="5"/>
      <c r="S245" s="25"/>
      <c r="T245" s="10"/>
      <c r="U245" s="25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">
      <c r="B246" s="32"/>
      <c r="C246" s="10"/>
      <c r="E246" s="10"/>
      <c r="F246" s="33"/>
      <c r="G246" s="33"/>
      <c r="H246" s="33"/>
      <c r="I246" s="33"/>
      <c r="J246" s="34"/>
      <c r="K246" s="35"/>
      <c r="L246" s="10"/>
      <c r="M246" s="10"/>
      <c r="S246" s="25"/>
      <c r="T246" s="10"/>
      <c r="U246" s="10"/>
      <c r="V246" s="10"/>
      <c r="W246" s="10"/>
      <c r="X246" s="123"/>
      <c r="Y246" s="121"/>
      <c r="Z246" s="10"/>
      <c r="AA246" s="10"/>
      <c r="AB246" s="121"/>
      <c r="AC246" s="121"/>
      <c r="AD246" s="10"/>
      <c r="AE246" s="10"/>
      <c r="AF246" s="121"/>
      <c r="AG246" s="121"/>
      <c r="AH246" s="10"/>
      <c r="AI246" s="10"/>
      <c r="AJ246" s="121"/>
      <c r="AK246" s="121"/>
      <c r="AL246" s="10"/>
      <c r="AM246" s="10"/>
      <c r="AN246" s="121"/>
      <c r="AO246" s="121"/>
      <c r="AP246" s="10"/>
      <c r="AQ246" s="10"/>
      <c r="AR246" s="121"/>
      <c r="AS246" s="121"/>
      <c r="AT246" s="10"/>
      <c r="AU246" s="10"/>
      <c r="AV246" s="121"/>
      <c r="AW246" s="121"/>
      <c r="AX246" s="10"/>
    </row>
    <row r="247" spans="1:50" ht="15" x14ac:dyDescent="0.25">
      <c r="A247" s="117" t="s">
        <v>10</v>
      </c>
      <c r="B247" s="116"/>
      <c r="C247" s="116"/>
      <c r="D247" s="116"/>
      <c r="E247" s="10"/>
      <c r="F247" s="36" t="s">
        <v>12</v>
      </c>
      <c r="G247" s="36"/>
      <c r="H247" s="36"/>
      <c r="I247" s="114" t="s">
        <v>13</v>
      </c>
      <c r="J247" s="118"/>
      <c r="K247" s="6"/>
      <c r="L247" s="119" t="s">
        <v>11</v>
      </c>
      <c r="M247" s="119"/>
      <c r="N247" s="119"/>
      <c r="O247" s="119"/>
      <c r="S247" s="25"/>
      <c r="T247" s="10"/>
      <c r="U247" s="25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ht="15" x14ac:dyDescent="0.25">
      <c r="A248" s="110" t="s">
        <v>43</v>
      </c>
      <c r="B248" s="111"/>
      <c r="C248" s="111"/>
      <c r="D248" s="111"/>
      <c r="E248" s="10"/>
      <c r="F248" s="73" t="s">
        <v>46</v>
      </c>
      <c r="G248" s="36"/>
      <c r="H248" s="36"/>
      <c r="I248" s="112" t="s">
        <v>30</v>
      </c>
      <c r="J248" s="111"/>
      <c r="K248" s="25"/>
      <c r="L248" s="110" t="s">
        <v>125</v>
      </c>
      <c r="M248" s="111"/>
      <c r="N248" s="111"/>
      <c r="O248" s="111"/>
      <c r="S248" s="25"/>
      <c r="T248" s="10"/>
      <c r="U248" s="10"/>
      <c r="V248" s="25"/>
      <c r="W248" s="10"/>
      <c r="X248" s="10"/>
      <c r="Y248" s="121"/>
      <c r="Z248" s="121"/>
      <c r="AA248" s="10"/>
      <c r="AB248" s="10"/>
      <c r="AC248" s="121"/>
      <c r="AD248" s="121"/>
      <c r="AE248" s="10"/>
      <c r="AF248" s="10"/>
      <c r="AG248" s="121"/>
      <c r="AH248" s="121"/>
      <c r="AI248" s="10"/>
      <c r="AJ248" s="10"/>
      <c r="AK248" s="121"/>
      <c r="AL248" s="121"/>
      <c r="AM248" s="10"/>
      <c r="AN248" s="10"/>
      <c r="AO248" s="121"/>
      <c r="AP248" s="121"/>
      <c r="AQ248" s="10"/>
      <c r="AR248" s="10"/>
      <c r="AS248" s="121"/>
      <c r="AT248" s="121"/>
      <c r="AU248" s="10"/>
      <c r="AV248" s="10"/>
      <c r="AW248" s="121"/>
      <c r="AX248" s="121"/>
    </row>
    <row r="249" spans="1:50" x14ac:dyDescent="0.2">
      <c r="S249" s="25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21"/>
      <c r="AL249" s="121"/>
      <c r="AM249" s="10"/>
      <c r="AN249" s="10"/>
      <c r="AO249" s="121"/>
      <c r="AP249" s="121"/>
      <c r="AQ249" s="10"/>
      <c r="AR249" s="10"/>
      <c r="AS249" s="121"/>
      <c r="AT249" s="121"/>
      <c r="AU249" s="10"/>
      <c r="AV249" s="10"/>
      <c r="AW249" s="121"/>
      <c r="AX249" s="121"/>
    </row>
    <row r="250" spans="1:50" x14ac:dyDescent="0.2">
      <c r="A250" s="113"/>
      <c r="B250" s="113"/>
      <c r="D250" s="106" t="s">
        <v>21</v>
      </c>
      <c r="E250" s="107"/>
      <c r="F250" s="107"/>
      <c r="G250" s="107"/>
      <c r="H250" s="107"/>
      <c r="I250" s="107"/>
      <c r="J250" s="107"/>
      <c r="K250" s="107"/>
      <c r="L250" s="107"/>
      <c r="S250" s="25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">
      <c r="S251" s="25"/>
      <c r="T251" s="10"/>
      <c r="U251" s="25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">
      <c r="A252" s="28" t="s">
        <v>0</v>
      </c>
      <c r="B252" s="7" t="s">
        <v>1</v>
      </c>
      <c r="C252" s="28"/>
      <c r="D252" s="7" t="s">
        <v>2</v>
      </c>
      <c r="E252" s="28"/>
      <c r="F252" s="114" t="s">
        <v>3</v>
      </c>
      <c r="G252" s="114"/>
      <c r="H252" s="114"/>
      <c r="I252" s="114"/>
      <c r="J252" s="114"/>
      <c r="K252" s="28"/>
      <c r="L252" s="28" t="s">
        <v>0</v>
      </c>
      <c r="M252" s="7" t="s">
        <v>1</v>
      </c>
      <c r="N252" s="28"/>
      <c r="O252" s="7" t="s">
        <v>2</v>
      </c>
      <c r="S252" s="25"/>
      <c r="T252" s="10"/>
      <c r="U252" s="10"/>
      <c r="V252" s="25"/>
      <c r="W252" s="10"/>
      <c r="X252" s="10"/>
      <c r="Y252" s="121"/>
      <c r="Z252" s="121"/>
      <c r="AA252" s="10"/>
      <c r="AB252" s="10"/>
      <c r="AC252" s="121"/>
      <c r="AD252" s="121"/>
      <c r="AE252" s="10"/>
      <c r="AF252" s="10"/>
      <c r="AG252" s="121"/>
      <c r="AH252" s="121"/>
      <c r="AI252" s="10"/>
      <c r="AJ252" s="10"/>
      <c r="AK252" s="121"/>
      <c r="AL252" s="121"/>
      <c r="AM252" s="10"/>
      <c r="AN252" s="10"/>
      <c r="AO252" s="121"/>
      <c r="AP252" s="121"/>
      <c r="AQ252" s="10"/>
      <c r="AR252" s="10"/>
      <c r="AS252" s="121"/>
      <c r="AT252" s="121"/>
      <c r="AU252" s="10"/>
      <c r="AV252" s="10"/>
      <c r="AW252" s="121"/>
      <c r="AX252" s="121"/>
    </row>
    <row r="253" spans="1:50" ht="18" customHeight="1" x14ac:dyDescent="0.2">
      <c r="A253" s="7">
        <v>1</v>
      </c>
      <c r="B253" s="11" t="s">
        <v>150</v>
      </c>
      <c r="D253" s="5">
        <v>12</v>
      </c>
      <c r="F253" s="37" t="s">
        <v>201</v>
      </c>
      <c r="G253" s="38"/>
      <c r="H253" s="37" t="s">
        <v>199</v>
      </c>
      <c r="I253" s="38"/>
      <c r="J253" s="37"/>
      <c r="L253" s="7"/>
      <c r="M253" s="11" t="s">
        <v>142</v>
      </c>
      <c r="O253" s="5">
        <v>1</v>
      </c>
      <c r="S253" s="24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21"/>
      <c r="AL253" s="121"/>
      <c r="AM253" s="10"/>
      <c r="AN253" s="10"/>
      <c r="AO253" s="121"/>
      <c r="AP253" s="121"/>
      <c r="AQ253" s="10"/>
      <c r="AR253" s="10"/>
      <c r="AS253" s="121"/>
      <c r="AT253" s="121"/>
      <c r="AU253" s="10"/>
      <c r="AV253" s="10"/>
      <c r="AW253" s="121"/>
      <c r="AX253" s="121"/>
    </row>
    <row r="254" spans="1:50" x14ac:dyDescent="0.2">
      <c r="A254" s="80"/>
      <c r="C254" s="51"/>
      <c r="D254" s="79"/>
      <c r="F254" s="82"/>
      <c r="G254" s="56"/>
      <c r="H254" s="82"/>
      <c r="I254" s="56"/>
      <c r="J254" s="82"/>
      <c r="L254" s="80"/>
      <c r="O254" s="79"/>
      <c r="S254" s="25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">
      <c r="A255" s="80"/>
      <c r="C255" s="51"/>
      <c r="D255" s="4"/>
      <c r="F255" s="56"/>
      <c r="G255" s="56"/>
      <c r="H255" s="56"/>
      <c r="I255" s="56"/>
      <c r="J255" s="56"/>
      <c r="L255" s="80"/>
      <c r="O255" s="4"/>
      <c r="S255" s="25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">
      <c r="B256" s="10"/>
      <c r="D256" s="4"/>
      <c r="F256" s="39"/>
      <c r="G256" s="39"/>
      <c r="H256" s="39"/>
      <c r="I256" s="39"/>
      <c r="J256" s="39"/>
      <c r="O256" s="4"/>
      <c r="S256" s="25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">
      <c r="A257" s="17"/>
      <c r="B257" s="83"/>
      <c r="D257" s="106" t="s">
        <v>22</v>
      </c>
      <c r="E257" s="107"/>
      <c r="F257" s="107"/>
      <c r="G257" s="107"/>
      <c r="H257" s="107"/>
      <c r="I257" s="107"/>
      <c r="J257" s="107"/>
      <c r="K257" s="107"/>
      <c r="L257" s="107"/>
      <c r="S257" s="25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ht="18" customHeight="1" x14ac:dyDescent="0.2">
      <c r="F258" s="40"/>
      <c r="G258" s="40"/>
      <c r="H258" s="40"/>
      <c r="I258" s="40"/>
      <c r="J258" s="40"/>
      <c r="S258" s="25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ht="18" customHeight="1" x14ac:dyDescent="0.2">
      <c r="A259" s="7">
        <v>1</v>
      </c>
      <c r="B259" s="11" t="s">
        <v>97</v>
      </c>
      <c r="D259" s="5">
        <v>4</v>
      </c>
      <c r="E259" s="41"/>
      <c r="F259" s="37" t="s">
        <v>180</v>
      </c>
      <c r="G259" s="38"/>
      <c r="H259" s="37" t="s">
        <v>196</v>
      </c>
      <c r="I259" s="38"/>
      <c r="J259" s="37"/>
      <c r="K259" s="41"/>
      <c r="L259" s="7"/>
      <c r="M259" s="11" t="s">
        <v>94</v>
      </c>
      <c r="O259" s="5">
        <v>12</v>
      </c>
      <c r="S259" s="25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ht="18" customHeight="1" x14ac:dyDescent="0.2">
      <c r="B260" s="10"/>
      <c r="D260" s="4"/>
      <c r="F260" s="39"/>
      <c r="G260" s="39"/>
      <c r="H260" s="39"/>
      <c r="I260" s="39"/>
      <c r="J260" s="39"/>
      <c r="O260" s="4"/>
      <c r="S260" s="25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">
      <c r="A261" s="17"/>
      <c r="B261" s="83"/>
      <c r="D261" s="106" t="s">
        <v>23</v>
      </c>
      <c r="E261" s="107"/>
      <c r="F261" s="107"/>
      <c r="G261" s="107"/>
      <c r="H261" s="107"/>
      <c r="I261" s="107"/>
      <c r="J261" s="107"/>
      <c r="K261" s="107"/>
      <c r="L261" s="107"/>
      <c r="S261" s="25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">
      <c r="F262" s="40"/>
      <c r="G262" s="40"/>
      <c r="H262" s="40"/>
      <c r="I262" s="40"/>
      <c r="J262" s="40"/>
      <c r="S262" s="25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ht="18" customHeight="1" x14ac:dyDescent="0.2">
      <c r="A263" s="7">
        <v>1</v>
      </c>
      <c r="B263" s="11" t="s">
        <v>99</v>
      </c>
      <c r="D263" s="5">
        <v>4</v>
      </c>
      <c r="F263" s="37" t="s">
        <v>175</v>
      </c>
      <c r="G263" s="38"/>
      <c r="H263" s="37" t="s">
        <v>176</v>
      </c>
      <c r="I263" s="38"/>
      <c r="J263" s="37"/>
      <c r="L263" s="7"/>
      <c r="M263" s="11" t="s">
        <v>95</v>
      </c>
      <c r="O263" s="5">
        <v>12</v>
      </c>
      <c r="S263" s="25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ht="18" customHeight="1" x14ac:dyDescent="0.2">
      <c r="B264" s="11" t="s">
        <v>100</v>
      </c>
      <c r="F264" s="40"/>
      <c r="G264" s="40"/>
      <c r="H264" s="40"/>
      <c r="I264" s="40"/>
      <c r="J264" s="40"/>
      <c r="M264" s="11" t="s">
        <v>146</v>
      </c>
      <c r="S264" s="25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ht="18" customHeight="1" x14ac:dyDescent="0.2">
      <c r="B265" s="10"/>
      <c r="F265" s="40"/>
      <c r="G265" s="40"/>
      <c r="H265" s="40"/>
      <c r="I265" s="40"/>
      <c r="J265" s="40"/>
      <c r="S265" s="25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">
      <c r="A266" s="17"/>
      <c r="B266" s="83"/>
      <c r="D266" s="106" t="s">
        <v>24</v>
      </c>
      <c r="E266" s="107"/>
      <c r="F266" s="107"/>
      <c r="G266" s="107"/>
      <c r="H266" s="107"/>
      <c r="I266" s="107"/>
      <c r="J266" s="107"/>
      <c r="K266" s="107"/>
      <c r="L266" s="107"/>
      <c r="M266" s="83"/>
      <c r="S266" s="25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">
      <c r="F267" s="40"/>
      <c r="G267" s="40"/>
      <c r="H267" s="40"/>
      <c r="I267" s="40"/>
      <c r="J267" s="40"/>
      <c r="S267" s="25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ht="18" customHeight="1" x14ac:dyDescent="0.2">
      <c r="A268" s="7">
        <v>1</v>
      </c>
      <c r="B268" s="11" t="s">
        <v>151</v>
      </c>
      <c r="D268" s="5">
        <v>5</v>
      </c>
      <c r="F268" s="37" t="s">
        <v>169</v>
      </c>
      <c r="G268" s="38"/>
      <c r="H268" s="37" t="s">
        <v>197</v>
      </c>
      <c r="I268" s="38"/>
      <c r="J268" s="37"/>
      <c r="L268" s="7"/>
      <c r="M268" s="11" t="s">
        <v>92</v>
      </c>
      <c r="O268" s="5">
        <v>12</v>
      </c>
      <c r="S268" s="25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ht="18" customHeight="1" x14ac:dyDescent="0.2">
      <c r="A269" s="7"/>
      <c r="B269" s="11" t="s">
        <v>153</v>
      </c>
      <c r="F269" s="42"/>
      <c r="G269" s="42"/>
      <c r="H269" s="42"/>
      <c r="I269" s="42"/>
      <c r="J269" s="42"/>
      <c r="L269" s="7"/>
      <c r="M269" s="11" t="s">
        <v>93</v>
      </c>
      <c r="S269" s="25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ht="18" customHeight="1" x14ac:dyDescent="0.2">
      <c r="A270" s="17"/>
      <c r="B270" s="47"/>
      <c r="C270" s="10"/>
      <c r="D270" s="4"/>
      <c r="E270" s="10"/>
      <c r="F270" s="56"/>
      <c r="G270" s="56"/>
      <c r="H270" s="56"/>
      <c r="I270" s="56"/>
      <c r="J270" s="56"/>
      <c r="K270" s="10"/>
      <c r="L270" s="17"/>
      <c r="N270" s="10"/>
      <c r="O270" s="4"/>
      <c r="S270" s="25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">
      <c r="A271" s="10"/>
      <c r="B271" s="47"/>
      <c r="C271" s="10"/>
      <c r="D271" s="4"/>
      <c r="E271" s="10"/>
      <c r="F271" s="57"/>
      <c r="G271" s="57"/>
      <c r="H271" s="57"/>
      <c r="I271" s="57"/>
      <c r="J271" s="57"/>
      <c r="K271" s="10"/>
      <c r="L271" s="10"/>
      <c r="N271" s="10"/>
      <c r="O271" s="4"/>
      <c r="S271" s="25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">
      <c r="B272" s="10"/>
      <c r="F272" s="40"/>
      <c r="G272" s="40"/>
      <c r="H272" s="40"/>
      <c r="I272" s="40"/>
      <c r="J272" s="40"/>
      <c r="S272" s="25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">
      <c r="A273" s="17"/>
      <c r="B273" s="83"/>
      <c r="D273" s="106" t="s">
        <v>25</v>
      </c>
      <c r="E273" s="107"/>
      <c r="F273" s="107"/>
      <c r="G273" s="107"/>
      <c r="H273" s="107"/>
      <c r="I273" s="107"/>
      <c r="J273" s="107"/>
      <c r="K273" s="107"/>
      <c r="L273" s="107"/>
      <c r="S273" s="25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ht="18" customHeight="1" x14ac:dyDescent="0.2">
      <c r="F274" s="40"/>
      <c r="G274" s="40"/>
      <c r="H274" s="40"/>
      <c r="I274" s="40"/>
      <c r="J274" s="40"/>
      <c r="S274" s="25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ht="18" customHeight="1" x14ac:dyDescent="0.2">
      <c r="A275" s="7">
        <v>1</v>
      </c>
      <c r="B275" s="11" t="s">
        <v>98</v>
      </c>
      <c r="D275" s="5">
        <v>12</v>
      </c>
      <c r="F275" s="37" t="s">
        <v>181</v>
      </c>
      <c r="G275" s="38"/>
      <c r="H275" s="37" t="s">
        <v>181</v>
      </c>
      <c r="I275" s="38"/>
      <c r="J275" s="37"/>
      <c r="L275" s="7"/>
      <c r="M275" s="11" t="s">
        <v>148</v>
      </c>
      <c r="O275" s="5">
        <v>4</v>
      </c>
      <c r="S275" s="25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ht="18" customHeight="1" x14ac:dyDescent="0.2">
      <c r="B276" s="11" t="s">
        <v>149</v>
      </c>
      <c r="M276" s="11" t="s">
        <v>91</v>
      </c>
      <c r="S276" s="25"/>
      <c r="T276" s="24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ht="18" customHeight="1" x14ac:dyDescent="0.2">
      <c r="S277" s="25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">
      <c r="B278" s="41" t="s">
        <v>4</v>
      </c>
      <c r="C278" s="9"/>
      <c r="D278" s="3">
        <f>SUM(D253:D275)</f>
        <v>37</v>
      </c>
      <c r="F278" s="108" t="s">
        <v>15</v>
      </c>
      <c r="G278" s="109"/>
      <c r="H278" s="109"/>
      <c r="I278" s="109"/>
      <c r="J278" s="43" t="s">
        <v>16</v>
      </c>
      <c r="M278" s="41" t="s">
        <v>4</v>
      </c>
      <c r="N278" s="9"/>
      <c r="O278" s="3">
        <f>SUM(O253:O275)</f>
        <v>41</v>
      </c>
      <c r="S278" s="25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">
      <c r="C279" s="10"/>
      <c r="D279" s="4"/>
      <c r="F279" s="101"/>
      <c r="G279" s="102"/>
      <c r="H279" s="102"/>
      <c r="I279" s="103"/>
      <c r="J279" s="44"/>
      <c r="N279" s="10"/>
      <c r="O279" s="4"/>
      <c r="S279" s="25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">
      <c r="B280" s="11"/>
      <c r="C280" s="11"/>
      <c r="D280" s="5"/>
      <c r="F280" s="101"/>
      <c r="G280" s="102"/>
      <c r="H280" s="102"/>
      <c r="I280" s="103"/>
      <c r="J280" s="44"/>
      <c r="M280" s="11"/>
      <c r="N280" s="11"/>
      <c r="O280" s="5"/>
      <c r="S280" s="25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ht="18" customHeight="1" x14ac:dyDescent="0.2">
      <c r="B281" s="104" t="s">
        <v>5</v>
      </c>
      <c r="C281" s="105"/>
      <c r="D281" s="105"/>
      <c r="F281" s="101"/>
      <c r="G281" s="102"/>
      <c r="H281" s="102"/>
      <c r="I281" s="103"/>
      <c r="J281" s="44"/>
      <c r="M281" s="104" t="s">
        <v>5</v>
      </c>
      <c r="N281" s="105"/>
      <c r="O281" s="105"/>
      <c r="S281" s="25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ht="18" customHeight="1" x14ac:dyDescent="0.2">
      <c r="D282" s="4"/>
      <c r="E282" s="10"/>
      <c r="F282" s="101"/>
      <c r="G282" s="102"/>
      <c r="H282" s="102"/>
      <c r="I282" s="103"/>
      <c r="J282" s="44"/>
      <c r="K282" s="10"/>
      <c r="S282" s="25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">
      <c r="B283" s="45" t="s">
        <v>35</v>
      </c>
      <c r="C283" s="46">
        <v>1</v>
      </c>
      <c r="D283" s="8" t="s">
        <v>8</v>
      </c>
      <c r="E283" s="47"/>
      <c r="F283" s="101"/>
      <c r="G283" s="102"/>
      <c r="H283" s="102"/>
      <c r="I283" s="103"/>
      <c r="J283" s="44"/>
      <c r="K283" s="47"/>
      <c r="L283" s="48"/>
      <c r="M283" s="45" t="s">
        <v>35</v>
      </c>
      <c r="N283" s="46">
        <v>1</v>
      </c>
      <c r="O283" s="8" t="s">
        <v>8</v>
      </c>
      <c r="S283" s="25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ht="18" customHeight="1" x14ac:dyDescent="0.2">
      <c r="B284" s="49" t="s">
        <v>19</v>
      </c>
      <c r="C284" s="50">
        <v>2</v>
      </c>
      <c r="D284" s="1" t="s">
        <v>8</v>
      </c>
      <c r="E284" s="47"/>
      <c r="F284" s="101"/>
      <c r="G284" s="102"/>
      <c r="H284" s="102"/>
      <c r="I284" s="103"/>
      <c r="J284" s="44"/>
      <c r="K284" s="47"/>
      <c r="L284" s="51"/>
      <c r="M284" s="49" t="s">
        <v>19</v>
      </c>
      <c r="N284" s="50">
        <v>2</v>
      </c>
      <c r="O284" s="1" t="s">
        <v>8</v>
      </c>
      <c r="S284" s="25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">
      <c r="B285" s="49" t="s">
        <v>20</v>
      </c>
      <c r="C285" s="50">
        <v>3</v>
      </c>
      <c r="D285" s="1" t="s">
        <v>9</v>
      </c>
      <c r="E285" s="47"/>
      <c r="F285" s="101"/>
      <c r="G285" s="102"/>
      <c r="H285" s="102"/>
      <c r="I285" s="103"/>
      <c r="J285" s="44"/>
      <c r="K285" s="47"/>
      <c r="L285" s="51"/>
      <c r="M285" s="49" t="s">
        <v>20</v>
      </c>
      <c r="N285" s="50">
        <v>3</v>
      </c>
      <c r="O285" s="1" t="s">
        <v>9</v>
      </c>
      <c r="S285" s="25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ht="12.75" customHeight="1" x14ac:dyDescent="0.2">
      <c r="B286" s="49" t="s">
        <v>14</v>
      </c>
      <c r="C286" s="50">
        <v>6</v>
      </c>
      <c r="D286" s="1" t="s">
        <v>9</v>
      </c>
      <c r="E286" s="47"/>
      <c r="F286" s="101"/>
      <c r="G286" s="102"/>
      <c r="H286" s="102"/>
      <c r="I286" s="103"/>
      <c r="J286" s="44"/>
      <c r="K286" s="47"/>
      <c r="L286" s="51"/>
      <c r="M286" s="49" t="s">
        <v>14</v>
      </c>
      <c r="N286" s="50">
        <v>6</v>
      </c>
      <c r="O286" s="1" t="s">
        <v>9</v>
      </c>
      <c r="S286" s="25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">
      <c r="B287" s="49" t="s">
        <v>17</v>
      </c>
      <c r="C287" s="50">
        <v>12</v>
      </c>
      <c r="D287" s="1" t="s">
        <v>9</v>
      </c>
      <c r="E287" s="47"/>
      <c r="F287" s="101"/>
      <c r="G287" s="102"/>
      <c r="H287" s="102"/>
      <c r="I287" s="103"/>
      <c r="J287" s="44"/>
      <c r="K287" s="47"/>
      <c r="L287" s="51"/>
      <c r="M287" s="49" t="s">
        <v>17</v>
      </c>
      <c r="N287" s="50">
        <v>12</v>
      </c>
      <c r="O287" s="1" t="s">
        <v>9</v>
      </c>
      <c r="S287" s="25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">
      <c r="B288" s="52" t="s">
        <v>18</v>
      </c>
      <c r="C288" s="53">
        <v>10</v>
      </c>
      <c r="D288" s="2" t="s">
        <v>9</v>
      </c>
      <c r="E288" s="47"/>
      <c r="F288" s="101"/>
      <c r="G288" s="102"/>
      <c r="H288" s="102"/>
      <c r="I288" s="103"/>
      <c r="J288" s="44"/>
      <c r="K288" s="47"/>
      <c r="L288" s="51"/>
      <c r="M288" s="52" t="s">
        <v>18</v>
      </c>
      <c r="N288" s="53">
        <v>10</v>
      </c>
      <c r="O288" s="2" t="s">
        <v>9</v>
      </c>
      <c r="S288" s="25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">
      <c r="S289" s="25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ht="18" x14ac:dyDescent="0.25">
      <c r="I290" s="26"/>
      <c r="J290" s="26"/>
      <c r="K290" s="120" t="s">
        <v>7</v>
      </c>
      <c r="L290" s="120"/>
      <c r="M290" s="120"/>
      <c r="N290" s="120"/>
      <c r="O290" s="120"/>
      <c r="S290" s="25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ht="18" x14ac:dyDescent="0.25">
      <c r="I291" s="26"/>
      <c r="J291" s="26"/>
      <c r="K291" s="115" t="s">
        <v>6</v>
      </c>
      <c r="L291" s="115"/>
      <c r="M291" s="115"/>
      <c r="N291" s="115"/>
      <c r="O291" s="115"/>
      <c r="S291" s="25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ht="18" x14ac:dyDescent="0.25">
      <c r="K292" s="115"/>
      <c r="L292" s="115"/>
      <c r="M292" s="115"/>
      <c r="N292" s="115"/>
      <c r="O292" s="115"/>
      <c r="S292" s="25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">
      <c r="A293" s="28" t="s">
        <v>160</v>
      </c>
      <c r="B293" s="29"/>
      <c r="C293" s="113" t="s">
        <v>161</v>
      </c>
      <c r="D293" s="116"/>
      <c r="E293" s="116"/>
      <c r="F293" s="116"/>
      <c r="G293" s="116"/>
      <c r="H293" s="116"/>
      <c r="I293" s="116"/>
      <c r="J293" s="116"/>
      <c r="K293" s="116"/>
      <c r="L293" s="11"/>
      <c r="M293" s="31" t="s">
        <v>162</v>
      </c>
      <c r="N293" s="11"/>
      <c r="O293" s="5"/>
      <c r="S293" s="25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">
      <c r="B294" s="32"/>
      <c r="C294" s="10"/>
      <c r="E294" s="10"/>
      <c r="F294" s="33"/>
      <c r="G294" s="33"/>
      <c r="H294" s="33"/>
      <c r="I294" s="33"/>
      <c r="J294" s="34"/>
      <c r="K294" s="35"/>
      <c r="L294" s="10"/>
      <c r="M294" s="10"/>
      <c r="S294" s="25"/>
      <c r="T294" s="10"/>
      <c r="U294" s="25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ht="15" x14ac:dyDescent="0.25">
      <c r="A295" s="117" t="s">
        <v>10</v>
      </c>
      <c r="B295" s="116"/>
      <c r="C295" s="116"/>
      <c r="D295" s="116"/>
      <c r="E295" s="10"/>
      <c r="F295" s="36" t="s">
        <v>12</v>
      </c>
      <c r="G295" s="36"/>
      <c r="H295" s="36"/>
      <c r="I295" s="114" t="s">
        <v>13</v>
      </c>
      <c r="J295" s="118"/>
      <c r="K295" s="6"/>
      <c r="L295" s="119" t="s">
        <v>11</v>
      </c>
      <c r="M295" s="119"/>
      <c r="N295" s="119"/>
      <c r="O295" s="119"/>
      <c r="S295" s="25"/>
      <c r="T295" s="10"/>
      <c r="U295" s="10"/>
      <c r="V295" s="10"/>
      <c r="W295" s="10"/>
      <c r="X295" s="123"/>
      <c r="Y295" s="121"/>
      <c r="Z295" s="10"/>
      <c r="AA295" s="10"/>
      <c r="AB295" s="121"/>
      <c r="AC295" s="121"/>
      <c r="AD295" s="10"/>
      <c r="AE295" s="10"/>
      <c r="AF295" s="121"/>
      <c r="AG295" s="121"/>
      <c r="AH295" s="10"/>
      <c r="AI295" s="10"/>
      <c r="AJ295" s="121"/>
      <c r="AK295" s="121"/>
      <c r="AL295" s="10"/>
      <c r="AM295" s="10"/>
      <c r="AN295" s="121"/>
      <c r="AO295" s="121"/>
      <c r="AP295" s="10"/>
      <c r="AQ295" s="10"/>
      <c r="AR295" s="121"/>
      <c r="AS295" s="121"/>
      <c r="AT295" s="10"/>
      <c r="AU295" s="10"/>
      <c r="AV295" s="121"/>
      <c r="AW295" s="121"/>
      <c r="AX295" s="10"/>
    </row>
    <row r="296" spans="1:50" ht="15" x14ac:dyDescent="0.25">
      <c r="A296" s="110" t="s">
        <v>44</v>
      </c>
      <c r="B296" s="111"/>
      <c r="C296" s="111"/>
      <c r="D296" s="111"/>
      <c r="E296" s="10"/>
      <c r="F296" s="73" t="s">
        <v>47</v>
      </c>
      <c r="G296" s="36"/>
      <c r="H296" s="36"/>
      <c r="I296" s="112" t="s">
        <v>28</v>
      </c>
      <c r="J296" s="111"/>
      <c r="K296" s="25"/>
      <c r="L296" s="110" t="s">
        <v>43</v>
      </c>
      <c r="M296" s="111"/>
      <c r="N296" s="111"/>
      <c r="O296" s="111"/>
      <c r="S296" s="25"/>
      <c r="T296" s="10"/>
      <c r="U296" s="25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">
      <c r="S297" s="25"/>
      <c r="T297" s="10"/>
      <c r="U297" s="10"/>
      <c r="V297" s="25"/>
      <c r="W297" s="10"/>
      <c r="X297" s="10"/>
      <c r="Y297" s="121"/>
      <c r="Z297" s="121"/>
      <c r="AA297" s="10"/>
      <c r="AB297" s="10"/>
      <c r="AC297" s="121"/>
      <c r="AD297" s="121"/>
      <c r="AE297" s="10"/>
      <c r="AF297" s="10"/>
      <c r="AG297" s="121"/>
      <c r="AH297" s="121"/>
      <c r="AI297" s="10"/>
      <c r="AJ297" s="10"/>
      <c r="AK297" s="121"/>
      <c r="AL297" s="121"/>
      <c r="AM297" s="10"/>
      <c r="AN297" s="10"/>
      <c r="AO297" s="121"/>
      <c r="AP297" s="121"/>
      <c r="AQ297" s="10"/>
      <c r="AR297" s="10"/>
      <c r="AS297" s="121"/>
      <c r="AT297" s="121"/>
      <c r="AU297" s="10"/>
      <c r="AV297" s="10"/>
      <c r="AW297" s="121"/>
      <c r="AX297" s="121"/>
    </row>
    <row r="298" spans="1:50" x14ac:dyDescent="0.2">
      <c r="A298" s="113"/>
      <c r="B298" s="113"/>
      <c r="D298" s="106" t="s">
        <v>21</v>
      </c>
      <c r="E298" s="107"/>
      <c r="F298" s="107"/>
      <c r="G298" s="107"/>
      <c r="H298" s="107"/>
      <c r="I298" s="107"/>
      <c r="J298" s="107"/>
      <c r="K298" s="107"/>
      <c r="L298" s="107"/>
      <c r="S298" s="25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21"/>
      <c r="AL298" s="121"/>
      <c r="AM298" s="10"/>
      <c r="AN298" s="10"/>
      <c r="AO298" s="121"/>
      <c r="AP298" s="121"/>
      <c r="AQ298" s="10"/>
      <c r="AR298" s="10"/>
      <c r="AS298" s="121"/>
      <c r="AT298" s="121"/>
      <c r="AU298" s="10"/>
      <c r="AV298" s="10"/>
      <c r="AW298" s="121"/>
      <c r="AX298" s="121"/>
    </row>
    <row r="299" spans="1:50" x14ac:dyDescent="0.2">
      <c r="S299" s="25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">
      <c r="A300" s="28" t="s">
        <v>0</v>
      </c>
      <c r="B300" s="7" t="s">
        <v>1</v>
      </c>
      <c r="C300" s="28"/>
      <c r="D300" s="7" t="s">
        <v>2</v>
      </c>
      <c r="E300" s="28"/>
      <c r="F300" s="114" t="s">
        <v>3</v>
      </c>
      <c r="G300" s="114"/>
      <c r="H300" s="114"/>
      <c r="I300" s="114"/>
      <c r="J300" s="114"/>
      <c r="K300" s="28"/>
      <c r="L300" s="28" t="s">
        <v>0</v>
      </c>
      <c r="M300" s="7" t="s">
        <v>1</v>
      </c>
      <c r="N300" s="28"/>
      <c r="O300" s="7" t="s">
        <v>2</v>
      </c>
      <c r="S300" s="25"/>
      <c r="T300" s="10"/>
      <c r="U300" s="25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ht="18" customHeight="1" x14ac:dyDescent="0.2">
      <c r="A301" s="7">
        <v>1</v>
      </c>
      <c r="B301" s="11" t="s">
        <v>57</v>
      </c>
      <c r="D301" s="5">
        <v>10</v>
      </c>
      <c r="F301" s="37" t="s">
        <v>193</v>
      </c>
      <c r="G301" s="38"/>
      <c r="H301" s="37" t="s">
        <v>177</v>
      </c>
      <c r="I301" s="38"/>
      <c r="J301" s="37" t="s">
        <v>174</v>
      </c>
      <c r="L301" s="7"/>
      <c r="M301" s="11" t="s">
        <v>150</v>
      </c>
      <c r="O301" s="5">
        <v>12</v>
      </c>
      <c r="S301" s="25"/>
      <c r="T301" s="10"/>
      <c r="U301" s="10"/>
      <c r="V301" s="25"/>
      <c r="W301" s="10"/>
      <c r="X301" s="10"/>
      <c r="Y301" s="121"/>
      <c r="Z301" s="121"/>
      <c r="AA301" s="10"/>
      <c r="AB301" s="10"/>
      <c r="AC301" s="121"/>
      <c r="AD301" s="121"/>
      <c r="AE301" s="10"/>
      <c r="AF301" s="10"/>
      <c r="AG301" s="121"/>
      <c r="AH301" s="121"/>
      <c r="AI301" s="10"/>
      <c r="AJ301" s="10"/>
      <c r="AK301" s="121"/>
      <c r="AL301" s="121"/>
      <c r="AM301" s="10"/>
      <c r="AN301" s="10"/>
      <c r="AO301" s="121"/>
      <c r="AP301" s="121"/>
      <c r="AQ301" s="10"/>
      <c r="AR301" s="10"/>
      <c r="AS301" s="121"/>
      <c r="AT301" s="121"/>
      <c r="AU301" s="10"/>
      <c r="AV301" s="10"/>
      <c r="AW301" s="121"/>
      <c r="AX301" s="121"/>
    </row>
    <row r="302" spans="1:50" x14ac:dyDescent="0.2">
      <c r="A302" s="80"/>
      <c r="B302" s="10"/>
      <c r="C302" s="51"/>
      <c r="D302" s="79"/>
      <c r="F302" s="82"/>
      <c r="G302" s="56"/>
      <c r="H302" s="82"/>
      <c r="I302" s="56"/>
      <c r="J302" s="82"/>
      <c r="L302" s="80"/>
      <c r="O302" s="79"/>
      <c r="S302" s="24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21"/>
      <c r="AL302" s="121"/>
      <c r="AM302" s="10"/>
      <c r="AN302" s="10"/>
      <c r="AO302" s="121"/>
      <c r="AP302" s="121"/>
      <c r="AQ302" s="10"/>
      <c r="AR302" s="10"/>
      <c r="AS302" s="121"/>
      <c r="AT302" s="121"/>
      <c r="AU302" s="10"/>
      <c r="AV302" s="10"/>
      <c r="AW302" s="121"/>
      <c r="AX302" s="121"/>
    </row>
    <row r="303" spans="1:50" x14ac:dyDescent="0.2">
      <c r="A303" s="80"/>
      <c r="B303" s="10"/>
      <c r="C303" s="51"/>
      <c r="D303" s="4"/>
      <c r="F303" s="56"/>
      <c r="G303" s="56"/>
      <c r="H303" s="56"/>
      <c r="I303" s="56"/>
      <c r="J303" s="56"/>
      <c r="L303" s="80"/>
      <c r="O303" s="4"/>
      <c r="S303" s="25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">
      <c r="B304" s="10"/>
      <c r="D304" s="4"/>
      <c r="F304" s="39"/>
      <c r="G304" s="39"/>
      <c r="H304" s="39"/>
      <c r="I304" s="39"/>
      <c r="J304" s="39"/>
      <c r="M304" s="10"/>
      <c r="O304" s="4"/>
      <c r="S304" s="25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">
      <c r="D305" s="106" t="s">
        <v>22</v>
      </c>
      <c r="E305" s="107"/>
      <c r="F305" s="107"/>
      <c r="G305" s="107"/>
      <c r="H305" s="107"/>
      <c r="I305" s="107"/>
      <c r="J305" s="107"/>
      <c r="K305" s="107"/>
      <c r="L305" s="107"/>
      <c r="M305" s="83"/>
      <c r="S305" s="25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">
      <c r="F306" s="40"/>
      <c r="G306" s="40"/>
      <c r="H306" s="40"/>
      <c r="I306" s="40"/>
      <c r="J306" s="40"/>
      <c r="S306" s="25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ht="18" customHeight="1" x14ac:dyDescent="0.2">
      <c r="A307" s="7">
        <v>1</v>
      </c>
      <c r="B307" s="11" t="s">
        <v>132</v>
      </c>
      <c r="D307" s="5">
        <v>12</v>
      </c>
      <c r="E307" s="41"/>
      <c r="F307" s="37" t="s">
        <v>192</v>
      </c>
      <c r="G307" s="38"/>
      <c r="H307" s="37" t="s">
        <v>202</v>
      </c>
      <c r="I307" s="38"/>
      <c r="J307" s="37"/>
      <c r="K307" s="41"/>
      <c r="L307" s="7"/>
      <c r="M307" s="11" t="s">
        <v>99</v>
      </c>
      <c r="O307" s="5">
        <v>2</v>
      </c>
      <c r="S307" s="25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ht="18" customHeight="1" x14ac:dyDescent="0.2">
      <c r="B308" s="10"/>
      <c r="D308" s="4"/>
      <c r="F308" s="39"/>
      <c r="G308" s="39"/>
      <c r="H308" s="39"/>
      <c r="I308" s="39"/>
      <c r="J308" s="39"/>
      <c r="M308" s="10"/>
      <c r="O308" s="4"/>
      <c r="S308" s="25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ht="18" customHeight="1" x14ac:dyDescent="0.2">
      <c r="D309" s="106" t="s">
        <v>23</v>
      </c>
      <c r="E309" s="107"/>
      <c r="F309" s="107"/>
      <c r="G309" s="107"/>
      <c r="H309" s="107"/>
      <c r="I309" s="107"/>
      <c r="J309" s="107"/>
      <c r="K309" s="107"/>
      <c r="L309" s="107"/>
      <c r="M309" s="83"/>
      <c r="S309" s="25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">
      <c r="F310" s="40"/>
      <c r="G310" s="40"/>
      <c r="H310" s="40"/>
      <c r="I310" s="40"/>
      <c r="J310" s="40"/>
      <c r="S310" s="25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ht="18" customHeight="1" x14ac:dyDescent="0.2">
      <c r="A311" s="7">
        <v>1</v>
      </c>
      <c r="B311" s="11" t="s">
        <v>60</v>
      </c>
      <c r="D311" s="5">
        <v>12</v>
      </c>
      <c r="F311" s="37" t="s">
        <v>172</v>
      </c>
      <c r="G311" s="38"/>
      <c r="H311" s="37" t="s">
        <v>187</v>
      </c>
      <c r="I311" s="38"/>
      <c r="J311" s="37"/>
      <c r="L311" s="7"/>
      <c r="M311" s="11" t="s">
        <v>97</v>
      </c>
      <c r="O311" s="5">
        <v>4</v>
      </c>
      <c r="S311" s="25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">
      <c r="B312" s="11" t="s">
        <v>61</v>
      </c>
      <c r="F312" s="40"/>
      <c r="G312" s="40"/>
      <c r="H312" s="40"/>
      <c r="I312" s="40"/>
      <c r="J312" s="40"/>
      <c r="M312" s="11" t="s">
        <v>98</v>
      </c>
      <c r="S312" s="25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ht="18" customHeight="1" x14ac:dyDescent="0.2">
      <c r="B313" s="10"/>
      <c r="F313" s="40"/>
      <c r="G313" s="40"/>
      <c r="H313" s="40"/>
      <c r="I313" s="40"/>
      <c r="J313" s="40"/>
      <c r="M313" s="10"/>
      <c r="S313" s="25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ht="18" customHeight="1" x14ac:dyDescent="0.2">
      <c r="D314" s="106" t="s">
        <v>24</v>
      </c>
      <c r="E314" s="107"/>
      <c r="F314" s="107"/>
      <c r="G314" s="107"/>
      <c r="H314" s="107"/>
      <c r="I314" s="107"/>
      <c r="J314" s="107"/>
      <c r="K314" s="107"/>
      <c r="L314" s="107"/>
      <c r="M314" s="83"/>
      <c r="S314" s="25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">
      <c r="F315" s="40"/>
      <c r="G315" s="40"/>
      <c r="H315" s="40"/>
      <c r="I315" s="40"/>
      <c r="J315" s="40"/>
      <c r="S315" s="25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ht="18" customHeight="1" x14ac:dyDescent="0.2">
      <c r="A316" s="7">
        <v>1</v>
      </c>
      <c r="B316" s="11" t="s">
        <v>130</v>
      </c>
      <c r="D316" s="5">
        <v>4</v>
      </c>
      <c r="F316" s="37" t="s">
        <v>179</v>
      </c>
      <c r="G316" s="38"/>
      <c r="H316" s="37" t="s">
        <v>179</v>
      </c>
      <c r="I316" s="38"/>
      <c r="J316" s="37"/>
      <c r="L316" s="7"/>
      <c r="M316" s="11" t="s">
        <v>151</v>
      </c>
      <c r="O316" s="5">
        <v>12</v>
      </c>
      <c r="S316" s="25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">
      <c r="A317" s="7"/>
      <c r="B317" s="11" t="s">
        <v>58</v>
      </c>
      <c r="F317" s="42"/>
      <c r="G317" s="42"/>
      <c r="H317" s="42"/>
      <c r="I317" s="42"/>
      <c r="J317" s="42"/>
      <c r="L317" s="7"/>
      <c r="M317" s="11" t="s">
        <v>152</v>
      </c>
      <c r="S317" s="25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ht="18" customHeight="1" x14ac:dyDescent="0.2">
      <c r="A318" s="17"/>
      <c r="B318" s="47"/>
      <c r="C318" s="10"/>
      <c r="D318" s="4"/>
      <c r="E318" s="10"/>
      <c r="F318" s="56"/>
      <c r="G318" s="56"/>
      <c r="H318" s="56"/>
      <c r="I318" s="56"/>
      <c r="J318" s="56"/>
      <c r="K318" s="10"/>
      <c r="L318" s="17"/>
      <c r="M318" s="47"/>
      <c r="N318" s="10"/>
      <c r="O318" s="4"/>
      <c r="S318" s="25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ht="18" customHeight="1" x14ac:dyDescent="0.2">
      <c r="A319" s="10"/>
      <c r="B319" s="47"/>
      <c r="C319" s="10"/>
      <c r="D319" s="4"/>
      <c r="E319" s="10"/>
      <c r="F319" s="57"/>
      <c r="G319" s="57"/>
      <c r="H319" s="57"/>
      <c r="I319" s="57"/>
      <c r="J319" s="57"/>
      <c r="K319" s="10"/>
      <c r="L319" s="10"/>
      <c r="M319" s="47"/>
      <c r="N319" s="10"/>
      <c r="O319" s="4"/>
      <c r="S319" s="25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">
      <c r="B320" s="10"/>
      <c r="F320" s="40"/>
      <c r="G320" s="40"/>
      <c r="H320" s="40"/>
      <c r="I320" s="40"/>
      <c r="J320" s="40"/>
      <c r="M320" s="10"/>
      <c r="S320" s="25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">
      <c r="D321" s="106" t="s">
        <v>25</v>
      </c>
      <c r="E321" s="107"/>
      <c r="F321" s="107"/>
      <c r="G321" s="107"/>
      <c r="H321" s="107"/>
      <c r="I321" s="107"/>
      <c r="J321" s="107"/>
      <c r="K321" s="107"/>
      <c r="L321" s="107"/>
      <c r="M321" s="83"/>
      <c r="S321" s="25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">
      <c r="F322" s="40"/>
      <c r="G322" s="40"/>
      <c r="H322" s="40"/>
      <c r="I322" s="40"/>
      <c r="J322" s="40"/>
      <c r="S322" s="25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ht="18" customHeight="1" x14ac:dyDescent="0.2">
      <c r="A323" s="7">
        <v>1</v>
      </c>
      <c r="B323" s="11" t="s">
        <v>62</v>
      </c>
      <c r="D323" s="5">
        <v>5</v>
      </c>
      <c r="F323" s="37" t="s">
        <v>168</v>
      </c>
      <c r="G323" s="38"/>
      <c r="H323" s="37" t="s">
        <v>180</v>
      </c>
      <c r="I323" s="38"/>
      <c r="J323" s="37"/>
      <c r="L323" s="7"/>
      <c r="M323" s="11" t="s">
        <v>100</v>
      </c>
      <c r="O323" s="5">
        <v>12</v>
      </c>
      <c r="S323" s="25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ht="18" customHeight="1" x14ac:dyDescent="0.2">
      <c r="B324" s="11" t="s">
        <v>59</v>
      </c>
      <c r="M324" s="11" t="s">
        <v>149</v>
      </c>
      <c r="S324" s="25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ht="18" customHeight="1" x14ac:dyDescent="0.2">
      <c r="S325" s="25"/>
      <c r="T325" s="24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ht="18" customHeight="1" x14ac:dyDescent="0.2">
      <c r="B326" s="41" t="s">
        <v>4</v>
      </c>
      <c r="C326" s="9"/>
      <c r="D326" s="3">
        <f>SUM(D301:D323)</f>
        <v>43</v>
      </c>
      <c r="F326" s="108" t="s">
        <v>15</v>
      </c>
      <c r="G326" s="109"/>
      <c r="H326" s="109"/>
      <c r="I326" s="109"/>
      <c r="J326" s="43" t="s">
        <v>16</v>
      </c>
      <c r="M326" s="41" t="s">
        <v>4</v>
      </c>
      <c r="N326" s="9"/>
      <c r="O326" s="3">
        <f>SUM(O301:O323)</f>
        <v>42</v>
      </c>
      <c r="S326" s="25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">
      <c r="C327" s="10"/>
      <c r="D327" s="4"/>
      <c r="F327" s="101"/>
      <c r="G327" s="102"/>
      <c r="H327" s="102"/>
      <c r="I327" s="103"/>
      <c r="J327" s="44"/>
      <c r="N327" s="10"/>
      <c r="O327" s="4"/>
      <c r="S327" s="25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">
      <c r="B328" s="11"/>
      <c r="C328" s="11"/>
      <c r="D328" s="5"/>
      <c r="F328" s="101"/>
      <c r="G328" s="102"/>
      <c r="H328" s="102"/>
      <c r="I328" s="103"/>
      <c r="J328" s="44"/>
      <c r="M328" s="11"/>
      <c r="N328" s="11"/>
      <c r="O328" s="5"/>
      <c r="S328" s="25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">
      <c r="B329" s="104" t="s">
        <v>5</v>
      </c>
      <c r="C329" s="105"/>
      <c r="D329" s="105"/>
      <c r="F329" s="101"/>
      <c r="G329" s="102"/>
      <c r="H329" s="102"/>
      <c r="I329" s="103"/>
      <c r="J329" s="44"/>
      <c r="M329" s="104" t="s">
        <v>5</v>
      </c>
      <c r="N329" s="105"/>
      <c r="O329" s="105"/>
      <c r="S329" s="25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ht="18" customHeight="1" x14ac:dyDescent="0.2">
      <c r="D330" s="4"/>
      <c r="E330" s="10"/>
      <c r="F330" s="101"/>
      <c r="G330" s="102"/>
      <c r="H330" s="102"/>
      <c r="I330" s="103"/>
      <c r="J330" s="44"/>
      <c r="K330" s="10"/>
      <c r="S330" s="25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ht="18" customHeight="1" x14ac:dyDescent="0.2">
      <c r="B331" s="45" t="s">
        <v>35</v>
      </c>
      <c r="C331" s="46">
        <v>1</v>
      </c>
      <c r="D331" s="8" t="s">
        <v>8</v>
      </c>
      <c r="E331" s="47"/>
      <c r="F331" s="101"/>
      <c r="G331" s="102"/>
      <c r="H331" s="102"/>
      <c r="I331" s="103"/>
      <c r="J331" s="44"/>
      <c r="K331" s="47"/>
      <c r="L331" s="48"/>
      <c r="M331" s="45" t="s">
        <v>35</v>
      </c>
      <c r="N331" s="46">
        <v>1</v>
      </c>
      <c r="O331" s="8" t="s">
        <v>8</v>
      </c>
      <c r="S331" s="25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">
      <c r="B332" s="49" t="s">
        <v>19</v>
      </c>
      <c r="C332" s="50">
        <v>2</v>
      </c>
      <c r="D332" s="1" t="s">
        <v>8</v>
      </c>
      <c r="E332" s="47"/>
      <c r="F332" s="101"/>
      <c r="G332" s="102"/>
      <c r="H332" s="102"/>
      <c r="I332" s="103"/>
      <c r="J332" s="44"/>
      <c r="K332" s="47"/>
      <c r="L332" s="51"/>
      <c r="M332" s="49" t="s">
        <v>19</v>
      </c>
      <c r="N332" s="50">
        <v>2</v>
      </c>
      <c r="O332" s="1" t="s">
        <v>8</v>
      </c>
      <c r="S332" s="25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ht="18" customHeight="1" x14ac:dyDescent="0.2">
      <c r="B333" s="49" t="s">
        <v>20</v>
      </c>
      <c r="C333" s="50">
        <v>3</v>
      </c>
      <c r="D333" s="1" t="s">
        <v>9</v>
      </c>
      <c r="E333" s="47"/>
      <c r="F333" s="101"/>
      <c r="G333" s="102"/>
      <c r="H333" s="102"/>
      <c r="I333" s="103"/>
      <c r="J333" s="44"/>
      <c r="K333" s="47"/>
      <c r="L333" s="51"/>
      <c r="M333" s="49" t="s">
        <v>20</v>
      </c>
      <c r="N333" s="50">
        <v>3</v>
      </c>
      <c r="O333" s="1" t="s">
        <v>9</v>
      </c>
      <c r="S333" s="25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">
      <c r="B334" s="49" t="s">
        <v>14</v>
      </c>
      <c r="C334" s="50">
        <v>6</v>
      </c>
      <c r="D334" s="1" t="s">
        <v>9</v>
      </c>
      <c r="E334" s="47"/>
      <c r="F334" s="101"/>
      <c r="G334" s="102"/>
      <c r="H334" s="102"/>
      <c r="I334" s="103"/>
      <c r="J334" s="44"/>
      <c r="K334" s="47"/>
      <c r="L334" s="51"/>
      <c r="M334" s="49" t="s">
        <v>14</v>
      </c>
      <c r="N334" s="50">
        <v>6</v>
      </c>
      <c r="O334" s="1" t="s">
        <v>9</v>
      </c>
      <c r="S334" s="25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ht="12.75" customHeight="1" x14ac:dyDescent="0.2">
      <c r="B335" s="49" t="s">
        <v>17</v>
      </c>
      <c r="C335" s="50">
        <v>12</v>
      </c>
      <c r="D335" s="1" t="s">
        <v>9</v>
      </c>
      <c r="E335" s="47"/>
      <c r="F335" s="101"/>
      <c r="G335" s="102"/>
      <c r="H335" s="102"/>
      <c r="I335" s="103"/>
      <c r="J335" s="44"/>
      <c r="K335" s="47"/>
      <c r="L335" s="51"/>
      <c r="M335" s="49" t="s">
        <v>17</v>
      </c>
      <c r="N335" s="50">
        <v>12</v>
      </c>
      <c r="O335" s="1" t="s">
        <v>9</v>
      </c>
      <c r="S335" s="25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">
      <c r="B336" s="52" t="s">
        <v>18</v>
      </c>
      <c r="C336" s="53">
        <v>10</v>
      </c>
      <c r="D336" s="2" t="s">
        <v>9</v>
      </c>
      <c r="E336" s="47"/>
      <c r="F336" s="101"/>
      <c r="G336" s="102"/>
      <c r="H336" s="102"/>
      <c r="I336" s="103"/>
      <c r="J336" s="44"/>
      <c r="K336" s="47"/>
      <c r="L336" s="51"/>
      <c r="M336" s="52" t="s">
        <v>18</v>
      </c>
      <c r="N336" s="53">
        <v>10</v>
      </c>
      <c r="O336" s="2" t="s">
        <v>9</v>
      </c>
      <c r="S336" s="25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">
      <c r="S337" s="25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ht="18" x14ac:dyDescent="0.25">
      <c r="I338" s="26"/>
      <c r="J338" s="26"/>
      <c r="K338" s="120" t="s">
        <v>7</v>
      </c>
      <c r="L338" s="120"/>
      <c r="M338" s="120"/>
      <c r="N338" s="120"/>
      <c r="O338" s="120"/>
      <c r="S338" s="25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ht="18" x14ac:dyDescent="0.25">
      <c r="I339" s="26"/>
      <c r="J339" s="26"/>
      <c r="K339" s="115" t="s">
        <v>6</v>
      </c>
      <c r="L339" s="115"/>
      <c r="M339" s="115"/>
      <c r="N339" s="115"/>
      <c r="O339" s="115"/>
      <c r="S339" s="25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ht="18" x14ac:dyDescent="0.25">
      <c r="K340" s="115"/>
      <c r="L340" s="115"/>
      <c r="M340" s="115"/>
      <c r="N340" s="115"/>
      <c r="O340" s="115"/>
      <c r="S340" s="25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">
      <c r="A341" s="28" t="s">
        <v>160</v>
      </c>
      <c r="B341" s="29"/>
      <c r="C341" s="113" t="s">
        <v>161</v>
      </c>
      <c r="D341" s="116"/>
      <c r="E341" s="116"/>
      <c r="F341" s="116"/>
      <c r="G341" s="116"/>
      <c r="H341" s="116"/>
      <c r="I341" s="116"/>
      <c r="J341" s="116"/>
      <c r="K341" s="116"/>
      <c r="L341" s="11"/>
      <c r="M341" s="31" t="s">
        <v>162</v>
      </c>
      <c r="N341" s="11"/>
      <c r="O341" s="5"/>
      <c r="S341" s="25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">
      <c r="B342" s="32"/>
      <c r="C342" s="10"/>
      <c r="E342" s="10"/>
      <c r="F342" s="33"/>
      <c r="G342" s="33"/>
      <c r="H342" s="33"/>
      <c r="I342" s="33"/>
      <c r="J342" s="34"/>
      <c r="K342" s="35"/>
      <c r="L342" s="10"/>
      <c r="M342" s="10"/>
      <c r="S342" s="25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ht="15" x14ac:dyDescent="0.25">
      <c r="A343" s="117" t="s">
        <v>11</v>
      </c>
      <c r="B343" s="116"/>
      <c r="C343" s="116"/>
      <c r="D343" s="116"/>
      <c r="E343" s="10"/>
      <c r="F343" s="36" t="s">
        <v>12</v>
      </c>
      <c r="G343" s="36"/>
      <c r="H343" s="36"/>
      <c r="I343" s="114" t="s">
        <v>13</v>
      </c>
      <c r="J343" s="118"/>
      <c r="K343" s="6"/>
      <c r="L343" s="119" t="s">
        <v>10</v>
      </c>
      <c r="M343" s="119"/>
      <c r="N343" s="119"/>
      <c r="O343" s="119"/>
      <c r="S343" s="25"/>
      <c r="T343" s="10"/>
      <c r="U343" s="25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ht="15" x14ac:dyDescent="0.25">
      <c r="A344" s="110" t="s">
        <v>33</v>
      </c>
      <c r="B344" s="111"/>
      <c r="C344" s="111"/>
      <c r="D344" s="111"/>
      <c r="E344" s="10"/>
      <c r="F344" s="73" t="s">
        <v>47</v>
      </c>
      <c r="G344" s="36"/>
      <c r="H344" s="36"/>
      <c r="I344" s="112" t="s">
        <v>29</v>
      </c>
      <c r="J344" s="111"/>
      <c r="K344" s="25"/>
      <c r="L344" s="110" t="s">
        <v>125</v>
      </c>
      <c r="M344" s="111"/>
      <c r="N344" s="111"/>
      <c r="O344" s="111"/>
      <c r="S344" s="25"/>
      <c r="T344" s="10"/>
      <c r="U344" s="10"/>
      <c r="V344" s="10"/>
      <c r="W344" s="10"/>
      <c r="X344" s="123"/>
      <c r="Y344" s="121"/>
      <c r="Z344" s="10"/>
      <c r="AA344" s="10"/>
      <c r="AB344" s="121"/>
      <c r="AC344" s="121"/>
      <c r="AD344" s="10"/>
      <c r="AE344" s="10"/>
      <c r="AF344" s="121"/>
      <c r="AG344" s="121"/>
      <c r="AH344" s="10"/>
      <c r="AI344" s="10"/>
      <c r="AJ344" s="121"/>
      <c r="AK344" s="121"/>
      <c r="AL344" s="10"/>
      <c r="AM344" s="10"/>
      <c r="AN344" s="121"/>
      <c r="AO344" s="121"/>
      <c r="AP344" s="10"/>
      <c r="AQ344" s="10"/>
      <c r="AR344" s="121"/>
      <c r="AS344" s="121"/>
      <c r="AT344" s="10"/>
      <c r="AU344" s="10"/>
      <c r="AV344" s="121"/>
      <c r="AW344" s="121"/>
      <c r="AX344" s="10"/>
    </row>
    <row r="345" spans="1:50" x14ac:dyDescent="0.2">
      <c r="S345" s="25"/>
      <c r="T345" s="10"/>
      <c r="U345" s="25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">
      <c r="A346" s="113"/>
      <c r="B346" s="113"/>
      <c r="D346" s="106" t="s">
        <v>21</v>
      </c>
      <c r="E346" s="107"/>
      <c r="F346" s="107"/>
      <c r="G346" s="107"/>
      <c r="H346" s="107"/>
      <c r="I346" s="107"/>
      <c r="J346" s="107"/>
      <c r="K346" s="107"/>
      <c r="L346" s="107"/>
      <c r="S346" s="25"/>
      <c r="T346" s="10"/>
      <c r="U346" s="10"/>
      <c r="V346" s="25"/>
      <c r="W346" s="10"/>
      <c r="X346" s="10"/>
      <c r="Y346" s="121"/>
      <c r="Z346" s="121"/>
      <c r="AA346" s="10"/>
      <c r="AB346" s="10"/>
      <c r="AC346" s="121"/>
      <c r="AD346" s="121"/>
      <c r="AE346" s="10"/>
      <c r="AF346" s="10"/>
      <c r="AG346" s="121"/>
      <c r="AH346" s="121"/>
      <c r="AI346" s="10"/>
      <c r="AJ346" s="10"/>
      <c r="AK346" s="121"/>
      <c r="AL346" s="121"/>
      <c r="AM346" s="10"/>
      <c r="AN346" s="10"/>
      <c r="AO346" s="121"/>
      <c r="AP346" s="121"/>
      <c r="AQ346" s="10"/>
      <c r="AR346" s="10"/>
      <c r="AS346" s="121"/>
      <c r="AT346" s="121"/>
      <c r="AU346" s="10"/>
      <c r="AV346" s="10"/>
      <c r="AW346" s="121"/>
      <c r="AX346" s="121"/>
    </row>
    <row r="347" spans="1:50" x14ac:dyDescent="0.2">
      <c r="S347" s="25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21"/>
      <c r="AL347" s="121"/>
      <c r="AM347" s="10"/>
      <c r="AN347" s="10"/>
      <c r="AO347" s="121"/>
      <c r="AP347" s="121"/>
      <c r="AQ347" s="10"/>
      <c r="AR347" s="10"/>
      <c r="AS347" s="121"/>
      <c r="AT347" s="121"/>
      <c r="AU347" s="10"/>
      <c r="AV347" s="10"/>
      <c r="AW347" s="121"/>
      <c r="AX347" s="121"/>
    </row>
    <row r="348" spans="1:50" x14ac:dyDescent="0.2">
      <c r="A348" s="28" t="s">
        <v>0</v>
      </c>
      <c r="B348" s="7" t="s">
        <v>1</v>
      </c>
      <c r="C348" s="28"/>
      <c r="D348" s="7" t="s">
        <v>2</v>
      </c>
      <c r="E348" s="28"/>
      <c r="F348" s="114" t="s">
        <v>3</v>
      </c>
      <c r="G348" s="114"/>
      <c r="H348" s="114"/>
      <c r="I348" s="114"/>
      <c r="J348" s="114"/>
      <c r="K348" s="28"/>
      <c r="L348" s="28" t="s">
        <v>0</v>
      </c>
      <c r="M348" s="7" t="s">
        <v>1</v>
      </c>
      <c r="N348" s="28"/>
      <c r="O348" s="7" t="s">
        <v>2</v>
      </c>
      <c r="S348" s="25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ht="18" customHeight="1" x14ac:dyDescent="0.2">
      <c r="A349" s="7">
        <v>1</v>
      </c>
      <c r="B349" s="11" t="s">
        <v>102</v>
      </c>
      <c r="D349" s="5">
        <v>12</v>
      </c>
      <c r="F349" s="37" t="s">
        <v>174</v>
      </c>
      <c r="G349" s="38"/>
      <c r="H349" s="37" t="s">
        <v>184</v>
      </c>
      <c r="I349" s="38"/>
      <c r="J349" s="37" t="s">
        <v>185</v>
      </c>
      <c r="L349" s="7"/>
      <c r="M349" s="11" t="s">
        <v>92</v>
      </c>
      <c r="O349" s="5">
        <v>10</v>
      </c>
      <c r="S349" s="25"/>
      <c r="T349" s="10"/>
      <c r="U349" s="25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">
      <c r="A350" s="80"/>
      <c r="C350" s="51"/>
      <c r="D350" s="79"/>
      <c r="F350" s="82"/>
      <c r="G350" s="56"/>
      <c r="H350" s="82"/>
      <c r="I350" s="56"/>
      <c r="J350" s="82"/>
      <c r="L350" s="80"/>
      <c r="O350" s="79"/>
      <c r="S350" s="25"/>
      <c r="T350" s="10"/>
      <c r="U350" s="10"/>
      <c r="V350" s="25"/>
      <c r="W350" s="10"/>
      <c r="X350" s="10"/>
      <c r="Y350" s="121"/>
      <c r="Z350" s="121"/>
      <c r="AA350" s="10"/>
      <c r="AB350" s="10"/>
      <c r="AC350" s="121"/>
      <c r="AD350" s="121"/>
      <c r="AE350" s="10"/>
      <c r="AF350" s="10"/>
      <c r="AG350" s="121"/>
      <c r="AH350" s="121"/>
      <c r="AI350" s="10"/>
      <c r="AJ350" s="10"/>
      <c r="AK350" s="121"/>
      <c r="AL350" s="121"/>
      <c r="AM350" s="10"/>
      <c r="AN350" s="10"/>
      <c r="AO350" s="121"/>
      <c r="AP350" s="121"/>
      <c r="AQ350" s="10"/>
      <c r="AR350" s="10"/>
      <c r="AS350" s="121"/>
      <c r="AT350" s="121"/>
      <c r="AU350" s="10"/>
      <c r="AV350" s="10"/>
      <c r="AW350" s="121"/>
      <c r="AX350" s="121"/>
    </row>
    <row r="351" spans="1:50" x14ac:dyDescent="0.2">
      <c r="A351" s="80"/>
      <c r="C351" s="51"/>
      <c r="D351" s="4"/>
      <c r="F351" s="56"/>
      <c r="G351" s="56"/>
      <c r="H351" s="56"/>
      <c r="I351" s="56"/>
      <c r="J351" s="56"/>
      <c r="L351" s="80"/>
      <c r="O351" s="4"/>
      <c r="S351" s="24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21"/>
      <c r="AL351" s="121"/>
      <c r="AM351" s="10"/>
      <c r="AN351" s="10"/>
      <c r="AO351" s="121"/>
      <c r="AP351" s="121"/>
      <c r="AQ351" s="10"/>
      <c r="AR351" s="10"/>
      <c r="AS351" s="121"/>
      <c r="AT351" s="121"/>
      <c r="AU351" s="10"/>
      <c r="AV351" s="10"/>
      <c r="AW351" s="121"/>
      <c r="AX351" s="121"/>
    </row>
    <row r="352" spans="1:50" x14ac:dyDescent="0.2">
      <c r="B352" s="10"/>
      <c r="D352" s="4"/>
      <c r="F352" s="39"/>
      <c r="G352" s="39"/>
      <c r="H352" s="39"/>
      <c r="I352" s="39"/>
      <c r="J352" s="39"/>
      <c r="O352" s="4"/>
      <c r="S352" s="25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">
      <c r="A353" s="17"/>
      <c r="B353" s="83"/>
      <c r="D353" s="106" t="s">
        <v>22</v>
      </c>
      <c r="E353" s="107"/>
      <c r="F353" s="107"/>
      <c r="G353" s="107"/>
      <c r="H353" s="107"/>
      <c r="I353" s="107"/>
      <c r="J353" s="107"/>
      <c r="K353" s="107"/>
      <c r="L353" s="107"/>
      <c r="S353" s="25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">
      <c r="F354" s="40"/>
      <c r="G354" s="40"/>
      <c r="H354" s="40"/>
      <c r="I354" s="40"/>
      <c r="J354" s="40"/>
      <c r="S354" s="25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ht="18" customHeight="1" x14ac:dyDescent="0.2">
      <c r="A355" s="7">
        <v>1</v>
      </c>
      <c r="B355" s="11" t="s">
        <v>156</v>
      </c>
      <c r="D355" s="5">
        <v>4</v>
      </c>
      <c r="E355" s="41"/>
      <c r="F355" s="37" t="s">
        <v>169</v>
      </c>
      <c r="G355" s="38"/>
      <c r="H355" s="37" t="s">
        <v>169</v>
      </c>
      <c r="I355" s="38"/>
      <c r="J355" s="37"/>
      <c r="K355" s="41"/>
      <c r="L355" s="7"/>
      <c r="M355" s="11" t="s">
        <v>95</v>
      </c>
      <c r="O355" s="5">
        <v>12</v>
      </c>
      <c r="S355" s="25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ht="18" customHeight="1" x14ac:dyDescent="0.2">
      <c r="B356" s="10"/>
      <c r="D356" s="4"/>
      <c r="F356" s="39"/>
      <c r="G356" s="39"/>
      <c r="H356" s="39"/>
      <c r="I356" s="39"/>
      <c r="J356" s="39"/>
      <c r="O356" s="4"/>
      <c r="S356" s="25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ht="18" customHeight="1" x14ac:dyDescent="0.2">
      <c r="A357" s="17"/>
      <c r="B357" s="83"/>
      <c r="D357" s="106" t="s">
        <v>23</v>
      </c>
      <c r="E357" s="107"/>
      <c r="F357" s="107"/>
      <c r="G357" s="107"/>
      <c r="H357" s="107"/>
      <c r="I357" s="107"/>
      <c r="J357" s="107"/>
      <c r="K357" s="107"/>
      <c r="L357" s="107"/>
      <c r="S357" s="25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ht="18" customHeight="1" x14ac:dyDescent="0.2">
      <c r="F358" s="40"/>
      <c r="G358" s="40"/>
      <c r="H358" s="40"/>
      <c r="I358" s="40"/>
      <c r="J358" s="40"/>
      <c r="S358" s="25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ht="18" customHeight="1" x14ac:dyDescent="0.2">
      <c r="A359" s="7">
        <v>1</v>
      </c>
      <c r="B359" s="11" t="s">
        <v>157</v>
      </c>
      <c r="D359" s="5">
        <v>10</v>
      </c>
      <c r="F359" s="37" t="s">
        <v>193</v>
      </c>
      <c r="G359" s="38"/>
      <c r="H359" s="37" t="s">
        <v>168</v>
      </c>
      <c r="I359" s="38"/>
      <c r="J359" s="37" t="s">
        <v>176</v>
      </c>
      <c r="L359" s="7"/>
      <c r="M359" s="11" t="s">
        <v>94</v>
      </c>
      <c r="O359" s="5">
        <v>12</v>
      </c>
      <c r="S359" s="25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">
      <c r="B360" s="11" t="s">
        <v>104</v>
      </c>
      <c r="F360" s="40"/>
      <c r="G360" s="40"/>
      <c r="H360" s="40"/>
      <c r="I360" s="40"/>
      <c r="J360" s="40"/>
      <c r="M360" s="11" t="s">
        <v>146</v>
      </c>
      <c r="S360" s="25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">
      <c r="B361" s="10"/>
      <c r="F361" s="40"/>
      <c r="G361" s="40"/>
      <c r="H361" s="40"/>
      <c r="I361" s="40"/>
      <c r="J361" s="40"/>
      <c r="S361" s="25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ht="18" customHeight="1" x14ac:dyDescent="0.2">
      <c r="A362" s="17"/>
      <c r="B362" s="83"/>
      <c r="D362" s="106" t="s">
        <v>24</v>
      </c>
      <c r="E362" s="107"/>
      <c r="F362" s="107"/>
      <c r="G362" s="107"/>
      <c r="H362" s="107"/>
      <c r="I362" s="107"/>
      <c r="J362" s="107"/>
      <c r="K362" s="107"/>
      <c r="L362" s="107"/>
      <c r="M362" s="83"/>
      <c r="S362" s="25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ht="18" customHeight="1" x14ac:dyDescent="0.2">
      <c r="F363" s="40"/>
      <c r="G363" s="40"/>
      <c r="H363" s="40"/>
      <c r="I363" s="40"/>
      <c r="J363" s="40"/>
      <c r="S363" s="25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ht="18" customHeight="1" x14ac:dyDescent="0.2">
      <c r="A364" s="7">
        <v>1</v>
      </c>
      <c r="B364" s="11" t="s">
        <v>165</v>
      </c>
      <c r="D364" s="5">
        <v>4</v>
      </c>
      <c r="F364" s="37" t="s">
        <v>177</v>
      </c>
      <c r="G364" s="38"/>
      <c r="H364" s="37" t="s">
        <v>179</v>
      </c>
      <c r="I364" s="38"/>
      <c r="J364" s="37"/>
      <c r="L364" s="7"/>
      <c r="M364" s="11" t="s">
        <v>142</v>
      </c>
      <c r="O364" s="5">
        <v>12</v>
      </c>
      <c r="S364" s="25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">
      <c r="A365" s="7"/>
      <c r="B365" s="11" t="s">
        <v>154</v>
      </c>
      <c r="F365" s="42"/>
      <c r="G365" s="42"/>
      <c r="H365" s="42"/>
      <c r="I365" s="42"/>
      <c r="J365" s="42"/>
      <c r="L365" s="7"/>
      <c r="M365" s="11" t="s">
        <v>93</v>
      </c>
      <c r="S365" s="25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">
      <c r="A366" s="17"/>
      <c r="B366" s="47"/>
      <c r="C366" s="10"/>
      <c r="D366" s="4"/>
      <c r="E366" s="10"/>
      <c r="F366" s="56"/>
      <c r="G366" s="56"/>
      <c r="H366" s="56"/>
      <c r="I366" s="56"/>
      <c r="J366" s="56"/>
      <c r="K366" s="10"/>
      <c r="L366" s="17"/>
      <c r="N366" s="10"/>
      <c r="O366" s="4"/>
      <c r="S366" s="25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ht="18" customHeight="1" x14ac:dyDescent="0.2">
      <c r="A367" s="10"/>
      <c r="B367" s="47"/>
      <c r="C367" s="10"/>
      <c r="D367" s="4"/>
      <c r="E367" s="10"/>
      <c r="F367" s="57"/>
      <c r="G367" s="57"/>
      <c r="H367" s="57"/>
      <c r="I367" s="57"/>
      <c r="J367" s="57"/>
      <c r="K367" s="10"/>
      <c r="L367" s="10"/>
      <c r="N367" s="10"/>
      <c r="O367" s="4"/>
      <c r="S367" s="25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ht="18" customHeight="1" x14ac:dyDescent="0.2">
      <c r="B368" s="10"/>
      <c r="F368" s="40"/>
      <c r="G368" s="40"/>
      <c r="H368" s="40"/>
      <c r="I368" s="40"/>
      <c r="J368" s="40"/>
      <c r="S368" s="25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">
      <c r="A369" s="17"/>
      <c r="B369" s="83"/>
      <c r="D369" s="106" t="s">
        <v>25</v>
      </c>
      <c r="E369" s="107"/>
      <c r="F369" s="107"/>
      <c r="G369" s="107"/>
      <c r="H369" s="107"/>
      <c r="I369" s="107"/>
      <c r="J369" s="107"/>
      <c r="K369" s="107"/>
      <c r="L369" s="107"/>
      <c r="S369" s="25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">
      <c r="F370" s="40"/>
      <c r="G370" s="40"/>
      <c r="H370" s="40"/>
      <c r="I370" s="40"/>
      <c r="J370" s="40"/>
      <c r="S370" s="25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ht="18" customHeight="1" x14ac:dyDescent="0.2">
      <c r="A371" s="7">
        <v>1</v>
      </c>
      <c r="B371" s="11" t="s">
        <v>105</v>
      </c>
      <c r="D371" s="5">
        <v>4</v>
      </c>
      <c r="F371" s="37" t="s">
        <v>169</v>
      </c>
      <c r="G371" s="38"/>
      <c r="H371" s="37" t="s">
        <v>175</v>
      </c>
      <c r="I371" s="38"/>
      <c r="J371" s="37"/>
      <c r="L371" s="7"/>
      <c r="M371" s="11" t="s">
        <v>147</v>
      </c>
      <c r="O371" s="5">
        <v>12</v>
      </c>
      <c r="S371" s="25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ht="18" customHeight="1" x14ac:dyDescent="0.2">
      <c r="B372" s="11" t="s">
        <v>103</v>
      </c>
      <c r="M372" s="11" t="s">
        <v>91</v>
      </c>
      <c r="S372" s="25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ht="18" customHeight="1" x14ac:dyDescent="0.2">
      <c r="S373" s="25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ht="18" customHeight="1" x14ac:dyDescent="0.2">
      <c r="B374" s="41" t="s">
        <v>4</v>
      </c>
      <c r="C374" s="9"/>
      <c r="D374" s="3">
        <f>SUM(D349:D371)</f>
        <v>34</v>
      </c>
      <c r="F374" s="108" t="s">
        <v>15</v>
      </c>
      <c r="G374" s="109"/>
      <c r="H374" s="109"/>
      <c r="I374" s="109"/>
      <c r="J374" s="43" t="s">
        <v>16</v>
      </c>
      <c r="M374" s="41" t="s">
        <v>4</v>
      </c>
      <c r="N374" s="9"/>
      <c r="O374" s="3">
        <f>SUM(O349:O371)</f>
        <v>58</v>
      </c>
      <c r="S374" s="25"/>
      <c r="T374" s="24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ht="18" customHeight="1" x14ac:dyDescent="0.2">
      <c r="C375" s="10"/>
      <c r="D375" s="4"/>
      <c r="F375" s="101"/>
      <c r="G375" s="102"/>
      <c r="H375" s="102"/>
      <c r="I375" s="103"/>
      <c r="J375" s="44"/>
      <c r="N375" s="10"/>
      <c r="O375" s="4"/>
      <c r="S375" s="25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">
      <c r="B376" s="11"/>
      <c r="C376" s="11"/>
      <c r="D376" s="5"/>
      <c r="F376" s="101"/>
      <c r="G376" s="102"/>
      <c r="H376" s="102"/>
      <c r="I376" s="103"/>
      <c r="J376" s="44"/>
      <c r="M376" s="11"/>
      <c r="N376" s="11"/>
      <c r="O376" s="5"/>
      <c r="S376" s="25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">
      <c r="B377" s="104" t="s">
        <v>5</v>
      </c>
      <c r="C377" s="105"/>
      <c r="D377" s="105"/>
      <c r="F377" s="101"/>
      <c r="G377" s="102"/>
      <c r="H377" s="102"/>
      <c r="I377" s="103"/>
      <c r="J377" s="44"/>
      <c r="M377" s="104" t="s">
        <v>5</v>
      </c>
      <c r="N377" s="105"/>
      <c r="O377" s="105"/>
      <c r="S377" s="25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">
      <c r="D378" s="4"/>
      <c r="E378" s="10"/>
      <c r="F378" s="101"/>
      <c r="G378" s="102"/>
      <c r="H378" s="102"/>
      <c r="I378" s="103"/>
      <c r="J378" s="44"/>
      <c r="K378" s="10"/>
      <c r="S378" s="25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ht="18" customHeight="1" x14ac:dyDescent="0.2">
      <c r="B379" s="45" t="s">
        <v>35</v>
      </c>
      <c r="C379" s="46">
        <v>1</v>
      </c>
      <c r="D379" s="8" t="s">
        <v>8</v>
      </c>
      <c r="E379" s="47"/>
      <c r="F379" s="101"/>
      <c r="G379" s="102"/>
      <c r="H379" s="102"/>
      <c r="I379" s="103"/>
      <c r="J379" s="44"/>
      <c r="K379" s="47"/>
      <c r="L379" s="48"/>
      <c r="M379" s="45" t="s">
        <v>35</v>
      </c>
      <c r="N379" s="46">
        <v>1</v>
      </c>
      <c r="O379" s="8" t="s">
        <v>8</v>
      </c>
      <c r="S379" s="25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ht="18" customHeight="1" x14ac:dyDescent="0.2">
      <c r="B380" s="49" t="s">
        <v>19</v>
      </c>
      <c r="C380" s="50">
        <v>2</v>
      </c>
      <c r="D380" s="1" t="s">
        <v>8</v>
      </c>
      <c r="E380" s="47"/>
      <c r="F380" s="101"/>
      <c r="G380" s="102"/>
      <c r="H380" s="102"/>
      <c r="I380" s="103"/>
      <c r="J380" s="44"/>
      <c r="K380" s="47"/>
      <c r="L380" s="51"/>
      <c r="M380" s="49" t="s">
        <v>19</v>
      </c>
      <c r="N380" s="50">
        <v>2</v>
      </c>
      <c r="O380" s="1" t="s">
        <v>8</v>
      </c>
      <c r="S380" s="25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">
      <c r="B381" s="49" t="s">
        <v>20</v>
      </c>
      <c r="C381" s="50">
        <v>3</v>
      </c>
      <c r="D381" s="1" t="s">
        <v>9</v>
      </c>
      <c r="E381" s="47"/>
      <c r="F381" s="101"/>
      <c r="G381" s="102"/>
      <c r="H381" s="102"/>
      <c r="I381" s="103"/>
      <c r="J381" s="44"/>
      <c r="K381" s="47"/>
      <c r="L381" s="51"/>
      <c r="M381" s="49" t="s">
        <v>20</v>
      </c>
      <c r="N381" s="50">
        <v>3</v>
      </c>
      <c r="O381" s="1" t="s">
        <v>9</v>
      </c>
      <c r="S381" s="25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ht="18" customHeight="1" x14ac:dyDescent="0.2">
      <c r="B382" s="49" t="s">
        <v>14</v>
      </c>
      <c r="C382" s="50">
        <v>6</v>
      </c>
      <c r="D382" s="1" t="s">
        <v>9</v>
      </c>
      <c r="E382" s="47"/>
      <c r="F382" s="101"/>
      <c r="G382" s="102"/>
      <c r="H382" s="102"/>
      <c r="I382" s="103"/>
      <c r="J382" s="44"/>
      <c r="K382" s="47"/>
      <c r="L382" s="51"/>
      <c r="M382" s="49" t="s">
        <v>14</v>
      </c>
      <c r="N382" s="50">
        <v>6</v>
      </c>
      <c r="O382" s="1" t="s">
        <v>9</v>
      </c>
      <c r="S382" s="25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">
      <c r="B383" s="49" t="s">
        <v>17</v>
      </c>
      <c r="C383" s="50">
        <v>12</v>
      </c>
      <c r="D383" s="1" t="s">
        <v>9</v>
      </c>
      <c r="E383" s="47"/>
      <c r="F383" s="101"/>
      <c r="G383" s="102"/>
      <c r="H383" s="102"/>
      <c r="I383" s="103"/>
      <c r="J383" s="44"/>
      <c r="K383" s="47"/>
      <c r="L383" s="51"/>
      <c r="M383" s="49" t="s">
        <v>17</v>
      </c>
      <c r="N383" s="50">
        <v>12</v>
      </c>
      <c r="O383" s="1" t="s">
        <v>9</v>
      </c>
      <c r="S383" s="25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">
      <c r="B384" s="52" t="s">
        <v>18</v>
      </c>
      <c r="C384" s="53">
        <v>10</v>
      </c>
      <c r="D384" s="2" t="s">
        <v>9</v>
      </c>
      <c r="E384" s="47"/>
      <c r="F384" s="101"/>
      <c r="G384" s="102"/>
      <c r="H384" s="102"/>
      <c r="I384" s="103"/>
      <c r="J384" s="44"/>
      <c r="K384" s="47"/>
      <c r="L384" s="51"/>
      <c r="M384" s="52" t="s">
        <v>18</v>
      </c>
      <c r="N384" s="53">
        <v>10</v>
      </c>
      <c r="O384" s="2" t="s">
        <v>9</v>
      </c>
      <c r="S384" s="25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">
      <c r="S385" s="25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ht="18" x14ac:dyDescent="0.25">
      <c r="I386" s="26"/>
      <c r="J386" s="26"/>
      <c r="K386" s="120" t="s">
        <v>7</v>
      </c>
      <c r="L386" s="120"/>
      <c r="M386" s="120"/>
      <c r="N386" s="120"/>
      <c r="O386" s="120"/>
      <c r="S386" s="25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ht="18" x14ac:dyDescent="0.25">
      <c r="I387" s="26"/>
      <c r="J387" s="26"/>
      <c r="K387" s="115" t="s">
        <v>6</v>
      </c>
      <c r="L387" s="115"/>
      <c r="M387" s="115"/>
      <c r="N387" s="115"/>
      <c r="O387" s="115"/>
      <c r="S387" s="25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ht="18" x14ac:dyDescent="0.25">
      <c r="K388" s="115"/>
      <c r="L388" s="115"/>
      <c r="M388" s="115"/>
      <c r="N388" s="115"/>
      <c r="O388" s="115"/>
      <c r="S388" s="25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">
      <c r="A389" s="28" t="s">
        <v>160</v>
      </c>
      <c r="B389" s="29"/>
      <c r="C389" s="113" t="s">
        <v>161</v>
      </c>
      <c r="D389" s="116"/>
      <c r="E389" s="116"/>
      <c r="F389" s="116"/>
      <c r="G389" s="116"/>
      <c r="H389" s="116"/>
      <c r="I389" s="116"/>
      <c r="J389" s="116"/>
      <c r="K389" s="116"/>
      <c r="L389" s="11"/>
      <c r="M389" s="31" t="s">
        <v>162</v>
      </c>
      <c r="N389" s="11"/>
      <c r="O389" s="5"/>
      <c r="S389" s="25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">
      <c r="B390" s="32"/>
      <c r="C390" s="10"/>
      <c r="E390" s="10"/>
      <c r="F390" s="33"/>
      <c r="G390" s="33"/>
      <c r="H390" s="33"/>
      <c r="I390" s="33"/>
      <c r="J390" s="34"/>
      <c r="K390" s="35"/>
      <c r="L390" s="10"/>
      <c r="M390" s="10"/>
      <c r="S390" s="25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ht="15" x14ac:dyDescent="0.25">
      <c r="A391" s="117" t="s">
        <v>11</v>
      </c>
      <c r="B391" s="116"/>
      <c r="C391" s="116"/>
      <c r="D391" s="116"/>
      <c r="E391" s="10"/>
      <c r="F391" s="36" t="s">
        <v>12</v>
      </c>
      <c r="G391" s="36"/>
      <c r="H391" s="36"/>
      <c r="I391" s="114" t="s">
        <v>13</v>
      </c>
      <c r="J391" s="118"/>
      <c r="K391" s="6"/>
      <c r="L391" s="119" t="s">
        <v>10</v>
      </c>
      <c r="M391" s="119"/>
      <c r="N391" s="119"/>
      <c r="O391" s="119"/>
      <c r="S391" s="25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ht="15" x14ac:dyDescent="0.25">
      <c r="A392" s="110" t="s">
        <v>32</v>
      </c>
      <c r="B392" s="111"/>
      <c r="C392" s="111"/>
      <c r="D392" s="111"/>
      <c r="E392" s="10"/>
      <c r="F392" s="73" t="s">
        <v>47</v>
      </c>
      <c r="G392" s="36"/>
      <c r="H392" s="36"/>
      <c r="I392" s="112" t="s">
        <v>30</v>
      </c>
      <c r="J392" s="111"/>
      <c r="K392" s="25"/>
      <c r="L392" s="110" t="s">
        <v>126</v>
      </c>
      <c r="M392" s="111"/>
      <c r="N392" s="111"/>
      <c r="O392" s="111"/>
      <c r="S392" s="25"/>
      <c r="T392" s="10"/>
      <c r="U392" s="25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">
      <c r="S393" s="25"/>
      <c r="T393" s="10"/>
      <c r="U393" s="10"/>
      <c r="V393" s="10"/>
      <c r="W393" s="10"/>
      <c r="X393" s="123"/>
      <c r="Y393" s="121"/>
      <c r="Z393" s="10"/>
      <c r="AA393" s="10"/>
      <c r="AB393" s="121"/>
      <c r="AC393" s="121"/>
      <c r="AD393" s="10"/>
      <c r="AE393" s="10"/>
      <c r="AF393" s="121"/>
      <c r="AG393" s="121"/>
      <c r="AH393" s="10"/>
      <c r="AI393" s="10"/>
      <c r="AJ393" s="121"/>
      <c r="AK393" s="121"/>
      <c r="AL393" s="10"/>
      <c r="AM393" s="10"/>
      <c r="AN393" s="121"/>
      <c r="AO393" s="121"/>
      <c r="AP393" s="10"/>
      <c r="AQ393" s="10"/>
      <c r="AR393" s="121"/>
      <c r="AS393" s="121"/>
      <c r="AT393" s="10"/>
      <c r="AU393" s="10"/>
      <c r="AV393" s="121"/>
      <c r="AW393" s="121"/>
      <c r="AX393" s="10"/>
    </row>
    <row r="394" spans="1:50" x14ac:dyDescent="0.2">
      <c r="A394" s="113"/>
      <c r="B394" s="113"/>
      <c r="D394" s="106" t="s">
        <v>21</v>
      </c>
      <c r="E394" s="107"/>
      <c r="F394" s="107"/>
      <c r="G394" s="107"/>
      <c r="H394" s="107"/>
      <c r="I394" s="107"/>
      <c r="J394" s="107"/>
      <c r="K394" s="107"/>
      <c r="L394" s="107"/>
      <c r="S394" s="25"/>
      <c r="T394" s="10"/>
      <c r="U394" s="25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">
      <c r="S395" s="25"/>
      <c r="T395" s="10"/>
      <c r="U395" s="10"/>
      <c r="V395" s="25"/>
      <c r="W395" s="10"/>
      <c r="X395" s="10"/>
      <c r="Y395" s="121"/>
      <c r="Z395" s="121"/>
      <c r="AA395" s="10"/>
      <c r="AB395" s="10"/>
      <c r="AC395" s="121"/>
      <c r="AD395" s="121"/>
      <c r="AE395" s="10"/>
      <c r="AF395" s="10"/>
      <c r="AG395" s="121"/>
      <c r="AH395" s="121"/>
      <c r="AI395" s="10"/>
      <c r="AJ395" s="10"/>
      <c r="AK395" s="121"/>
      <c r="AL395" s="121"/>
      <c r="AM395" s="10"/>
      <c r="AN395" s="10"/>
      <c r="AO395" s="121"/>
      <c r="AP395" s="121"/>
      <c r="AQ395" s="10"/>
      <c r="AR395" s="10"/>
      <c r="AS395" s="121"/>
      <c r="AT395" s="121"/>
      <c r="AU395" s="10"/>
      <c r="AV395" s="10"/>
      <c r="AW395" s="121"/>
      <c r="AX395" s="121"/>
    </row>
    <row r="396" spans="1:50" x14ac:dyDescent="0.2">
      <c r="A396" s="28" t="s">
        <v>0</v>
      </c>
      <c r="B396" s="7" t="s">
        <v>1</v>
      </c>
      <c r="C396" s="28"/>
      <c r="D396" s="7" t="s">
        <v>2</v>
      </c>
      <c r="E396" s="28"/>
      <c r="F396" s="114" t="s">
        <v>3</v>
      </c>
      <c r="G396" s="114"/>
      <c r="H396" s="114"/>
      <c r="I396" s="114"/>
      <c r="J396" s="114"/>
      <c r="K396" s="28"/>
      <c r="L396" s="28" t="s">
        <v>0</v>
      </c>
      <c r="M396" s="7" t="s">
        <v>1</v>
      </c>
      <c r="N396" s="28"/>
      <c r="O396" s="7" t="s">
        <v>2</v>
      </c>
      <c r="S396" s="25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21"/>
      <c r="AL396" s="121"/>
      <c r="AM396" s="10"/>
      <c r="AN396" s="10"/>
      <c r="AO396" s="121"/>
      <c r="AP396" s="121"/>
      <c r="AQ396" s="10"/>
      <c r="AR396" s="10"/>
      <c r="AS396" s="121"/>
      <c r="AT396" s="121"/>
      <c r="AU396" s="10"/>
      <c r="AV396" s="10"/>
      <c r="AW396" s="121"/>
      <c r="AX396" s="121"/>
    </row>
    <row r="397" spans="1:50" ht="18" customHeight="1" x14ac:dyDescent="0.2">
      <c r="A397" s="7">
        <v>1</v>
      </c>
      <c r="B397" s="11" t="s">
        <v>109</v>
      </c>
      <c r="D397" s="5">
        <v>6</v>
      </c>
      <c r="F397" s="37" t="s">
        <v>183</v>
      </c>
      <c r="G397" s="38"/>
      <c r="H397" s="37" t="s">
        <v>174</v>
      </c>
      <c r="I397" s="38"/>
      <c r="J397" s="37"/>
      <c r="L397" s="7"/>
      <c r="M397" s="11" t="s">
        <v>75</v>
      </c>
      <c r="O397" s="5">
        <v>12</v>
      </c>
      <c r="S397" s="25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">
      <c r="A398" s="80"/>
      <c r="B398" s="10"/>
      <c r="C398" s="51"/>
      <c r="D398" s="79"/>
      <c r="F398" s="82"/>
      <c r="G398" s="56"/>
      <c r="H398" s="82"/>
      <c r="I398" s="56"/>
      <c r="J398" s="82"/>
      <c r="L398" s="80"/>
      <c r="M398" s="10"/>
      <c r="O398" s="79"/>
      <c r="S398" s="25"/>
      <c r="T398" s="10"/>
      <c r="U398" s="25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">
      <c r="A399" s="80"/>
      <c r="B399" s="10"/>
      <c r="C399" s="51"/>
      <c r="D399" s="4"/>
      <c r="F399" s="56"/>
      <c r="G399" s="56"/>
      <c r="H399" s="56"/>
      <c r="I399" s="56"/>
      <c r="J399" s="56"/>
      <c r="L399" s="80"/>
      <c r="M399" s="10"/>
      <c r="O399" s="4"/>
      <c r="S399" s="25"/>
      <c r="T399" s="10"/>
      <c r="U399" s="10"/>
      <c r="V399" s="25"/>
      <c r="W399" s="10"/>
      <c r="X399" s="10"/>
      <c r="Y399" s="121"/>
      <c r="Z399" s="121"/>
      <c r="AA399" s="10"/>
      <c r="AB399" s="10"/>
      <c r="AC399" s="121"/>
      <c r="AD399" s="121"/>
      <c r="AE399" s="10"/>
      <c r="AF399" s="10"/>
      <c r="AG399" s="121"/>
      <c r="AH399" s="121"/>
      <c r="AI399" s="10"/>
      <c r="AJ399" s="10"/>
      <c r="AK399" s="121"/>
      <c r="AL399" s="121"/>
      <c r="AM399" s="10"/>
      <c r="AN399" s="10"/>
      <c r="AO399" s="121"/>
      <c r="AP399" s="121"/>
      <c r="AQ399" s="10"/>
      <c r="AR399" s="10"/>
      <c r="AS399" s="121"/>
      <c r="AT399" s="121"/>
      <c r="AU399" s="10"/>
      <c r="AV399" s="10"/>
      <c r="AW399" s="121"/>
      <c r="AX399" s="121"/>
    </row>
    <row r="400" spans="1:50" x14ac:dyDescent="0.2">
      <c r="B400" s="10"/>
      <c r="D400" s="4"/>
      <c r="F400" s="39"/>
      <c r="G400" s="39"/>
      <c r="H400" s="39"/>
      <c r="I400" s="39"/>
      <c r="J400" s="39"/>
      <c r="M400" s="10"/>
      <c r="O400" s="4"/>
      <c r="S400" s="24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21"/>
      <c r="AL400" s="121"/>
      <c r="AM400" s="10"/>
      <c r="AN400" s="10"/>
      <c r="AO400" s="121"/>
      <c r="AP400" s="121"/>
      <c r="AQ400" s="10"/>
      <c r="AR400" s="10"/>
      <c r="AS400" s="121"/>
      <c r="AT400" s="121"/>
      <c r="AU400" s="10"/>
      <c r="AV400" s="10"/>
      <c r="AW400" s="121"/>
      <c r="AX400" s="121"/>
    </row>
    <row r="401" spans="1:50" x14ac:dyDescent="0.2">
      <c r="A401" s="17"/>
      <c r="B401" s="83"/>
      <c r="D401" s="106" t="s">
        <v>22</v>
      </c>
      <c r="E401" s="107"/>
      <c r="F401" s="107"/>
      <c r="G401" s="107"/>
      <c r="H401" s="107"/>
      <c r="I401" s="107"/>
      <c r="J401" s="107"/>
      <c r="K401" s="107"/>
      <c r="L401" s="107"/>
      <c r="S401" s="25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">
      <c r="F402" s="40"/>
      <c r="G402" s="40"/>
      <c r="H402" s="40"/>
      <c r="I402" s="40"/>
      <c r="J402" s="40"/>
      <c r="S402" s="25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ht="18" customHeight="1" x14ac:dyDescent="0.2">
      <c r="A403" s="7">
        <v>1</v>
      </c>
      <c r="B403" s="11" t="s">
        <v>113</v>
      </c>
      <c r="D403" s="5">
        <v>12</v>
      </c>
      <c r="E403" s="41"/>
      <c r="F403" s="37" t="s">
        <v>193</v>
      </c>
      <c r="G403" s="38"/>
      <c r="H403" s="37" t="s">
        <v>195</v>
      </c>
      <c r="I403" s="38"/>
      <c r="J403" s="37"/>
      <c r="K403" s="41"/>
      <c r="L403" s="7"/>
      <c r="M403" s="11" t="s">
        <v>85</v>
      </c>
      <c r="O403" s="5">
        <v>4</v>
      </c>
      <c r="S403" s="25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">
      <c r="B404" s="10"/>
      <c r="D404" s="4"/>
      <c r="F404" s="39"/>
      <c r="G404" s="39"/>
      <c r="H404" s="39"/>
      <c r="I404" s="39"/>
      <c r="J404" s="39"/>
      <c r="M404" s="10"/>
      <c r="O404" s="4"/>
      <c r="S404" s="25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ht="18" customHeight="1" x14ac:dyDescent="0.2">
      <c r="A405" s="17"/>
      <c r="B405" s="83"/>
      <c r="D405" s="106" t="s">
        <v>23</v>
      </c>
      <c r="E405" s="107"/>
      <c r="F405" s="107"/>
      <c r="G405" s="107"/>
      <c r="H405" s="107"/>
      <c r="I405" s="107"/>
      <c r="J405" s="107"/>
      <c r="K405" s="107"/>
      <c r="L405" s="107"/>
      <c r="S405" s="25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ht="18" customHeight="1" x14ac:dyDescent="0.2">
      <c r="F406" s="40"/>
      <c r="G406" s="40"/>
      <c r="H406" s="40"/>
      <c r="I406" s="40"/>
      <c r="J406" s="40"/>
      <c r="S406" s="25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ht="18" customHeight="1" x14ac:dyDescent="0.2">
      <c r="A407" s="7">
        <v>1</v>
      </c>
      <c r="B407" s="11" t="s">
        <v>116</v>
      </c>
      <c r="D407" s="5">
        <v>3</v>
      </c>
      <c r="F407" s="37" t="s">
        <v>166</v>
      </c>
      <c r="G407" s="38"/>
      <c r="H407" s="37" t="s">
        <v>180</v>
      </c>
      <c r="I407" s="38"/>
      <c r="J407" s="37"/>
      <c r="L407" s="7"/>
      <c r="M407" s="11" t="s">
        <v>82</v>
      </c>
      <c r="O407" s="5">
        <v>12</v>
      </c>
      <c r="S407" s="25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">
      <c r="B408" s="11" t="s">
        <v>117</v>
      </c>
      <c r="F408" s="40"/>
      <c r="G408" s="40"/>
      <c r="H408" s="40"/>
      <c r="I408" s="40"/>
      <c r="J408" s="40"/>
      <c r="M408" s="11" t="s">
        <v>86</v>
      </c>
      <c r="S408" s="25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">
      <c r="B409" s="10"/>
      <c r="F409" s="40"/>
      <c r="G409" s="40"/>
      <c r="H409" s="40"/>
      <c r="I409" s="40"/>
      <c r="J409" s="40"/>
      <c r="M409" s="10"/>
      <c r="S409" s="25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">
      <c r="A410" s="17"/>
      <c r="B410" s="83"/>
      <c r="D410" s="106" t="s">
        <v>24</v>
      </c>
      <c r="E410" s="107"/>
      <c r="F410" s="107"/>
      <c r="G410" s="107"/>
      <c r="H410" s="107"/>
      <c r="I410" s="107"/>
      <c r="J410" s="107"/>
      <c r="K410" s="107"/>
      <c r="L410" s="107"/>
      <c r="S410" s="25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ht="18" customHeight="1" x14ac:dyDescent="0.2">
      <c r="F411" s="40"/>
      <c r="G411" s="40"/>
      <c r="H411" s="40"/>
      <c r="I411" s="40"/>
      <c r="J411" s="40"/>
      <c r="S411" s="25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ht="18" customHeight="1" x14ac:dyDescent="0.2">
      <c r="A412" s="7">
        <v>1</v>
      </c>
      <c r="B412" s="11" t="s">
        <v>106</v>
      </c>
      <c r="D412" s="5">
        <v>10</v>
      </c>
      <c r="F412" s="37" t="s">
        <v>188</v>
      </c>
      <c r="G412" s="38"/>
      <c r="H412" s="37" t="s">
        <v>169</v>
      </c>
      <c r="I412" s="38"/>
      <c r="J412" s="37" t="s">
        <v>171</v>
      </c>
      <c r="L412" s="7"/>
      <c r="M412" s="11" t="s">
        <v>71</v>
      </c>
      <c r="O412" s="5">
        <v>12</v>
      </c>
      <c r="S412" s="25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">
      <c r="A413" s="7"/>
      <c r="B413" s="11" t="s">
        <v>107</v>
      </c>
      <c r="F413" s="42"/>
      <c r="G413" s="42"/>
      <c r="H413" s="42"/>
      <c r="I413" s="42"/>
      <c r="J413" s="42"/>
      <c r="L413" s="7"/>
      <c r="M413" s="11" t="s">
        <v>72</v>
      </c>
      <c r="S413" s="25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">
      <c r="A414" s="17"/>
      <c r="B414" s="47"/>
      <c r="C414" s="10"/>
      <c r="D414" s="4"/>
      <c r="E414" s="10"/>
      <c r="F414" s="56"/>
      <c r="G414" s="56"/>
      <c r="H414" s="56"/>
      <c r="I414" s="56"/>
      <c r="J414" s="56"/>
      <c r="K414" s="10"/>
      <c r="L414" s="17"/>
      <c r="M414" s="47"/>
      <c r="N414" s="10"/>
      <c r="O414" s="4"/>
      <c r="S414" s="25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">
      <c r="A415" s="10"/>
      <c r="B415" s="47"/>
      <c r="C415" s="10"/>
      <c r="D415" s="4"/>
      <c r="E415" s="10"/>
      <c r="F415" s="57"/>
      <c r="G415" s="57"/>
      <c r="H415" s="57"/>
      <c r="I415" s="57"/>
      <c r="J415" s="57"/>
      <c r="K415" s="10"/>
      <c r="L415" s="10"/>
      <c r="M415" s="47"/>
      <c r="N415" s="10"/>
      <c r="O415" s="4"/>
      <c r="S415" s="25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ht="18" customHeight="1" x14ac:dyDescent="0.2">
      <c r="B416" s="10"/>
      <c r="F416" s="40"/>
      <c r="G416" s="40"/>
      <c r="H416" s="40"/>
      <c r="I416" s="40"/>
      <c r="J416" s="40"/>
      <c r="M416" s="10"/>
      <c r="S416" s="25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ht="18" customHeight="1" x14ac:dyDescent="0.2">
      <c r="A417" s="17"/>
      <c r="B417" s="83"/>
      <c r="D417" s="106" t="s">
        <v>25</v>
      </c>
      <c r="E417" s="107"/>
      <c r="F417" s="107"/>
      <c r="G417" s="107"/>
      <c r="H417" s="107"/>
      <c r="I417" s="107"/>
      <c r="J417" s="107"/>
      <c r="K417" s="107"/>
      <c r="L417" s="107"/>
      <c r="S417" s="25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">
      <c r="F418" s="40"/>
      <c r="G418" s="40"/>
      <c r="H418" s="40"/>
      <c r="I418" s="40"/>
      <c r="J418" s="40"/>
      <c r="S418" s="25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ht="18" customHeight="1" x14ac:dyDescent="0.2">
      <c r="A419" s="7">
        <v>1</v>
      </c>
      <c r="B419" s="11" t="s">
        <v>115</v>
      </c>
      <c r="D419" s="5">
        <v>5</v>
      </c>
      <c r="F419" s="37" t="s">
        <v>196</v>
      </c>
      <c r="G419" s="38"/>
      <c r="H419" s="37" t="s">
        <v>171</v>
      </c>
      <c r="I419" s="38"/>
      <c r="J419" s="37"/>
      <c r="L419" s="7"/>
      <c r="M419" s="11" t="s">
        <v>83</v>
      </c>
      <c r="O419" s="5">
        <v>12</v>
      </c>
      <c r="S419" s="25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">
      <c r="B420" s="11" t="s">
        <v>108</v>
      </c>
      <c r="M420" s="11" t="s">
        <v>73</v>
      </c>
      <c r="S420" s="25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ht="18" customHeight="1" x14ac:dyDescent="0.2">
      <c r="D421" s="7"/>
      <c r="O421" s="7"/>
      <c r="S421" s="25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ht="18" customHeight="1" x14ac:dyDescent="0.2">
      <c r="B422" s="41" t="s">
        <v>4</v>
      </c>
      <c r="C422" s="9"/>
      <c r="D422" s="3">
        <f>SUM(D397:D419)</f>
        <v>36</v>
      </c>
      <c r="F422" s="108" t="s">
        <v>15</v>
      </c>
      <c r="G422" s="109"/>
      <c r="H422" s="109"/>
      <c r="I422" s="109"/>
      <c r="J422" s="43" t="s">
        <v>16</v>
      </c>
      <c r="M422" s="41" t="s">
        <v>4</v>
      </c>
      <c r="N422" s="9"/>
      <c r="O422" s="3">
        <f>SUM(O397:O419)</f>
        <v>52</v>
      </c>
      <c r="S422" s="25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ht="18" customHeight="1" x14ac:dyDescent="0.2">
      <c r="C423" s="10"/>
      <c r="D423" s="4"/>
      <c r="F423" s="101"/>
      <c r="G423" s="102"/>
      <c r="H423" s="102"/>
      <c r="I423" s="103"/>
      <c r="J423" s="44"/>
      <c r="N423" s="10"/>
      <c r="O423" s="4"/>
      <c r="S423" s="25"/>
      <c r="T423" s="24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ht="18" customHeight="1" x14ac:dyDescent="0.2">
      <c r="B424" s="11"/>
      <c r="C424" s="11"/>
      <c r="D424" s="5"/>
      <c r="F424" s="101"/>
      <c r="G424" s="102"/>
      <c r="H424" s="102"/>
      <c r="I424" s="103"/>
      <c r="J424" s="44"/>
      <c r="M424" s="11"/>
      <c r="N424" s="11"/>
      <c r="O424" s="5"/>
      <c r="S424" s="25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">
      <c r="B425" s="104" t="s">
        <v>5</v>
      </c>
      <c r="C425" s="105"/>
      <c r="D425" s="105"/>
      <c r="F425" s="101"/>
      <c r="G425" s="102"/>
      <c r="H425" s="102"/>
      <c r="I425" s="103"/>
      <c r="J425" s="44"/>
      <c r="M425" s="104" t="s">
        <v>5</v>
      </c>
      <c r="N425" s="105"/>
      <c r="O425" s="105"/>
      <c r="S425" s="25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">
      <c r="D426" s="4"/>
      <c r="E426" s="10"/>
      <c r="F426" s="101"/>
      <c r="G426" s="102"/>
      <c r="H426" s="102"/>
      <c r="I426" s="103"/>
      <c r="J426" s="44"/>
      <c r="K426" s="10"/>
      <c r="S426" s="25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">
      <c r="B427" s="45" t="s">
        <v>35</v>
      </c>
      <c r="C427" s="46">
        <v>1</v>
      </c>
      <c r="D427" s="8" t="s">
        <v>8</v>
      </c>
      <c r="E427" s="47"/>
      <c r="F427" s="101"/>
      <c r="G427" s="102"/>
      <c r="H427" s="102"/>
      <c r="I427" s="103"/>
      <c r="J427" s="44"/>
      <c r="K427" s="47"/>
      <c r="L427" s="48"/>
      <c r="M427" s="45" t="s">
        <v>35</v>
      </c>
      <c r="N427" s="46">
        <v>1</v>
      </c>
      <c r="O427" s="8" t="s">
        <v>8</v>
      </c>
      <c r="S427" s="25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ht="18" customHeight="1" x14ac:dyDescent="0.2">
      <c r="B428" s="49" t="s">
        <v>19</v>
      </c>
      <c r="C428" s="50">
        <v>2</v>
      </c>
      <c r="D428" s="1" t="s">
        <v>8</v>
      </c>
      <c r="E428" s="47"/>
      <c r="F428" s="101"/>
      <c r="G428" s="102"/>
      <c r="H428" s="102"/>
      <c r="I428" s="103"/>
      <c r="J428" s="44"/>
      <c r="K428" s="47"/>
      <c r="L428" s="51"/>
      <c r="M428" s="49" t="s">
        <v>19</v>
      </c>
      <c r="N428" s="50">
        <v>2</v>
      </c>
      <c r="O428" s="1" t="s">
        <v>8</v>
      </c>
      <c r="S428" s="25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ht="18" customHeight="1" x14ac:dyDescent="0.2">
      <c r="B429" s="49" t="s">
        <v>20</v>
      </c>
      <c r="C429" s="50">
        <v>3</v>
      </c>
      <c r="D429" s="1" t="s">
        <v>9</v>
      </c>
      <c r="E429" s="47"/>
      <c r="F429" s="101"/>
      <c r="G429" s="102"/>
      <c r="H429" s="102"/>
      <c r="I429" s="103"/>
      <c r="J429" s="44"/>
      <c r="K429" s="47"/>
      <c r="L429" s="51"/>
      <c r="M429" s="49" t="s">
        <v>20</v>
      </c>
      <c r="N429" s="50">
        <v>3</v>
      </c>
      <c r="O429" s="1" t="s">
        <v>9</v>
      </c>
      <c r="S429" s="25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">
      <c r="B430" s="49" t="s">
        <v>14</v>
      </c>
      <c r="C430" s="50">
        <v>6</v>
      </c>
      <c r="D430" s="1" t="s">
        <v>9</v>
      </c>
      <c r="E430" s="47"/>
      <c r="F430" s="101"/>
      <c r="G430" s="102"/>
      <c r="H430" s="102"/>
      <c r="I430" s="103"/>
      <c r="J430" s="44"/>
      <c r="K430" s="47"/>
      <c r="L430" s="51"/>
      <c r="M430" s="49" t="s">
        <v>14</v>
      </c>
      <c r="N430" s="50">
        <v>6</v>
      </c>
      <c r="O430" s="1" t="s">
        <v>9</v>
      </c>
      <c r="S430" s="25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ht="18" customHeight="1" x14ac:dyDescent="0.2">
      <c r="B431" s="49" t="s">
        <v>17</v>
      </c>
      <c r="C431" s="50">
        <v>12</v>
      </c>
      <c r="D431" s="1" t="s">
        <v>9</v>
      </c>
      <c r="E431" s="47"/>
      <c r="F431" s="101"/>
      <c r="G431" s="102"/>
      <c r="H431" s="102"/>
      <c r="I431" s="103"/>
      <c r="J431" s="44"/>
      <c r="K431" s="47"/>
      <c r="L431" s="51"/>
      <c r="M431" s="49" t="s">
        <v>17</v>
      </c>
      <c r="N431" s="50">
        <v>12</v>
      </c>
      <c r="O431" s="1" t="s">
        <v>9</v>
      </c>
      <c r="S431" s="25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">
      <c r="B432" s="52" t="s">
        <v>18</v>
      </c>
      <c r="C432" s="53">
        <v>10</v>
      </c>
      <c r="D432" s="2" t="s">
        <v>9</v>
      </c>
      <c r="E432" s="47"/>
      <c r="F432" s="101"/>
      <c r="G432" s="102"/>
      <c r="H432" s="102"/>
      <c r="I432" s="103"/>
      <c r="J432" s="44"/>
      <c r="K432" s="47"/>
      <c r="L432" s="51"/>
      <c r="M432" s="52" t="s">
        <v>18</v>
      </c>
      <c r="N432" s="53">
        <v>10</v>
      </c>
      <c r="O432" s="2" t="s">
        <v>9</v>
      </c>
      <c r="S432" s="25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">
      <c r="S433" s="25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ht="18" x14ac:dyDescent="0.25">
      <c r="I434" s="26"/>
      <c r="J434" s="26"/>
      <c r="K434" s="120" t="s">
        <v>7</v>
      </c>
      <c r="L434" s="120"/>
      <c r="M434" s="120"/>
      <c r="N434" s="120"/>
      <c r="O434" s="120"/>
      <c r="S434" s="25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ht="18" x14ac:dyDescent="0.25">
      <c r="I435" s="26"/>
      <c r="J435" s="26"/>
      <c r="K435" s="115" t="s">
        <v>6</v>
      </c>
      <c r="L435" s="115"/>
      <c r="M435" s="115"/>
      <c r="N435" s="115"/>
      <c r="O435" s="115"/>
      <c r="S435" s="25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ht="18" x14ac:dyDescent="0.25">
      <c r="K436" s="115"/>
      <c r="L436" s="115"/>
      <c r="M436" s="115"/>
      <c r="N436" s="115"/>
      <c r="O436" s="115"/>
      <c r="S436" s="25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">
      <c r="A437" s="28" t="s">
        <v>160</v>
      </c>
      <c r="B437" s="29"/>
      <c r="C437" s="113" t="s">
        <v>161</v>
      </c>
      <c r="D437" s="116"/>
      <c r="E437" s="116"/>
      <c r="F437" s="116"/>
      <c r="G437" s="116"/>
      <c r="H437" s="116"/>
      <c r="I437" s="116"/>
      <c r="J437" s="116"/>
      <c r="K437" s="116"/>
      <c r="L437" s="11"/>
      <c r="M437" s="31" t="s">
        <v>162</v>
      </c>
      <c r="N437" s="11"/>
      <c r="O437" s="5"/>
      <c r="S437" s="25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">
      <c r="B438" s="32"/>
      <c r="C438" s="10"/>
      <c r="E438" s="10"/>
      <c r="F438" s="33"/>
      <c r="G438" s="33"/>
      <c r="H438" s="33"/>
      <c r="I438" s="33"/>
      <c r="J438" s="34"/>
      <c r="K438" s="35"/>
      <c r="L438" s="10"/>
      <c r="M438" s="10"/>
      <c r="S438" s="25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ht="15" x14ac:dyDescent="0.25">
      <c r="A439" s="117" t="s">
        <v>10</v>
      </c>
      <c r="B439" s="116"/>
      <c r="C439" s="116"/>
      <c r="D439" s="116"/>
      <c r="E439" s="10"/>
      <c r="F439" s="36" t="s">
        <v>12</v>
      </c>
      <c r="G439" s="36"/>
      <c r="H439" s="36"/>
      <c r="I439" s="114" t="s">
        <v>13</v>
      </c>
      <c r="J439" s="118"/>
      <c r="K439" s="6"/>
      <c r="L439" s="119" t="s">
        <v>11</v>
      </c>
      <c r="M439" s="119"/>
      <c r="N439" s="119"/>
      <c r="O439" s="119"/>
      <c r="S439" s="25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ht="15" x14ac:dyDescent="0.25">
      <c r="A440" s="110" t="s">
        <v>34</v>
      </c>
      <c r="B440" s="111"/>
      <c r="C440" s="111"/>
      <c r="D440" s="111"/>
      <c r="E440" s="10"/>
      <c r="F440" s="73" t="s">
        <v>48</v>
      </c>
      <c r="G440" s="36"/>
      <c r="H440" s="36"/>
      <c r="I440" s="112" t="s">
        <v>28</v>
      </c>
      <c r="J440" s="111"/>
      <c r="K440" s="25"/>
      <c r="L440" s="110" t="s">
        <v>43</v>
      </c>
      <c r="M440" s="111"/>
      <c r="N440" s="111"/>
      <c r="O440" s="111"/>
      <c r="S440" s="25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">
      <c r="S441" s="25"/>
      <c r="T441" s="10"/>
      <c r="U441" s="25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">
      <c r="A442" s="113"/>
      <c r="B442" s="113"/>
      <c r="D442" s="106" t="s">
        <v>21</v>
      </c>
      <c r="E442" s="107"/>
      <c r="F442" s="107"/>
      <c r="G442" s="107"/>
      <c r="H442" s="107"/>
      <c r="I442" s="107"/>
      <c r="J442" s="107"/>
      <c r="K442" s="107"/>
      <c r="L442" s="107"/>
      <c r="S442" s="25"/>
      <c r="T442" s="10"/>
      <c r="U442" s="10"/>
      <c r="V442" s="10"/>
      <c r="W442" s="10"/>
      <c r="X442" s="123"/>
      <c r="Y442" s="121"/>
      <c r="Z442" s="10"/>
      <c r="AA442" s="10"/>
      <c r="AB442" s="121"/>
      <c r="AC442" s="121"/>
      <c r="AD442" s="10"/>
      <c r="AE442" s="10"/>
      <c r="AF442" s="121"/>
      <c r="AG442" s="121"/>
      <c r="AH442" s="10"/>
      <c r="AI442" s="10"/>
      <c r="AJ442" s="121"/>
      <c r="AK442" s="121"/>
      <c r="AL442" s="10"/>
      <c r="AM442" s="10"/>
      <c r="AN442" s="121"/>
      <c r="AO442" s="121"/>
      <c r="AP442" s="10"/>
      <c r="AQ442" s="10"/>
      <c r="AR442" s="121"/>
      <c r="AS442" s="121"/>
      <c r="AT442" s="10"/>
      <c r="AU442" s="10"/>
      <c r="AV442" s="121"/>
      <c r="AW442" s="121"/>
      <c r="AX442" s="10"/>
    </row>
    <row r="443" spans="1:50" x14ac:dyDescent="0.2">
      <c r="S443" s="25"/>
      <c r="T443" s="10"/>
      <c r="U443" s="25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">
      <c r="A444" s="28" t="s">
        <v>0</v>
      </c>
      <c r="B444" s="7" t="s">
        <v>1</v>
      </c>
      <c r="C444" s="28"/>
      <c r="D444" s="7" t="s">
        <v>2</v>
      </c>
      <c r="E444" s="28"/>
      <c r="F444" s="114" t="s">
        <v>3</v>
      </c>
      <c r="G444" s="114"/>
      <c r="H444" s="114"/>
      <c r="I444" s="114"/>
      <c r="J444" s="114"/>
      <c r="K444" s="28"/>
      <c r="L444" s="28" t="s">
        <v>0</v>
      </c>
      <c r="M444" s="7" t="s">
        <v>1</v>
      </c>
      <c r="N444" s="28"/>
      <c r="O444" s="7" t="s">
        <v>2</v>
      </c>
      <c r="S444" s="25"/>
      <c r="T444" s="10"/>
      <c r="U444" s="10"/>
      <c r="V444" s="25"/>
      <c r="W444" s="10"/>
      <c r="X444" s="10"/>
      <c r="Y444" s="121"/>
      <c r="Z444" s="121"/>
      <c r="AA444" s="10"/>
      <c r="AB444" s="10"/>
      <c r="AC444" s="121"/>
      <c r="AD444" s="121"/>
      <c r="AE444" s="10"/>
      <c r="AF444" s="10"/>
      <c r="AG444" s="121"/>
      <c r="AH444" s="121"/>
      <c r="AI444" s="10"/>
      <c r="AJ444" s="10"/>
      <c r="AK444" s="121"/>
      <c r="AL444" s="121"/>
      <c r="AM444" s="10"/>
      <c r="AN444" s="10"/>
      <c r="AO444" s="121"/>
      <c r="AP444" s="121"/>
      <c r="AQ444" s="10"/>
      <c r="AR444" s="10"/>
      <c r="AS444" s="121"/>
      <c r="AT444" s="121"/>
      <c r="AU444" s="10"/>
      <c r="AV444" s="10"/>
      <c r="AW444" s="121"/>
      <c r="AX444" s="121"/>
    </row>
    <row r="445" spans="1:50" ht="18" customHeight="1" x14ac:dyDescent="0.2">
      <c r="A445" s="7">
        <v>1</v>
      </c>
      <c r="B445" s="11" t="s">
        <v>133</v>
      </c>
      <c r="D445" s="5">
        <v>3</v>
      </c>
      <c r="F445" s="37" t="s">
        <v>175</v>
      </c>
      <c r="G445" s="38"/>
      <c r="H445" s="37" t="s">
        <v>167</v>
      </c>
      <c r="I445" s="38"/>
      <c r="J445" s="37"/>
      <c r="L445" s="7"/>
      <c r="M445" s="11" t="s">
        <v>149</v>
      </c>
      <c r="O445" s="5">
        <v>12</v>
      </c>
      <c r="S445" s="25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21"/>
      <c r="AL445" s="121"/>
      <c r="AM445" s="10"/>
      <c r="AN445" s="10"/>
      <c r="AO445" s="121"/>
      <c r="AP445" s="121"/>
      <c r="AQ445" s="10"/>
      <c r="AR445" s="10"/>
      <c r="AS445" s="121"/>
      <c r="AT445" s="121"/>
      <c r="AU445" s="10"/>
      <c r="AV445" s="10"/>
      <c r="AW445" s="121"/>
      <c r="AX445" s="121"/>
    </row>
    <row r="446" spans="1:50" x14ac:dyDescent="0.2">
      <c r="A446" s="80"/>
      <c r="B446" s="10"/>
      <c r="C446" s="51"/>
      <c r="D446" s="79"/>
      <c r="F446" s="82"/>
      <c r="G446" s="56"/>
      <c r="H446" s="82"/>
      <c r="I446" s="56"/>
      <c r="J446" s="82"/>
      <c r="L446" s="80"/>
      <c r="O446" s="79"/>
      <c r="S446" s="25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">
      <c r="A447" s="80"/>
      <c r="B447" s="10"/>
      <c r="C447" s="51"/>
      <c r="D447" s="4"/>
      <c r="F447" s="56"/>
      <c r="G447" s="56"/>
      <c r="H447" s="56"/>
      <c r="I447" s="56"/>
      <c r="J447" s="56"/>
      <c r="L447" s="80"/>
      <c r="O447" s="4"/>
      <c r="S447" s="25"/>
      <c r="T447" s="10"/>
      <c r="U447" s="25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">
      <c r="B448" s="10"/>
      <c r="D448" s="4"/>
      <c r="F448" s="39"/>
      <c r="G448" s="39"/>
      <c r="H448" s="39"/>
      <c r="I448" s="39"/>
      <c r="J448" s="39"/>
      <c r="M448" s="10"/>
      <c r="O448" s="4"/>
      <c r="S448" s="25"/>
      <c r="T448" s="10"/>
      <c r="U448" s="10"/>
      <c r="V448" s="25"/>
      <c r="W448" s="10"/>
      <c r="X448" s="10"/>
      <c r="Y448" s="121"/>
      <c r="Z448" s="121"/>
      <c r="AA448" s="10"/>
      <c r="AB448" s="10"/>
      <c r="AC448" s="121"/>
      <c r="AD448" s="121"/>
      <c r="AE448" s="10"/>
      <c r="AF448" s="10"/>
      <c r="AG448" s="121"/>
      <c r="AH448" s="121"/>
      <c r="AI448" s="10"/>
      <c r="AJ448" s="10"/>
      <c r="AK448" s="121"/>
      <c r="AL448" s="121"/>
      <c r="AM448" s="10"/>
      <c r="AN448" s="10"/>
      <c r="AO448" s="121"/>
      <c r="AP448" s="121"/>
      <c r="AQ448" s="10"/>
      <c r="AR448" s="10"/>
      <c r="AS448" s="121"/>
      <c r="AT448" s="121"/>
      <c r="AU448" s="10"/>
      <c r="AV448" s="10"/>
      <c r="AW448" s="121"/>
      <c r="AX448" s="121"/>
    </row>
    <row r="449" spans="1:50" x14ac:dyDescent="0.2">
      <c r="D449" s="106" t="s">
        <v>22</v>
      </c>
      <c r="E449" s="107"/>
      <c r="F449" s="107"/>
      <c r="G449" s="107"/>
      <c r="H449" s="107"/>
      <c r="I449" s="107"/>
      <c r="J449" s="107"/>
      <c r="K449" s="107"/>
      <c r="L449" s="107"/>
      <c r="M449" s="83"/>
      <c r="S449" s="24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21"/>
      <c r="AL449" s="121"/>
      <c r="AM449" s="10"/>
      <c r="AN449" s="10"/>
      <c r="AO449" s="121"/>
      <c r="AP449" s="121"/>
      <c r="AQ449" s="10"/>
      <c r="AR449" s="10"/>
      <c r="AS449" s="121"/>
      <c r="AT449" s="121"/>
      <c r="AU449" s="10"/>
      <c r="AV449" s="10"/>
      <c r="AW449" s="121"/>
      <c r="AX449" s="121"/>
    </row>
    <row r="450" spans="1:50" x14ac:dyDescent="0.2">
      <c r="F450" s="40"/>
      <c r="G450" s="40"/>
      <c r="H450" s="40"/>
      <c r="I450" s="40"/>
      <c r="J450" s="40"/>
      <c r="S450" s="25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ht="18" customHeight="1" x14ac:dyDescent="0.2">
      <c r="A451" s="7">
        <v>1</v>
      </c>
      <c r="B451" s="11" t="s">
        <v>67</v>
      </c>
      <c r="D451" s="5">
        <v>12</v>
      </c>
      <c r="E451" s="41"/>
      <c r="F451" s="37" t="s">
        <v>181</v>
      </c>
      <c r="G451" s="38"/>
      <c r="H451" s="37" t="s">
        <v>202</v>
      </c>
      <c r="I451" s="38"/>
      <c r="J451" s="37"/>
      <c r="K451" s="41"/>
      <c r="L451" s="7"/>
      <c r="M451" s="11" t="s">
        <v>97</v>
      </c>
      <c r="O451" s="5">
        <v>3</v>
      </c>
      <c r="S451" s="25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">
      <c r="B452" s="10"/>
      <c r="D452" s="4"/>
      <c r="F452" s="39"/>
      <c r="G452" s="39"/>
      <c r="H452" s="39"/>
      <c r="I452" s="39"/>
      <c r="J452" s="39"/>
      <c r="M452" s="10"/>
      <c r="O452" s="4"/>
      <c r="S452" s="25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">
      <c r="D453" s="106" t="s">
        <v>23</v>
      </c>
      <c r="E453" s="107"/>
      <c r="F453" s="107"/>
      <c r="G453" s="107"/>
      <c r="H453" s="107"/>
      <c r="I453" s="107"/>
      <c r="J453" s="107"/>
      <c r="K453" s="107"/>
      <c r="L453" s="107"/>
      <c r="M453" s="83"/>
      <c r="S453" s="25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ht="18" customHeight="1" x14ac:dyDescent="0.2">
      <c r="F454" s="40"/>
      <c r="G454" s="40"/>
      <c r="H454" s="40"/>
      <c r="I454" s="40"/>
      <c r="J454" s="40"/>
      <c r="S454" s="25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ht="18" customHeight="1" x14ac:dyDescent="0.2">
      <c r="A455" s="7">
        <v>1</v>
      </c>
      <c r="B455" s="11" t="s">
        <v>69</v>
      </c>
      <c r="D455" s="5">
        <v>12</v>
      </c>
      <c r="F455" s="37" t="s">
        <v>187</v>
      </c>
      <c r="G455" s="38"/>
      <c r="H455" s="37" t="s">
        <v>203</v>
      </c>
      <c r="I455" s="38"/>
      <c r="J455" s="37"/>
      <c r="L455" s="7"/>
      <c r="M455" s="11" t="s">
        <v>99</v>
      </c>
      <c r="O455" s="5">
        <v>3</v>
      </c>
      <c r="S455" s="25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ht="18" customHeight="1" x14ac:dyDescent="0.2">
      <c r="B456" s="11" t="s">
        <v>70</v>
      </c>
      <c r="F456" s="40"/>
      <c r="G456" s="40"/>
      <c r="H456" s="40"/>
      <c r="I456" s="40"/>
      <c r="J456" s="40"/>
      <c r="M456" s="11" t="s">
        <v>101</v>
      </c>
      <c r="S456" s="25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">
      <c r="B457" s="10"/>
      <c r="F457" s="40"/>
      <c r="G457" s="40"/>
      <c r="H457" s="40"/>
      <c r="I457" s="40"/>
      <c r="J457" s="40"/>
      <c r="M457" s="10"/>
      <c r="S457" s="25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">
      <c r="D458" s="106" t="s">
        <v>24</v>
      </c>
      <c r="E458" s="107"/>
      <c r="F458" s="107"/>
      <c r="G458" s="107"/>
      <c r="H458" s="107"/>
      <c r="I458" s="107"/>
      <c r="J458" s="107"/>
      <c r="K458" s="107"/>
      <c r="L458" s="107"/>
      <c r="M458" s="83"/>
      <c r="S458" s="25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">
      <c r="F459" s="40"/>
      <c r="G459" s="40"/>
      <c r="H459" s="40"/>
      <c r="I459" s="40"/>
      <c r="J459" s="40"/>
      <c r="S459" s="25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ht="18" customHeight="1" x14ac:dyDescent="0.2">
      <c r="A460" s="7">
        <v>1</v>
      </c>
      <c r="B460" s="11" t="s">
        <v>63</v>
      </c>
      <c r="D460" s="5">
        <v>12</v>
      </c>
      <c r="F460" s="37" t="s">
        <v>185</v>
      </c>
      <c r="G460" s="38"/>
      <c r="H460" s="37" t="s">
        <v>187</v>
      </c>
      <c r="I460" s="38"/>
      <c r="J460" s="37"/>
      <c r="L460" s="7"/>
      <c r="M460" s="11" t="s">
        <v>151</v>
      </c>
      <c r="O460" s="5">
        <v>5</v>
      </c>
      <c r="S460" s="25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ht="18" customHeight="1" x14ac:dyDescent="0.2">
      <c r="A461" s="7"/>
      <c r="B461" s="11" t="s">
        <v>64</v>
      </c>
      <c r="F461" s="42"/>
      <c r="G461" s="42"/>
      <c r="H461" s="42"/>
      <c r="I461" s="42"/>
      <c r="J461" s="42"/>
      <c r="L461" s="7"/>
      <c r="M461" s="11" t="s">
        <v>152</v>
      </c>
      <c r="S461" s="25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">
      <c r="A462" s="17"/>
      <c r="B462" s="47"/>
      <c r="C462" s="10"/>
      <c r="D462" s="4"/>
      <c r="E462" s="10"/>
      <c r="F462" s="56"/>
      <c r="G462" s="56"/>
      <c r="H462" s="56"/>
      <c r="I462" s="56"/>
      <c r="J462" s="56"/>
      <c r="K462" s="10"/>
      <c r="L462" s="17"/>
      <c r="M462" s="47"/>
      <c r="N462" s="10"/>
      <c r="O462" s="4"/>
      <c r="S462" s="25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">
      <c r="A463" s="10"/>
      <c r="B463" s="47"/>
      <c r="C463" s="10"/>
      <c r="D463" s="4"/>
      <c r="E463" s="10"/>
      <c r="F463" s="57"/>
      <c r="G463" s="57"/>
      <c r="H463" s="57"/>
      <c r="I463" s="57"/>
      <c r="J463" s="57"/>
      <c r="K463" s="10"/>
      <c r="L463" s="10"/>
      <c r="M463" s="47"/>
      <c r="N463" s="10"/>
      <c r="O463" s="4"/>
      <c r="S463" s="25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">
      <c r="B464" s="10"/>
      <c r="F464" s="40"/>
      <c r="G464" s="40"/>
      <c r="H464" s="40"/>
      <c r="I464" s="40"/>
      <c r="J464" s="40"/>
      <c r="M464" s="10"/>
      <c r="S464" s="25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ht="18" customHeight="1" x14ac:dyDescent="0.2">
      <c r="D465" s="106" t="s">
        <v>25</v>
      </c>
      <c r="E465" s="107"/>
      <c r="F465" s="107"/>
      <c r="G465" s="107"/>
      <c r="H465" s="107"/>
      <c r="I465" s="107"/>
      <c r="J465" s="107"/>
      <c r="K465" s="107"/>
      <c r="L465" s="107"/>
      <c r="M465" s="83"/>
      <c r="S465" s="25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ht="18" customHeight="1" x14ac:dyDescent="0.2">
      <c r="F466" s="40"/>
      <c r="G466" s="40"/>
      <c r="H466" s="40"/>
      <c r="I466" s="40"/>
      <c r="J466" s="40"/>
      <c r="S466" s="25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ht="18" customHeight="1" x14ac:dyDescent="0.2">
      <c r="A467" s="7">
        <v>1</v>
      </c>
      <c r="B467" s="11" t="s">
        <v>140</v>
      </c>
      <c r="D467" s="5">
        <v>4</v>
      </c>
      <c r="F467" s="37" t="s">
        <v>180</v>
      </c>
      <c r="G467" s="38"/>
      <c r="H467" s="37" t="s">
        <v>169</v>
      </c>
      <c r="I467" s="38"/>
      <c r="J467" s="37"/>
      <c r="L467" s="7"/>
      <c r="M467" s="11" t="s">
        <v>98</v>
      </c>
      <c r="O467" s="5">
        <v>12</v>
      </c>
      <c r="S467" s="25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">
      <c r="B468" s="11" t="s">
        <v>136</v>
      </c>
      <c r="M468" s="11" t="s">
        <v>150</v>
      </c>
      <c r="S468" s="25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">
      <c r="S469" s="25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ht="18" customHeight="1" x14ac:dyDescent="0.2">
      <c r="B470" s="41" t="s">
        <v>4</v>
      </c>
      <c r="C470" s="9"/>
      <c r="D470" s="3">
        <f>SUM(D445:D467)</f>
        <v>43</v>
      </c>
      <c r="F470" s="108" t="s">
        <v>15</v>
      </c>
      <c r="G470" s="109"/>
      <c r="H470" s="109"/>
      <c r="I470" s="109"/>
      <c r="J470" s="43" t="s">
        <v>16</v>
      </c>
      <c r="M470" s="41" t="s">
        <v>4</v>
      </c>
      <c r="N470" s="9"/>
      <c r="O470" s="3">
        <f>SUM(O445:O467)</f>
        <v>35</v>
      </c>
      <c r="S470" s="25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ht="18" customHeight="1" x14ac:dyDescent="0.2">
      <c r="C471" s="10"/>
      <c r="D471" s="4"/>
      <c r="F471" s="101"/>
      <c r="G471" s="102"/>
      <c r="H471" s="102"/>
      <c r="I471" s="103"/>
      <c r="J471" s="44"/>
      <c r="N471" s="10"/>
      <c r="O471" s="4"/>
      <c r="S471" s="25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ht="18" customHeight="1" x14ac:dyDescent="0.2">
      <c r="B472" s="11"/>
      <c r="C472" s="11"/>
      <c r="D472" s="5"/>
      <c r="F472" s="101"/>
      <c r="G472" s="102"/>
      <c r="H472" s="102"/>
      <c r="I472" s="103"/>
      <c r="J472" s="44"/>
      <c r="M472" s="11"/>
      <c r="N472" s="11"/>
      <c r="O472" s="5"/>
      <c r="S472" s="25"/>
      <c r="T472" s="24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ht="18" customHeight="1" x14ac:dyDescent="0.2">
      <c r="B473" s="104" t="s">
        <v>5</v>
      </c>
      <c r="C473" s="105"/>
      <c r="D473" s="105"/>
      <c r="F473" s="101"/>
      <c r="G473" s="102"/>
      <c r="H473" s="102"/>
      <c r="I473" s="103"/>
      <c r="J473" s="44"/>
      <c r="M473" s="104" t="s">
        <v>5</v>
      </c>
      <c r="N473" s="105"/>
      <c r="O473" s="105"/>
      <c r="S473" s="25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">
      <c r="D474" s="4"/>
      <c r="E474" s="10"/>
      <c r="F474" s="101"/>
      <c r="G474" s="102"/>
      <c r="H474" s="102"/>
      <c r="I474" s="103"/>
      <c r="J474" s="44"/>
      <c r="K474" s="10"/>
      <c r="S474" s="25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">
      <c r="B475" s="45" t="s">
        <v>35</v>
      </c>
      <c r="C475" s="46">
        <v>1</v>
      </c>
      <c r="D475" s="8" t="s">
        <v>8</v>
      </c>
      <c r="E475" s="47"/>
      <c r="F475" s="101"/>
      <c r="G475" s="102"/>
      <c r="H475" s="102"/>
      <c r="I475" s="103"/>
      <c r="J475" s="44"/>
      <c r="K475" s="47"/>
      <c r="L475" s="48"/>
      <c r="M475" s="45" t="s">
        <v>35</v>
      </c>
      <c r="N475" s="46">
        <v>1</v>
      </c>
      <c r="O475" s="8" t="s">
        <v>8</v>
      </c>
      <c r="S475" s="25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">
      <c r="B476" s="49" t="s">
        <v>19</v>
      </c>
      <c r="C476" s="50">
        <v>2</v>
      </c>
      <c r="D476" s="1" t="s">
        <v>8</v>
      </c>
      <c r="E476" s="47"/>
      <c r="F476" s="101"/>
      <c r="G476" s="102"/>
      <c r="H476" s="102"/>
      <c r="I476" s="103"/>
      <c r="J476" s="44"/>
      <c r="K476" s="47"/>
      <c r="L476" s="51"/>
      <c r="M476" s="49" t="s">
        <v>19</v>
      </c>
      <c r="N476" s="50">
        <v>2</v>
      </c>
      <c r="O476" s="1" t="s">
        <v>8</v>
      </c>
      <c r="S476" s="25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ht="18" customHeight="1" x14ac:dyDescent="0.2">
      <c r="B477" s="49" t="s">
        <v>20</v>
      </c>
      <c r="C477" s="50">
        <v>3</v>
      </c>
      <c r="D477" s="1" t="s">
        <v>9</v>
      </c>
      <c r="E477" s="47"/>
      <c r="F477" s="101"/>
      <c r="G477" s="102"/>
      <c r="H477" s="102"/>
      <c r="I477" s="103"/>
      <c r="J477" s="44"/>
      <c r="K477" s="47"/>
      <c r="L477" s="51"/>
      <c r="M477" s="49" t="s">
        <v>20</v>
      </c>
      <c r="N477" s="50">
        <v>3</v>
      </c>
      <c r="O477" s="1" t="s">
        <v>9</v>
      </c>
      <c r="S477" s="25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ht="18" customHeight="1" x14ac:dyDescent="0.2">
      <c r="B478" s="49" t="s">
        <v>14</v>
      </c>
      <c r="C478" s="50">
        <v>6</v>
      </c>
      <c r="D478" s="1" t="s">
        <v>9</v>
      </c>
      <c r="E478" s="47"/>
      <c r="F478" s="101"/>
      <c r="G478" s="102"/>
      <c r="H478" s="102"/>
      <c r="I478" s="103"/>
      <c r="J478" s="44"/>
      <c r="K478" s="47"/>
      <c r="L478" s="51"/>
      <c r="M478" s="49" t="s">
        <v>14</v>
      </c>
      <c r="N478" s="50">
        <v>6</v>
      </c>
      <c r="O478" s="1" t="s">
        <v>9</v>
      </c>
      <c r="S478" s="25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">
      <c r="B479" s="49" t="s">
        <v>17</v>
      </c>
      <c r="C479" s="50">
        <v>12</v>
      </c>
      <c r="D479" s="1" t="s">
        <v>9</v>
      </c>
      <c r="E479" s="47"/>
      <c r="F479" s="101"/>
      <c r="G479" s="102"/>
      <c r="H479" s="102"/>
      <c r="I479" s="103"/>
      <c r="J479" s="44"/>
      <c r="K479" s="47"/>
      <c r="L479" s="51"/>
      <c r="M479" s="49" t="s">
        <v>17</v>
      </c>
      <c r="N479" s="50">
        <v>12</v>
      </c>
      <c r="O479" s="1" t="s">
        <v>9</v>
      </c>
      <c r="S479" s="25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ht="18" customHeight="1" x14ac:dyDescent="0.2">
      <c r="B480" s="52" t="s">
        <v>18</v>
      </c>
      <c r="C480" s="53">
        <v>10</v>
      </c>
      <c r="D480" s="2" t="s">
        <v>9</v>
      </c>
      <c r="E480" s="47"/>
      <c r="F480" s="101"/>
      <c r="G480" s="102"/>
      <c r="H480" s="102"/>
      <c r="I480" s="103"/>
      <c r="J480" s="44"/>
      <c r="K480" s="47"/>
      <c r="L480" s="51"/>
      <c r="M480" s="52" t="s">
        <v>18</v>
      </c>
      <c r="N480" s="53">
        <v>10</v>
      </c>
      <c r="O480" s="2" t="s">
        <v>9</v>
      </c>
      <c r="S480" s="25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">
      <c r="S481" s="25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ht="12.75" customHeight="1" x14ac:dyDescent="0.25">
      <c r="I482" s="26"/>
      <c r="J482" s="26"/>
      <c r="K482" s="120" t="s">
        <v>7</v>
      </c>
      <c r="L482" s="120"/>
      <c r="M482" s="120"/>
      <c r="N482" s="120"/>
      <c r="O482" s="120"/>
      <c r="S482" s="25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ht="18" x14ac:dyDescent="0.25">
      <c r="I483" s="26"/>
      <c r="J483" s="26"/>
      <c r="K483" s="115" t="s">
        <v>6</v>
      </c>
      <c r="L483" s="115"/>
      <c r="M483" s="115"/>
      <c r="N483" s="115"/>
      <c r="O483" s="115"/>
      <c r="S483" s="25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ht="18" x14ac:dyDescent="0.25">
      <c r="K484" s="115"/>
      <c r="L484" s="115"/>
      <c r="M484" s="115"/>
      <c r="N484" s="115"/>
      <c r="O484" s="115"/>
      <c r="S484" s="25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">
      <c r="A485" s="28" t="s">
        <v>160</v>
      </c>
      <c r="B485" s="29"/>
      <c r="C485" s="113" t="s">
        <v>161</v>
      </c>
      <c r="D485" s="116"/>
      <c r="E485" s="116"/>
      <c r="F485" s="116"/>
      <c r="G485" s="116"/>
      <c r="H485" s="116"/>
      <c r="I485" s="116"/>
      <c r="J485" s="116"/>
      <c r="K485" s="116"/>
      <c r="L485" s="11"/>
      <c r="M485" s="31" t="s">
        <v>162</v>
      </c>
      <c r="N485" s="11"/>
      <c r="O485" s="5"/>
      <c r="S485" s="25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">
      <c r="B486" s="32"/>
      <c r="C486" s="10"/>
      <c r="E486" s="10"/>
      <c r="F486" s="33"/>
      <c r="G486" s="33"/>
      <c r="H486" s="33"/>
      <c r="I486" s="33"/>
      <c r="J486" s="34"/>
      <c r="K486" s="35"/>
      <c r="L486" s="10"/>
      <c r="M486" s="10"/>
      <c r="S486" s="25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ht="15" x14ac:dyDescent="0.25">
      <c r="A487" s="117" t="s">
        <v>10</v>
      </c>
      <c r="B487" s="116"/>
      <c r="C487" s="116"/>
      <c r="D487" s="116"/>
      <c r="E487" s="10"/>
      <c r="F487" s="36" t="s">
        <v>12</v>
      </c>
      <c r="G487" s="36"/>
      <c r="H487" s="36"/>
      <c r="I487" s="114" t="s">
        <v>13</v>
      </c>
      <c r="J487" s="118"/>
      <c r="K487" s="6"/>
      <c r="L487" s="119" t="s">
        <v>11</v>
      </c>
      <c r="M487" s="119"/>
      <c r="N487" s="119"/>
      <c r="O487" s="119"/>
      <c r="S487" s="25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ht="15" x14ac:dyDescent="0.25">
      <c r="A488" s="110" t="s">
        <v>44</v>
      </c>
      <c r="B488" s="111"/>
      <c r="C488" s="111"/>
      <c r="D488" s="111"/>
      <c r="E488" s="10"/>
      <c r="F488" s="73" t="s">
        <v>48</v>
      </c>
      <c r="G488" s="36"/>
      <c r="H488" s="36"/>
      <c r="I488" s="112" t="s">
        <v>29</v>
      </c>
      <c r="J488" s="111"/>
      <c r="K488" s="25"/>
      <c r="L488" s="110" t="s">
        <v>126</v>
      </c>
      <c r="M488" s="111"/>
      <c r="N488" s="111"/>
      <c r="O488" s="111"/>
      <c r="S488" s="25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">
      <c r="S489" s="25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">
      <c r="A490" s="113"/>
      <c r="B490" s="113"/>
      <c r="D490" s="106" t="s">
        <v>21</v>
      </c>
      <c r="E490" s="107"/>
      <c r="F490" s="107"/>
      <c r="G490" s="107"/>
      <c r="H490" s="107"/>
      <c r="I490" s="107"/>
      <c r="J490" s="107"/>
      <c r="K490" s="107"/>
      <c r="L490" s="107"/>
      <c r="S490" s="25"/>
      <c r="T490" s="10"/>
      <c r="U490" s="25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">
      <c r="S491" s="25"/>
      <c r="T491" s="10"/>
      <c r="U491" s="10"/>
      <c r="V491" s="10"/>
      <c r="W491" s="10"/>
      <c r="X491" s="123"/>
      <c r="Y491" s="121"/>
      <c r="Z491" s="10"/>
      <c r="AA491" s="10"/>
      <c r="AB491" s="121"/>
      <c r="AC491" s="121"/>
      <c r="AD491" s="10"/>
      <c r="AE491" s="10"/>
      <c r="AF491" s="121"/>
      <c r="AG491" s="121"/>
      <c r="AH491" s="10"/>
      <c r="AI491" s="10"/>
      <c r="AJ491" s="121"/>
      <c r="AK491" s="121"/>
      <c r="AL491" s="10"/>
      <c r="AM491" s="10"/>
      <c r="AN491" s="121"/>
      <c r="AO491" s="121"/>
      <c r="AP491" s="10"/>
      <c r="AQ491" s="10"/>
      <c r="AR491" s="121"/>
      <c r="AS491" s="121"/>
      <c r="AT491" s="10"/>
      <c r="AU491" s="10"/>
      <c r="AV491" s="121"/>
      <c r="AW491" s="121"/>
      <c r="AX491" s="10"/>
    </row>
    <row r="492" spans="1:50" x14ac:dyDescent="0.2">
      <c r="A492" s="28" t="s">
        <v>0</v>
      </c>
      <c r="B492" s="7" t="s">
        <v>1</v>
      </c>
      <c r="C492" s="28"/>
      <c r="D492" s="7" t="s">
        <v>2</v>
      </c>
      <c r="E492" s="28"/>
      <c r="F492" s="114" t="s">
        <v>3</v>
      </c>
      <c r="G492" s="114"/>
      <c r="H492" s="114"/>
      <c r="I492" s="114"/>
      <c r="J492" s="114"/>
      <c r="K492" s="28"/>
      <c r="L492" s="28" t="s">
        <v>0</v>
      </c>
      <c r="M492" s="7" t="s">
        <v>1</v>
      </c>
      <c r="N492" s="28"/>
      <c r="O492" s="7" t="s">
        <v>2</v>
      </c>
      <c r="S492" s="25"/>
      <c r="T492" s="10"/>
      <c r="U492" s="25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ht="18" customHeight="1" x14ac:dyDescent="0.2">
      <c r="A493" s="7">
        <v>1</v>
      </c>
      <c r="B493" s="11" t="s">
        <v>57</v>
      </c>
      <c r="D493" s="5">
        <v>12</v>
      </c>
      <c r="F493" s="37" t="s">
        <v>185</v>
      </c>
      <c r="G493" s="38"/>
      <c r="H493" s="37" t="s">
        <v>187</v>
      </c>
      <c r="I493" s="38"/>
      <c r="J493" s="37"/>
      <c r="L493" s="7"/>
      <c r="M493" s="11" t="s">
        <v>80</v>
      </c>
      <c r="O493" s="5">
        <v>5</v>
      </c>
      <c r="S493" s="25"/>
      <c r="T493" s="10"/>
      <c r="U493" s="10"/>
      <c r="V493" s="25"/>
      <c r="W493" s="10"/>
      <c r="X493" s="10"/>
      <c r="Y493" s="121"/>
      <c r="Z493" s="121"/>
      <c r="AA493" s="10"/>
      <c r="AB493" s="10"/>
      <c r="AC493" s="121"/>
      <c r="AD493" s="121"/>
      <c r="AE493" s="10"/>
      <c r="AF493" s="10"/>
      <c r="AG493" s="121"/>
      <c r="AH493" s="121"/>
      <c r="AI493" s="10"/>
      <c r="AJ493" s="10"/>
      <c r="AK493" s="121"/>
      <c r="AL493" s="121"/>
      <c r="AM493" s="10"/>
      <c r="AN493" s="10"/>
      <c r="AO493" s="121"/>
      <c r="AP493" s="121"/>
      <c r="AQ493" s="10"/>
      <c r="AR493" s="10"/>
      <c r="AS493" s="121"/>
      <c r="AT493" s="121"/>
      <c r="AU493" s="10"/>
      <c r="AV493" s="10"/>
      <c r="AW493" s="121"/>
      <c r="AX493" s="121"/>
    </row>
    <row r="494" spans="1:50" x14ac:dyDescent="0.2">
      <c r="A494" s="80"/>
      <c r="B494" s="10"/>
      <c r="C494" s="51"/>
      <c r="D494" s="79"/>
      <c r="F494" s="82"/>
      <c r="G494" s="56"/>
      <c r="H494" s="82"/>
      <c r="I494" s="56"/>
      <c r="J494" s="82"/>
      <c r="L494" s="80"/>
      <c r="M494" s="10"/>
      <c r="O494" s="79"/>
      <c r="S494" s="25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21"/>
      <c r="AL494" s="121"/>
      <c r="AM494" s="10"/>
      <c r="AN494" s="10"/>
      <c r="AO494" s="121"/>
      <c r="AP494" s="121"/>
      <c r="AQ494" s="10"/>
      <c r="AR494" s="10"/>
      <c r="AS494" s="121"/>
      <c r="AT494" s="121"/>
      <c r="AU494" s="10"/>
      <c r="AV494" s="10"/>
      <c r="AW494" s="121"/>
      <c r="AX494" s="121"/>
    </row>
    <row r="495" spans="1:50" x14ac:dyDescent="0.2">
      <c r="A495" s="80"/>
      <c r="B495" s="10"/>
      <c r="C495" s="51"/>
      <c r="D495" s="4"/>
      <c r="F495" s="56"/>
      <c r="G495" s="56"/>
      <c r="H495" s="56"/>
      <c r="I495" s="56"/>
      <c r="J495" s="56"/>
      <c r="L495" s="80"/>
      <c r="M495" s="10"/>
      <c r="O495" s="4"/>
      <c r="S495" s="25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">
      <c r="B496" s="10"/>
      <c r="D496" s="4"/>
      <c r="F496" s="39"/>
      <c r="G496" s="39"/>
      <c r="H496" s="39"/>
      <c r="I496" s="39"/>
      <c r="J496" s="39"/>
      <c r="M496" s="10"/>
      <c r="O496" s="4"/>
      <c r="S496" s="25"/>
      <c r="T496" s="10"/>
      <c r="U496" s="25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spans="1:50" x14ac:dyDescent="0.2">
      <c r="D497" s="106" t="s">
        <v>22</v>
      </c>
      <c r="E497" s="107"/>
      <c r="F497" s="107"/>
      <c r="G497" s="107"/>
      <c r="H497" s="107"/>
      <c r="I497" s="107"/>
      <c r="J497" s="107"/>
      <c r="K497" s="107"/>
      <c r="L497" s="107"/>
      <c r="S497" s="25"/>
      <c r="T497" s="10"/>
      <c r="U497" s="10"/>
      <c r="V497" s="25"/>
      <c r="W497" s="10"/>
      <c r="X497" s="10"/>
      <c r="Y497" s="121"/>
      <c r="Z497" s="121"/>
      <c r="AA497" s="10"/>
      <c r="AB497" s="10"/>
      <c r="AC497" s="121"/>
      <c r="AD497" s="121"/>
      <c r="AE497" s="10"/>
      <c r="AF497" s="10"/>
      <c r="AG497" s="121"/>
      <c r="AH497" s="121"/>
      <c r="AI497" s="10"/>
      <c r="AJ497" s="10"/>
      <c r="AK497" s="121"/>
      <c r="AL497" s="121"/>
      <c r="AM497" s="10"/>
      <c r="AN497" s="10"/>
      <c r="AO497" s="121"/>
      <c r="AP497" s="121"/>
      <c r="AQ497" s="10"/>
      <c r="AR497" s="10"/>
      <c r="AS497" s="121"/>
      <c r="AT497" s="121"/>
      <c r="AU497" s="10"/>
      <c r="AV497" s="10"/>
      <c r="AW497" s="121"/>
      <c r="AX497" s="121"/>
    </row>
    <row r="498" spans="1:50" x14ac:dyDescent="0.2">
      <c r="F498" s="40"/>
      <c r="G498" s="40"/>
      <c r="H498" s="40"/>
      <c r="I498" s="40"/>
      <c r="J498" s="40"/>
      <c r="S498" s="24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21"/>
      <c r="AL498" s="121"/>
      <c r="AM498" s="10"/>
      <c r="AN498" s="10"/>
      <c r="AO498" s="121"/>
      <c r="AP498" s="121"/>
      <c r="AQ498" s="10"/>
      <c r="AR498" s="10"/>
      <c r="AS498" s="121"/>
      <c r="AT498" s="121"/>
      <c r="AU498" s="10"/>
      <c r="AV498" s="10"/>
      <c r="AW498" s="121"/>
      <c r="AX498" s="121"/>
    </row>
    <row r="499" spans="1:50" ht="18" customHeight="1" x14ac:dyDescent="0.2">
      <c r="A499" s="7">
        <v>1</v>
      </c>
      <c r="B499" s="11" t="s">
        <v>62</v>
      </c>
      <c r="D499" s="5">
        <v>2</v>
      </c>
      <c r="E499" s="41"/>
      <c r="F499" s="37" t="s">
        <v>204</v>
      </c>
      <c r="G499" s="38"/>
      <c r="H499" s="37" t="s">
        <v>205</v>
      </c>
      <c r="I499" s="38"/>
      <c r="J499" s="37"/>
      <c r="K499" s="41"/>
      <c r="L499" s="7"/>
      <c r="M499" s="11" t="s">
        <v>82</v>
      </c>
      <c r="O499" s="5">
        <v>12</v>
      </c>
      <c r="S499" s="25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  <row r="500" spans="1:50" x14ac:dyDescent="0.2">
      <c r="B500" s="10"/>
      <c r="D500" s="4"/>
      <c r="F500" s="39"/>
      <c r="G500" s="39"/>
      <c r="H500" s="39"/>
      <c r="I500" s="39"/>
      <c r="J500" s="39"/>
      <c r="M500" s="10"/>
      <c r="O500" s="4"/>
      <c r="S500" s="25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</row>
    <row r="501" spans="1:50" x14ac:dyDescent="0.2">
      <c r="D501" s="106" t="s">
        <v>23</v>
      </c>
      <c r="E501" s="107"/>
      <c r="F501" s="107"/>
      <c r="G501" s="107"/>
      <c r="H501" s="107"/>
      <c r="I501" s="107"/>
      <c r="J501" s="107"/>
      <c r="K501" s="107"/>
      <c r="L501" s="107"/>
      <c r="S501" s="25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</row>
    <row r="502" spans="1:50" x14ac:dyDescent="0.2">
      <c r="F502" s="40"/>
      <c r="G502" s="40"/>
      <c r="H502" s="40"/>
      <c r="I502" s="40"/>
      <c r="J502" s="40"/>
      <c r="S502" s="25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</row>
    <row r="503" spans="1:50" ht="18" customHeight="1" x14ac:dyDescent="0.2">
      <c r="A503" s="7">
        <v>1</v>
      </c>
      <c r="B503" s="11" t="s">
        <v>60</v>
      </c>
      <c r="D503" s="5">
        <v>4</v>
      </c>
      <c r="F503" s="37" t="s">
        <v>177</v>
      </c>
      <c r="G503" s="38"/>
      <c r="H503" s="37" t="s">
        <v>196</v>
      </c>
      <c r="I503" s="38"/>
      <c r="J503" s="37"/>
      <c r="L503" s="7"/>
      <c r="M503" s="11" t="s">
        <v>83</v>
      </c>
      <c r="O503" s="5">
        <v>12</v>
      </c>
      <c r="S503" s="25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</row>
    <row r="504" spans="1:50" ht="18" customHeight="1" x14ac:dyDescent="0.2">
      <c r="B504" s="11" t="s">
        <v>132</v>
      </c>
      <c r="F504" s="40"/>
      <c r="G504" s="40"/>
      <c r="H504" s="40"/>
      <c r="I504" s="40"/>
      <c r="J504" s="40"/>
      <c r="M504" s="11" t="s">
        <v>84</v>
      </c>
      <c r="S504" s="25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</row>
    <row r="505" spans="1:50" ht="18" customHeight="1" x14ac:dyDescent="0.2">
      <c r="B505" s="10"/>
      <c r="F505" s="40"/>
      <c r="G505" s="40"/>
      <c r="H505" s="40"/>
      <c r="I505" s="40"/>
      <c r="J505" s="40"/>
      <c r="M505" s="10"/>
      <c r="S505" s="25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</row>
    <row r="506" spans="1:50" x14ac:dyDescent="0.2">
      <c r="D506" s="106" t="s">
        <v>24</v>
      </c>
      <c r="E506" s="107"/>
      <c r="F506" s="107"/>
      <c r="G506" s="107"/>
      <c r="H506" s="107"/>
      <c r="I506" s="107"/>
      <c r="J506" s="107"/>
      <c r="K506" s="107"/>
      <c r="L506" s="107"/>
      <c r="S506" s="25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</row>
    <row r="507" spans="1:50" x14ac:dyDescent="0.2">
      <c r="F507" s="40"/>
      <c r="G507" s="40"/>
      <c r="H507" s="40"/>
      <c r="I507" s="40"/>
      <c r="J507" s="40"/>
      <c r="S507" s="25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</row>
    <row r="508" spans="1:50" ht="18" customHeight="1" x14ac:dyDescent="0.2">
      <c r="A508" s="7">
        <v>1</v>
      </c>
      <c r="B508" s="11" t="s">
        <v>129</v>
      </c>
      <c r="D508" s="5">
        <v>3</v>
      </c>
      <c r="F508" s="37" t="s">
        <v>175</v>
      </c>
      <c r="G508" s="38"/>
      <c r="H508" s="37" t="s">
        <v>167</v>
      </c>
      <c r="I508" s="38"/>
      <c r="J508" s="37"/>
      <c r="L508" s="7"/>
      <c r="M508" s="11" t="s">
        <v>71</v>
      </c>
      <c r="O508" s="5">
        <v>12</v>
      </c>
      <c r="S508" s="25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</row>
    <row r="509" spans="1:50" ht="18" customHeight="1" x14ac:dyDescent="0.2">
      <c r="A509" s="7"/>
      <c r="B509" s="11" t="s">
        <v>131</v>
      </c>
      <c r="F509" s="42"/>
      <c r="G509" s="42"/>
      <c r="H509" s="42"/>
      <c r="I509" s="42"/>
      <c r="J509" s="42"/>
      <c r="L509" s="7"/>
      <c r="M509" s="11" t="s">
        <v>77</v>
      </c>
      <c r="S509" s="25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</row>
    <row r="510" spans="1:50" ht="18" customHeight="1" x14ac:dyDescent="0.2">
      <c r="A510" s="17"/>
      <c r="B510" s="47"/>
      <c r="C510" s="10"/>
      <c r="D510" s="4"/>
      <c r="E510" s="10"/>
      <c r="F510" s="56"/>
      <c r="G510" s="56"/>
      <c r="H510" s="56"/>
      <c r="I510" s="56"/>
      <c r="J510" s="56"/>
      <c r="K510" s="10"/>
      <c r="L510" s="17"/>
      <c r="M510" s="47"/>
      <c r="N510" s="10"/>
      <c r="O510" s="4"/>
      <c r="S510" s="25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</row>
    <row r="511" spans="1:50" x14ac:dyDescent="0.2">
      <c r="A511" s="10"/>
      <c r="B511" s="47"/>
      <c r="C511" s="10"/>
      <c r="D511" s="4"/>
      <c r="E511" s="10"/>
      <c r="F511" s="57"/>
      <c r="G511" s="57"/>
      <c r="H511" s="57"/>
      <c r="I511" s="57"/>
      <c r="J511" s="57"/>
      <c r="K511" s="10"/>
      <c r="L511" s="10"/>
      <c r="M511" s="47"/>
      <c r="N511" s="10"/>
      <c r="O511" s="4"/>
      <c r="S511" s="25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</row>
    <row r="512" spans="1:50" x14ac:dyDescent="0.2">
      <c r="B512" s="10"/>
      <c r="F512" s="40"/>
      <c r="G512" s="40"/>
      <c r="H512" s="40"/>
      <c r="I512" s="40"/>
      <c r="J512" s="40"/>
      <c r="M512" s="10"/>
      <c r="S512" s="25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</row>
    <row r="513" spans="1:50" x14ac:dyDescent="0.2">
      <c r="D513" s="106" t="s">
        <v>25</v>
      </c>
      <c r="E513" s="107"/>
      <c r="F513" s="107"/>
      <c r="G513" s="107"/>
      <c r="H513" s="107"/>
      <c r="I513" s="107"/>
      <c r="J513" s="107"/>
      <c r="K513" s="107"/>
      <c r="L513" s="107"/>
      <c r="S513" s="25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</row>
    <row r="514" spans="1:50" ht="18" customHeight="1" x14ac:dyDescent="0.2">
      <c r="F514" s="40"/>
      <c r="G514" s="40"/>
      <c r="H514" s="40"/>
      <c r="I514" s="40"/>
      <c r="J514" s="40"/>
      <c r="S514" s="25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</row>
    <row r="515" spans="1:50" ht="18" customHeight="1" x14ac:dyDescent="0.2">
      <c r="A515" s="7">
        <v>1</v>
      </c>
      <c r="B515" s="11" t="s">
        <v>61</v>
      </c>
      <c r="D515" s="5">
        <v>5</v>
      </c>
      <c r="F515" s="37" t="s">
        <v>168</v>
      </c>
      <c r="G515" s="38"/>
      <c r="H515" s="37" t="s">
        <v>170</v>
      </c>
      <c r="I515" s="38"/>
      <c r="J515" s="37"/>
      <c r="L515" s="7"/>
      <c r="M515" s="11" t="s">
        <v>141</v>
      </c>
      <c r="O515" s="5">
        <v>12</v>
      </c>
      <c r="S515" s="25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</row>
    <row r="516" spans="1:50" x14ac:dyDescent="0.2">
      <c r="B516" s="11" t="s">
        <v>59</v>
      </c>
      <c r="M516" s="11" t="s">
        <v>72</v>
      </c>
      <c r="S516" s="25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</row>
    <row r="517" spans="1:50" x14ac:dyDescent="0.2">
      <c r="S517" s="25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</row>
    <row r="518" spans="1:50" x14ac:dyDescent="0.2">
      <c r="B518" s="41" t="s">
        <v>4</v>
      </c>
      <c r="C518" s="9"/>
      <c r="D518" s="3">
        <f>SUM(D493:D515)</f>
        <v>26</v>
      </c>
      <c r="F518" s="108" t="s">
        <v>15</v>
      </c>
      <c r="G518" s="109"/>
      <c r="H518" s="109"/>
      <c r="I518" s="109"/>
      <c r="J518" s="43" t="s">
        <v>16</v>
      </c>
      <c r="M518" s="41" t="s">
        <v>4</v>
      </c>
      <c r="N518" s="9"/>
      <c r="O518" s="3">
        <f>SUM(O493:O515)</f>
        <v>53</v>
      </c>
      <c r="S518" s="25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</row>
    <row r="519" spans="1:50" ht="18" customHeight="1" x14ac:dyDescent="0.2">
      <c r="C519" s="10"/>
      <c r="D519" s="4"/>
      <c r="F519" s="101"/>
      <c r="G519" s="102"/>
      <c r="H519" s="102"/>
      <c r="I519" s="103"/>
      <c r="J519" s="44"/>
      <c r="N519" s="10"/>
      <c r="O519" s="4"/>
      <c r="S519" s="25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</row>
    <row r="520" spans="1:50" ht="18" customHeight="1" x14ac:dyDescent="0.2">
      <c r="B520" s="11"/>
      <c r="C520" s="11"/>
      <c r="D520" s="5"/>
      <c r="F520" s="101"/>
      <c r="G520" s="102"/>
      <c r="H520" s="102"/>
      <c r="I520" s="103"/>
      <c r="J520" s="44"/>
      <c r="M520" s="11"/>
      <c r="N520" s="11"/>
      <c r="O520" s="5"/>
      <c r="S520" s="25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</row>
    <row r="521" spans="1:50" ht="18" customHeight="1" x14ac:dyDescent="0.2">
      <c r="B521" s="104" t="s">
        <v>5</v>
      </c>
      <c r="C521" s="105"/>
      <c r="D521" s="105"/>
      <c r="F521" s="101"/>
      <c r="G521" s="102"/>
      <c r="H521" s="102"/>
      <c r="I521" s="103"/>
      <c r="J521" s="44"/>
      <c r="M521" s="104" t="s">
        <v>5</v>
      </c>
      <c r="N521" s="105"/>
      <c r="O521" s="105"/>
      <c r="S521" s="25"/>
      <c r="T521" s="24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</row>
    <row r="522" spans="1:50" ht="18" customHeight="1" x14ac:dyDescent="0.2">
      <c r="D522" s="4"/>
      <c r="E522" s="10"/>
      <c r="F522" s="101"/>
      <c r="G522" s="102"/>
      <c r="H522" s="102"/>
      <c r="I522" s="103"/>
      <c r="J522" s="44"/>
      <c r="K522" s="10"/>
      <c r="S522" s="25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</row>
    <row r="523" spans="1:50" x14ac:dyDescent="0.2">
      <c r="B523" s="45" t="s">
        <v>35</v>
      </c>
      <c r="C523" s="46">
        <v>1</v>
      </c>
      <c r="D523" s="8" t="s">
        <v>8</v>
      </c>
      <c r="E523" s="47"/>
      <c r="F523" s="101"/>
      <c r="G523" s="102"/>
      <c r="H523" s="102"/>
      <c r="I523" s="103"/>
      <c r="J523" s="44"/>
      <c r="K523" s="47"/>
      <c r="L523" s="48"/>
      <c r="M523" s="45" t="s">
        <v>35</v>
      </c>
      <c r="N523" s="46">
        <v>1</v>
      </c>
      <c r="O523" s="8" t="s">
        <v>8</v>
      </c>
      <c r="S523" s="25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</row>
    <row r="524" spans="1:50" x14ac:dyDescent="0.2">
      <c r="B524" s="49" t="s">
        <v>19</v>
      </c>
      <c r="C524" s="50">
        <v>2</v>
      </c>
      <c r="D524" s="1" t="s">
        <v>8</v>
      </c>
      <c r="E524" s="47"/>
      <c r="F524" s="101"/>
      <c r="G524" s="102"/>
      <c r="H524" s="102"/>
      <c r="I524" s="103"/>
      <c r="J524" s="44"/>
      <c r="K524" s="47"/>
      <c r="L524" s="51"/>
      <c r="M524" s="49" t="s">
        <v>19</v>
      </c>
      <c r="N524" s="50">
        <v>2</v>
      </c>
      <c r="O524" s="1" t="s">
        <v>8</v>
      </c>
      <c r="S524" s="25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</row>
    <row r="525" spans="1:50" x14ac:dyDescent="0.2">
      <c r="B525" s="49" t="s">
        <v>20</v>
      </c>
      <c r="C525" s="50">
        <v>3</v>
      </c>
      <c r="D525" s="1" t="s">
        <v>9</v>
      </c>
      <c r="E525" s="47"/>
      <c r="F525" s="101"/>
      <c r="G525" s="102"/>
      <c r="H525" s="102"/>
      <c r="I525" s="103"/>
      <c r="J525" s="44"/>
      <c r="K525" s="47"/>
      <c r="L525" s="51"/>
      <c r="M525" s="49" t="s">
        <v>20</v>
      </c>
      <c r="N525" s="50">
        <v>3</v>
      </c>
      <c r="O525" s="1" t="s">
        <v>9</v>
      </c>
      <c r="S525" s="25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</row>
    <row r="526" spans="1:50" ht="18" customHeight="1" x14ac:dyDescent="0.2">
      <c r="B526" s="49" t="s">
        <v>14</v>
      </c>
      <c r="C526" s="50">
        <v>6</v>
      </c>
      <c r="D526" s="1" t="s">
        <v>9</v>
      </c>
      <c r="E526" s="47"/>
      <c r="F526" s="101"/>
      <c r="G526" s="102"/>
      <c r="H526" s="102"/>
      <c r="I526" s="103"/>
      <c r="J526" s="44"/>
      <c r="K526" s="47"/>
      <c r="L526" s="51"/>
      <c r="M526" s="49" t="s">
        <v>14</v>
      </c>
      <c r="N526" s="50">
        <v>6</v>
      </c>
      <c r="O526" s="1" t="s">
        <v>9</v>
      </c>
      <c r="S526" s="25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</row>
    <row r="527" spans="1:50" ht="18" customHeight="1" x14ac:dyDescent="0.2">
      <c r="B527" s="49" t="s">
        <v>17</v>
      </c>
      <c r="C527" s="50">
        <v>12</v>
      </c>
      <c r="D527" s="1" t="s">
        <v>9</v>
      </c>
      <c r="E527" s="47"/>
      <c r="F527" s="101"/>
      <c r="G527" s="102"/>
      <c r="H527" s="102"/>
      <c r="I527" s="103"/>
      <c r="J527" s="44"/>
      <c r="K527" s="47"/>
      <c r="L527" s="51"/>
      <c r="M527" s="49" t="s">
        <v>17</v>
      </c>
      <c r="N527" s="50">
        <v>12</v>
      </c>
      <c r="O527" s="1" t="s">
        <v>9</v>
      </c>
      <c r="S527" s="25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</row>
    <row r="528" spans="1:50" x14ac:dyDescent="0.2">
      <c r="B528" s="52" t="s">
        <v>18</v>
      </c>
      <c r="C528" s="53">
        <v>10</v>
      </c>
      <c r="D528" s="2" t="s">
        <v>9</v>
      </c>
      <c r="E528" s="47"/>
      <c r="F528" s="101"/>
      <c r="G528" s="102"/>
      <c r="H528" s="102"/>
      <c r="I528" s="103"/>
      <c r="J528" s="44"/>
      <c r="K528" s="47"/>
      <c r="L528" s="51"/>
      <c r="M528" s="52" t="s">
        <v>18</v>
      </c>
      <c r="N528" s="53">
        <v>10</v>
      </c>
      <c r="O528" s="2" t="s">
        <v>9</v>
      </c>
      <c r="S528" s="25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</row>
    <row r="529" spans="1:50" ht="18" customHeight="1" x14ac:dyDescent="0.2">
      <c r="S529" s="25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</row>
    <row r="530" spans="1:50" ht="18" x14ac:dyDescent="0.25">
      <c r="I530" s="26"/>
      <c r="J530" s="26"/>
      <c r="K530" s="120" t="s">
        <v>7</v>
      </c>
      <c r="L530" s="120"/>
      <c r="M530" s="120"/>
      <c r="N530" s="120"/>
      <c r="O530" s="120"/>
      <c r="S530" s="25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</row>
    <row r="531" spans="1:50" ht="12.75" customHeight="1" x14ac:dyDescent="0.25">
      <c r="I531" s="26"/>
      <c r="J531" s="26"/>
      <c r="K531" s="115" t="s">
        <v>6</v>
      </c>
      <c r="L531" s="115"/>
      <c r="M531" s="115"/>
      <c r="N531" s="115"/>
      <c r="O531" s="115"/>
      <c r="S531" s="25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</row>
    <row r="532" spans="1:50" ht="18" x14ac:dyDescent="0.25">
      <c r="K532" s="115"/>
      <c r="L532" s="115"/>
      <c r="M532" s="115"/>
      <c r="N532" s="115"/>
      <c r="O532" s="115"/>
      <c r="S532" s="25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</row>
    <row r="533" spans="1:50" x14ac:dyDescent="0.2">
      <c r="A533" s="28" t="s">
        <v>160</v>
      </c>
      <c r="B533" s="29"/>
      <c r="C533" s="113" t="s">
        <v>161</v>
      </c>
      <c r="D533" s="116"/>
      <c r="E533" s="116"/>
      <c r="F533" s="116"/>
      <c r="G533" s="116"/>
      <c r="H533" s="116"/>
      <c r="I533" s="116"/>
      <c r="J533" s="116"/>
      <c r="K533" s="116"/>
      <c r="L533" s="11"/>
      <c r="M533" s="31" t="s">
        <v>162</v>
      </c>
      <c r="N533" s="11"/>
      <c r="O533" s="5"/>
      <c r="S533" s="25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</row>
    <row r="534" spans="1:50" x14ac:dyDescent="0.2">
      <c r="B534" s="32"/>
      <c r="C534" s="10"/>
      <c r="E534" s="10"/>
      <c r="F534" s="33"/>
      <c r="G534" s="33"/>
      <c r="H534" s="33"/>
      <c r="I534" s="33"/>
      <c r="J534" s="34"/>
      <c r="K534" s="35"/>
      <c r="L534" s="10"/>
      <c r="M534" s="10"/>
      <c r="S534" s="25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</row>
    <row r="535" spans="1:50" ht="15" x14ac:dyDescent="0.25">
      <c r="A535" s="117" t="s">
        <v>11</v>
      </c>
      <c r="B535" s="116"/>
      <c r="C535" s="116"/>
      <c r="D535" s="116"/>
      <c r="E535" s="10"/>
      <c r="F535" s="36" t="s">
        <v>12</v>
      </c>
      <c r="G535" s="36"/>
      <c r="H535" s="36"/>
      <c r="I535" s="114" t="s">
        <v>13</v>
      </c>
      <c r="J535" s="118"/>
      <c r="K535" s="6"/>
      <c r="L535" s="119" t="s">
        <v>10</v>
      </c>
      <c r="M535" s="119"/>
      <c r="N535" s="119"/>
      <c r="O535" s="119"/>
      <c r="S535" s="25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</row>
    <row r="536" spans="1:50" ht="15" x14ac:dyDescent="0.25">
      <c r="A536" s="110" t="s">
        <v>33</v>
      </c>
      <c r="B536" s="111"/>
      <c r="C536" s="111"/>
      <c r="D536" s="111"/>
      <c r="E536" s="10"/>
      <c r="F536" s="73" t="s">
        <v>48</v>
      </c>
      <c r="G536" s="36"/>
      <c r="H536" s="36"/>
      <c r="I536" s="112" t="s">
        <v>30</v>
      </c>
      <c r="J536" s="111"/>
      <c r="K536" s="25"/>
      <c r="L536" s="110" t="s">
        <v>32</v>
      </c>
      <c r="M536" s="111"/>
      <c r="N536" s="111"/>
      <c r="O536" s="111"/>
      <c r="S536" s="25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</row>
    <row r="537" spans="1:50" x14ac:dyDescent="0.2">
      <c r="S537" s="25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</row>
    <row r="538" spans="1:50" x14ac:dyDescent="0.2">
      <c r="A538" s="113"/>
      <c r="B538" s="113"/>
      <c r="D538" s="106" t="s">
        <v>21</v>
      </c>
      <c r="E538" s="107"/>
      <c r="F538" s="107"/>
      <c r="G538" s="107"/>
      <c r="H538" s="107"/>
      <c r="I538" s="107"/>
      <c r="J538" s="107"/>
      <c r="K538" s="107"/>
      <c r="L538" s="107"/>
      <c r="S538" s="25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</row>
    <row r="539" spans="1:50" x14ac:dyDescent="0.2">
      <c r="S539" s="25"/>
      <c r="T539" s="10"/>
      <c r="U539" s="25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</row>
    <row r="540" spans="1:50" x14ac:dyDescent="0.2">
      <c r="A540" s="28" t="s">
        <v>0</v>
      </c>
      <c r="B540" s="7" t="s">
        <v>1</v>
      </c>
      <c r="C540" s="28"/>
      <c r="D540" s="7" t="s">
        <v>2</v>
      </c>
      <c r="E540" s="28"/>
      <c r="F540" s="114" t="s">
        <v>3</v>
      </c>
      <c r="G540" s="114"/>
      <c r="H540" s="114"/>
      <c r="I540" s="114"/>
      <c r="J540" s="114"/>
      <c r="K540" s="28"/>
      <c r="L540" s="28" t="s">
        <v>0</v>
      </c>
      <c r="M540" s="7" t="s">
        <v>1</v>
      </c>
      <c r="N540" s="28"/>
      <c r="O540" s="7" t="s">
        <v>2</v>
      </c>
      <c r="S540" s="25"/>
      <c r="T540" s="10"/>
      <c r="U540" s="10"/>
      <c r="V540" s="10"/>
      <c r="W540" s="10"/>
      <c r="X540" s="123"/>
      <c r="Y540" s="121"/>
      <c r="Z540" s="10"/>
      <c r="AA540" s="10"/>
      <c r="AB540" s="121"/>
      <c r="AC540" s="121"/>
      <c r="AD540" s="10"/>
      <c r="AE540" s="10"/>
      <c r="AF540" s="121"/>
      <c r="AG540" s="121"/>
      <c r="AH540" s="10"/>
      <c r="AI540" s="10"/>
      <c r="AJ540" s="121"/>
      <c r="AK540" s="121"/>
      <c r="AL540" s="10"/>
      <c r="AM540" s="10"/>
      <c r="AN540" s="121"/>
      <c r="AO540" s="121"/>
      <c r="AP540" s="10"/>
      <c r="AQ540" s="10"/>
      <c r="AR540" s="121"/>
      <c r="AS540" s="121"/>
      <c r="AT540" s="10"/>
      <c r="AU540" s="10"/>
      <c r="AV540" s="121"/>
      <c r="AW540" s="121"/>
      <c r="AX540" s="10"/>
    </row>
    <row r="541" spans="1:50" ht="18" customHeight="1" x14ac:dyDescent="0.2">
      <c r="A541" s="7">
        <v>1</v>
      </c>
      <c r="B541" s="11" t="s">
        <v>103</v>
      </c>
      <c r="D541" s="5">
        <v>5</v>
      </c>
      <c r="F541" s="37" t="s">
        <v>169</v>
      </c>
      <c r="G541" s="38"/>
      <c r="H541" s="37" t="s">
        <v>168</v>
      </c>
      <c r="I541" s="38"/>
      <c r="J541" s="37"/>
      <c r="L541" s="7"/>
      <c r="M541" s="11" t="s">
        <v>109</v>
      </c>
      <c r="O541" s="5">
        <v>12</v>
      </c>
      <c r="S541" s="25"/>
      <c r="T541" s="10"/>
      <c r="U541" s="25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</row>
    <row r="542" spans="1:50" x14ac:dyDescent="0.2">
      <c r="A542" s="80"/>
      <c r="C542" s="51"/>
      <c r="D542" s="79"/>
      <c r="F542" s="82"/>
      <c r="G542" s="56"/>
      <c r="H542" s="82"/>
      <c r="I542" s="56"/>
      <c r="J542" s="82"/>
      <c r="L542" s="80"/>
      <c r="M542" s="10"/>
      <c r="O542" s="79"/>
      <c r="S542" s="25"/>
      <c r="T542" s="10"/>
      <c r="U542" s="10"/>
      <c r="V542" s="25"/>
      <c r="W542" s="10"/>
      <c r="X542" s="10"/>
      <c r="Y542" s="121"/>
      <c r="Z542" s="121"/>
      <c r="AA542" s="10"/>
      <c r="AB542" s="10"/>
      <c r="AC542" s="121"/>
      <c r="AD542" s="121"/>
      <c r="AE542" s="10"/>
      <c r="AF542" s="10"/>
      <c r="AG542" s="121"/>
      <c r="AH542" s="121"/>
      <c r="AI542" s="10"/>
      <c r="AJ542" s="10"/>
      <c r="AK542" s="121"/>
      <c r="AL542" s="121"/>
      <c r="AM542" s="10"/>
      <c r="AN542" s="10"/>
      <c r="AO542" s="121"/>
      <c r="AP542" s="121"/>
      <c r="AQ542" s="10"/>
      <c r="AR542" s="10"/>
      <c r="AS542" s="121"/>
      <c r="AT542" s="121"/>
      <c r="AU542" s="10"/>
      <c r="AV542" s="10"/>
      <c r="AW542" s="121"/>
      <c r="AX542" s="121"/>
    </row>
    <row r="543" spans="1:50" x14ac:dyDescent="0.2">
      <c r="A543" s="80"/>
      <c r="C543" s="51"/>
      <c r="D543" s="4"/>
      <c r="F543" s="56"/>
      <c r="G543" s="56"/>
      <c r="H543" s="56"/>
      <c r="I543" s="56"/>
      <c r="J543" s="56"/>
      <c r="L543" s="80"/>
      <c r="M543" s="10"/>
      <c r="O543" s="4"/>
      <c r="S543" s="25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21"/>
      <c r="AL543" s="121"/>
      <c r="AM543" s="10"/>
      <c r="AN543" s="10"/>
      <c r="AO543" s="121"/>
      <c r="AP543" s="121"/>
      <c r="AQ543" s="10"/>
      <c r="AR543" s="10"/>
      <c r="AS543" s="121"/>
      <c r="AT543" s="121"/>
      <c r="AU543" s="10"/>
      <c r="AV543" s="10"/>
      <c r="AW543" s="121"/>
      <c r="AX543" s="121"/>
    </row>
    <row r="544" spans="1:50" x14ac:dyDescent="0.2">
      <c r="B544" s="10"/>
      <c r="D544" s="4"/>
      <c r="F544" s="39"/>
      <c r="G544" s="39"/>
      <c r="H544" s="39"/>
      <c r="I544" s="39"/>
      <c r="J544" s="39"/>
      <c r="M544" s="10"/>
      <c r="O544" s="4"/>
      <c r="S544" s="25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</row>
    <row r="545" spans="1:50" x14ac:dyDescent="0.2">
      <c r="B545" s="83"/>
      <c r="D545" s="106" t="s">
        <v>22</v>
      </c>
      <c r="E545" s="107"/>
      <c r="F545" s="107"/>
      <c r="G545" s="107"/>
      <c r="H545" s="107"/>
      <c r="I545" s="107"/>
      <c r="J545" s="107"/>
      <c r="K545" s="107"/>
      <c r="L545" s="107"/>
      <c r="M545" s="83"/>
      <c r="S545" s="25"/>
      <c r="T545" s="10"/>
      <c r="U545" s="25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</row>
    <row r="546" spans="1:50" x14ac:dyDescent="0.2">
      <c r="F546" s="40"/>
      <c r="G546" s="40"/>
      <c r="H546" s="40"/>
      <c r="I546" s="40"/>
      <c r="J546" s="40"/>
      <c r="S546" s="25"/>
      <c r="T546" s="10"/>
      <c r="U546" s="10"/>
      <c r="V546" s="25"/>
      <c r="W546" s="10"/>
      <c r="X546" s="10"/>
      <c r="Y546" s="121"/>
      <c r="Z546" s="121"/>
      <c r="AA546" s="10"/>
      <c r="AB546" s="10"/>
      <c r="AC546" s="121"/>
      <c r="AD546" s="121"/>
      <c r="AE546" s="10"/>
      <c r="AF546" s="10"/>
      <c r="AG546" s="121"/>
      <c r="AH546" s="121"/>
      <c r="AI546" s="10"/>
      <c r="AJ546" s="10"/>
      <c r="AK546" s="121"/>
      <c r="AL546" s="121"/>
      <c r="AM546" s="10"/>
      <c r="AN546" s="10"/>
      <c r="AO546" s="121"/>
      <c r="AP546" s="121"/>
      <c r="AQ546" s="10"/>
      <c r="AR546" s="10"/>
      <c r="AS546" s="121"/>
      <c r="AT546" s="121"/>
      <c r="AU546" s="10"/>
      <c r="AV546" s="10"/>
      <c r="AW546" s="121"/>
      <c r="AX546" s="121"/>
    </row>
    <row r="547" spans="1:50" ht="18" customHeight="1" x14ac:dyDescent="0.2">
      <c r="A547" s="7">
        <v>1</v>
      </c>
      <c r="B547" s="11" t="s">
        <v>104</v>
      </c>
      <c r="D547" s="5">
        <v>12</v>
      </c>
      <c r="E547" s="41"/>
      <c r="F547" s="37" t="s">
        <v>206</v>
      </c>
      <c r="G547" s="38"/>
      <c r="H547" s="37" t="s">
        <v>188</v>
      </c>
      <c r="I547" s="38"/>
      <c r="J547" s="37"/>
      <c r="K547" s="41"/>
      <c r="L547" s="7"/>
      <c r="M547" s="11" t="s">
        <v>114</v>
      </c>
      <c r="O547" s="5">
        <v>6</v>
      </c>
      <c r="S547" s="24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21"/>
      <c r="AL547" s="121"/>
      <c r="AM547" s="10"/>
      <c r="AN547" s="10"/>
      <c r="AO547" s="121"/>
      <c r="AP547" s="121"/>
      <c r="AQ547" s="10"/>
      <c r="AR547" s="10"/>
      <c r="AS547" s="121"/>
      <c r="AT547" s="121"/>
      <c r="AU547" s="10"/>
      <c r="AV547" s="10"/>
      <c r="AW547" s="121"/>
      <c r="AX547" s="121"/>
    </row>
    <row r="548" spans="1:50" x14ac:dyDescent="0.2">
      <c r="B548" s="10"/>
      <c r="D548" s="4"/>
      <c r="F548" s="39"/>
      <c r="G548" s="39"/>
      <c r="H548" s="39"/>
      <c r="I548" s="39"/>
      <c r="J548" s="39"/>
      <c r="M548" s="10"/>
      <c r="O548" s="4"/>
      <c r="S548" s="25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</row>
    <row r="549" spans="1:50" x14ac:dyDescent="0.2">
      <c r="B549" s="83"/>
      <c r="D549" s="106" t="s">
        <v>23</v>
      </c>
      <c r="E549" s="107"/>
      <c r="F549" s="107"/>
      <c r="G549" s="107"/>
      <c r="H549" s="107"/>
      <c r="I549" s="107"/>
      <c r="J549" s="107"/>
      <c r="K549" s="107"/>
      <c r="L549" s="107"/>
      <c r="M549" s="83"/>
      <c r="S549" s="25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</row>
    <row r="550" spans="1:50" x14ac:dyDescent="0.2">
      <c r="F550" s="40"/>
      <c r="G550" s="40"/>
      <c r="H550" s="40"/>
      <c r="I550" s="40"/>
      <c r="J550" s="40"/>
      <c r="S550" s="25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</row>
    <row r="551" spans="1:50" ht="18" customHeight="1" x14ac:dyDescent="0.2">
      <c r="A551" s="7">
        <v>1</v>
      </c>
      <c r="B551" s="11" t="s">
        <v>105</v>
      </c>
      <c r="D551" s="5">
        <v>4</v>
      </c>
      <c r="F551" s="37" t="s">
        <v>179</v>
      </c>
      <c r="G551" s="38"/>
      <c r="H551" s="37" t="s">
        <v>175</v>
      </c>
      <c r="I551" s="38"/>
      <c r="J551" s="37"/>
      <c r="L551" s="7"/>
      <c r="M551" s="11" t="s">
        <v>113</v>
      </c>
      <c r="O551" s="5">
        <v>12</v>
      </c>
      <c r="S551" s="25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</row>
    <row r="552" spans="1:50" ht="18" customHeight="1" x14ac:dyDescent="0.2">
      <c r="B552" s="11" t="s">
        <v>156</v>
      </c>
      <c r="F552" s="40"/>
      <c r="G552" s="40"/>
      <c r="H552" s="40"/>
      <c r="I552" s="40"/>
      <c r="J552" s="40"/>
      <c r="M552" s="11" t="s">
        <v>115</v>
      </c>
      <c r="S552" s="25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</row>
    <row r="553" spans="1:50" ht="18" customHeight="1" x14ac:dyDescent="0.2">
      <c r="B553" s="10"/>
      <c r="F553" s="40"/>
      <c r="G553" s="40"/>
      <c r="H553" s="40"/>
      <c r="I553" s="40"/>
      <c r="J553" s="40"/>
      <c r="M553" s="10"/>
      <c r="S553" s="25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</row>
    <row r="554" spans="1:50" ht="18" customHeight="1" x14ac:dyDescent="0.2">
      <c r="B554" s="83"/>
      <c r="D554" s="106" t="s">
        <v>24</v>
      </c>
      <c r="E554" s="107"/>
      <c r="F554" s="107"/>
      <c r="G554" s="107"/>
      <c r="H554" s="107"/>
      <c r="I554" s="107"/>
      <c r="J554" s="107"/>
      <c r="K554" s="107"/>
      <c r="L554" s="107"/>
      <c r="M554" s="83"/>
      <c r="S554" s="25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</row>
    <row r="555" spans="1:50" x14ac:dyDescent="0.2">
      <c r="F555" s="40"/>
      <c r="G555" s="40"/>
      <c r="H555" s="40"/>
      <c r="I555" s="40"/>
      <c r="J555" s="40"/>
      <c r="S555" s="25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</row>
    <row r="556" spans="1:50" ht="18" customHeight="1" x14ac:dyDescent="0.2">
      <c r="A556" s="7">
        <v>1</v>
      </c>
      <c r="B556" s="11" t="s">
        <v>155</v>
      </c>
      <c r="D556" s="5">
        <v>10</v>
      </c>
      <c r="F556" s="37" t="s">
        <v>184</v>
      </c>
      <c r="G556" s="38"/>
      <c r="H556" s="37" t="s">
        <v>180</v>
      </c>
      <c r="I556" s="38"/>
      <c r="J556" s="37" t="s">
        <v>176</v>
      </c>
      <c r="L556" s="7"/>
      <c r="M556" s="11" t="s">
        <v>112</v>
      </c>
      <c r="O556" s="5">
        <v>12</v>
      </c>
      <c r="S556" s="25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</row>
    <row r="557" spans="1:50" x14ac:dyDescent="0.2">
      <c r="A557" s="7"/>
      <c r="B557" s="11" t="s">
        <v>154</v>
      </c>
      <c r="F557" s="42"/>
      <c r="G557" s="42"/>
      <c r="H557" s="42"/>
      <c r="I557" s="42"/>
      <c r="J557" s="42"/>
      <c r="L557" s="7"/>
      <c r="M557" s="11" t="s">
        <v>111</v>
      </c>
      <c r="S557" s="25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</row>
    <row r="558" spans="1:50" ht="18" customHeight="1" x14ac:dyDescent="0.2">
      <c r="A558" s="17"/>
      <c r="B558" s="47"/>
      <c r="C558" s="10"/>
      <c r="D558" s="4"/>
      <c r="E558" s="10"/>
      <c r="F558" s="56"/>
      <c r="G558" s="56"/>
      <c r="H558" s="56"/>
      <c r="I558" s="56"/>
      <c r="J558" s="56"/>
      <c r="K558" s="10"/>
      <c r="L558" s="17"/>
      <c r="M558" s="47"/>
      <c r="N558" s="10"/>
      <c r="O558" s="4"/>
      <c r="S558" s="25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</row>
    <row r="559" spans="1:50" ht="18" customHeight="1" x14ac:dyDescent="0.2">
      <c r="A559" s="10"/>
      <c r="B559" s="47"/>
      <c r="C559" s="10"/>
      <c r="D559" s="4"/>
      <c r="E559" s="10"/>
      <c r="F559" s="57"/>
      <c r="G559" s="57"/>
      <c r="H559" s="57"/>
      <c r="I559" s="57"/>
      <c r="J559" s="57"/>
      <c r="K559" s="10"/>
      <c r="L559" s="10"/>
      <c r="M559" s="47"/>
      <c r="N559" s="10"/>
      <c r="O559" s="4"/>
      <c r="S559" s="25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</row>
    <row r="560" spans="1:50" x14ac:dyDescent="0.2">
      <c r="B560" s="10"/>
      <c r="F560" s="40"/>
      <c r="G560" s="40"/>
      <c r="H560" s="40"/>
      <c r="I560" s="40"/>
      <c r="J560" s="40"/>
      <c r="M560" s="10"/>
      <c r="S560" s="25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</row>
    <row r="561" spans="1:50" x14ac:dyDescent="0.2">
      <c r="B561" s="83"/>
      <c r="D561" s="106" t="s">
        <v>25</v>
      </c>
      <c r="E561" s="107"/>
      <c r="F561" s="107"/>
      <c r="G561" s="107"/>
      <c r="H561" s="107"/>
      <c r="I561" s="107"/>
      <c r="J561" s="107"/>
      <c r="K561" s="107"/>
      <c r="L561" s="107"/>
      <c r="M561" s="83"/>
      <c r="S561" s="25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</row>
    <row r="562" spans="1:50" x14ac:dyDescent="0.2">
      <c r="F562" s="40"/>
      <c r="G562" s="40"/>
      <c r="H562" s="40"/>
      <c r="I562" s="40"/>
      <c r="J562" s="40"/>
      <c r="S562" s="25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</row>
    <row r="563" spans="1:50" ht="18" customHeight="1" x14ac:dyDescent="0.2">
      <c r="A563" s="7">
        <v>1</v>
      </c>
      <c r="B563" s="11" t="s">
        <v>157</v>
      </c>
      <c r="D563" s="5">
        <v>12</v>
      </c>
      <c r="F563" s="37" t="s">
        <v>177</v>
      </c>
      <c r="G563" s="38"/>
      <c r="H563" s="37" t="s">
        <v>207</v>
      </c>
      <c r="I563" s="38"/>
      <c r="J563" s="37" t="s">
        <v>173</v>
      </c>
      <c r="L563" s="7"/>
      <c r="M563" s="11" t="s">
        <v>116</v>
      </c>
      <c r="O563" s="5">
        <v>10</v>
      </c>
      <c r="S563" s="25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</row>
    <row r="564" spans="1:50" ht="18" customHeight="1" x14ac:dyDescent="0.2">
      <c r="B564" s="11" t="s">
        <v>102</v>
      </c>
      <c r="M564" s="11" t="s">
        <v>110</v>
      </c>
      <c r="S564" s="25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</row>
    <row r="565" spans="1:50" x14ac:dyDescent="0.2">
      <c r="D565" s="7"/>
      <c r="O565" s="7"/>
      <c r="S565" s="25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</row>
    <row r="566" spans="1:50" x14ac:dyDescent="0.2">
      <c r="B566" s="41" t="s">
        <v>4</v>
      </c>
      <c r="C566" s="9"/>
      <c r="D566" s="3">
        <f>SUM(D541:D563)</f>
        <v>43</v>
      </c>
      <c r="F566" s="108" t="s">
        <v>15</v>
      </c>
      <c r="G566" s="109"/>
      <c r="H566" s="109"/>
      <c r="I566" s="109"/>
      <c r="J566" s="43" t="s">
        <v>16</v>
      </c>
      <c r="M566" s="41" t="s">
        <v>4</v>
      </c>
      <c r="N566" s="9"/>
      <c r="O566" s="3">
        <f>SUM(O541:O563)</f>
        <v>52</v>
      </c>
      <c r="S566" s="25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</row>
    <row r="567" spans="1:50" x14ac:dyDescent="0.2">
      <c r="C567" s="10"/>
      <c r="D567" s="4"/>
      <c r="F567" s="101"/>
      <c r="G567" s="102"/>
      <c r="H567" s="102"/>
      <c r="I567" s="103"/>
      <c r="J567" s="44"/>
      <c r="N567" s="10"/>
      <c r="O567" s="4"/>
      <c r="S567" s="25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</row>
    <row r="568" spans="1:50" ht="18" customHeight="1" x14ac:dyDescent="0.2">
      <c r="B568" s="11"/>
      <c r="C568" s="11"/>
      <c r="D568" s="5"/>
      <c r="F568" s="101"/>
      <c r="G568" s="102"/>
      <c r="H568" s="102"/>
      <c r="I568" s="103"/>
      <c r="J568" s="44"/>
      <c r="M568" s="11"/>
      <c r="N568" s="11"/>
      <c r="O568" s="5"/>
      <c r="S568" s="25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</row>
    <row r="569" spans="1:50" ht="18" customHeight="1" x14ac:dyDescent="0.2">
      <c r="B569" s="104" t="s">
        <v>5</v>
      </c>
      <c r="C569" s="105"/>
      <c r="D569" s="105"/>
      <c r="F569" s="101"/>
      <c r="G569" s="102"/>
      <c r="H569" s="102"/>
      <c r="I569" s="103"/>
      <c r="J569" s="44"/>
      <c r="M569" s="104" t="s">
        <v>5</v>
      </c>
      <c r="N569" s="105"/>
      <c r="O569" s="105"/>
      <c r="S569" s="25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</row>
    <row r="570" spans="1:50" ht="18" customHeight="1" x14ac:dyDescent="0.2">
      <c r="D570" s="4"/>
      <c r="E570" s="10"/>
      <c r="F570" s="101"/>
      <c r="G570" s="102"/>
      <c r="H570" s="102"/>
      <c r="I570" s="103"/>
      <c r="J570" s="44"/>
      <c r="K570" s="10"/>
      <c r="S570" s="25"/>
      <c r="T570" s="24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</row>
    <row r="571" spans="1:50" ht="18" customHeight="1" x14ac:dyDescent="0.2">
      <c r="B571" s="45" t="s">
        <v>35</v>
      </c>
      <c r="C571" s="46">
        <v>1</v>
      </c>
      <c r="D571" s="8" t="s">
        <v>8</v>
      </c>
      <c r="E571" s="47"/>
      <c r="F571" s="101"/>
      <c r="G571" s="102"/>
      <c r="H571" s="102"/>
      <c r="I571" s="103"/>
      <c r="J571" s="44"/>
      <c r="K571" s="47"/>
      <c r="L571" s="48"/>
      <c r="M571" s="45" t="s">
        <v>35</v>
      </c>
      <c r="N571" s="46">
        <v>1</v>
      </c>
      <c r="O571" s="8" t="s">
        <v>8</v>
      </c>
      <c r="S571" s="25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</row>
    <row r="572" spans="1:50" x14ac:dyDescent="0.2">
      <c r="B572" s="49" t="s">
        <v>19</v>
      </c>
      <c r="C572" s="50">
        <v>2</v>
      </c>
      <c r="D572" s="1" t="s">
        <v>8</v>
      </c>
      <c r="E572" s="47"/>
      <c r="F572" s="101"/>
      <c r="G572" s="102"/>
      <c r="H572" s="102"/>
      <c r="I572" s="103"/>
      <c r="J572" s="44"/>
      <c r="K572" s="47"/>
      <c r="L572" s="51"/>
      <c r="M572" s="49" t="s">
        <v>19</v>
      </c>
      <c r="N572" s="50">
        <v>2</v>
      </c>
      <c r="O572" s="1" t="s">
        <v>8</v>
      </c>
      <c r="S572" s="25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</row>
    <row r="573" spans="1:50" x14ac:dyDescent="0.2">
      <c r="B573" s="49" t="s">
        <v>20</v>
      </c>
      <c r="C573" s="50">
        <v>3</v>
      </c>
      <c r="D573" s="1" t="s">
        <v>9</v>
      </c>
      <c r="E573" s="47"/>
      <c r="F573" s="101"/>
      <c r="G573" s="102"/>
      <c r="H573" s="102"/>
      <c r="I573" s="103"/>
      <c r="J573" s="44"/>
      <c r="K573" s="47"/>
      <c r="L573" s="51"/>
      <c r="M573" s="49" t="s">
        <v>20</v>
      </c>
      <c r="N573" s="50">
        <v>3</v>
      </c>
      <c r="O573" s="1" t="s">
        <v>9</v>
      </c>
      <c r="S573" s="25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</row>
    <row r="574" spans="1:50" x14ac:dyDescent="0.2">
      <c r="B574" s="49" t="s">
        <v>14</v>
      </c>
      <c r="C574" s="50">
        <v>6</v>
      </c>
      <c r="D574" s="1" t="s">
        <v>9</v>
      </c>
      <c r="E574" s="47"/>
      <c r="F574" s="101"/>
      <c r="G574" s="102"/>
      <c r="H574" s="102"/>
      <c r="I574" s="103"/>
      <c r="J574" s="44"/>
      <c r="K574" s="47"/>
      <c r="L574" s="51"/>
      <c r="M574" s="49" t="s">
        <v>14</v>
      </c>
      <c r="N574" s="50">
        <v>6</v>
      </c>
      <c r="O574" s="1" t="s">
        <v>9</v>
      </c>
      <c r="S574" s="25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</row>
    <row r="575" spans="1:50" ht="18" customHeight="1" x14ac:dyDescent="0.2">
      <c r="B575" s="49" t="s">
        <v>17</v>
      </c>
      <c r="C575" s="50">
        <v>12</v>
      </c>
      <c r="D575" s="1" t="s">
        <v>9</v>
      </c>
      <c r="E575" s="47"/>
      <c r="F575" s="101"/>
      <c r="G575" s="102"/>
      <c r="H575" s="102"/>
      <c r="I575" s="103"/>
      <c r="J575" s="44"/>
      <c r="K575" s="47"/>
      <c r="L575" s="51"/>
      <c r="M575" s="49" t="s">
        <v>17</v>
      </c>
      <c r="N575" s="50">
        <v>12</v>
      </c>
      <c r="O575" s="1" t="s">
        <v>9</v>
      </c>
      <c r="S575" s="25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</row>
    <row r="576" spans="1:50" ht="18" customHeight="1" x14ac:dyDescent="0.2">
      <c r="B576" s="52" t="s">
        <v>18</v>
      </c>
      <c r="C576" s="53">
        <v>10</v>
      </c>
      <c r="D576" s="2" t="s">
        <v>9</v>
      </c>
      <c r="E576" s="47"/>
      <c r="F576" s="101"/>
      <c r="G576" s="102"/>
      <c r="H576" s="102"/>
      <c r="I576" s="103"/>
      <c r="J576" s="44"/>
      <c r="K576" s="47"/>
      <c r="L576" s="51"/>
      <c r="M576" s="52" t="s">
        <v>18</v>
      </c>
      <c r="N576" s="53">
        <v>10</v>
      </c>
      <c r="O576" s="2" t="s">
        <v>9</v>
      </c>
      <c r="S576" s="25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</row>
    <row r="577" spans="1:50" x14ac:dyDescent="0.2">
      <c r="S577" s="25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</row>
    <row r="578" spans="1:50" ht="18" customHeight="1" x14ac:dyDescent="0.25">
      <c r="I578" s="26"/>
      <c r="J578" s="26"/>
      <c r="K578" s="120" t="s">
        <v>7</v>
      </c>
      <c r="L578" s="120"/>
      <c r="M578" s="120"/>
      <c r="N578" s="120"/>
      <c r="O578" s="120"/>
      <c r="S578" s="25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</row>
    <row r="579" spans="1:50" ht="18" x14ac:dyDescent="0.25">
      <c r="I579" s="26"/>
      <c r="J579" s="26"/>
      <c r="K579" s="115" t="s">
        <v>6</v>
      </c>
      <c r="L579" s="115"/>
      <c r="M579" s="115"/>
      <c r="N579" s="115"/>
      <c r="O579" s="115"/>
      <c r="S579" s="25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</row>
    <row r="580" spans="1:50" ht="12.75" customHeight="1" x14ac:dyDescent="0.25">
      <c r="K580" s="115"/>
      <c r="L580" s="115"/>
      <c r="M580" s="115"/>
      <c r="N580" s="115"/>
      <c r="O580" s="115"/>
      <c r="S580" s="25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</row>
    <row r="581" spans="1:50" x14ac:dyDescent="0.2">
      <c r="A581" s="28" t="s">
        <v>160</v>
      </c>
      <c r="B581" s="29"/>
      <c r="C581" s="113" t="s">
        <v>161</v>
      </c>
      <c r="D581" s="116"/>
      <c r="E581" s="116"/>
      <c r="F581" s="116"/>
      <c r="G581" s="116"/>
      <c r="H581" s="116"/>
      <c r="I581" s="116"/>
      <c r="J581" s="116"/>
      <c r="K581" s="116"/>
      <c r="L581" s="11"/>
      <c r="M581" s="31" t="s">
        <v>162</v>
      </c>
      <c r="N581" s="11"/>
      <c r="O581" s="5"/>
      <c r="S581" s="25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</row>
    <row r="582" spans="1:50" x14ac:dyDescent="0.2">
      <c r="B582" s="32"/>
      <c r="C582" s="10"/>
      <c r="E582" s="10"/>
      <c r="F582" s="33"/>
      <c r="G582" s="33"/>
      <c r="H582" s="33"/>
      <c r="I582" s="33"/>
      <c r="J582" s="34"/>
      <c r="K582" s="35"/>
      <c r="L582" s="10"/>
      <c r="M582" s="10"/>
      <c r="S582" s="25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</row>
    <row r="583" spans="1:50" ht="15" x14ac:dyDescent="0.25">
      <c r="A583" s="117" t="s">
        <v>10</v>
      </c>
      <c r="B583" s="116"/>
      <c r="C583" s="116"/>
      <c r="D583" s="116"/>
      <c r="E583" s="10"/>
      <c r="F583" s="36" t="s">
        <v>12</v>
      </c>
      <c r="G583" s="36"/>
      <c r="H583" s="36"/>
      <c r="I583" s="114" t="s">
        <v>13</v>
      </c>
      <c r="J583" s="118"/>
      <c r="K583" s="6"/>
      <c r="L583" s="119" t="s">
        <v>11</v>
      </c>
      <c r="M583" s="119"/>
      <c r="N583" s="119"/>
      <c r="O583" s="119"/>
      <c r="S583" s="25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</row>
    <row r="584" spans="1:50" ht="15" x14ac:dyDescent="0.25">
      <c r="A584" s="110" t="s">
        <v>125</v>
      </c>
      <c r="B584" s="111"/>
      <c r="C584" s="111"/>
      <c r="D584" s="111"/>
      <c r="E584" s="10"/>
      <c r="F584" s="73" t="s">
        <v>49</v>
      </c>
      <c r="G584" s="36"/>
      <c r="H584" s="36"/>
      <c r="I584" s="112" t="s">
        <v>28</v>
      </c>
      <c r="J584" s="111"/>
      <c r="K584" s="25"/>
      <c r="L584" s="110" t="s">
        <v>32</v>
      </c>
      <c r="M584" s="111"/>
      <c r="N584" s="111"/>
      <c r="O584" s="111"/>
      <c r="S584" s="25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</row>
    <row r="585" spans="1:50" x14ac:dyDescent="0.2">
      <c r="S585" s="25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</row>
    <row r="586" spans="1:50" x14ac:dyDescent="0.2">
      <c r="A586" s="113"/>
      <c r="B586" s="113"/>
      <c r="D586" s="106" t="s">
        <v>21</v>
      </c>
      <c r="E586" s="107"/>
      <c r="F586" s="107"/>
      <c r="G586" s="107"/>
      <c r="H586" s="107"/>
      <c r="I586" s="107"/>
      <c r="J586" s="107"/>
      <c r="K586" s="107"/>
      <c r="L586" s="107"/>
      <c r="S586" s="25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</row>
    <row r="587" spans="1:50" x14ac:dyDescent="0.2">
      <c r="S587" s="25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</row>
    <row r="588" spans="1:50" x14ac:dyDescent="0.2">
      <c r="A588" s="28" t="s">
        <v>0</v>
      </c>
      <c r="B588" s="7" t="s">
        <v>1</v>
      </c>
      <c r="C588" s="28"/>
      <c r="D588" s="7" t="s">
        <v>2</v>
      </c>
      <c r="E588" s="28"/>
      <c r="F588" s="114" t="s">
        <v>3</v>
      </c>
      <c r="G588" s="114"/>
      <c r="H588" s="114"/>
      <c r="I588" s="114"/>
      <c r="J588" s="114"/>
      <c r="K588" s="28"/>
      <c r="L588" s="28" t="s">
        <v>0</v>
      </c>
      <c r="M588" s="7" t="s">
        <v>1</v>
      </c>
      <c r="N588" s="28"/>
      <c r="O588" s="7" t="s">
        <v>2</v>
      </c>
      <c r="S588" s="25"/>
      <c r="T588" s="10"/>
      <c r="U588" s="25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</row>
    <row r="589" spans="1:50" ht="18" customHeight="1" x14ac:dyDescent="0.2">
      <c r="A589" s="7">
        <v>1</v>
      </c>
      <c r="B589" s="11" t="s">
        <v>92</v>
      </c>
      <c r="D589" s="5">
        <v>10</v>
      </c>
      <c r="F589" s="37" t="s">
        <v>174</v>
      </c>
      <c r="G589" s="38"/>
      <c r="H589" s="37" t="s">
        <v>181</v>
      </c>
      <c r="I589" s="38"/>
      <c r="J589" s="37" t="s">
        <v>168</v>
      </c>
      <c r="L589" s="7"/>
      <c r="M589" s="11" t="s">
        <v>110</v>
      </c>
      <c r="O589" s="5">
        <v>12</v>
      </c>
      <c r="S589" s="25"/>
      <c r="T589" s="10"/>
      <c r="U589" s="10"/>
      <c r="V589" s="10"/>
      <c r="W589" s="10"/>
      <c r="X589" s="123"/>
      <c r="Y589" s="121"/>
      <c r="Z589" s="10"/>
      <c r="AA589" s="10"/>
      <c r="AB589" s="121"/>
      <c r="AC589" s="121"/>
      <c r="AD589" s="10"/>
      <c r="AE589" s="10"/>
      <c r="AF589" s="121"/>
      <c r="AG589" s="121"/>
      <c r="AH589" s="10"/>
      <c r="AI589" s="10"/>
      <c r="AJ589" s="121"/>
      <c r="AK589" s="121"/>
      <c r="AL589" s="10"/>
      <c r="AM589" s="10"/>
      <c r="AN589" s="121"/>
      <c r="AO589" s="121"/>
      <c r="AP589" s="10"/>
      <c r="AQ589" s="10"/>
      <c r="AR589" s="121"/>
      <c r="AS589" s="121"/>
      <c r="AT589" s="10"/>
      <c r="AU589" s="10"/>
      <c r="AV589" s="121"/>
      <c r="AW589" s="121"/>
      <c r="AX589" s="10"/>
    </row>
    <row r="590" spans="1:50" x14ac:dyDescent="0.2">
      <c r="A590" s="80"/>
      <c r="C590" s="51"/>
      <c r="D590" s="79"/>
      <c r="F590" s="82"/>
      <c r="G590" s="56"/>
      <c r="H590" s="82"/>
      <c r="I590" s="56"/>
      <c r="J590" s="82"/>
      <c r="L590" s="80"/>
      <c r="M590" s="10"/>
      <c r="O590" s="79"/>
      <c r="S590" s="25"/>
      <c r="T590" s="10"/>
      <c r="U590" s="25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</row>
    <row r="591" spans="1:50" x14ac:dyDescent="0.2">
      <c r="A591" s="80"/>
      <c r="C591" s="51"/>
      <c r="D591" s="4"/>
      <c r="F591" s="56"/>
      <c r="G591" s="56"/>
      <c r="H591" s="56"/>
      <c r="I591" s="56"/>
      <c r="J591" s="56"/>
      <c r="L591" s="80"/>
      <c r="M591" s="10"/>
      <c r="O591" s="4"/>
      <c r="S591" s="25"/>
      <c r="T591" s="10"/>
      <c r="U591" s="10"/>
      <c r="V591" s="25"/>
      <c r="W591" s="10"/>
      <c r="X591" s="10"/>
      <c r="Y591" s="121"/>
      <c r="Z591" s="121"/>
      <c r="AA591" s="10"/>
      <c r="AB591" s="10"/>
      <c r="AC591" s="121"/>
      <c r="AD591" s="121"/>
      <c r="AE591" s="10"/>
      <c r="AF591" s="10"/>
      <c r="AG591" s="121"/>
      <c r="AH591" s="121"/>
      <c r="AI591" s="10"/>
      <c r="AJ591" s="10"/>
      <c r="AK591" s="121"/>
      <c r="AL591" s="121"/>
      <c r="AM591" s="10"/>
      <c r="AN591" s="10"/>
      <c r="AO591" s="121"/>
      <c r="AP591" s="121"/>
      <c r="AQ591" s="10"/>
      <c r="AR591" s="10"/>
      <c r="AS591" s="121"/>
      <c r="AT591" s="121"/>
      <c r="AU591" s="10"/>
      <c r="AV591" s="10"/>
      <c r="AW591" s="121"/>
      <c r="AX591" s="121"/>
    </row>
    <row r="592" spans="1:50" x14ac:dyDescent="0.2">
      <c r="D592" s="4"/>
      <c r="F592" s="39"/>
      <c r="G592" s="39"/>
      <c r="H592" s="39"/>
      <c r="I592" s="39"/>
      <c r="J592" s="39"/>
      <c r="M592" s="10"/>
      <c r="O592" s="4"/>
      <c r="S592" s="25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21"/>
      <c r="AL592" s="121"/>
      <c r="AM592" s="10"/>
      <c r="AN592" s="10"/>
      <c r="AO592" s="121"/>
      <c r="AP592" s="121"/>
      <c r="AQ592" s="10"/>
      <c r="AR592" s="10"/>
      <c r="AS592" s="121"/>
      <c r="AT592" s="121"/>
      <c r="AU592" s="10"/>
      <c r="AV592" s="10"/>
      <c r="AW592" s="121"/>
      <c r="AX592" s="121"/>
    </row>
    <row r="593" spans="1:50" x14ac:dyDescent="0.2">
      <c r="D593" s="106" t="s">
        <v>22</v>
      </c>
      <c r="E593" s="107"/>
      <c r="F593" s="107"/>
      <c r="G593" s="107"/>
      <c r="H593" s="107"/>
      <c r="I593" s="107"/>
      <c r="J593" s="107"/>
      <c r="K593" s="107"/>
      <c r="L593" s="107"/>
      <c r="M593" s="83"/>
      <c r="S593" s="25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</row>
    <row r="594" spans="1:50" x14ac:dyDescent="0.2">
      <c r="F594" s="40"/>
      <c r="G594" s="40"/>
      <c r="H594" s="40"/>
      <c r="I594" s="40"/>
      <c r="J594" s="40"/>
      <c r="S594" s="25"/>
      <c r="T594" s="10"/>
      <c r="U594" s="25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</row>
    <row r="595" spans="1:50" ht="18" customHeight="1" x14ac:dyDescent="0.2">
      <c r="A595" s="7">
        <v>1</v>
      </c>
      <c r="B595" s="11" t="s">
        <v>95</v>
      </c>
      <c r="D595" s="5">
        <v>4</v>
      </c>
      <c r="E595" s="41"/>
      <c r="F595" s="37" t="s">
        <v>183</v>
      </c>
      <c r="G595" s="38"/>
      <c r="H595" s="37" t="s">
        <v>166</v>
      </c>
      <c r="I595" s="38"/>
      <c r="J595" s="37"/>
      <c r="K595" s="41"/>
      <c r="L595" s="7"/>
      <c r="M595" s="11" t="s">
        <v>113</v>
      </c>
      <c r="O595" s="5">
        <v>12</v>
      </c>
      <c r="S595" s="25"/>
      <c r="T595" s="10"/>
      <c r="U595" s="10"/>
      <c r="V595" s="25"/>
      <c r="W595" s="10"/>
      <c r="X595" s="10"/>
      <c r="Y595" s="121"/>
      <c r="Z595" s="121"/>
      <c r="AA595" s="10"/>
      <c r="AB595" s="10"/>
      <c r="AC595" s="121"/>
      <c r="AD595" s="121"/>
      <c r="AE595" s="10"/>
      <c r="AF595" s="10"/>
      <c r="AG595" s="121"/>
      <c r="AH595" s="121"/>
      <c r="AI595" s="10"/>
      <c r="AJ595" s="10"/>
      <c r="AK595" s="121"/>
      <c r="AL595" s="121"/>
      <c r="AM595" s="10"/>
      <c r="AN595" s="10"/>
      <c r="AO595" s="121"/>
      <c r="AP595" s="121"/>
      <c r="AQ595" s="10"/>
      <c r="AR595" s="10"/>
      <c r="AS595" s="121"/>
      <c r="AT595" s="121"/>
      <c r="AU595" s="10"/>
      <c r="AV595" s="10"/>
      <c r="AW595" s="121"/>
      <c r="AX595" s="121"/>
    </row>
    <row r="596" spans="1:50" x14ac:dyDescent="0.2">
      <c r="D596" s="4"/>
      <c r="F596" s="39"/>
      <c r="G596" s="39"/>
      <c r="H596" s="39"/>
      <c r="I596" s="39"/>
      <c r="J596" s="39"/>
      <c r="M596" s="10"/>
      <c r="O596" s="4"/>
      <c r="S596" s="24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21"/>
      <c r="AL596" s="121"/>
      <c r="AM596" s="10"/>
      <c r="AN596" s="10"/>
      <c r="AO596" s="121"/>
      <c r="AP596" s="121"/>
      <c r="AQ596" s="10"/>
      <c r="AR596" s="10"/>
      <c r="AS596" s="121"/>
      <c r="AT596" s="121"/>
      <c r="AU596" s="10"/>
      <c r="AV596" s="10"/>
      <c r="AW596" s="121"/>
      <c r="AX596" s="121"/>
    </row>
    <row r="597" spans="1:50" x14ac:dyDescent="0.2">
      <c r="D597" s="106" t="s">
        <v>23</v>
      </c>
      <c r="E597" s="107"/>
      <c r="F597" s="107"/>
      <c r="G597" s="107"/>
      <c r="H597" s="107"/>
      <c r="I597" s="107"/>
      <c r="J597" s="107"/>
      <c r="K597" s="107"/>
      <c r="L597" s="107"/>
      <c r="M597" s="83"/>
      <c r="S597" s="25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</row>
    <row r="598" spans="1:50" x14ac:dyDescent="0.2">
      <c r="F598" s="40"/>
      <c r="G598" s="40"/>
      <c r="H598" s="40"/>
      <c r="I598" s="40"/>
      <c r="J598" s="40"/>
      <c r="S598" s="25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</row>
    <row r="599" spans="1:50" ht="18" customHeight="1" x14ac:dyDescent="0.2">
      <c r="A599" s="7">
        <v>1</v>
      </c>
      <c r="B599" s="11" t="s">
        <v>94</v>
      </c>
      <c r="D599" s="5">
        <v>12</v>
      </c>
      <c r="F599" s="37" t="s">
        <v>183</v>
      </c>
      <c r="G599" s="38"/>
      <c r="H599" s="37" t="s">
        <v>187</v>
      </c>
      <c r="I599" s="38"/>
      <c r="J599" s="37" t="s">
        <v>187</v>
      </c>
      <c r="L599" s="7"/>
      <c r="M599" s="11" t="s">
        <v>114</v>
      </c>
      <c r="O599" s="5">
        <v>10</v>
      </c>
      <c r="S599" s="25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</row>
    <row r="600" spans="1:50" x14ac:dyDescent="0.2">
      <c r="B600" s="11" t="s">
        <v>146</v>
      </c>
      <c r="F600" s="40"/>
      <c r="G600" s="40"/>
      <c r="H600" s="40"/>
      <c r="I600" s="40"/>
      <c r="J600" s="40"/>
      <c r="M600" s="11" t="s">
        <v>115</v>
      </c>
      <c r="S600" s="25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</row>
    <row r="601" spans="1:50" ht="18" customHeight="1" x14ac:dyDescent="0.2">
      <c r="F601" s="40"/>
      <c r="G601" s="40"/>
      <c r="H601" s="40"/>
      <c r="I601" s="40"/>
      <c r="J601" s="40"/>
      <c r="M601" s="10"/>
      <c r="S601" s="25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</row>
    <row r="602" spans="1:50" ht="18" customHeight="1" x14ac:dyDescent="0.2">
      <c r="B602" s="83"/>
      <c r="D602" s="106" t="s">
        <v>24</v>
      </c>
      <c r="E602" s="107"/>
      <c r="F602" s="107"/>
      <c r="G602" s="107"/>
      <c r="H602" s="107"/>
      <c r="I602" s="107"/>
      <c r="J602" s="107"/>
      <c r="K602" s="107"/>
      <c r="L602" s="107"/>
      <c r="M602" s="83"/>
      <c r="S602" s="25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</row>
    <row r="603" spans="1:50" ht="18" customHeight="1" x14ac:dyDescent="0.2">
      <c r="F603" s="40"/>
      <c r="G603" s="40"/>
      <c r="H603" s="40"/>
      <c r="I603" s="40"/>
      <c r="J603" s="40"/>
      <c r="S603" s="25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</row>
    <row r="604" spans="1:50" ht="18" customHeight="1" x14ac:dyDescent="0.2">
      <c r="A604" s="7">
        <v>1</v>
      </c>
      <c r="B604" s="11" t="s">
        <v>142</v>
      </c>
      <c r="D604" s="5">
        <v>2</v>
      </c>
      <c r="F604" s="37" t="s">
        <v>166</v>
      </c>
      <c r="G604" s="38"/>
      <c r="H604" s="37" t="s">
        <v>189</v>
      </c>
      <c r="I604" s="38"/>
      <c r="J604" s="37"/>
      <c r="L604" s="7"/>
      <c r="M604" s="11" t="s">
        <v>108</v>
      </c>
      <c r="O604" s="5">
        <v>12</v>
      </c>
      <c r="S604" s="25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</row>
    <row r="605" spans="1:50" x14ac:dyDescent="0.2">
      <c r="A605" s="7"/>
      <c r="B605" s="11" t="s">
        <v>93</v>
      </c>
      <c r="F605" s="42"/>
      <c r="G605" s="42"/>
      <c r="H605" s="42"/>
      <c r="I605" s="42"/>
      <c r="J605" s="42"/>
      <c r="L605" s="7"/>
      <c r="M605" s="11" t="s">
        <v>107</v>
      </c>
      <c r="S605" s="25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</row>
    <row r="606" spans="1:50" x14ac:dyDescent="0.2">
      <c r="A606" s="17"/>
      <c r="C606" s="10"/>
      <c r="D606" s="4"/>
      <c r="E606" s="10"/>
      <c r="F606" s="56"/>
      <c r="G606" s="56"/>
      <c r="H606" s="56"/>
      <c r="I606" s="56"/>
      <c r="J606" s="56"/>
      <c r="K606" s="10"/>
      <c r="L606" s="17"/>
      <c r="M606" s="47"/>
      <c r="N606" s="10"/>
      <c r="O606" s="4"/>
      <c r="S606" s="25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</row>
    <row r="607" spans="1:50" ht="18" customHeight="1" x14ac:dyDescent="0.2">
      <c r="A607" s="10"/>
      <c r="C607" s="10"/>
      <c r="D607" s="4"/>
      <c r="E607" s="10"/>
      <c r="F607" s="57"/>
      <c r="G607" s="57"/>
      <c r="H607" s="57"/>
      <c r="I607" s="57"/>
      <c r="J607" s="57"/>
      <c r="K607" s="10"/>
      <c r="L607" s="10"/>
      <c r="M607" s="47"/>
      <c r="N607" s="10"/>
      <c r="O607" s="4"/>
      <c r="S607" s="25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</row>
    <row r="608" spans="1:50" ht="18" customHeight="1" x14ac:dyDescent="0.2">
      <c r="F608" s="40"/>
      <c r="G608" s="40"/>
      <c r="H608" s="40"/>
      <c r="I608" s="40"/>
      <c r="J608" s="40"/>
      <c r="M608" s="10"/>
      <c r="S608" s="25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</row>
    <row r="609" spans="1:50" x14ac:dyDescent="0.2">
      <c r="D609" s="106" t="s">
        <v>25</v>
      </c>
      <c r="E609" s="107"/>
      <c r="F609" s="107"/>
      <c r="G609" s="107"/>
      <c r="H609" s="107"/>
      <c r="I609" s="107"/>
      <c r="J609" s="107"/>
      <c r="K609" s="107"/>
      <c r="L609" s="107"/>
      <c r="M609" s="83"/>
      <c r="S609" s="25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</row>
    <row r="610" spans="1:50" x14ac:dyDescent="0.2">
      <c r="F610" s="40"/>
      <c r="G610" s="40"/>
      <c r="H610" s="40"/>
      <c r="I610" s="40"/>
      <c r="J610" s="40"/>
      <c r="S610" s="25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</row>
    <row r="611" spans="1:50" ht="18" customHeight="1" x14ac:dyDescent="0.2">
      <c r="A611" s="7">
        <v>1</v>
      </c>
      <c r="B611" s="11" t="s">
        <v>147</v>
      </c>
      <c r="D611" s="5">
        <v>12</v>
      </c>
      <c r="F611" s="37" t="s">
        <v>207</v>
      </c>
      <c r="G611" s="38"/>
      <c r="H611" s="37" t="s">
        <v>195</v>
      </c>
      <c r="I611" s="38"/>
      <c r="J611" s="37"/>
      <c r="L611" s="7"/>
      <c r="M611" s="11" t="s">
        <v>116</v>
      </c>
      <c r="O611" s="5">
        <v>4</v>
      </c>
      <c r="S611" s="25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</row>
    <row r="612" spans="1:50" ht="18" customHeight="1" x14ac:dyDescent="0.2">
      <c r="B612" s="11" t="s">
        <v>91</v>
      </c>
      <c r="M612" s="11" t="s">
        <v>106</v>
      </c>
      <c r="S612" s="25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</row>
    <row r="613" spans="1:50" ht="18" customHeight="1" x14ac:dyDescent="0.2">
      <c r="S613" s="25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</row>
    <row r="614" spans="1:50" x14ac:dyDescent="0.2">
      <c r="B614" s="41" t="s">
        <v>4</v>
      </c>
      <c r="C614" s="9"/>
      <c r="D614" s="3">
        <f>SUM(D589:D611)</f>
        <v>40</v>
      </c>
      <c r="F614" s="108" t="s">
        <v>15</v>
      </c>
      <c r="G614" s="109"/>
      <c r="H614" s="109"/>
      <c r="I614" s="109"/>
      <c r="J614" s="43" t="s">
        <v>16</v>
      </c>
      <c r="M614" s="41" t="s">
        <v>4</v>
      </c>
      <c r="N614" s="9"/>
      <c r="O614" s="3">
        <f>SUM(O589:O611)</f>
        <v>50</v>
      </c>
      <c r="S614" s="25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</row>
    <row r="615" spans="1:50" x14ac:dyDescent="0.2">
      <c r="C615" s="10"/>
      <c r="D615" s="4"/>
      <c r="F615" s="101"/>
      <c r="G615" s="102"/>
      <c r="H615" s="102"/>
      <c r="I615" s="103"/>
      <c r="J615" s="44"/>
      <c r="N615" s="10"/>
      <c r="O615" s="4"/>
      <c r="S615" s="25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</row>
    <row r="616" spans="1:50" x14ac:dyDescent="0.2">
      <c r="B616" s="11"/>
      <c r="C616" s="11"/>
      <c r="D616" s="5"/>
      <c r="F616" s="101"/>
      <c r="G616" s="102"/>
      <c r="H616" s="102"/>
      <c r="I616" s="103"/>
      <c r="J616" s="44"/>
      <c r="M616" s="11"/>
      <c r="N616" s="11"/>
      <c r="O616" s="5"/>
      <c r="S616" s="25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</row>
    <row r="617" spans="1:50" ht="18" customHeight="1" x14ac:dyDescent="0.2">
      <c r="B617" s="104" t="s">
        <v>5</v>
      </c>
      <c r="C617" s="105"/>
      <c r="D617" s="105"/>
      <c r="F617" s="101"/>
      <c r="G617" s="102"/>
      <c r="H617" s="102"/>
      <c r="I617" s="103"/>
      <c r="J617" s="44"/>
      <c r="M617" s="104" t="s">
        <v>5</v>
      </c>
      <c r="N617" s="105"/>
      <c r="O617" s="105"/>
      <c r="S617" s="25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</row>
    <row r="618" spans="1:50" ht="18" customHeight="1" x14ac:dyDescent="0.2">
      <c r="D618" s="4"/>
      <c r="E618" s="10"/>
      <c r="F618" s="101"/>
      <c r="G618" s="102"/>
      <c r="H618" s="102"/>
      <c r="I618" s="103"/>
      <c r="J618" s="44"/>
      <c r="K618" s="10"/>
      <c r="S618" s="25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</row>
    <row r="619" spans="1:50" ht="18" customHeight="1" x14ac:dyDescent="0.2">
      <c r="B619" s="45" t="s">
        <v>35</v>
      </c>
      <c r="C619" s="46">
        <v>1</v>
      </c>
      <c r="D619" s="8" t="s">
        <v>8</v>
      </c>
      <c r="E619" s="47"/>
      <c r="F619" s="101"/>
      <c r="G619" s="102"/>
      <c r="H619" s="102"/>
      <c r="I619" s="103"/>
      <c r="J619" s="44"/>
      <c r="K619" s="47"/>
      <c r="L619" s="48"/>
      <c r="M619" s="45" t="s">
        <v>35</v>
      </c>
      <c r="N619" s="46">
        <v>1</v>
      </c>
      <c r="O619" s="8" t="s">
        <v>8</v>
      </c>
      <c r="S619" s="25"/>
      <c r="T619" s="24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</row>
    <row r="620" spans="1:50" ht="18" customHeight="1" x14ac:dyDescent="0.2">
      <c r="B620" s="49" t="s">
        <v>19</v>
      </c>
      <c r="C620" s="50">
        <v>2</v>
      </c>
      <c r="D620" s="1" t="s">
        <v>8</v>
      </c>
      <c r="E620" s="47"/>
      <c r="F620" s="101"/>
      <c r="G620" s="102"/>
      <c r="H620" s="102"/>
      <c r="I620" s="103"/>
      <c r="J620" s="44"/>
      <c r="K620" s="47"/>
      <c r="L620" s="51"/>
      <c r="M620" s="49" t="s">
        <v>19</v>
      </c>
      <c r="N620" s="50">
        <v>2</v>
      </c>
      <c r="O620" s="1" t="s">
        <v>8</v>
      </c>
      <c r="S620" s="25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</row>
    <row r="621" spans="1:50" x14ac:dyDescent="0.2">
      <c r="B621" s="49" t="s">
        <v>20</v>
      </c>
      <c r="C621" s="50">
        <v>3</v>
      </c>
      <c r="D621" s="1" t="s">
        <v>9</v>
      </c>
      <c r="E621" s="47"/>
      <c r="F621" s="101"/>
      <c r="G621" s="102"/>
      <c r="H621" s="102"/>
      <c r="I621" s="103"/>
      <c r="J621" s="44"/>
      <c r="K621" s="47"/>
      <c r="L621" s="51"/>
      <c r="M621" s="49" t="s">
        <v>20</v>
      </c>
      <c r="N621" s="50">
        <v>3</v>
      </c>
      <c r="O621" s="1" t="s">
        <v>9</v>
      </c>
      <c r="S621" s="25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</row>
    <row r="622" spans="1:50" x14ac:dyDescent="0.2">
      <c r="B622" s="49" t="s">
        <v>14</v>
      </c>
      <c r="C622" s="50">
        <v>6</v>
      </c>
      <c r="D622" s="1" t="s">
        <v>9</v>
      </c>
      <c r="E622" s="47"/>
      <c r="F622" s="101"/>
      <c r="G622" s="102"/>
      <c r="H622" s="102"/>
      <c r="I622" s="103"/>
      <c r="J622" s="44"/>
      <c r="K622" s="47"/>
      <c r="L622" s="51"/>
      <c r="M622" s="49" t="s">
        <v>14</v>
      </c>
      <c r="N622" s="50">
        <v>6</v>
      </c>
      <c r="O622" s="1" t="s">
        <v>9</v>
      </c>
      <c r="S622" s="25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</row>
    <row r="623" spans="1:50" x14ac:dyDescent="0.2">
      <c r="B623" s="49" t="s">
        <v>17</v>
      </c>
      <c r="C623" s="50">
        <v>12</v>
      </c>
      <c r="D623" s="1" t="s">
        <v>9</v>
      </c>
      <c r="E623" s="47"/>
      <c r="F623" s="101"/>
      <c r="G623" s="102"/>
      <c r="H623" s="102"/>
      <c r="I623" s="103"/>
      <c r="J623" s="44"/>
      <c r="K623" s="47"/>
      <c r="L623" s="51"/>
      <c r="M623" s="49" t="s">
        <v>17</v>
      </c>
      <c r="N623" s="50">
        <v>12</v>
      </c>
      <c r="O623" s="1" t="s">
        <v>9</v>
      </c>
      <c r="S623" s="25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</row>
    <row r="624" spans="1:50" ht="18" customHeight="1" x14ac:dyDescent="0.2">
      <c r="B624" s="52" t="s">
        <v>18</v>
      </c>
      <c r="C624" s="53">
        <v>10</v>
      </c>
      <c r="D624" s="2" t="s">
        <v>9</v>
      </c>
      <c r="E624" s="47"/>
      <c r="F624" s="101"/>
      <c r="G624" s="102"/>
      <c r="H624" s="102"/>
      <c r="I624" s="103"/>
      <c r="J624" s="44"/>
      <c r="K624" s="47"/>
      <c r="L624" s="51"/>
      <c r="M624" s="52" t="s">
        <v>18</v>
      </c>
      <c r="N624" s="53">
        <v>10</v>
      </c>
      <c r="O624" s="2" t="s">
        <v>9</v>
      </c>
      <c r="S624" s="25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</row>
    <row r="625" spans="1:50" ht="18" customHeight="1" x14ac:dyDescent="0.2">
      <c r="S625" s="25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</row>
    <row r="626" spans="1:50" ht="18" x14ac:dyDescent="0.25">
      <c r="I626" s="26"/>
      <c r="J626" s="26"/>
      <c r="K626" s="120" t="s">
        <v>7</v>
      </c>
      <c r="L626" s="120"/>
      <c r="M626" s="120"/>
      <c r="N626" s="120"/>
      <c r="O626" s="120"/>
      <c r="S626" s="25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</row>
    <row r="627" spans="1:50" ht="18" customHeight="1" x14ac:dyDescent="0.25">
      <c r="I627" s="26"/>
      <c r="J627" s="26"/>
      <c r="K627" s="115" t="s">
        <v>6</v>
      </c>
      <c r="L627" s="115"/>
      <c r="M627" s="115"/>
      <c r="N627" s="115"/>
      <c r="O627" s="115"/>
      <c r="S627" s="25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</row>
    <row r="628" spans="1:50" ht="18" x14ac:dyDescent="0.25">
      <c r="K628" s="115"/>
      <c r="L628" s="115"/>
      <c r="M628" s="115"/>
      <c r="N628" s="115"/>
      <c r="O628" s="115"/>
      <c r="S628" s="25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</row>
    <row r="629" spans="1:50" ht="12.75" customHeight="1" x14ac:dyDescent="0.2">
      <c r="A629" s="28" t="s">
        <v>160</v>
      </c>
      <c r="B629" s="29"/>
      <c r="C629" s="113" t="s">
        <v>161</v>
      </c>
      <c r="D629" s="116"/>
      <c r="E629" s="116"/>
      <c r="F629" s="116"/>
      <c r="G629" s="116"/>
      <c r="H629" s="116"/>
      <c r="I629" s="116"/>
      <c r="J629" s="116"/>
      <c r="K629" s="116"/>
      <c r="L629" s="11"/>
      <c r="M629" s="31" t="s">
        <v>162</v>
      </c>
      <c r="N629" s="11"/>
      <c r="O629" s="5"/>
      <c r="S629" s="25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</row>
    <row r="630" spans="1:50" x14ac:dyDescent="0.2">
      <c r="B630" s="32"/>
      <c r="C630" s="10"/>
      <c r="E630" s="10"/>
      <c r="F630" s="33"/>
      <c r="G630" s="33"/>
      <c r="H630" s="33"/>
      <c r="I630" s="33"/>
      <c r="J630" s="34"/>
      <c r="K630" s="35"/>
      <c r="L630" s="10"/>
      <c r="M630" s="10"/>
      <c r="S630" s="25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</row>
    <row r="631" spans="1:50" ht="15" x14ac:dyDescent="0.25">
      <c r="A631" s="117" t="s">
        <v>11</v>
      </c>
      <c r="B631" s="116"/>
      <c r="C631" s="116"/>
      <c r="D631" s="116"/>
      <c r="E631" s="10"/>
      <c r="F631" s="36" t="s">
        <v>12</v>
      </c>
      <c r="G631" s="36"/>
      <c r="H631" s="36"/>
      <c r="I631" s="114" t="s">
        <v>13</v>
      </c>
      <c r="J631" s="118"/>
      <c r="K631" s="6"/>
      <c r="L631" s="119" t="s">
        <v>10</v>
      </c>
      <c r="M631" s="119"/>
      <c r="N631" s="119"/>
      <c r="O631" s="119"/>
      <c r="S631" s="25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</row>
    <row r="632" spans="1:50" ht="15" x14ac:dyDescent="0.25">
      <c r="A632" s="110" t="s">
        <v>126</v>
      </c>
      <c r="B632" s="111"/>
      <c r="C632" s="111"/>
      <c r="D632" s="111"/>
      <c r="E632" s="10"/>
      <c r="F632" s="73" t="s">
        <v>49</v>
      </c>
      <c r="G632" s="36"/>
      <c r="H632" s="36"/>
      <c r="I632" s="112" t="s">
        <v>29</v>
      </c>
      <c r="J632" s="111"/>
      <c r="K632" s="25"/>
      <c r="L632" s="110" t="s">
        <v>34</v>
      </c>
      <c r="M632" s="111"/>
      <c r="N632" s="111"/>
      <c r="O632" s="111"/>
      <c r="S632" s="25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</row>
    <row r="633" spans="1:50" x14ac:dyDescent="0.2">
      <c r="S633" s="25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</row>
    <row r="634" spans="1:50" x14ac:dyDescent="0.2">
      <c r="A634" s="113"/>
      <c r="B634" s="113"/>
      <c r="D634" s="106" t="s">
        <v>21</v>
      </c>
      <c r="E634" s="107"/>
      <c r="F634" s="107"/>
      <c r="G634" s="107"/>
      <c r="H634" s="107"/>
      <c r="I634" s="107"/>
      <c r="J634" s="107"/>
      <c r="K634" s="107"/>
      <c r="L634" s="107"/>
      <c r="S634" s="25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</row>
    <row r="635" spans="1:50" x14ac:dyDescent="0.2">
      <c r="S635" s="25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</row>
    <row r="636" spans="1:50" x14ac:dyDescent="0.2">
      <c r="A636" s="28" t="s">
        <v>0</v>
      </c>
      <c r="B636" s="7" t="s">
        <v>1</v>
      </c>
      <c r="C636" s="28"/>
      <c r="D636" s="7" t="s">
        <v>2</v>
      </c>
      <c r="E636" s="28"/>
      <c r="F636" s="114" t="s">
        <v>3</v>
      </c>
      <c r="G636" s="114"/>
      <c r="H636" s="114"/>
      <c r="I636" s="114"/>
      <c r="J636" s="114"/>
      <c r="K636" s="28"/>
      <c r="L636" s="28" t="s">
        <v>0</v>
      </c>
      <c r="M636" s="7" t="s">
        <v>1</v>
      </c>
      <c r="N636" s="28"/>
      <c r="O636" s="7" t="s">
        <v>2</v>
      </c>
      <c r="S636" s="25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</row>
    <row r="637" spans="1:50" ht="18" customHeight="1" x14ac:dyDescent="0.2">
      <c r="A637" s="7">
        <v>1</v>
      </c>
      <c r="B637" s="11" t="s">
        <v>71</v>
      </c>
      <c r="D637" s="5">
        <v>12</v>
      </c>
      <c r="F637" s="37" t="s">
        <v>181</v>
      </c>
      <c r="G637" s="38"/>
      <c r="H637" s="37" t="s">
        <v>207</v>
      </c>
      <c r="I637" s="38"/>
      <c r="J637" s="37"/>
      <c r="L637" s="7"/>
      <c r="M637" s="11" t="s">
        <v>63</v>
      </c>
      <c r="O637" s="5">
        <v>4</v>
      </c>
      <c r="S637" s="25"/>
      <c r="T637" s="10"/>
      <c r="U637" s="25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</row>
    <row r="638" spans="1:50" x14ac:dyDescent="0.2">
      <c r="A638" s="80"/>
      <c r="B638" s="10"/>
      <c r="C638" s="51"/>
      <c r="D638" s="79"/>
      <c r="F638" s="82"/>
      <c r="G638" s="56"/>
      <c r="H638" s="82"/>
      <c r="I638" s="56"/>
      <c r="J638" s="82"/>
      <c r="L638" s="80"/>
      <c r="M638" s="10"/>
      <c r="O638" s="79"/>
      <c r="S638" s="25"/>
      <c r="T638" s="10"/>
      <c r="U638" s="10"/>
      <c r="V638" s="10"/>
      <c r="W638" s="10"/>
      <c r="X638" s="123"/>
      <c r="Y638" s="121"/>
      <c r="Z638" s="10"/>
      <c r="AA638" s="10"/>
      <c r="AB638" s="121"/>
      <c r="AC638" s="121"/>
      <c r="AD638" s="10"/>
      <c r="AE638" s="10"/>
      <c r="AF638" s="121"/>
      <c r="AG638" s="121"/>
      <c r="AH638" s="10"/>
      <c r="AI638" s="10"/>
      <c r="AJ638" s="121"/>
      <c r="AK638" s="121"/>
      <c r="AL638" s="10"/>
      <c r="AM638" s="10"/>
      <c r="AN638" s="121"/>
      <c r="AO638" s="121"/>
      <c r="AP638" s="10"/>
      <c r="AQ638" s="10"/>
      <c r="AR638" s="121"/>
      <c r="AS638" s="121"/>
      <c r="AT638" s="10"/>
      <c r="AU638" s="10"/>
      <c r="AV638" s="121"/>
      <c r="AW638" s="121"/>
      <c r="AX638" s="10"/>
    </row>
    <row r="639" spans="1:50" x14ac:dyDescent="0.2">
      <c r="A639" s="80"/>
      <c r="B639" s="10"/>
      <c r="C639" s="51"/>
      <c r="D639" s="4"/>
      <c r="F639" s="56"/>
      <c r="G639" s="56"/>
      <c r="H639" s="56"/>
      <c r="I639" s="56"/>
      <c r="J639" s="56"/>
      <c r="L639" s="80"/>
      <c r="M639" s="10"/>
      <c r="O639" s="4"/>
      <c r="S639" s="25"/>
      <c r="T639" s="10"/>
      <c r="U639" s="25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</row>
    <row r="640" spans="1:50" x14ac:dyDescent="0.2">
      <c r="B640" s="10"/>
      <c r="D640" s="4"/>
      <c r="F640" s="39"/>
      <c r="G640" s="39"/>
      <c r="H640" s="39"/>
      <c r="I640" s="39"/>
      <c r="J640" s="39"/>
      <c r="M640" s="10"/>
      <c r="O640" s="4"/>
      <c r="S640" s="25"/>
      <c r="T640" s="10"/>
      <c r="U640" s="10"/>
      <c r="V640" s="25"/>
      <c r="W640" s="10"/>
      <c r="X640" s="10"/>
      <c r="Y640" s="121"/>
      <c r="Z640" s="121"/>
      <c r="AA640" s="10"/>
      <c r="AB640" s="10"/>
      <c r="AC640" s="121"/>
      <c r="AD640" s="121"/>
      <c r="AE640" s="10"/>
      <c r="AF640" s="10"/>
      <c r="AG640" s="121"/>
      <c r="AH640" s="121"/>
      <c r="AI640" s="10"/>
      <c r="AJ640" s="10"/>
      <c r="AK640" s="121"/>
      <c r="AL640" s="121"/>
      <c r="AM640" s="10"/>
      <c r="AN640" s="10"/>
      <c r="AO640" s="121"/>
      <c r="AP640" s="121"/>
      <c r="AQ640" s="10"/>
      <c r="AR640" s="10"/>
      <c r="AS640" s="121"/>
      <c r="AT640" s="121"/>
      <c r="AU640" s="10"/>
      <c r="AV640" s="10"/>
      <c r="AW640" s="121"/>
      <c r="AX640" s="121"/>
    </row>
    <row r="641" spans="1:50" x14ac:dyDescent="0.2">
      <c r="A641" s="17"/>
      <c r="D641" s="106" t="s">
        <v>22</v>
      </c>
      <c r="E641" s="107"/>
      <c r="F641" s="107"/>
      <c r="G641" s="107"/>
      <c r="H641" s="107"/>
      <c r="I641" s="107"/>
      <c r="J641" s="107"/>
      <c r="K641" s="107"/>
      <c r="L641" s="107"/>
      <c r="S641" s="25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21"/>
      <c r="AL641" s="121"/>
      <c r="AM641" s="10"/>
      <c r="AN641" s="10"/>
      <c r="AO641" s="121"/>
      <c r="AP641" s="121"/>
      <c r="AQ641" s="10"/>
      <c r="AR641" s="10"/>
      <c r="AS641" s="121"/>
      <c r="AT641" s="121"/>
      <c r="AU641" s="10"/>
      <c r="AV641" s="10"/>
      <c r="AW641" s="121"/>
      <c r="AX641" s="121"/>
    </row>
    <row r="642" spans="1:50" x14ac:dyDescent="0.2">
      <c r="F642" s="40"/>
      <c r="G642" s="40"/>
      <c r="H642" s="40"/>
      <c r="I642" s="40"/>
      <c r="J642" s="40"/>
      <c r="S642" s="25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</row>
    <row r="643" spans="1:50" ht="18" customHeight="1" x14ac:dyDescent="0.2">
      <c r="A643" s="7">
        <v>1</v>
      </c>
      <c r="B643" s="11" t="s">
        <v>87</v>
      </c>
      <c r="D643" s="5">
        <v>12</v>
      </c>
      <c r="E643" s="41"/>
      <c r="F643" s="37" t="s">
        <v>173</v>
      </c>
      <c r="G643" s="38"/>
      <c r="H643" s="37" t="s">
        <v>178</v>
      </c>
      <c r="I643" s="38"/>
      <c r="J643" s="37"/>
      <c r="K643" s="41"/>
      <c r="L643" s="7"/>
      <c r="M643" s="11" t="s">
        <v>69</v>
      </c>
      <c r="O643" s="5">
        <v>4</v>
      </c>
      <c r="S643" s="25"/>
      <c r="T643" s="10"/>
      <c r="U643" s="25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</row>
    <row r="644" spans="1:50" x14ac:dyDescent="0.2">
      <c r="B644" s="10"/>
      <c r="D644" s="4"/>
      <c r="F644" s="39"/>
      <c r="G644" s="39"/>
      <c r="H644" s="39"/>
      <c r="I644" s="39"/>
      <c r="J644" s="39"/>
      <c r="M644" s="10"/>
      <c r="O644" s="4"/>
      <c r="S644" s="25"/>
      <c r="T644" s="10"/>
      <c r="U644" s="10"/>
      <c r="V644" s="25"/>
      <c r="W644" s="10"/>
      <c r="X644" s="10"/>
      <c r="Y644" s="121"/>
      <c r="Z644" s="121"/>
      <c r="AA644" s="10"/>
      <c r="AB644" s="10"/>
      <c r="AC644" s="121"/>
      <c r="AD644" s="121"/>
      <c r="AE644" s="10"/>
      <c r="AF644" s="10"/>
      <c r="AG644" s="121"/>
      <c r="AH644" s="121"/>
      <c r="AI644" s="10"/>
      <c r="AJ644" s="10"/>
      <c r="AK644" s="121"/>
      <c r="AL644" s="121"/>
      <c r="AM644" s="10"/>
      <c r="AN644" s="10"/>
      <c r="AO644" s="121"/>
      <c r="AP644" s="121"/>
      <c r="AQ644" s="10"/>
      <c r="AR644" s="10"/>
      <c r="AS644" s="121"/>
      <c r="AT644" s="121"/>
      <c r="AU644" s="10"/>
      <c r="AV644" s="10"/>
      <c r="AW644" s="121"/>
      <c r="AX644" s="121"/>
    </row>
    <row r="645" spans="1:50" x14ac:dyDescent="0.2">
      <c r="A645" s="17"/>
      <c r="D645" s="106" t="s">
        <v>23</v>
      </c>
      <c r="E645" s="107"/>
      <c r="F645" s="107"/>
      <c r="G645" s="107"/>
      <c r="H645" s="107"/>
      <c r="I645" s="107"/>
      <c r="J645" s="107"/>
      <c r="K645" s="107"/>
      <c r="L645" s="107"/>
      <c r="S645" s="24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21"/>
      <c r="AL645" s="121"/>
      <c r="AM645" s="10"/>
      <c r="AN645" s="10"/>
      <c r="AO645" s="121"/>
      <c r="AP645" s="121"/>
      <c r="AQ645" s="10"/>
      <c r="AR645" s="10"/>
      <c r="AS645" s="121"/>
      <c r="AT645" s="121"/>
      <c r="AU645" s="10"/>
      <c r="AV645" s="10"/>
      <c r="AW645" s="121"/>
      <c r="AX645" s="121"/>
    </row>
    <row r="646" spans="1:50" x14ac:dyDescent="0.2">
      <c r="F646" s="40"/>
      <c r="G646" s="40"/>
      <c r="H646" s="40"/>
      <c r="I646" s="40"/>
      <c r="J646" s="40"/>
      <c r="S646" s="25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</row>
    <row r="647" spans="1:50" ht="18" customHeight="1" x14ac:dyDescent="0.2">
      <c r="A647" s="7">
        <v>1</v>
      </c>
      <c r="B647" s="11" t="s">
        <v>82</v>
      </c>
      <c r="D647" s="5">
        <v>12</v>
      </c>
      <c r="F647" s="37" t="s">
        <v>197</v>
      </c>
      <c r="G647" s="38"/>
      <c r="H647" s="37" t="s">
        <v>185</v>
      </c>
      <c r="I647" s="38"/>
      <c r="J647" s="37" t="s">
        <v>209</v>
      </c>
      <c r="L647" s="7"/>
      <c r="M647" s="11" t="s">
        <v>67</v>
      </c>
      <c r="O647" s="5">
        <v>10</v>
      </c>
      <c r="S647" s="25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</row>
    <row r="648" spans="1:50" x14ac:dyDescent="0.2">
      <c r="B648" s="11" t="s">
        <v>86</v>
      </c>
      <c r="F648" s="40"/>
      <c r="G648" s="40"/>
      <c r="H648" s="40"/>
      <c r="I648" s="40"/>
      <c r="J648" s="40"/>
      <c r="M648" s="11" t="s">
        <v>70</v>
      </c>
      <c r="S648" s="25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</row>
    <row r="649" spans="1:50" x14ac:dyDescent="0.2">
      <c r="B649" s="10"/>
      <c r="F649" s="40"/>
      <c r="G649" s="40"/>
      <c r="H649" s="40"/>
      <c r="I649" s="40"/>
      <c r="J649" s="40"/>
      <c r="M649" s="10"/>
      <c r="S649" s="25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</row>
    <row r="650" spans="1:50" ht="18" customHeight="1" x14ac:dyDescent="0.2">
      <c r="A650" s="17"/>
      <c r="D650" s="106" t="s">
        <v>24</v>
      </c>
      <c r="E650" s="107"/>
      <c r="F650" s="107"/>
      <c r="G650" s="107"/>
      <c r="H650" s="107"/>
      <c r="I650" s="107"/>
      <c r="J650" s="107"/>
      <c r="K650" s="107"/>
      <c r="L650" s="107"/>
      <c r="S650" s="25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</row>
    <row r="651" spans="1:50" ht="18" customHeight="1" x14ac:dyDescent="0.2">
      <c r="F651" s="40"/>
      <c r="G651" s="40"/>
      <c r="H651" s="40"/>
      <c r="I651" s="40"/>
      <c r="J651" s="40"/>
      <c r="S651" s="25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</row>
    <row r="652" spans="1:50" ht="18" customHeight="1" x14ac:dyDescent="0.2">
      <c r="A652" s="7">
        <v>1</v>
      </c>
      <c r="B652" s="11" t="s">
        <v>75</v>
      </c>
      <c r="D652" s="5">
        <v>10</v>
      </c>
      <c r="F652" s="37" t="s">
        <v>188</v>
      </c>
      <c r="G652" s="38"/>
      <c r="H652" s="37" t="s">
        <v>170</v>
      </c>
      <c r="I652" s="38"/>
      <c r="J652" s="37" t="s">
        <v>168</v>
      </c>
      <c r="L652" s="7"/>
      <c r="M652" s="11" t="s">
        <v>64</v>
      </c>
      <c r="O652" s="5">
        <v>12</v>
      </c>
      <c r="S652" s="25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</row>
    <row r="653" spans="1:50" x14ac:dyDescent="0.2">
      <c r="A653" s="7"/>
      <c r="B653" s="11" t="s">
        <v>74</v>
      </c>
      <c r="F653" s="42"/>
      <c r="G653" s="42"/>
      <c r="H653" s="42"/>
      <c r="I653" s="42"/>
      <c r="J653" s="42"/>
      <c r="L653" s="7"/>
      <c r="M653" s="11" t="s">
        <v>134</v>
      </c>
      <c r="S653" s="25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</row>
    <row r="654" spans="1:50" x14ac:dyDescent="0.2">
      <c r="A654" s="17"/>
      <c r="B654" s="47"/>
      <c r="C654" s="10"/>
      <c r="D654" s="4"/>
      <c r="E654" s="10"/>
      <c r="F654" s="56"/>
      <c r="G654" s="56"/>
      <c r="H654" s="56"/>
      <c r="I654" s="56"/>
      <c r="J654" s="56"/>
      <c r="K654" s="10"/>
      <c r="L654" s="17"/>
      <c r="M654" s="47"/>
      <c r="N654" s="10"/>
      <c r="O654" s="4"/>
      <c r="S654" s="25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</row>
    <row r="655" spans="1:50" x14ac:dyDescent="0.2">
      <c r="A655" s="10"/>
      <c r="B655" s="47"/>
      <c r="C655" s="10"/>
      <c r="D655" s="4"/>
      <c r="E655" s="10"/>
      <c r="F655" s="57"/>
      <c r="G655" s="57"/>
      <c r="H655" s="57"/>
      <c r="I655" s="57"/>
      <c r="J655" s="57"/>
      <c r="K655" s="10"/>
      <c r="L655" s="10"/>
      <c r="M655" s="47"/>
      <c r="N655" s="10"/>
      <c r="O655" s="4"/>
      <c r="S655" s="25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</row>
    <row r="656" spans="1:50" ht="18" customHeight="1" x14ac:dyDescent="0.2">
      <c r="B656" s="10"/>
      <c r="F656" s="40"/>
      <c r="G656" s="40"/>
      <c r="H656" s="40"/>
      <c r="I656" s="40"/>
      <c r="J656" s="40"/>
      <c r="M656" s="10"/>
      <c r="S656" s="25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</row>
    <row r="657" spans="1:50" ht="18" customHeight="1" x14ac:dyDescent="0.2">
      <c r="A657" s="17"/>
      <c r="D657" s="106" t="s">
        <v>25</v>
      </c>
      <c r="E657" s="107"/>
      <c r="F657" s="107"/>
      <c r="G657" s="107"/>
      <c r="H657" s="107"/>
      <c r="I657" s="107"/>
      <c r="J657" s="107"/>
      <c r="K657" s="107"/>
      <c r="L657" s="107"/>
      <c r="S657" s="25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</row>
    <row r="658" spans="1:50" x14ac:dyDescent="0.2">
      <c r="F658" s="40"/>
      <c r="G658" s="40"/>
      <c r="H658" s="40"/>
      <c r="I658" s="40"/>
      <c r="J658" s="40"/>
      <c r="S658" s="25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</row>
    <row r="659" spans="1:50" ht="18" customHeight="1" x14ac:dyDescent="0.2">
      <c r="A659" s="7"/>
      <c r="B659" s="11" t="s">
        <v>141</v>
      </c>
      <c r="D659" s="5">
        <v>12</v>
      </c>
      <c r="F659" s="37" t="s">
        <v>203</v>
      </c>
      <c r="G659" s="38"/>
      <c r="H659" s="37" t="s">
        <v>193</v>
      </c>
      <c r="I659" s="38"/>
      <c r="J659" s="37"/>
      <c r="L659" s="7"/>
      <c r="M659" s="11" t="s">
        <v>139</v>
      </c>
      <c r="O659" s="5">
        <v>3</v>
      </c>
      <c r="S659" s="25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</row>
    <row r="660" spans="1:50" x14ac:dyDescent="0.2">
      <c r="B660" s="11" t="s">
        <v>72</v>
      </c>
      <c r="M660" s="11" t="s">
        <v>136</v>
      </c>
      <c r="S660" s="25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</row>
    <row r="661" spans="1:50" ht="18" customHeight="1" x14ac:dyDescent="0.2">
      <c r="S661" s="25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</row>
    <row r="662" spans="1:50" ht="18" customHeight="1" x14ac:dyDescent="0.2">
      <c r="B662" s="41" t="s">
        <v>4</v>
      </c>
      <c r="C662" s="9"/>
      <c r="D662" s="3">
        <f>SUM(D637:D659)</f>
        <v>58</v>
      </c>
      <c r="F662" s="108" t="s">
        <v>15</v>
      </c>
      <c r="G662" s="109"/>
      <c r="H662" s="109"/>
      <c r="I662" s="109"/>
      <c r="J662" s="43" t="s">
        <v>16</v>
      </c>
      <c r="M662" s="41" t="s">
        <v>4</v>
      </c>
      <c r="N662" s="9"/>
      <c r="O662" s="3">
        <f>SUM(O637:O659)</f>
        <v>33</v>
      </c>
      <c r="S662" s="25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</row>
    <row r="663" spans="1:50" x14ac:dyDescent="0.2">
      <c r="C663" s="10"/>
      <c r="D663" s="4"/>
      <c r="F663" s="101"/>
      <c r="G663" s="102"/>
      <c r="H663" s="102"/>
      <c r="I663" s="103"/>
      <c r="J663" s="44"/>
      <c r="N663" s="10"/>
      <c r="O663" s="4"/>
      <c r="S663" s="25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</row>
    <row r="664" spans="1:50" x14ac:dyDescent="0.2">
      <c r="B664" s="11"/>
      <c r="C664" s="11"/>
      <c r="D664" s="5"/>
      <c r="F664" s="101"/>
      <c r="G664" s="102"/>
      <c r="H664" s="102"/>
      <c r="I664" s="103"/>
      <c r="J664" s="44"/>
      <c r="M664" s="11"/>
      <c r="N664" s="11"/>
      <c r="O664" s="5"/>
      <c r="S664" s="25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</row>
    <row r="665" spans="1:50" x14ac:dyDescent="0.2">
      <c r="B665" s="104" t="s">
        <v>5</v>
      </c>
      <c r="C665" s="105"/>
      <c r="D665" s="105"/>
      <c r="F665" s="101"/>
      <c r="G665" s="102"/>
      <c r="H665" s="102"/>
      <c r="I665" s="103"/>
      <c r="J665" s="44"/>
      <c r="M665" s="104" t="s">
        <v>5</v>
      </c>
      <c r="N665" s="105"/>
      <c r="O665" s="105"/>
      <c r="S665" s="25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</row>
    <row r="666" spans="1:50" ht="18" customHeight="1" x14ac:dyDescent="0.2">
      <c r="D666" s="4"/>
      <c r="E666" s="10"/>
      <c r="F666" s="101"/>
      <c r="G666" s="102"/>
      <c r="H666" s="102"/>
      <c r="I666" s="103"/>
      <c r="J666" s="44"/>
      <c r="K666" s="10"/>
      <c r="S666" s="25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</row>
    <row r="667" spans="1:50" ht="18" customHeight="1" x14ac:dyDescent="0.2">
      <c r="B667" s="45" t="s">
        <v>35</v>
      </c>
      <c r="C667" s="46">
        <v>1</v>
      </c>
      <c r="D667" s="8" t="s">
        <v>8</v>
      </c>
      <c r="E667" s="47"/>
      <c r="F667" s="101"/>
      <c r="G667" s="102"/>
      <c r="H667" s="102"/>
      <c r="I667" s="103"/>
      <c r="J667" s="44"/>
      <c r="K667" s="47"/>
      <c r="L667" s="48"/>
      <c r="M667" s="45" t="s">
        <v>35</v>
      </c>
      <c r="N667" s="46">
        <v>1</v>
      </c>
      <c r="O667" s="8" t="s">
        <v>8</v>
      </c>
      <c r="S667" s="25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</row>
    <row r="668" spans="1:50" ht="18" customHeight="1" x14ac:dyDescent="0.2">
      <c r="B668" s="49" t="s">
        <v>19</v>
      </c>
      <c r="C668" s="50">
        <v>2</v>
      </c>
      <c r="D668" s="1" t="s">
        <v>8</v>
      </c>
      <c r="E668" s="47"/>
      <c r="F668" s="101"/>
      <c r="G668" s="102"/>
      <c r="H668" s="102"/>
      <c r="I668" s="103"/>
      <c r="J668" s="44"/>
      <c r="K668" s="47"/>
      <c r="L668" s="51"/>
      <c r="M668" s="49" t="s">
        <v>19</v>
      </c>
      <c r="N668" s="50">
        <v>2</v>
      </c>
      <c r="O668" s="1" t="s">
        <v>8</v>
      </c>
      <c r="S668" s="25"/>
      <c r="T668" s="24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</row>
    <row r="669" spans="1:50" ht="18" customHeight="1" x14ac:dyDescent="0.2">
      <c r="B669" s="49" t="s">
        <v>20</v>
      </c>
      <c r="C669" s="50">
        <v>3</v>
      </c>
      <c r="D669" s="1" t="s">
        <v>9</v>
      </c>
      <c r="E669" s="47"/>
      <c r="F669" s="101"/>
      <c r="G669" s="102"/>
      <c r="H669" s="102"/>
      <c r="I669" s="103"/>
      <c r="J669" s="44"/>
      <c r="K669" s="47"/>
      <c r="L669" s="51"/>
      <c r="M669" s="49" t="s">
        <v>20</v>
      </c>
      <c r="N669" s="50">
        <v>3</v>
      </c>
      <c r="O669" s="1" t="s">
        <v>9</v>
      </c>
      <c r="S669" s="25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</row>
    <row r="670" spans="1:50" x14ac:dyDescent="0.2">
      <c r="B670" s="49" t="s">
        <v>14</v>
      </c>
      <c r="C670" s="50">
        <v>6</v>
      </c>
      <c r="D670" s="1" t="s">
        <v>9</v>
      </c>
      <c r="E670" s="47"/>
      <c r="F670" s="101"/>
      <c r="G670" s="102"/>
      <c r="H670" s="102"/>
      <c r="I670" s="103"/>
      <c r="J670" s="44"/>
      <c r="K670" s="47"/>
      <c r="L670" s="51"/>
      <c r="M670" s="49" t="s">
        <v>14</v>
      </c>
      <c r="N670" s="50">
        <v>6</v>
      </c>
      <c r="O670" s="1" t="s">
        <v>9</v>
      </c>
      <c r="S670" s="25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</row>
    <row r="671" spans="1:50" x14ac:dyDescent="0.2">
      <c r="B671" s="49" t="s">
        <v>17</v>
      </c>
      <c r="C671" s="50">
        <v>12</v>
      </c>
      <c r="D671" s="1" t="s">
        <v>9</v>
      </c>
      <c r="E671" s="47"/>
      <c r="F671" s="101"/>
      <c r="G671" s="102"/>
      <c r="H671" s="102"/>
      <c r="I671" s="103"/>
      <c r="J671" s="44"/>
      <c r="K671" s="47"/>
      <c r="L671" s="51"/>
      <c r="M671" s="49" t="s">
        <v>17</v>
      </c>
      <c r="N671" s="50">
        <v>12</v>
      </c>
      <c r="O671" s="1" t="s">
        <v>9</v>
      </c>
      <c r="S671" s="25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</row>
    <row r="672" spans="1:50" x14ac:dyDescent="0.2">
      <c r="B672" s="52" t="s">
        <v>18</v>
      </c>
      <c r="C672" s="53">
        <v>10</v>
      </c>
      <c r="D672" s="2" t="s">
        <v>9</v>
      </c>
      <c r="E672" s="47"/>
      <c r="F672" s="101"/>
      <c r="G672" s="102"/>
      <c r="H672" s="102"/>
      <c r="I672" s="103"/>
      <c r="J672" s="44"/>
      <c r="K672" s="47"/>
      <c r="L672" s="51"/>
      <c r="M672" s="52" t="s">
        <v>18</v>
      </c>
      <c r="N672" s="53">
        <v>10</v>
      </c>
      <c r="O672" s="2" t="s">
        <v>9</v>
      </c>
      <c r="S672" s="25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</row>
    <row r="673" spans="1:50" ht="18" customHeight="1" x14ac:dyDescent="0.2">
      <c r="S673" s="25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</row>
    <row r="674" spans="1:50" ht="18" customHeight="1" x14ac:dyDescent="0.25">
      <c r="I674" s="26"/>
      <c r="J674" s="26"/>
      <c r="K674" s="120" t="s">
        <v>7</v>
      </c>
      <c r="L674" s="120"/>
      <c r="M674" s="120"/>
      <c r="N674" s="120"/>
      <c r="O674" s="120"/>
      <c r="S674" s="25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</row>
    <row r="675" spans="1:50" ht="18" x14ac:dyDescent="0.25">
      <c r="I675" s="26"/>
      <c r="J675" s="26"/>
      <c r="K675" s="115" t="s">
        <v>6</v>
      </c>
      <c r="L675" s="115"/>
      <c r="M675" s="115"/>
      <c r="N675" s="115"/>
      <c r="O675" s="115"/>
      <c r="S675" s="25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</row>
    <row r="676" spans="1:50" ht="18" customHeight="1" x14ac:dyDescent="0.25">
      <c r="K676" s="115"/>
      <c r="L676" s="115"/>
      <c r="M676" s="115"/>
      <c r="N676" s="115"/>
      <c r="O676" s="115"/>
      <c r="S676" s="25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</row>
    <row r="677" spans="1:50" x14ac:dyDescent="0.2">
      <c r="A677" s="28" t="s">
        <v>160</v>
      </c>
      <c r="B677" s="29"/>
      <c r="C677" s="113" t="s">
        <v>161</v>
      </c>
      <c r="D677" s="116"/>
      <c r="E677" s="116"/>
      <c r="F677" s="116"/>
      <c r="G677" s="116"/>
      <c r="H677" s="116"/>
      <c r="I677" s="116"/>
      <c r="J677" s="116"/>
      <c r="K677" s="116"/>
      <c r="L677" s="11"/>
      <c r="M677" s="31" t="s">
        <v>162</v>
      </c>
      <c r="N677" s="11"/>
      <c r="O677" s="5"/>
      <c r="S677" s="25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</row>
    <row r="678" spans="1:50" ht="12.75" customHeight="1" x14ac:dyDescent="0.2">
      <c r="B678" s="32"/>
      <c r="C678" s="10"/>
      <c r="E678" s="10"/>
      <c r="F678" s="33"/>
      <c r="G678" s="33"/>
      <c r="H678" s="33"/>
      <c r="I678" s="33"/>
      <c r="J678" s="34"/>
      <c r="K678" s="35"/>
      <c r="L678" s="10"/>
      <c r="M678" s="10"/>
      <c r="S678" s="25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</row>
    <row r="679" spans="1:50" ht="15" x14ac:dyDescent="0.25">
      <c r="A679" s="117" t="s">
        <v>10</v>
      </c>
      <c r="B679" s="116"/>
      <c r="C679" s="116"/>
      <c r="D679" s="116"/>
      <c r="E679" s="10"/>
      <c r="F679" s="36" t="s">
        <v>12</v>
      </c>
      <c r="G679" s="36"/>
      <c r="H679" s="36"/>
      <c r="I679" s="114" t="s">
        <v>13</v>
      </c>
      <c r="J679" s="118"/>
      <c r="K679" s="6"/>
      <c r="L679" s="119" t="s">
        <v>11</v>
      </c>
      <c r="M679" s="119"/>
      <c r="N679" s="119"/>
      <c r="O679" s="119"/>
      <c r="S679" s="25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</row>
    <row r="680" spans="1:50" ht="15" x14ac:dyDescent="0.25">
      <c r="A680" s="110" t="s">
        <v>44</v>
      </c>
      <c r="B680" s="111"/>
      <c r="C680" s="111"/>
      <c r="D680" s="111"/>
      <c r="E680" s="10"/>
      <c r="F680" s="73" t="s">
        <v>49</v>
      </c>
      <c r="G680" s="36"/>
      <c r="H680" s="36"/>
      <c r="I680" s="112" t="s">
        <v>30</v>
      </c>
      <c r="J680" s="111"/>
      <c r="K680" s="25"/>
      <c r="L680" s="110" t="s">
        <v>33</v>
      </c>
      <c r="M680" s="111"/>
      <c r="N680" s="111"/>
      <c r="O680" s="111"/>
      <c r="S680" s="25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</row>
    <row r="681" spans="1:50" x14ac:dyDescent="0.2">
      <c r="S681" s="25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</row>
    <row r="682" spans="1:50" x14ac:dyDescent="0.2">
      <c r="A682" s="113"/>
      <c r="B682" s="113"/>
      <c r="D682" s="106" t="s">
        <v>21</v>
      </c>
      <c r="E682" s="107"/>
      <c r="F682" s="107"/>
      <c r="G682" s="107"/>
      <c r="H682" s="107"/>
      <c r="I682" s="107"/>
      <c r="J682" s="107"/>
      <c r="K682" s="107"/>
      <c r="L682" s="107"/>
      <c r="S682" s="25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</row>
    <row r="683" spans="1:50" x14ac:dyDescent="0.2">
      <c r="S683" s="25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</row>
    <row r="684" spans="1:50" x14ac:dyDescent="0.2">
      <c r="A684" s="28" t="s">
        <v>0</v>
      </c>
      <c r="B684" s="7" t="s">
        <v>1</v>
      </c>
      <c r="C684" s="28"/>
      <c r="D684" s="7" t="s">
        <v>2</v>
      </c>
      <c r="E684" s="28"/>
      <c r="F684" s="114" t="s">
        <v>3</v>
      </c>
      <c r="G684" s="114"/>
      <c r="H684" s="114"/>
      <c r="I684" s="114"/>
      <c r="J684" s="114"/>
      <c r="K684" s="28"/>
      <c r="L684" s="28" t="s">
        <v>0</v>
      </c>
      <c r="M684" s="7" t="s">
        <v>1</v>
      </c>
      <c r="N684" s="28"/>
      <c r="O684" s="7" t="s">
        <v>2</v>
      </c>
      <c r="S684" s="25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</row>
    <row r="685" spans="1:50" ht="18" customHeight="1" x14ac:dyDescent="0.2">
      <c r="A685" s="7">
        <v>1</v>
      </c>
      <c r="B685" s="11" t="s">
        <v>57</v>
      </c>
      <c r="D685" s="5">
        <v>12</v>
      </c>
      <c r="F685" s="37" t="s">
        <v>210</v>
      </c>
      <c r="G685" s="38"/>
      <c r="H685" s="37" t="s">
        <v>203</v>
      </c>
      <c r="I685" s="38"/>
      <c r="J685" s="37"/>
      <c r="L685" s="7"/>
      <c r="M685" s="11" t="s">
        <v>154</v>
      </c>
      <c r="O685" s="5">
        <v>2</v>
      </c>
      <c r="S685" s="25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</row>
    <row r="686" spans="1:50" x14ac:dyDescent="0.2">
      <c r="A686" s="80"/>
      <c r="B686" s="10"/>
      <c r="C686" s="51"/>
      <c r="D686" s="79"/>
      <c r="F686" s="82"/>
      <c r="G686" s="56"/>
      <c r="H686" s="82"/>
      <c r="I686" s="56"/>
      <c r="J686" s="82"/>
      <c r="L686" s="80"/>
      <c r="O686" s="79"/>
      <c r="S686" s="25"/>
      <c r="U686" s="25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</row>
    <row r="687" spans="1:50" x14ac:dyDescent="0.2">
      <c r="A687" s="80"/>
      <c r="B687" s="10"/>
      <c r="C687" s="51"/>
      <c r="D687" s="4"/>
      <c r="F687" s="56"/>
      <c r="G687" s="56"/>
      <c r="H687" s="56"/>
      <c r="I687" s="56"/>
      <c r="J687" s="56"/>
      <c r="L687" s="80"/>
      <c r="O687" s="4"/>
      <c r="S687" s="25"/>
      <c r="U687" s="10"/>
      <c r="V687" s="10"/>
      <c r="W687" s="10"/>
      <c r="X687" s="123"/>
      <c r="Y687" s="121"/>
      <c r="Z687" s="10"/>
      <c r="AA687" s="10"/>
      <c r="AB687" s="121"/>
      <c r="AC687" s="121"/>
      <c r="AD687" s="10"/>
      <c r="AE687" s="10"/>
      <c r="AF687" s="121"/>
      <c r="AG687" s="121"/>
      <c r="AH687" s="10"/>
      <c r="AI687" s="10"/>
      <c r="AJ687" s="121"/>
      <c r="AK687" s="121"/>
      <c r="AL687" s="10"/>
      <c r="AM687" s="10"/>
      <c r="AN687" s="121"/>
      <c r="AO687" s="121"/>
      <c r="AP687" s="10"/>
      <c r="AQ687" s="10"/>
      <c r="AR687" s="121"/>
      <c r="AS687" s="121"/>
      <c r="AT687" s="10"/>
      <c r="AU687" s="10"/>
      <c r="AV687" s="121"/>
      <c r="AW687" s="121"/>
      <c r="AX687" s="10"/>
    </row>
    <row r="688" spans="1:50" x14ac:dyDescent="0.2">
      <c r="B688" s="10"/>
      <c r="D688" s="4"/>
      <c r="F688" s="39"/>
      <c r="G688" s="39"/>
      <c r="H688" s="39"/>
      <c r="I688" s="39"/>
      <c r="J688" s="39"/>
      <c r="M688" s="10"/>
      <c r="O688" s="4"/>
      <c r="S688" s="25"/>
      <c r="U688" s="25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</row>
    <row r="689" spans="1:50" x14ac:dyDescent="0.2">
      <c r="D689" s="106" t="s">
        <v>22</v>
      </c>
      <c r="E689" s="107"/>
      <c r="F689" s="107"/>
      <c r="G689" s="107"/>
      <c r="H689" s="107"/>
      <c r="I689" s="107"/>
      <c r="J689" s="107"/>
      <c r="K689" s="107"/>
      <c r="L689" s="107"/>
      <c r="M689" s="83"/>
      <c r="S689" s="25"/>
      <c r="U689" s="10"/>
      <c r="V689" s="25"/>
      <c r="W689" s="10"/>
      <c r="X689" s="10"/>
      <c r="Y689" s="121"/>
      <c r="Z689" s="121"/>
      <c r="AA689" s="10"/>
      <c r="AB689" s="10"/>
      <c r="AC689" s="121"/>
      <c r="AD689" s="121"/>
      <c r="AE689" s="10"/>
      <c r="AF689" s="10"/>
      <c r="AG689" s="121"/>
      <c r="AH689" s="121"/>
      <c r="AI689" s="10"/>
      <c r="AJ689" s="10"/>
      <c r="AK689" s="121"/>
      <c r="AL689" s="121"/>
      <c r="AM689" s="10"/>
      <c r="AN689" s="10"/>
      <c r="AO689" s="121"/>
      <c r="AP689" s="121"/>
      <c r="AQ689" s="10"/>
      <c r="AR689" s="10"/>
      <c r="AS689" s="121"/>
      <c r="AT689" s="121"/>
      <c r="AU689" s="10"/>
      <c r="AV689" s="10"/>
      <c r="AW689" s="121"/>
      <c r="AX689" s="121"/>
    </row>
    <row r="690" spans="1:50" x14ac:dyDescent="0.2">
      <c r="F690" s="40"/>
      <c r="G690" s="40"/>
      <c r="H690" s="40"/>
      <c r="I690" s="40"/>
      <c r="J690" s="40"/>
      <c r="S690" s="25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21"/>
      <c r="AL690" s="121"/>
      <c r="AM690" s="10"/>
      <c r="AN690" s="10"/>
      <c r="AO690" s="121"/>
      <c r="AP690" s="121"/>
      <c r="AQ690" s="10"/>
      <c r="AR690" s="10"/>
      <c r="AS690" s="121"/>
      <c r="AT690" s="121"/>
      <c r="AU690" s="10"/>
      <c r="AV690" s="10"/>
      <c r="AW690" s="121"/>
      <c r="AX690" s="121"/>
    </row>
    <row r="691" spans="1:50" ht="18" customHeight="1" x14ac:dyDescent="0.2">
      <c r="A691" s="7">
        <v>1</v>
      </c>
      <c r="B691" s="11" t="s">
        <v>60</v>
      </c>
      <c r="D691" s="5">
        <v>12</v>
      </c>
      <c r="E691" s="41"/>
      <c r="F691" s="37" t="s">
        <v>193</v>
      </c>
      <c r="G691" s="38"/>
      <c r="H691" s="37" t="s">
        <v>187</v>
      </c>
      <c r="I691" s="38"/>
      <c r="J691" s="37"/>
      <c r="K691" s="41"/>
      <c r="L691" s="7"/>
      <c r="M691" s="11" t="s">
        <v>104</v>
      </c>
      <c r="O691" s="5">
        <v>4</v>
      </c>
      <c r="S691" s="25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</row>
    <row r="692" spans="1:50" x14ac:dyDescent="0.2">
      <c r="B692" s="10"/>
      <c r="D692" s="4"/>
      <c r="F692" s="39"/>
      <c r="G692" s="39"/>
      <c r="H692" s="39"/>
      <c r="I692" s="39"/>
      <c r="J692" s="39"/>
      <c r="M692" s="10"/>
      <c r="O692" s="4"/>
      <c r="S692" s="25"/>
      <c r="U692" s="25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</row>
    <row r="693" spans="1:50" x14ac:dyDescent="0.2">
      <c r="D693" s="106" t="s">
        <v>23</v>
      </c>
      <c r="E693" s="107"/>
      <c r="F693" s="107"/>
      <c r="G693" s="107"/>
      <c r="H693" s="107"/>
      <c r="I693" s="107"/>
      <c r="J693" s="107"/>
      <c r="K693" s="107"/>
      <c r="L693" s="107"/>
      <c r="M693" s="83"/>
      <c r="S693" s="25"/>
      <c r="U693" s="10"/>
      <c r="V693" s="25"/>
      <c r="W693" s="10"/>
      <c r="X693" s="10"/>
      <c r="Y693" s="121"/>
      <c r="Z693" s="121"/>
      <c r="AA693" s="10"/>
      <c r="AB693" s="10"/>
      <c r="AC693" s="121"/>
      <c r="AD693" s="121"/>
      <c r="AE693" s="10"/>
      <c r="AF693" s="10"/>
      <c r="AG693" s="121"/>
      <c r="AH693" s="121"/>
      <c r="AI693" s="10"/>
      <c r="AJ693" s="10"/>
      <c r="AK693" s="121"/>
      <c r="AL693" s="121"/>
      <c r="AM693" s="10"/>
      <c r="AN693" s="10"/>
      <c r="AO693" s="121"/>
      <c r="AP693" s="121"/>
      <c r="AQ693" s="10"/>
      <c r="AR693" s="10"/>
      <c r="AS693" s="121"/>
      <c r="AT693" s="121"/>
      <c r="AU693" s="10"/>
      <c r="AV693" s="10"/>
      <c r="AW693" s="121"/>
      <c r="AX693" s="121"/>
    </row>
    <row r="694" spans="1:50" x14ac:dyDescent="0.2">
      <c r="F694" s="40"/>
      <c r="G694" s="40"/>
      <c r="H694" s="40"/>
      <c r="I694" s="40"/>
      <c r="J694" s="40"/>
      <c r="S694" s="24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21"/>
      <c r="AL694" s="121"/>
      <c r="AM694" s="10"/>
      <c r="AN694" s="10"/>
      <c r="AO694" s="121"/>
      <c r="AP694" s="121"/>
      <c r="AQ694" s="10"/>
      <c r="AR694" s="10"/>
      <c r="AS694" s="121"/>
      <c r="AT694" s="121"/>
      <c r="AU694" s="10"/>
      <c r="AV694" s="10"/>
      <c r="AW694" s="121"/>
      <c r="AX694" s="121"/>
    </row>
    <row r="695" spans="1:50" ht="18" customHeight="1" x14ac:dyDescent="0.2">
      <c r="A695" s="7">
        <v>1</v>
      </c>
      <c r="B695" s="11" t="s">
        <v>132</v>
      </c>
      <c r="D695" s="5">
        <v>10</v>
      </c>
      <c r="F695" s="37" t="s">
        <v>185</v>
      </c>
      <c r="G695" s="38"/>
      <c r="H695" s="37" t="s">
        <v>196</v>
      </c>
      <c r="I695" s="38"/>
      <c r="J695" s="37" t="s">
        <v>174</v>
      </c>
      <c r="L695" s="7"/>
      <c r="M695" s="11" t="s">
        <v>157</v>
      </c>
      <c r="O695" s="5">
        <v>12</v>
      </c>
      <c r="S695" s="25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</row>
    <row r="696" spans="1:50" x14ac:dyDescent="0.2">
      <c r="B696" s="11" t="s">
        <v>62</v>
      </c>
      <c r="F696" s="40"/>
      <c r="G696" s="40"/>
      <c r="H696" s="40"/>
      <c r="I696" s="40"/>
      <c r="J696" s="40"/>
      <c r="M696" s="11" t="s">
        <v>105</v>
      </c>
      <c r="S696" s="25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</row>
    <row r="697" spans="1:50" x14ac:dyDescent="0.2">
      <c r="B697" s="10"/>
      <c r="F697" s="40"/>
      <c r="G697" s="40"/>
      <c r="H697" s="40"/>
      <c r="I697" s="40"/>
      <c r="J697" s="40"/>
      <c r="M697" s="10"/>
      <c r="S697" s="25"/>
    </row>
    <row r="698" spans="1:50" x14ac:dyDescent="0.2">
      <c r="D698" s="106" t="s">
        <v>24</v>
      </c>
      <c r="E698" s="107"/>
      <c r="F698" s="107"/>
      <c r="G698" s="107"/>
      <c r="H698" s="107"/>
      <c r="I698" s="107"/>
      <c r="J698" s="107"/>
      <c r="K698" s="107"/>
      <c r="L698" s="107"/>
      <c r="M698" s="83"/>
      <c r="S698" s="25"/>
    </row>
    <row r="699" spans="1:50" ht="18" customHeight="1" x14ac:dyDescent="0.2">
      <c r="F699" s="40"/>
      <c r="G699" s="40"/>
      <c r="H699" s="40"/>
      <c r="I699" s="40"/>
      <c r="J699" s="40"/>
      <c r="S699" s="25"/>
    </row>
    <row r="700" spans="1:50" ht="18" customHeight="1" x14ac:dyDescent="0.2">
      <c r="A700" s="7">
        <v>1</v>
      </c>
      <c r="B700" s="11" t="s">
        <v>130</v>
      </c>
      <c r="D700" s="5">
        <v>12</v>
      </c>
      <c r="F700" s="37" t="s">
        <v>188</v>
      </c>
      <c r="G700" s="38"/>
      <c r="H700" s="37" t="s">
        <v>174</v>
      </c>
      <c r="I700" s="38"/>
      <c r="J700" s="37" t="s">
        <v>187</v>
      </c>
      <c r="L700" s="7"/>
      <c r="M700" s="11" t="s">
        <v>165</v>
      </c>
      <c r="O700" s="5">
        <v>10</v>
      </c>
      <c r="S700" s="25"/>
    </row>
    <row r="701" spans="1:50" ht="18" customHeight="1" x14ac:dyDescent="0.2">
      <c r="A701" s="7"/>
      <c r="B701" s="11" t="s">
        <v>58</v>
      </c>
      <c r="F701" s="42"/>
      <c r="G701" s="42"/>
      <c r="H701" s="42"/>
      <c r="I701" s="42"/>
      <c r="J701" s="42"/>
      <c r="L701" s="7"/>
      <c r="M701" s="11" t="s">
        <v>155</v>
      </c>
      <c r="S701" s="25"/>
    </row>
    <row r="702" spans="1:50" x14ac:dyDescent="0.2">
      <c r="A702" s="17"/>
      <c r="B702" s="47"/>
      <c r="C702" s="10"/>
      <c r="D702" s="4"/>
      <c r="E702" s="10"/>
      <c r="F702" s="56"/>
      <c r="G702" s="56"/>
      <c r="H702" s="56"/>
      <c r="I702" s="56"/>
      <c r="J702" s="56"/>
      <c r="K702" s="10"/>
      <c r="L702" s="17"/>
      <c r="M702" s="47"/>
      <c r="N702" s="10"/>
      <c r="O702" s="4"/>
      <c r="S702" s="25"/>
    </row>
    <row r="703" spans="1:50" x14ac:dyDescent="0.2">
      <c r="A703" s="10"/>
      <c r="B703" s="47"/>
      <c r="C703" s="10"/>
      <c r="D703" s="4"/>
      <c r="E703" s="10"/>
      <c r="F703" s="57"/>
      <c r="G703" s="57"/>
      <c r="H703" s="57"/>
      <c r="I703" s="57"/>
      <c r="J703" s="57"/>
      <c r="K703" s="10"/>
      <c r="L703" s="10"/>
      <c r="M703" s="47"/>
      <c r="N703" s="10"/>
      <c r="O703" s="4"/>
      <c r="S703" s="25"/>
    </row>
    <row r="704" spans="1:50" x14ac:dyDescent="0.2">
      <c r="B704" s="10"/>
      <c r="F704" s="40"/>
      <c r="G704" s="40"/>
      <c r="H704" s="40"/>
      <c r="I704" s="40"/>
      <c r="J704" s="40"/>
      <c r="M704" s="10"/>
      <c r="S704" s="30"/>
    </row>
    <row r="705" spans="1:19" ht="18" customHeight="1" x14ac:dyDescent="0.2">
      <c r="D705" s="106" t="s">
        <v>25</v>
      </c>
      <c r="E705" s="107"/>
      <c r="F705" s="107"/>
      <c r="G705" s="107"/>
      <c r="H705" s="107"/>
      <c r="I705" s="107"/>
      <c r="J705" s="107"/>
      <c r="K705" s="107"/>
      <c r="L705" s="107"/>
      <c r="M705" s="83"/>
      <c r="S705" s="30"/>
    </row>
    <row r="706" spans="1:19" ht="18" customHeight="1" x14ac:dyDescent="0.2">
      <c r="F706" s="40"/>
      <c r="G706" s="40"/>
      <c r="H706" s="40"/>
      <c r="I706" s="40"/>
      <c r="J706" s="40"/>
      <c r="S706" s="30"/>
    </row>
    <row r="707" spans="1:19" ht="18" customHeight="1" x14ac:dyDescent="0.2">
      <c r="A707" s="7">
        <v>1</v>
      </c>
      <c r="B707" s="11" t="s">
        <v>61</v>
      </c>
      <c r="D707" s="5">
        <v>12</v>
      </c>
      <c r="F707" s="37" t="s">
        <v>195</v>
      </c>
      <c r="G707" s="38"/>
      <c r="H707" s="37" t="s">
        <v>178</v>
      </c>
      <c r="I707" s="38"/>
      <c r="J707" s="37"/>
      <c r="L707" s="7"/>
      <c r="M707" s="11" t="s">
        <v>156</v>
      </c>
      <c r="O707" s="5">
        <v>4</v>
      </c>
      <c r="S707" s="30"/>
    </row>
    <row r="708" spans="1:19" x14ac:dyDescent="0.2">
      <c r="B708" s="11" t="s">
        <v>59</v>
      </c>
      <c r="M708" s="11" t="s">
        <v>103</v>
      </c>
      <c r="S708" s="30"/>
    </row>
    <row r="709" spans="1:19" x14ac:dyDescent="0.2">
      <c r="S709" s="30"/>
    </row>
    <row r="710" spans="1:19" ht="18" customHeight="1" x14ac:dyDescent="0.2">
      <c r="B710" s="41" t="s">
        <v>4</v>
      </c>
      <c r="C710" s="9"/>
      <c r="D710" s="3">
        <f>SUM(D685:D707)</f>
        <v>58</v>
      </c>
      <c r="F710" s="108" t="s">
        <v>15</v>
      </c>
      <c r="G710" s="109"/>
      <c r="H710" s="109"/>
      <c r="I710" s="109"/>
      <c r="J710" s="43" t="s">
        <v>16</v>
      </c>
      <c r="M710" s="41" t="s">
        <v>4</v>
      </c>
      <c r="N710" s="9"/>
      <c r="O710" s="3">
        <f>SUM(O685:O707)</f>
        <v>32</v>
      </c>
      <c r="S710" s="30"/>
    </row>
    <row r="711" spans="1:19" ht="18" customHeight="1" x14ac:dyDescent="0.2">
      <c r="C711" s="10"/>
      <c r="D711" s="4"/>
      <c r="F711" s="101"/>
      <c r="G711" s="102"/>
      <c r="H711" s="102"/>
      <c r="I711" s="103"/>
      <c r="J711" s="44"/>
      <c r="N711" s="10"/>
      <c r="O711" s="4"/>
      <c r="S711" s="30"/>
    </row>
    <row r="712" spans="1:19" x14ac:dyDescent="0.2">
      <c r="B712" s="11"/>
      <c r="C712" s="11"/>
      <c r="D712" s="5"/>
      <c r="F712" s="101"/>
      <c r="G712" s="102"/>
      <c r="H712" s="102"/>
      <c r="I712" s="103"/>
      <c r="J712" s="44"/>
      <c r="M712" s="11"/>
      <c r="N712" s="11"/>
      <c r="O712" s="5"/>
      <c r="S712" s="30"/>
    </row>
    <row r="713" spans="1:19" x14ac:dyDescent="0.2">
      <c r="B713" s="104" t="s">
        <v>5</v>
      </c>
      <c r="C713" s="105"/>
      <c r="D713" s="105"/>
      <c r="F713" s="101"/>
      <c r="G713" s="102"/>
      <c r="H713" s="102"/>
      <c r="I713" s="103"/>
      <c r="J713" s="44"/>
      <c r="M713" s="104" t="s">
        <v>5</v>
      </c>
      <c r="N713" s="105"/>
      <c r="O713" s="105"/>
      <c r="S713" s="30"/>
    </row>
    <row r="714" spans="1:19" x14ac:dyDescent="0.2">
      <c r="D714" s="4"/>
      <c r="E714" s="10"/>
      <c r="F714" s="101"/>
      <c r="G714" s="102"/>
      <c r="H714" s="102"/>
      <c r="I714" s="103"/>
      <c r="J714" s="44"/>
      <c r="K714" s="10"/>
      <c r="S714" s="30"/>
    </row>
    <row r="715" spans="1:19" ht="18" customHeight="1" x14ac:dyDescent="0.2">
      <c r="B715" s="45" t="s">
        <v>35</v>
      </c>
      <c r="C715" s="46">
        <v>1</v>
      </c>
      <c r="D715" s="8" t="s">
        <v>8</v>
      </c>
      <c r="E715" s="47"/>
      <c r="F715" s="101"/>
      <c r="G715" s="102"/>
      <c r="H715" s="102"/>
      <c r="I715" s="103"/>
      <c r="J715" s="44"/>
      <c r="K715" s="47"/>
      <c r="L715" s="48"/>
      <c r="M715" s="45" t="s">
        <v>35</v>
      </c>
      <c r="N715" s="46">
        <v>1</v>
      </c>
      <c r="O715" s="8" t="s">
        <v>8</v>
      </c>
      <c r="S715" s="30"/>
    </row>
    <row r="716" spans="1:19" ht="18" customHeight="1" x14ac:dyDescent="0.2">
      <c r="B716" s="49" t="s">
        <v>19</v>
      </c>
      <c r="C716" s="50">
        <v>2</v>
      </c>
      <c r="D716" s="1" t="s">
        <v>8</v>
      </c>
      <c r="E716" s="47"/>
      <c r="F716" s="101"/>
      <c r="G716" s="102"/>
      <c r="H716" s="102"/>
      <c r="I716" s="103"/>
      <c r="J716" s="44"/>
      <c r="K716" s="47"/>
      <c r="L716" s="51"/>
      <c r="M716" s="49" t="s">
        <v>19</v>
      </c>
      <c r="N716" s="50">
        <v>2</v>
      </c>
      <c r="O716" s="1" t="s">
        <v>8</v>
      </c>
      <c r="S716" s="30"/>
    </row>
    <row r="717" spans="1:19" ht="18" customHeight="1" x14ac:dyDescent="0.2">
      <c r="B717" s="49" t="s">
        <v>20</v>
      </c>
      <c r="C717" s="50">
        <v>3</v>
      </c>
      <c r="D717" s="1" t="s">
        <v>9</v>
      </c>
      <c r="E717" s="47"/>
      <c r="F717" s="101"/>
      <c r="G717" s="102"/>
      <c r="H717" s="102"/>
      <c r="I717" s="103"/>
      <c r="J717" s="44"/>
      <c r="K717" s="47"/>
      <c r="L717" s="51"/>
      <c r="M717" s="49" t="s">
        <v>20</v>
      </c>
      <c r="N717" s="50">
        <v>3</v>
      </c>
      <c r="O717" s="1" t="s">
        <v>9</v>
      </c>
    </row>
    <row r="718" spans="1:19" ht="18" customHeight="1" x14ac:dyDescent="0.2">
      <c r="B718" s="49" t="s">
        <v>14</v>
      </c>
      <c r="C718" s="50">
        <v>6</v>
      </c>
      <c r="D718" s="1" t="s">
        <v>9</v>
      </c>
      <c r="E718" s="47"/>
      <c r="F718" s="101"/>
      <c r="G718" s="102"/>
      <c r="H718" s="102"/>
      <c r="I718" s="103"/>
      <c r="J718" s="44"/>
      <c r="K718" s="47"/>
      <c r="L718" s="51"/>
      <c r="M718" s="49" t="s">
        <v>14</v>
      </c>
      <c r="N718" s="50">
        <v>6</v>
      </c>
      <c r="O718" s="1" t="s">
        <v>9</v>
      </c>
    </row>
    <row r="719" spans="1:19" x14ac:dyDescent="0.2">
      <c r="B719" s="49" t="s">
        <v>17</v>
      </c>
      <c r="C719" s="50">
        <v>12</v>
      </c>
      <c r="D719" s="1" t="s">
        <v>9</v>
      </c>
      <c r="E719" s="47"/>
      <c r="F719" s="101"/>
      <c r="G719" s="102"/>
      <c r="H719" s="102"/>
      <c r="I719" s="103"/>
      <c r="J719" s="44"/>
      <c r="K719" s="47"/>
      <c r="L719" s="51"/>
      <c r="M719" s="49" t="s">
        <v>17</v>
      </c>
      <c r="N719" s="50">
        <v>12</v>
      </c>
      <c r="O719" s="1" t="s">
        <v>9</v>
      </c>
    </row>
    <row r="720" spans="1:19" x14ac:dyDescent="0.2">
      <c r="B720" s="52" t="s">
        <v>18</v>
      </c>
      <c r="C720" s="53">
        <v>10</v>
      </c>
      <c r="D720" s="2" t="s">
        <v>9</v>
      </c>
      <c r="E720" s="47"/>
      <c r="F720" s="101"/>
      <c r="G720" s="102"/>
      <c r="H720" s="102"/>
      <c r="I720" s="103"/>
      <c r="J720" s="44"/>
      <c r="K720" s="47"/>
      <c r="L720" s="51"/>
      <c r="M720" s="52" t="s">
        <v>18</v>
      </c>
      <c r="N720" s="53">
        <v>10</v>
      </c>
      <c r="O720" s="2" t="s">
        <v>9</v>
      </c>
    </row>
    <row r="721" spans="1:15" ht="14.25" customHeight="1" x14ac:dyDescent="0.2"/>
    <row r="722" spans="1:15" ht="18" customHeight="1" x14ac:dyDescent="0.25">
      <c r="I722" s="26"/>
      <c r="J722" s="26"/>
      <c r="K722" s="120" t="s">
        <v>7</v>
      </c>
      <c r="L722" s="120"/>
      <c r="M722" s="120"/>
      <c r="N722" s="120"/>
      <c r="O722" s="120"/>
    </row>
    <row r="723" spans="1:15" ht="18" customHeight="1" x14ac:dyDescent="0.25">
      <c r="I723" s="26"/>
      <c r="J723" s="26"/>
      <c r="K723" s="115" t="s">
        <v>6</v>
      </c>
      <c r="L723" s="115"/>
      <c r="M723" s="115"/>
      <c r="N723" s="115"/>
      <c r="O723" s="115"/>
    </row>
    <row r="724" spans="1:15" ht="18" x14ac:dyDescent="0.25">
      <c r="K724" s="115"/>
      <c r="L724" s="115"/>
      <c r="M724" s="115"/>
      <c r="N724" s="115"/>
      <c r="O724" s="115"/>
    </row>
    <row r="725" spans="1:15" ht="18" customHeight="1" x14ac:dyDescent="0.2">
      <c r="A725" s="28" t="s">
        <v>160</v>
      </c>
      <c r="B725" s="29"/>
      <c r="C725" s="113" t="s">
        <v>161</v>
      </c>
      <c r="D725" s="116"/>
      <c r="E725" s="116"/>
      <c r="F725" s="116"/>
      <c r="G725" s="116"/>
      <c r="H725" s="116"/>
      <c r="I725" s="116"/>
      <c r="J725" s="116"/>
      <c r="K725" s="116"/>
      <c r="L725" s="11"/>
      <c r="M725" s="31" t="s">
        <v>162</v>
      </c>
      <c r="N725" s="11"/>
      <c r="O725" s="5"/>
    </row>
    <row r="726" spans="1:15" x14ac:dyDescent="0.2">
      <c r="B726" s="32"/>
      <c r="C726" s="10"/>
      <c r="E726" s="10"/>
      <c r="F726" s="33"/>
      <c r="G726" s="33"/>
      <c r="H726" s="33"/>
      <c r="I726" s="33"/>
      <c r="J726" s="34"/>
      <c r="K726" s="35"/>
      <c r="L726" s="10"/>
      <c r="M726" s="10"/>
    </row>
    <row r="727" spans="1:15" ht="12.75" customHeight="1" x14ac:dyDescent="0.25">
      <c r="A727" s="117" t="s">
        <v>10</v>
      </c>
      <c r="B727" s="116"/>
      <c r="C727" s="116"/>
      <c r="D727" s="116"/>
      <c r="E727" s="10"/>
      <c r="F727" s="36" t="s">
        <v>12</v>
      </c>
      <c r="G727" s="36"/>
      <c r="H727" s="36"/>
      <c r="I727" s="114" t="s">
        <v>13</v>
      </c>
      <c r="J727" s="118"/>
      <c r="K727" s="6"/>
      <c r="L727" s="119" t="s">
        <v>11</v>
      </c>
      <c r="M727" s="119"/>
      <c r="N727" s="119"/>
      <c r="O727" s="119"/>
    </row>
    <row r="728" spans="1:15" ht="15" x14ac:dyDescent="0.25">
      <c r="A728" s="110" t="s">
        <v>43</v>
      </c>
      <c r="B728" s="111"/>
      <c r="C728" s="111"/>
      <c r="D728" s="111"/>
      <c r="E728" s="10"/>
      <c r="F728" s="74" t="s">
        <v>50</v>
      </c>
      <c r="G728" s="36"/>
      <c r="H728" s="36"/>
      <c r="I728" s="112" t="s">
        <v>28</v>
      </c>
      <c r="J728" s="111"/>
      <c r="K728" s="25"/>
      <c r="L728" s="110" t="s">
        <v>33</v>
      </c>
      <c r="M728" s="111"/>
      <c r="N728" s="111"/>
      <c r="O728" s="111"/>
    </row>
    <row r="730" spans="1:15" x14ac:dyDescent="0.2">
      <c r="A730" s="113"/>
      <c r="B730" s="113"/>
      <c r="D730" s="106" t="s">
        <v>21</v>
      </c>
      <c r="E730" s="107"/>
      <c r="F730" s="107"/>
      <c r="G730" s="107"/>
      <c r="H730" s="107"/>
      <c r="I730" s="107"/>
      <c r="J730" s="107"/>
      <c r="K730" s="107"/>
      <c r="L730" s="107"/>
    </row>
    <row r="732" spans="1:15" x14ac:dyDescent="0.2">
      <c r="A732" s="28" t="s">
        <v>0</v>
      </c>
      <c r="B732" s="7" t="s">
        <v>1</v>
      </c>
      <c r="C732" s="28"/>
      <c r="D732" s="7" t="s">
        <v>2</v>
      </c>
      <c r="E732" s="28"/>
      <c r="F732" s="114" t="s">
        <v>3</v>
      </c>
      <c r="G732" s="114"/>
      <c r="H732" s="114"/>
      <c r="I732" s="114"/>
      <c r="J732" s="114"/>
      <c r="K732" s="28"/>
      <c r="L732" s="28" t="s">
        <v>0</v>
      </c>
      <c r="M732" s="7" t="s">
        <v>1</v>
      </c>
      <c r="N732" s="28"/>
      <c r="O732" s="7" t="s">
        <v>2</v>
      </c>
    </row>
    <row r="733" spans="1:15" ht="18" customHeight="1" x14ac:dyDescent="0.2">
      <c r="A733" s="7">
        <v>1</v>
      </c>
      <c r="B733" s="11" t="s">
        <v>149</v>
      </c>
      <c r="D733" s="5">
        <v>12</v>
      </c>
      <c r="F733" s="37" t="s">
        <v>192</v>
      </c>
      <c r="G733" s="38"/>
      <c r="H733" s="37" t="s">
        <v>178</v>
      </c>
      <c r="I733" s="38"/>
      <c r="J733" s="37"/>
      <c r="L733" s="7"/>
      <c r="M733" s="11" t="s">
        <v>165</v>
      </c>
      <c r="O733" s="5">
        <v>3</v>
      </c>
    </row>
    <row r="734" spans="1:15" x14ac:dyDescent="0.2">
      <c r="A734" s="80"/>
      <c r="C734" s="51"/>
      <c r="D734" s="79"/>
      <c r="F734" s="82"/>
      <c r="G734" s="56"/>
      <c r="H734" s="82"/>
      <c r="I734" s="56"/>
      <c r="J734" s="82"/>
      <c r="L734" s="80"/>
      <c r="O734" s="79"/>
    </row>
    <row r="735" spans="1:15" x14ac:dyDescent="0.2">
      <c r="A735" s="80"/>
      <c r="C735" s="51"/>
      <c r="D735" s="4"/>
      <c r="F735" s="56"/>
      <c r="G735" s="56"/>
      <c r="H735" s="56"/>
      <c r="I735" s="56"/>
      <c r="J735" s="56"/>
      <c r="L735" s="80"/>
      <c r="O735" s="4"/>
    </row>
    <row r="736" spans="1:15" x14ac:dyDescent="0.2">
      <c r="B736" s="10"/>
      <c r="D736" s="4"/>
      <c r="F736" s="39"/>
      <c r="G736" s="39"/>
      <c r="H736" s="39"/>
      <c r="I736" s="39"/>
      <c r="J736" s="39"/>
      <c r="M736" s="10"/>
      <c r="O736" s="4"/>
    </row>
    <row r="737" spans="1:15" x14ac:dyDescent="0.2">
      <c r="B737" s="83"/>
      <c r="D737" s="106" t="s">
        <v>22</v>
      </c>
      <c r="E737" s="107"/>
      <c r="F737" s="107"/>
      <c r="G737" s="107"/>
      <c r="H737" s="107"/>
      <c r="I737" s="107"/>
      <c r="J737" s="107"/>
      <c r="K737" s="107"/>
      <c r="L737" s="107"/>
      <c r="M737" s="83"/>
    </row>
    <row r="738" spans="1:15" x14ac:dyDescent="0.2">
      <c r="F738" s="40"/>
      <c r="G738" s="40"/>
      <c r="H738" s="40"/>
      <c r="I738" s="40"/>
      <c r="J738" s="40"/>
    </row>
    <row r="739" spans="1:15" ht="18" customHeight="1" x14ac:dyDescent="0.2">
      <c r="A739" s="7">
        <v>1</v>
      </c>
      <c r="B739" s="11" t="s">
        <v>97</v>
      </c>
      <c r="D739" s="5">
        <v>5</v>
      </c>
      <c r="E739" s="41"/>
      <c r="F739" s="37" t="s">
        <v>196</v>
      </c>
      <c r="G739" s="38"/>
      <c r="H739" s="37" t="s">
        <v>168</v>
      </c>
      <c r="I739" s="38"/>
      <c r="J739" s="37"/>
      <c r="K739" s="41"/>
      <c r="L739" s="7"/>
      <c r="M739" s="11" t="s">
        <v>156</v>
      </c>
      <c r="O739" s="5">
        <v>12</v>
      </c>
    </row>
    <row r="740" spans="1:15" x14ac:dyDescent="0.2">
      <c r="B740" s="10"/>
      <c r="D740" s="4"/>
      <c r="F740" s="39"/>
      <c r="G740" s="39"/>
      <c r="H740" s="39"/>
      <c r="I740" s="39"/>
      <c r="J740" s="39"/>
      <c r="M740" s="10"/>
      <c r="O740" s="4"/>
    </row>
    <row r="741" spans="1:15" x14ac:dyDescent="0.2">
      <c r="B741" s="83"/>
      <c r="D741" s="106" t="s">
        <v>23</v>
      </c>
      <c r="E741" s="107"/>
      <c r="F741" s="107"/>
      <c r="G741" s="107"/>
      <c r="H741" s="107"/>
      <c r="I741" s="107"/>
      <c r="J741" s="107"/>
      <c r="K741" s="107"/>
      <c r="L741" s="107"/>
      <c r="M741" s="83"/>
    </row>
    <row r="742" spans="1:15" x14ac:dyDescent="0.2">
      <c r="F742" s="40"/>
      <c r="G742" s="40"/>
      <c r="H742" s="40"/>
      <c r="I742" s="40"/>
      <c r="J742" s="40"/>
    </row>
    <row r="743" spans="1:15" ht="18" customHeight="1" x14ac:dyDescent="0.2">
      <c r="A743" s="7">
        <v>1</v>
      </c>
      <c r="B743" s="11" t="s">
        <v>100</v>
      </c>
      <c r="D743" s="5">
        <v>3</v>
      </c>
      <c r="F743" s="37" t="s">
        <v>211</v>
      </c>
      <c r="G743" s="38"/>
      <c r="H743" s="37" t="s">
        <v>175</v>
      </c>
      <c r="I743" s="38"/>
      <c r="J743" s="37"/>
      <c r="L743" s="7"/>
      <c r="M743" s="11" t="s">
        <v>105</v>
      </c>
      <c r="O743" s="5">
        <v>12</v>
      </c>
    </row>
    <row r="744" spans="1:15" x14ac:dyDescent="0.2">
      <c r="B744" s="11" t="s">
        <v>99</v>
      </c>
      <c r="F744" s="40"/>
      <c r="G744" s="40"/>
      <c r="H744" s="40"/>
      <c r="I744" s="40"/>
      <c r="J744" s="40"/>
      <c r="M744" s="11" t="s">
        <v>104</v>
      </c>
    </row>
    <row r="745" spans="1:15" x14ac:dyDescent="0.2">
      <c r="B745" s="10"/>
      <c r="F745" s="40"/>
      <c r="G745" s="40"/>
      <c r="H745" s="40"/>
      <c r="I745" s="40"/>
      <c r="J745" s="40"/>
      <c r="M745" s="10"/>
    </row>
    <row r="746" spans="1:15" x14ac:dyDescent="0.2">
      <c r="B746" s="83"/>
      <c r="D746" s="106" t="s">
        <v>24</v>
      </c>
      <c r="E746" s="107"/>
      <c r="F746" s="107"/>
      <c r="G746" s="107"/>
      <c r="H746" s="107"/>
      <c r="I746" s="107"/>
      <c r="J746" s="107"/>
      <c r="K746" s="107"/>
      <c r="L746" s="107"/>
      <c r="M746" s="83"/>
    </row>
    <row r="747" spans="1:15" x14ac:dyDescent="0.2">
      <c r="F747" s="40"/>
      <c r="G747" s="40"/>
      <c r="H747" s="40"/>
      <c r="I747" s="40"/>
      <c r="J747" s="40"/>
    </row>
    <row r="748" spans="1:15" ht="18" customHeight="1" x14ac:dyDescent="0.2">
      <c r="A748" s="7">
        <v>1</v>
      </c>
      <c r="B748" s="11" t="s">
        <v>151</v>
      </c>
      <c r="D748" s="5">
        <v>12</v>
      </c>
      <c r="F748" s="37" t="s">
        <v>203</v>
      </c>
      <c r="G748" s="38"/>
      <c r="H748" s="37" t="s">
        <v>192</v>
      </c>
      <c r="I748" s="38"/>
      <c r="J748" s="37"/>
      <c r="L748" s="7"/>
      <c r="M748" s="11" t="s">
        <v>155</v>
      </c>
      <c r="O748" s="5">
        <v>2</v>
      </c>
    </row>
    <row r="749" spans="1:15" x14ac:dyDescent="0.2">
      <c r="A749" s="7"/>
      <c r="B749" s="11" t="s">
        <v>152</v>
      </c>
      <c r="F749" s="42"/>
      <c r="G749" s="42"/>
      <c r="H749" s="42"/>
      <c r="I749" s="42"/>
      <c r="J749" s="42"/>
      <c r="L749" s="7"/>
      <c r="M749" s="11" t="s">
        <v>154</v>
      </c>
    </row>
    <row r="750" spans="1:15" x14ac:dyDescent="0.2">
      <c r="A750" s="17"/>
      <c r="B750" s="47"/>
      <c r="C750" s="10"/>
      <c r="D750" s="4"/>
      <c r="E750" s="10"/>
      <c r="F750" s="56"/>
      <c r="G750" s="56"/>
      <c r="H750" s="56"/>
      <c r="I750" s="56"/>
      <c r="J750" s="56"/>
      <c r="K750" s="10"/>
      <c r="L750" s="17"/>
      <c r="M750" s="47"/>
      <c r="N750" s="10"/>
      <c r="O750" s="4"/>
    </row>
    <row r="751" spans="1:15" x14ac:dyDescent="0.2">
      <c r="A751" s="10"/>
      <c r="B751" s="47"/>
      <c r="C751" s="10"/>
      <c r="D751" s="4"/>
      <c r="E751" s="10"/>
      <c r="F751" s="57"/>
      <c r="G751" s="57"/>
      <c r="H751" s="57"/>
      <c r="I751" s="57"/>
      <c r="J751" s="57"/>
      <c r="K751" s="10"/>
      <c r="L751" s="10"/>
      <c r="M751" s="47"/>
      <c r="N751" s="10"/>
      <c r="O751" s="4"/>
    </row>
    <row r="752" spans="1:15" x14ac:dyDescent="0.2">
      <c r="B752" s="10"/>
      <c r="F752" s="40"/>
      <c r="G752" s="40"/>
      <c r="H752" s="40"/>
      <c r="I752" s="40"/>
      <c r="J752" s="40"/>
      <c r="M752" s="10"/>
    </row>
    <row r="753" spans="1:15" x14ac:dyDescent="0.2">
      <c r="B753" s="83"/>
      <c r="D753" s="106" t="s">
        <v>25</v>
      </c>
      <c r="E753" s="107"/>
      <c r="F753" s="107"/>
      <c r="G753" s="107"/>
      <c r="H753" s="107"/>
      <c r="I753" s="107"/>
      <c r="J753" s="107"/>
      <c r="K753" s="107"/>
      <c r="L753" s="107"/>
      <c r="M753" s="83"/>
    </row>
    <row r="754" spans="1:15" x14ac:dyDescent="0.2">
      <c r="F754" s="40"/>
      <c r="G754" s="40"/>
      <c r="H754" s="40"/>
      <c r="I754" s="40"/>
      <c r="J754" s="40"/>
    </row>
    <row r="755" spans="1:15" ht="18" customHeight="1" x14ac:dyDescent="0.2">
      <c r="A755" s="7">
        <v>1</v>
      </c>
      <c r="B755" s="11" t="s">
        <v>98</v>
      </c>
      <c r="D755" s="5">
        <v>10</v>
      </c>
      <c r="F755" s="37" t="s">
        <v>188</v>
      </c>
      <c r="G755" s="38"/>
      <c r="H755" s="37" t="s">
        <v>176</v>
      </c>
      <c r="I755" s="38"/>
      <c r="J755" s="37" t="s">
        <v>168</v>
      </c>
      <c r="L755" s="7"/>
      <c r="M755" s="11" t="s">
        <v>157</v>
      </c>
      <c r="O755" s="5">
        <v>12</v>
      </c>
    </row>
    <row r="756" spans="1:15" x14ac:dyDescent="0.2">
      <c r="B756" s="11" t="s">
        <v>150</v>
      </c>
      <c r="M756" s="11" t="s">
        <v>102</v>
      </c>
    </row>
    <row r="758" spans="1:15" x14ac:dyDescent="0.2">
      <c r="B758" s="41" t="s">
        <v>4</v>
      </c>
      <c r="C758" s="9"/>
      <c r="D758" s="3">
        <f>SUM(D733:D755)</f>
        <v>42</v>
      </c>
      <c r="F758" s="108" t="s">
        <v>15</v>
      </c>
      <c r="G758" s="109"/>
      <c r="H758" s="109"/>
      <c r="I758" s="109"/>
      <c r="J758" s="43" t="s">
        <v>16</v>
      </c>
      <c r="M758" s="41" t="s">
        <v>4</v>
      </c>
      <c r="N758" s="9"/>
      <c r="O758" s="3">
        <f>SUM(O733:O755)</f>
        <v>41</v>
      </c>
    </row>
    <row r="759" spans="1:15" x14ac:dyDescent="0.2">
      <c r="C759" s="10"/>
      <c r="D759" s="4"/>
      <c r="F759" s="101"/>
      <c r="G759" s="102"/>
      <c r="H759" s="102"/>
      <c r="I759" s="103"/>
      <c r="J759" s="44"/>
      <c r="N759" s="10"/>
      <c r="O759" s="4"/>
    </row>
    <row r="760" spans="1:15" x14ac:dyDescent="0.2">
      <c r="B760" s="11"/>
      <c r="C760" s="11"/>
      <c r="D760" s="5"/>
      <c r="F760" s="101"/>
      <c r="G760" s="102"/>
      <c r="H760" s="102"/>
      <c r="I760" s="103"/>
      <c r="J760" s="44"/>
      <c r="M760" s="11"/>
      <c r="N760" s="11"/>
      <c r="O760" s="5"/>
    </row>
    <row r="761" spans="1:15" x14ac:dyDescent="0.2">
      <c r="B761" s="104" t="s">
        <v>5</v>
      </c>
      <c r="C761" s="105"/>
      <c r="D761" s="105"/>
      <c r="F761" s="101"/>
      <c r="G761" s="102"/>
      <c r="H761" s="102"/>
      <c r="I761" s="103"/>
      <c r="J761" s="44"/>
      <c r="M761" s="104" t="s">
        <v>5</v>
      </c>
      <c r="N761" s="105"/>
      <c r="O761" s="105"/>
    </row>
    <row r="762" spans="1:15" x14ac:dyDescent="0.2">
      <c r="D762" s="4"/>
      <c r="E762" s="10"/>
      <c r="F762" s="101"/>
      <c r="G762" s="102"/>
      <c r="H762" s="102"/>
      <c r="I762" s="103"/>
      <c r="J762" s="44"/>
      <c r="K762" s="10"/>
    </row>
    <row r="763" spans="1:15" x14ac:dyDescent="0.2">
      <c r="B763" s="45" t="s">
        <v>35</v>
      </c>
      <c r="C763" s="46">
        <v>1</v>
      </c>
      <c r="D763" s="8" t="s">
        <v>8</v>
      </c>
      <c r="E763" s="47"/>
      <c r="F763" s="101"/>
      <c r="G763" s="102"/>
      <c r="H763" s="102"/>
      <c r="I763" s="103"/>
      <c r="J763" s="44"/>
      <c r="K763" s="47"/>
      <c r="L763" s="48"/>
      <c r="M763" s="45" t="s">
        <v>35</v>
      </c>
      <c r="N763" s="46">
        <v>1</v>
      </c>
      <c r="O763" s="8" t="s">
        <v>8</v>
      </c>
    </row>
    <row r="764" spans="1:15" x14ac:dyDescent="0.2">
      <c r="B764" s="49" t="s">
        <v>19</v>
      </c>
      <c r="C764" s="50">
        <v>2</v>
      </c>
      <c r="D764" s="1" t="s">
        <v>8</v>
      </c>
      <c r="E764" s="47"/>
      <c r="F764" s="101"/>
      <c r="G764" s="102"/>
      <c r="H764" s="102"/>
      <c r="I764" s="103"/>
      <c r="J764" s="44"/>
      <c r="K764" s="47"/>
      <c r="L764" s="51"/>
      <c r="M764" s="49" t="s">
        <v>19</v>
      </c>
      <c r="N764" s="50">
        <v>2</v>
      </c>
      <c r="O764" s="1" t="s">
        <v>8</v>
      </c>
    </row>
    <row r="765" spans="1:15" x14ac:dyDescent="0.2">
      <c r="B765" s="49" t="s">
        <v>20</v>
      </c>
      <c r="C765" s="50">
        <v>3</v>
      </c>
      <c r="D765" s="1" t="s">
        <v>9</v>
      </c>
      <c r="E765" s="47"/>
      <c r="F765" s="101"/>
      <c r="G765" s="102"/>
      <c r="H765" s="102"/>
      <c r="I765" s="103"/>
      <c r="J765" s="44"/>
      <c r="K765" s="47"/>
      <c r="L765" s="51"/>
      <c r="M765" s="49" t="s">
        <v>20</v>
      </c>
      <c r="N765" s="50">
        <v>3</v>
      </c>
      <c r="O765" s="1" t="s">
        <v>9</v>
      </c>
    </row>
    <row r="766" spans="1:15" x14ac:dyDescent="0.2">
      <c r="B766" s="49" t="s">
        <v>14</v>
      </c>
      <c r="C766" s="50">
        <v>6</v>
      </c>
      <c r="D766" s="1" t="s">
        <v>9</v>
      </c>
      <c r="E766" s="47"/>
      <c r="F766" s="101"/>
      <c r="G766" s="102"/>
      <c r="H766" s="102"/>
      <c r="I766" s="103"/>
      <c r="J766" s="44"/>
      <c r="K766" s="47"/>
      <c r="L766" s="51"/>
      <c r="M766" s="49" t="s">
        <v>14</v>
      </c>
      <c r="N766" s="50">
        <v>6</v>
      </c>
      <c r="O766" s="1" t="s">
        <v>9</v>
      </c>
    </row>
    <row r="767" spans="1:15" x14ac:dyDescent="0.2">
      <c r="B767" s="49" t="s">
        <v>17</v>
      </c>
      <c r="C767" s="50">
        <v>12</v>
      </c>
      <c r="D767" s="1" t="s">
        <v>9</v>
      </c>
      <c r="E767" s="47"/>
      <c r="F767" s="101"/>
      <c r="G767" s="102"/>
      <c r="H767" s="102"/>
      <c r="I767" s="103"/>
      <c r="J767" s="44"/>
      <c r="K767" s="47"/>
      <c r="L767" s="51"/>
      <c r="M767" s="49" t="s">
        <v>17</v>
      </c>
      <c r="N767" s="50">
        <v>12</v>
      </c>
      <c r="O767" s="1" t="s">
        <v>9</v>
      </c>
    </row>
    <row r="768" spans="1:15" x14ac:dyDescent="0.2">
      <c r="B768" s="52" t="s">
        <v>18</v>
      </c>
      <c r="C768" s="53">
        <v>10</v>
      </c>
      <c r="D768" s="2" t="s">
        <v>9</v>
      </c>
      <c r="E768" s="47"/>
      <c r="F768" s="101"/>
      <c r="G768" s="102"/>
      <c r="H768" s="102"/>
      <c r="I768" s="103"/>
      <c r="J768" s="44"/>
      <c r="K768" s="47"/>
      <c r="L768" s="51"/>
      <c r="M768" s="52" t="s">
        <v>18</v>
      </c>
      <c r="N768" s="53">
        <v>10</v>
      </c>
      <c r="O768" s="2" t="s">
        <v>9</v>
      </c>
    </row>
    <row r="770" spans="1:15" ht="18" x14ac:dyDescent="0.25">
      <c r="I770" s="26"/>
      <c r="J770" s="26"/>
      <c r="K770" s="120" t="s">
        <v>7</v>
      </c>
      <c r="L770" s="120"/>
      <c r="M770" s="120"/>
      <c r="N770" s="120"/>
      <c r="O770" s="120"/>
    </row>
    <row r="771" spans="1:15" ht="18" x14ac:dyDescent="0.25">
      <c r="I771" s="26"/>
      <c r="J771" s="26"/>
      <c r="K771" s="115" t="s">
        <v>6</v>
      </c>
      <c r="L771" s="115"/>
      <c r="M771" s="115"/>
      <c r="N771" s="115"/>
      <c r="O771" s="115"/>
    </row>
    <row r="772" spans="1:15" ht="18" x14ac:dyDescent="0.25">
      <c r="K772" s="115"/>
      <c r="L772" s="115"/>
      <c r="M772" s="115"/>
      <c r="N772" s="115"/>
      <c r="O772" s="115"/>
    </row>
    <row r="773" spans="1:15" x14ac:dyDescent="0.2">
      <c r="A773" s="28" t="s">
        <v>160</v>
      </c>
      <c r="B773" s="29"/>
      <c r="C773" s="113" t="s">
        <v>161</v>
      </c>
      <c r="D773" s="116"/>
      <c r="E773" s="116"/>
      <c r="F773" s="116"/>
      <c r="G773" s="116"/>
      <c r="H773" s="116"/>
      <c r="I773" s="116"/>
      <c r="J773" s="116"/>
      <c r="K773" s="116"/>
      <c r="L773" s="11"/>
      <c r="M773" s="31" t="s">
        <v>162</v>
      </c>
      <c r="N773" s="11"/>
      <c r="O773" s="5"/>
    </row>
    <row r="774" spans="1:15" x14ac:dyDescent="0.2">
      <c r="B774" s="32"/>
      <c r="C774" s="10"/>
      <c r="E774" s="10"/>
      <c r="F774" s="33"/>
      <c r="G774" s="33"/>
      <c r="H774" s="33"/>
      <c r="I774" s="33"/>
      <c r="J774" s="34"/>
      <c r="K774" s="35"/>
      <c r="L774" s="10"/>
      <c r="M774" s="10"/>
    </row>
    <row r="775" spans="1:15" ht="15" x14ac:dyDescent="0.25">
      <c r="A775" s="117" t="s">
        <v>11</v>
      </c>
      <c r="B775" s="116"/>
      <c r="C775" s="116"/>
      <c r="D775" s="116"/>
      <c r="E775" s="10"/>
      <c r="F775" s="36" t="s">
        <v>12</v>
      </c>
      <c r="G775" s="36"/>
      <c r="H775" s="36"/>
      <c r="I775" s="114" t="s">
        <v>13</v>
      </c>
      <c r="J775" s="118"/>
      <c r="K775" s="6"/>
      <c r="L775" s="119" t="s">
        <v>10</v>
      </c>
      <c r="M775" s="119"/>
      <c r="N775" s="119"/>
      <c r="O775" s="119"/>
    </row>
    <row r="776" spans="1:15" ht="15" x14ac:dyDescent="0.25">
      <c r="A776" s="110" t="s">
        <v>32</v>
      </c>
      <c r="B776" s="111"/>
      <c r="C776" s="111"/>
      <c r="D776" s="111"/>
      <c r="E776" s="10"/>
      <c r="F776" s="73" t="s">
        <v>50</v>
      </c>
      <c r="G776" s="36"/>
      <c r="H776" s="36"/>
      <c r="I776" s="112" t="s">
        <v>29</v>
      </c>
      <c r="J776" s="111"/>
      <c r="K776" s="25"/>
      <c r="L776" s="110" t="s">
        <v>44</v>
      </c>
      <c r="M776" s="111"/>
      <c r="N776" s="111"/>
      <c r="O776" s="111"/>
    </row>
    <row r="778" spans="1:15" x14ac:dyDescent="0.2">
      <c r="A778" s="113"/>
      <c r="B778" s="113"/>
      <c r="D778" s="106" t="s">
        <v>21</v>
      </c>
      <c r="E778" s="107"/>
      <c r="F778" s="107"/>
      <c r="G778" s="107"/>
      <c r="H778" s="107"/>
      <c r="I778" s="107"/>
      <c r="J778" s="107"/>
      <c r="K778" s="107"/>
      <c r="L778" s="107"/>
    </row>
    <row r="780" spans="1:15" x14ac:dyDescent="0.2">
      <c r="A780" s="28" t="s">
        <v>0</v>
      </c>
      <c r="B780" s="7" t="s">
        <v>1</v>
      </c>
      <c r="C780" s="28"/>
      <c r="D780" s="7" t="s">
        <v>2</v>
      </c>
      <c r="E780" s="28"/>
      <c r="F780" s="114" t="s">
        <v>3</v>
      </c>
      <c r="G780" s="114"/>
      <c r="H780" s="114"/>
      <c r="I780" s="114"/>
      <c r="J780" s="114"/>
      <c r="K780" s="28"/>
      <c r="L780" s="28" t="s">
        <v>0</v>
      </c>
      <c r="M780" s="7" t="s">
        <v>1</v>
      </c>
      <c r="N780" s="28"/>
      <c r="O780" s="7" t="s">
        <v>2</v>
      </c>
    </row>
    <row r="781" spans="1:15" ht="18" customHeight="1" x14ac:dyDescent="0.2">
      <c r="A781" s="7">
        <v>1</v>
      </c>
      <c r="B781" s="11" t="s">
        <v>107</v>
      </c>
      <c r="D781" s="5">
        <v>12</v>
      </c>
      <c r="F781" s="37" t="s">
        <v>195</v>
      </c>
      <c r="G781" s="38"/>
      <c r="H781" s="37" t="s">
        <v>172</v>
      </c>
      <c r="I781" s="38"/>
      <c r="J781" s="37"/>
      <c r="L781" s="7"/>
      <c r="M781" s="11" t="s">
        <v>57</v>
      </c>
      <c r="O781" s="5">
        <v>3</v>
      </c>
    </row>
    <row r="782" spans="1:15" x14ac:dyDescent="0.2">
      <c r="A782" s="80"/>
      <c r="B782" s="10"/>
      <c r="C782" s="51"/>
      <c r="D782" s="79"/>
      <c r="F782" s="82"/>
      <c r="G782" s="56"/>
      <c r="H782" s="82"/>
      <c r="I782" s="56"/>
      <c r="J782" s="82"/>
      <c r="L782" s="80"/>
      <c r="M782" s="10"/>
      <c r="O782" s="79"/>
    </row>
    <row r="783" spans="1:15" x14ac:dyDescent="0.2">
      <c r="A783" s="80"/>
      <c r="B783" s="10"/>
      <c r="C783" s="51"/>
      <c r="D783" s="4"/>
      <c r="F783" s="56"/>
      <c r="G783" s="56"/>
      <c r="H783" s="56"/>
      <c r="I783" s="56"/>
      <c r="J783" s="56"/>
      <c r="L783" s="80"/>
      <c r="M783" s="10"/>
      <c r="O783" s="4"/>
    </row>
    <row r="784" spans="1:15" x14ac:dyDescent="0.2">
      <c r="B784" s="10"/>
      <c r="D784" s="4"/>
      <c r="F784" s="39"/>
      <c r="G784" s="39"/>
      <c r="H784" s="39"/>
      <c r="I784" s="39"/>
      <c r="J784" s="39"/>
      <c r="M784" s="10"/>
      <c r="O784" s="4"/>
    </row>
    <row r="785" spans="1:15" x14ac:dyDescent="0.2">
      <c r="A785" s="17"/>
      <c r="B785" s="83"/>
      <c r="D785" s="106" t="s">
        <v>22</v>
      </c>
      <c r="E785" s="107"/>
      <c r="F785" s="107"/>
      <c r="G785" s="107"/>
      <c r="H785" s="107"/>
      <c r="I785" s="107"/>
      <c r="J785" s="107"/>
      <c r="K785" s="107"/>
      <c r="L785" s="107"/>
    </row>
    <row r="786" spans="1:15" x14ac:dyDescent="0.2">
      <c r="F786" s="40"/>
      <c r="G786" s="40"/>
      <c r="H786" s="40"/>
      <c r="I786" s="40"/>
      <c r="J786" s="40"/>
    </row>
    <row r="787" spans="1:15" ht="18" customHeight="1" x14ac:dyDescent="0.2">
      <c r="A787" s="7">
        <v>1</v>
      </c>
      <c r="B787" s="11" t="s">
        <v>117</v>
      </c>
      <c r="D787" s="5">
        <v>2</v>
      </c>
      <c r="E787" s="41"/>
      <c r="F787" s="37" t="s">
        <v>166</v>
      </c>
      <c r="G787" s="38"/>
      <c r="H787" s="37" t="s">
        <v>166</v>
      </c>
      <c r="I787" s="38"/>
      <c r="J787" s="37"/>
      <c r="K787" s="41"/>
      <c r="L787" s="7"/>
      <c r="M787" s="11" t="s">
        <v>60</v>
      </c>
      <c r="O787" s="5">
        <v>12</v>
      </c>
    </row>
    <row r="788" spans="1:15" x14ac:dyDescent="0.2">
      <c r="B788" s="10"/>
      <c r="D788" s="4"/>
      <c r="F788" s="39"/>
      <c r="G788" s="39"/>
      <c r="H788" s="39"/>
      <c r="I788" s="39"/>
      <c r="J788" s="39"/>
      <c r="M788" s="10"/>
      <c r="O788" s="4"/>
    </row>
    <row r="789" spans="1:15" x14ac:dyDescent="0.2">
      <c r="A789" s="17"/>
      <c r="B789" s="83"/>
      <c r="D789" s="106" t="s">
        <v>23</v>
      </c>
      <c r="E789" s="107"/>
      <c r="F789" s="107"/>
      <c r="G789" s="107"/>
      <c r="H789" s="107"/>
      <c r="I789" s="107"/>
      <c r="J789" s="107"/>
      <c r="K789" s="107"/>
      <c r="L789" s="107"/>
    </row>
    <row r="790" spans="1:15" x14ac:dyDescent="0.2">
      <c r="F790" s="40"/>
      <c r="G790" s="40"/>
      <c r="H790" s="40"/>
      <c r="I790" s="40"/>
      <c r="J790" s="40"/>
    </row>
    <row r="791" spans="1:15" ht="18" customHeight="1" x14ac:dyDescent="0.2">
      <c r="A791" s="7">
        <v>1</v>
      </c>
      <c r="B791" s="11" t="s">
        <v>113</v>
      </c>
      <c r="D791" s="5">
        <v>12</v>
      </c>
      <c r="F791" s="37" t="s">
        <v>188</v>
      </c>
      <c r="G791" s="38"/>
      <c r="H791" s="37" t="s">
        <v>212</v>
      </c>
      <c r="I791" s="38"/>
      <c r="J791" s="37" t="s">
        <v>187</v>
      </c>
      <c r="L791" s="7"/>
      <c r="M791" s="11" t="s">
        <v>132</v>
      </c>
      <c r="O791" s="5">
        <v>10</v>
      </c>
    </row>
    <row r="792" spans="1:15" x14ac:dyDescent="0.2">
      <c r="B792" s="11" t="s">
        <v>158</v>
      </c>
      <c r="F792" s="40"/>
      <c r="G792" s="40"/>
      <c r="H792" s="40"/>
      <c r="I792" s="40"/>
      <c r="J792" s="40"/>
      <c r="M792" s="11" t="s">
        <v>62</v>
      </c>
    </row>
    <row r="793" spans="1:15" x14ac:dyDescent="0.2">
      <c r="B793" s="10"/>
      <c r="F793" s="40"/>
      <c r="G793" s="40"/>
      <c r="H793" s="40"/>
      <c r="I793" s="40"/>
      <c r="J793" s="40"/>
      <c r="M793" s="10"/>
    </row>
    <row r="794" spans="1:15" x14ac:dyDescent="0.2">
      <c r="A794" s="17"/>
      <c r="B794" s="83"/>
      <c r="D794" s="106" t="s">
        <v>24</v>
      </c>
      <c r="E794" s="107"/>
      <c r="F794" s="107"/>
      <c r="G794" s="107"/>
      <c r="H794" s="107"/>
      <c r="I794" s="107"/>
      <c r="J794" s="107"/>
      <c r="K794" s="107"/>
      <c r="L794" s="107"/>
    </row>
    <row r="795" spans="1:15" x14ac:dyDescent="0.2">
      <c r="F795" s="40"/>
      <c r="G795" s="40"/>
      <c r="H795" s="40"/>
      <c r="I795" s="40"/>
      <c r="J795" s="40"/>
    </row>
    <row r="796" spans="1:15" ht="18" customHeight="1" x14ac:dyDescent="0.2">
      <c r="A796" s="7">
        <v>1</v>
      </c>
      <c r="B796" s="11" t="s">
        <v>110</v>
      </c>
      <c r="D796" s="5">
        <v>12</v>
      </c>
      <c r="F796" s="37" t="s">
        <v>203</v>
      </c>
      <c r="G796" s="38"/>
      <c r="H796" s="37" t="s">
        <v>191</v>
      </c>
      <c r="I796" s="38"/>
      <c r="J796" s="37"/>
      <c r="L796" s="7"/>
      <c r="M796" s="11" t="s">
        <v>129</v>
      </c>
      <c r="O796" s="5">
        <v>2</v>
      </c>
    </row>
    <row r="797" spans="1:15" x14ac:dyDescent="0.2">
      <c r="A797" s="7"/>
      <c r="B797" s="11" t="s">
        <v>111</v>
      </c>
      <c r="F797" s="42"/>
      <c r="G797" s="42"/>
      <c r="H797" s="42"/>
      <c r="I797" s="42"/>
      <c r="J797" s="42"/>
      <c r="L797" s="7"/>
      <c r="M797" s="11" t="s">
        <v>131</v>
      </c>
    </row>
    <row r="798" spans="1:15" x14ac:dyDescent="0.2">
      <c r="A798" s="17"/>
      <c r="B798" s="47"/>
      <c r="C798" s="10"/>
      <c r="D798" s="4"/>
      <c r="E798" s="10"/>
      <c r="F798" s="56"/>
      <c r="G798" s="56"/>
      <c r="H798" s="56"/>
      <c r="I798" s="56"/>
      <c r="J798" s="56"/>
      <c r="K798" s="10"/>
      <c r="L798" s="17"/>
      <c r="M798" s="47"/>
      <c r="N798" s="10"/>
      <c r="O798" s="4"/>
    </row>
    <row r="799" spans="1:15" x14ac:dyDescent="0.2">
      <c r="A799" s="10"/>
      <c r="B799" s="47"/>
      <c r="C799" s="10"/>
      <c r="D799" s="4"/>
      <c r="E799" s="10"/>
      <c r="F799" s="57"/>
      <c r="G799" s="57"/>
      <c r="H799" s="57"/>
      <c r="I799" s="57"/>
      <c r="J799" s="57"/>
      <c r="K799" s="10"/>
      <c r="L799" s="10"/>
      <c r="M799" s="47"/>
      <c r="N799" s="10"/>
      <c r="O799" s="4"/>
    </row>
    <row r="800" spans="1:15" x14ac:dyDescent="0.2">
      <c r="B800" s="10"/>
      <c r="F800" s="40"/>
      <c r="G800" s="40"/>
      <c r="H800" s="40"/>
      <c r="I800" s="40"/>
      <c r="J800" s="40"/>
      <c r="M800" s="10"/>
    </row>
    <row r="801" spans="1:15" x14ac:dyDescent="0.2">
      <c r="A801" s="17"/>
      <c r="B801" s="83"/>
      <c r="D801" s="106" t="s">
        <v>25</v>
      </c>
      <c r="E801" s="107"/>
      <c r="F801" s="107"/>
      <c r="G801" s="107"/>
      <c r="H801" s="107"/>
      <c r="I801" s="107"/>
      <c r="J801" s="107"/>
      <c r="K801" s="107"/>
      <c r="L801" s="107"/>
    </row>
    <row r="802" spans="1:15" x14ac:dyDescent="0.2">
      <c r="F802" s="40"/>
      <c r="G802" s="40"/>
      <c r="H802" s="40"/>
      <c r="I802" s="40"/>
      <c r="J802" s="40"/>
    </row>
    <row r="803" spans="1:15" ht="18" customHeight="1" x14ac:dyDescent="0.2">
      <c r="A803" s="7"/>
      <c r="B803" s="11" t="s">
        <v>159</v>
      </c>
      <c r="D803" s="5">
        <v>5</v>
      </c>
      <c r="F803" s="37" t="s">
        <v>168</v>
      </c>
      <c r="G803" s="38"/>
      <c r="H803" s="37" t="s">
        <v>177</v>
      </c>
      <c r="I803" s="38"/>
      <c r="J803" s="37"/>
      <c r="L803" s="7"/>
      <c r="M803" s="11" t="s">
        <v>61</v>
      </c>
      <c r="O803" s="5">
        <v>12</v>
      </c>
    </row>
    <row r="804" spans="1:15" x14ac:dyDescent="0.2">
      <c r="B804" s="11" t="s">
        <v>112</v>
      </c>
      <c r="M804" s="11" t="s">
        <v>58</v>
      </c>
    </row>
    <row r="806" spans="1:15" x14ac:dyDescent="0.2">
      <c r="B806" s="41" t="s">
        <v>4</v>
      </c>
      <c r="C806" s="9"/>
      <c r="D806" s="3">
        <f>SUM(D781:D803)</f>
        <v>43</v>
      </c>
      <c r="F806" s="108" t="s">
        <v>15</v>
      </c>
      <c r="G806" s="109"/>
      <c r="H806" s="109"/>
      <c r="I806" s="109"/>
      <c r="J806" s="43" t="s">
        <v>16</v>
      </c>
      <c r="M806" s="41" t="s">
        <v>4</v>
      </c>
      <c r="N806" s="9"/>
      <c r="O806" s="3">
        <f>SUM(O781:O803)</f>
        <v>39</v>
      </c>
    </row>
    <row r="807" spans="1:15" x14ac:dyDescent="0.2">
      <c r="C807" s="10"/>
      <c r="D807" s="4"/>
      <c r="F807" s="101"/>
      <c r="G807" s="102"/>
      <c r="H807" s="102"/>
      <c r="I807" s="103"/>
      <c r="J807" s="44"/>
      <c r="N807" s="10"/>
      <c r="O807" s="4"/>
    </row>
    <row r="808" spans="1:15" x14ac:dyDescent="0.2">
      <c r="B808" s="11"/>
      <c r="C808" s="11"/>
      <c r="D808" s="5"/>
      <c r="F808" s="101"/>
      <c r="G808" s="102"/>
      <c r="H808" s="102"/>
      <c r="I808" s="103"/>
      <c r="J808" s="44"/>
      <c r="M808" s="11"/>
      <c r="N808" s="11"/>
      <c r="O808" s="5"/>
    </row>
    <row r="809" spans="1:15" x14ac:dyDescent="0.2">
      <c r="B809" s="104" t="s">
        <v>5</v>
      </c>
      <c r="C809" s="105"/>
      <c r="D809" s="105"/>
      <c r="F809" s="101"/>
      <c r="G809" s="102"/>
      <c r="H809" s="102"/>
      <c r="I809" s="103"/>
      <c r="J809" s="44"/>
      <c r="M809" s="104" t="s">
        <v>5</v>
      </c>
      <c r="N809" s="105"/>
      <c r="O809" s="105"/>
    </row>
    <row r="810" spans="1:15" x14ac:dyDescent="0.2">
      <c r="D810" s="4"/>
      <c r="E810" s="10"/>
      <c r="F810" s="101"/>
      <c r="G810" s="102"/>
      <c r="H810" s="102"/>
      <c r="I810" s="103"/>
      <c r="J810" s="44"/>
      <c r="K810" s="10"/>
    </row>
    <row r="811" spans="1:15" x14ac:dyDescent="0.2">
      <c r="B811" s="45" t="s">
        <v>35</v>
      </c>
      <c r="C811" s="46">
        <v>1</v>
      </c>
      <c r="D811" s="8" t="s">
        <v>8</v>
      </c>
      <c r="E811" s="47"/>
      <c r="F811" s="101"/>
      <c r="G811" s="102"/>
      <c r="H811" s="102"/>
      <c r="I811" s="103"/>
      <c r="J811" s="44"/>
      <c r="K811" s="47"/>
      <c r="L811" s="48"/>
      <c r="M811" s="45" t="s">
        <v>35</v>
      </c>
      <c r="N811" s="46">
        <v>1</v>
      </c>
      <c r="O811" s="8" t="s">
        <v>8</v>
      </c>
    </row>
    <row r="812" spans="1:15" x14ac:dyDescent="0.2">
      <c r="B812" s="49" t="s">
        <v>19</v>
      </c>
      <c r="C812" s="50">
        <v>2</v>
      </c>
      <c r="D812" s="1" t="s">
        <v>8</v>
      </c>
      <c r="E812" s="47"/>
      <c r="F812" s="101"/>
      <c r="G812" s="102"/>
      <c r="H812" s="102"/>
      <c r="I812" s="103"/>
      <c r="J812" s="44"/>
      <c r="K812" s="47"/>
      <c r="L812" s="51"/>
      <c r="M812" s="49" t="s">
        <v>19</v>
      </c>
      <c r="N812" s="50">
        <v>2</v>
      </c>
      <c r="O812" s="1" t="s">
        <v>8</v>
      </c>
    </row>
    <row r="813" spans="1:15" x14ac:dyDescent="0.2">
      <c r="B813" s="49" t="s">
        <v>20</v>
      </c>
      <c r="C813" s="50">
        <v>3</v>
      </c>
      <c r="D813" s="1" t="s">
        <v>9</v>
      </c>
      <c r="E813" s="47"/>
      <c r="F813" s="101"/>
      <c r="G813" s="102"/>
      <c r="H813" s="102"/>
      <c r="I813" s="103"/>
      <c r="J813" s="44"/>
      <c r="K813" s="47"/>
      <c r="L813" s="51"/>
      <c r="M813" s="49" t="s">
        <v>20</v>
      </c>
      <c r="N813" s="50">
        <v>3</v>
      </c>
      <c r="O813" s="1" t="s">
        <v>9</v>
      </c>
    </row>
    <row r="814" spans="1:15" x14ac:dyDescent="0.2">
      <c r="B814" s="49" t="s">
        <v>14</v>
      </c>
      <c r="C814" s="50">
        <v>6</v>
      </c>
      <c r="D814" s="1" t="s">
        <v>9</v>
      </c>
      <c r="E814" s="47"/>
      <c r="F814" s="101"/>
      <c r="G814" s="102"/>
      <c r="H814" s="102"/>
      <c r="I814" s="103"/>
      <c r="J814" s="44"/>
      <c r="K814" s="47"/>
      <c r="L814" s="51"/>
      <c r="M814" s="49" t="s">
        <v>14</v>
      </c>
      <c r="N814" s="50">
        <v>6</v>
      </c>
      <c r="O814" s="1" t="s">
        <v>9</v>
      </c>
    </row>
    <row r="815" spans="1:15" x14ac:dyDescent="0.2">
      <c r="B815" s="49" t="s">
        <v>17</v>
      </c>
      <c r="C815" s="50">
        <v>12</v>
      </c>
      <c r="D815" s="1" t="s">
        <v>9</v>
      </c>
      <c r="E815" s="47"/>
      <c r="F815" s="101"/>
      <c r="G815" s="102"/>
      <c r="H815" s="102"/>
      <c r="I815" s="103"/>
      <c r="J815" s="44"/>
      <c r="K815" s="47"/>
      <c r="L815" s="51"/>
      <c r="M815" s="49" t="s">
        <v>17</v>
      </c>
      <c r="N815" s="50">
        <v>12</v>
      </c>
      <c r="O815" s="1" t="s">
        <v>9</v>
      </c>
    </row>
    <row r="816" spans="1:15" x14ac:dyDescent="0.2">
      <c r="B816" s="52" t="s">
        <v>18</v>
      </c>
      <c r="C816" s="53">
        <v>10</v>
      </c>
      <c r="D816" s="2" t="s">
        <v>9</v>
      </c>
      <c r="E816" s="47"/>
      <c r="F816" s="101"/>
      <c r="G816" s="102"/>
      <c r="H816" s="102"/>
      <c r="I816" s="103"/>
      <c r="J816" s="44"/>
      <c r="K816" s="47"/>
      <c r="L816" s="51"/>
      <c r="M816" s="52" t="s">
        <v>18</v>
      </c>
      <c r="N816" s="53">
        <v>10</v>
      </c>
      <c r="O816" s="2" t="s">
        <v>9</v>
      </c>
    </row>
    <row r="818" spans="1:15" ht="18" x14ac:dyDescent="0.25">
      <c r="I818" s="26"/>
      <c r="J818" s="26"/>
      <c r="K818" s="120" t="s">
        <v>7</v>
      </c>
      <c r="L818" s="120"/>
      <c r="M818" s="120"/>
      <c r="N818" s="120"/>
      <c r="O818" s="120"/>
    </row>
    <row r="819" spans="1:15" ht="18" x14ac:dyDescent="0.25">
      <c r="I819" s="26"/>
      <c r="J819" s="26"/>
      <c r="K819" s="115" t="s">
        <v>6</v>
      </c>
      <c r="L819" s="115"/>
      <c r="M819" s="115"/>
      <c r="N819" s="115"/>
      <c r="O819" s="115"/>
    </row>
    <row r="820" spans="1:15" ht="18" x14ac:dyDescent="0.25">
      <c r="K820" s="115"/>
      <c r="L820" s="115"/>
      <c r="M820" s="115"/>
      <c r="N820" s="115"/>
      <c r="O820" s="115"/>
    </row>
    <row r="821" spans="1:15" x14ac:dyDescent="0.2">
      <c r="A821" s="28" t="s">
        <v>160</v>
      </c>
      <c r="B821" s="29"/>
      <c r="C821" s="113" t="s">
        <v>161</v>
      </c>
      <c r="D821" s="116"/>
      <c r="E821" s="116"/>
      <c r="F821" s="116"/>
      <c r="G821" s="116"/>
      <c r="H821" s="116"/>
      <c r="I821" s="116"/>
      <c r="J821" s="116"/>
      <c r="K821" s="116"/>
      <c r="L821" s="11"/>
      <c r="M821" s="31" t="s">
        <v>162</v>
      </c>
      <c r="N821" s="11"/>
      <c r="O821" s="5"/>
    </row>
    <row r="822" spans="1:15" x14ac:dyDescent="0.2">
      <c r="B822" s="32"/>
      <c r="C822" s="10"/>
      <c r="E822" s="10"/>
      <c r="F822" s="33"/>
      <c r="G822" s="33"/>
      <c r="H822" s="33"/>
      <c r="I822" s="33"/>
      <c r="J822" s="34"/>
      <c r="K822" s="35"/>
      <c r="L822" s="10"/>
      <c r="M822" s="10"/>
    </row>
    <row r="823" spans="1:15" ht="15" x14ac:dyDescent="0.25">
      <c r="A823" s="117" t="s">
        <v>10</v>
      </c>
      <c r="B823" s="116"/>
      <c r="C823" s="116"/>
      <c r="D823" s="116"/>
      <c r="E823" s="10"/>
      <c r="F823" s="36" t="s">
        <v>12</v>
      </c>
      <c r="G823" s="36"/>
      <c r="H823" s="36"/>
      <c r="I823" s="114" t="s">
        <v>13</v>
      </c>
      <c r="J823" s="118"/>
      <c r="K823" s="6"/>
      <c r="L823" s="119" t="s">
        <v>11</v>
      </c>
      <c r="M823" s="119"/>
      <c r="N823" s="119"/>
      <c r="O823" s="119"/>
    </row>
    <row r="824" spans="1:15" ht="15" x14ac:dyDescent="0.25">
      <c r="A824" s="110" t="s">
        <v>34</v>
      </c>
      <c r="B824" s="111"/>
      <c r="C824" s="111"/>
      <c r="D824" s="111"/>
      <c r="E824" s="10"/>
      <c r="F824" s="73" t="s">
        <v>50</v>
      </c>
      <c r="G824" s="36"/>
      <c r="H824" s="36"/>
      <c r="I824" s="112" t="s">
        <v>30</v>
      </c>
      <c r="J824" s="111"/>
      <c r="K824" s="25"/>
      <c r="L824" s="110" t="s">
        <v>125</v>
      </c>
      <c r="M824" s="111"/>
      <c r="N824" s="111"/>
      <c r="O824" s="111"/>
    </row>
    <row r="826" spans="1:15" x14ac:dyDescent="0.2">
      <c r="A826" s="113"/>
      <c r="B826" s="113"/>
      <c r="D826" s="106" t="s">
        <v>21</v>
      </c>
      <c r="E826" s="107"/>
      <c r="F826" s="107"/>
      <c r="G826" s="107"/>
      <c r="H826" s="107"/>
      <c r="I826" s="107"/>
      <c r="J826" s="107"/>
      <c r="K826" s="107"/>
      <c r="L826" s="107"/>
    </row>
    <row r="828" spans="1:15" x14ac:dyDescent="0.2">
      <c r="A828" s="28" t="s">
        <v>0</v>
      </c>
      <c r="B828" s="7" t="s">
        <v>1</v>
      </c>
      <c r="C828" s="28"/>
      <c r="D828" s="7" t="s">
        <v>2</v>
      </c>
      <c r="E828" s="28"/>
      <c r="F828" s="114" t="s">
        <v>3</v>
      </c>
      <c r="G828" s="114"/>
      <c r="H828" s="114"/>
      <c r="I828" s="114"/>
      <c r="J828" s="114"/>
      <c r="K828" s="28"/>
      <c r="L828" s="28" t="s">
        <v>0</v>
      </c>
      <c r="M828" s="7" t="s">
        <v>1</v>
      </c>
      <c r="N828" s="28"/>
      <c r="O828" s="7" t="s">
        <v>2</v>
      </c>
    </row>
    <row r="829" spans="1:15" ht="18" customHeight="1" x14ac:dyDescent="0.2">
      <c r="A829" s="7">
        <v>1</v>
      </c>
      <c r="B829" s="11" t="s">
        <v>63</v>
      </c>
      <c r="D829" s="5">
        <v>12</v>
      </c>
      <c r="F829" s="37" t="s">
        <v>173</v>
      </c>
      <c r="G829" s="38"/>
      <c r="H829" s="37" t="s">
        <v>193</v>
      </c>
      <c r="I829" s="38"/>
      <c r="J829" s="37"/>
      <c r="L829" s="7"/>
      <c r="M829" s="11" t="s">
        <v>92</v>
      </c>
      <c r="O829" s="5">
        <v>4</v>
      </c>
    </row>
    <row r="830" spans="1:15" x14ac:dyDescent="0.2">
      <c r="A830" s="80"/>
      <c r="B830" s="10"/>
      <c r="C830" s="51"/>
      <c r="D830" s="79"/>
      <c r="F830" s="82"/>
      <c r="G830" s="56"/>
      <c r="H830" s="82"/>
      <c r="I830" s="56"/>
      <c r="J830" s="82"/>
      <c r="L830" s="80"/>
      <c r="O830" s="79"/>
    </row>
    <row r="831" spans="1:15" x14ac:dyDescent="0.2">
      <c r="A831" s="80"/>
      <c r="B831" s="10"/>
      <c r="C831" s="51"/>
      <c r="D831" s="4"/>
      <c r="F831" s="56"/>
      <c r="G831" s="56"/>
      <c r="H831" s="56"/>
      <c r="I831" s="56"/>
      <c r="J831" s="56"/>
      <c r="L831" s="80"/>
      <c r="O831" s="4"/>
    </row>
    <row r="832" spans="1:15" x14ac:dyDescent="0.2">
      <c r="B832" s="10"/>
      <c r="D832" s="4"/>
      <c r="F832" s="39"/>
      <c r="G832" s="39"/>
      <c r="H832" s="39"/>
      <c r="I832" s="39"/>
      <c r="J832" s="39"/>
      <c r="O832" s="4"/>
    </row>
    <row r="833" spans="1:15" x14ac:dyDescent="0.2">
      <c r="D833" s="106" t="s">
        <v>22</v>
      </c>
      <c r="E833" s="107"/>
      <c r="F833" s="107"/>
      <c r="G833" s="107"/>
      <c r="H833" s="107"/>
      <c r="I833" s="107"/>
      <c r="J833" s="107"/>
      <c r="K833" s="107"/>
      <c r="L833" s="107"/>
    </row>
    <row r="834" spans="1:15" x14ac:dyDescent="0.2">
      <c r="F834" s="40"/>
      <c r="G834" s="40"/>
      <c r="H834" s="40"/>
      <c r="I834" s="40"/>
      <c r="J834" s="40"/>
    </row>
    <row r="835" spans="1:15" ht="18" customHeight="1" x14ac:dyDescent="0.2">
      <c r="A835" s="7">
        <v>1</v>
      </c>
      <c r="B835" s="11" t="s">
        <v>67</v>
      </c>
      <c r="D835" s="5">
        <v>12</v>
      </c>
      <c r="E835" s="41"/>
      <c r="F835" s="37" t="s">
        <v>194</v>
      </c>
      <c r="G835" s="38"/>
      <c r="H835" s="37" t="s">
        <v>185</v>
      </c>
      <c r="I835" s="38"/>
      <c r="J835" s="37"/>
      <c r="K835" s="41"/>
      <c r="L835" s="7"/>
      <c r="M835" s="11" t="s">
        <v>94</v>
      </c>
      <c r="O835" s="5">
        <v>6</v>
      </c>
    </row>
    <row r="836" spans="1:15" x14ac:dyDescent="0.2">
      <c r="B836" s="10"/>
      <c r="D836" s="4"/>
      <c r="F836" s="39"/>
      <c r="G836" s="39"/>
      <c r="H836" s="39"/>
      <c r="I836" s="39"/>
      <c r="J836" s="39"/>
      <c r="O836" s="4"/>
    </row>
    <row r="837" spans="1:15" x14ac:dyDescent="0.2">
      <c r="D837" s="106" t="s">
        <v>23</v>
      </c>
      <c r="E837" s="107"/>
      <c r="F837" s="107"/>
      <c r="G837" s="107"/>
      <c r="H837" s="107"/>
      <c r="I837" s="107"/>
      <c r="J837" s="107"/>
      <c r="K837" s="107"/>
      <c r="L837" s="107"/>
    </row>
    <row r="838" spans="1:15" x14ac:dyDescent="0.2">
      <c r="F838" s="40"/>
      <c r="G838" s="40"/>
      <c r="H838" s="40"/>
      <c r="I838" s="40"/>
      <c r="J838" s="40"/>
    </row>
    <row r="839" spans="1:15" ht="18" customHeight="1" x14ac:dyDescent="0.2">
      <c r="A839" s="7">
        <v>1</v>
      </c>
      <c r="B839" s="11" t="s">
        <v>69</v>
      </c>
      <c r="D839" s="5">
        <v>4</v>
      </c>
      <c r="F839" s="37" t="s">
        <v>180</v>
      </c>
      <c r="G839" s="38"/>
      <c r="H839" s="37" t="s">
        <v>169</v>
      </c>
      <c r="I839" s="38"/>
      <c r="J839" s="37"/>
      <c r="L839" s="7"/>
      <c r="M839" s="11" t="s">
        <v>146</v>
      </c>
      <c r="O839" s="5">
        <v>12</v>
      </c>
    </row>
    <row r="840" spans="1:15" x14ac:dyDescent="0.2">
      <c r="B840" s="11" t="s">
        <v>70</v>
      </c>
      <c r="F840" s="40"/>
      <c r="G840" s="40"/>
      <c r="H840" s="40"/>
      <c r="I840" s="40"/>
      <c r="J840" s="40"/>
      <c r="M840" s="11" t="s">
        <v>95</v>
      </c>
    </row>
    <row r="841" spans="1:15" x14ac:dyDescent="0.2">
      <c r="B841" s="10"/>
      <c r="F841" s="40"/>
      <c r="G841" s="40"/>
      <c r="H841" s="40"/>
      <c r="I841" s="40"/>
      <c r="J841" s="40"/>
    </row>
    <row r="842" spans="1:15" x14ac:dyDescent="0.2">
      <c r="D842" s="106" t="s">
        <v>24</v>
      </c>
      <c r="E842" s="107"/>
      <c r="F842" s="107"/>
      <c r="G842" s="107"/>
      <c r="H842" s="107"/>
      <c r="I842" s="107"/>
      <c r="J842" s="107"/>
      <c r="K842" s="107"/>
      <c r="L842" s="107"/>
      <c r="M842" s="83"/>
    </row>
    <row r="843" spans="1:15" x14ac:dyDescent="0.2">
      <c r="F843" s="40"/>
      <c r="G843" s="40"/>
      <c r="H843" s="40"/>
      <c r="I843" s="40"/>
      <c r="J843" s="40"/>
    </row>
    <row r="844" spans="1:15" ht="18" customHeight="1" x14ac:dyDescent="0.2">
      <c r="A844" s="7">
        <v>1</v>
      </c>
      <c r="B844" s="11" t="s">
        <v>64</v>
      </c>
      <c r="D844" s="5">
        <v>12</v>
      </c>
      <c r="F844" s="37" t="s">
        <v>195</v>
      </c>
      <c r="G844" s="38"/>
      <c r="H844" s="37" t="s">
        <v>192</v>
      </c>
      <c r="I844" s="38"/>
      <c r="J844" s="37"/>
      <c r="L844" s="7"/>
      <c r="M844" s="11" t="s">
        <v>93</v>
      </c>
      <c r="O844" s="5">
        <v>3</v>
      </c>
    </row>
    <row r="845" spans="1:15" x14ac:dyDescent="0.2">
      <c r="A845" s="7"/>
      <c r="B845" s="11" t="s">
        <v>134</v>
      </c>
      <c r="F845" s="42"/>
      <c r="G845" s="42"/>
      <c r="H845" s="42"/>
      <c r="I845" s="42"/>
      <c r="J845" s="42"/>
      <c r="L845" s="7"/>
      <c r="M845" s="11" t="s">
        <v>142</v>
      </c>
    </row>
    <row r="846" spans="1:15" x14ac:dyDescent="0.2">
      <c r="A846" s="17"/>
      <c r="B846" s="47"/>
      <c r="C846" s="10"/>
      <c r="D846" s="4"/>
      <c r="E846" s="10"/>
      <c r="F846" s="56"/>
      <c r="G846" s="56"/>
      <c r="H846" s="56"/>
      <c r="I846" s="56"/>
      <c r="J846" s="56"/>
      <c r="K846" s="10"/>
      <c r="L846" s="17"/>
      <c r="N846" s="10"/>
      <c r="O846" s="4"/>
    </row>
    <row r="847" spans="1:15" x14ac:dyDescent="0.2">
      <c r="A847" s="10"/>
      <c r="B847" s="47"/>
      <c r="C847" s="10"/>
      <c r="D847" s="4"/>
      <c r="E847" s="10"/>
      <c r="F847" s="57"/>
      <c r="G847" s="57"/>
      <c r="H847" s="57"/>
      <c r="I847" s="57"/>
      <c r="J847" s="57"/>
      <c r="K847" s="10"/>
      <c r="L847" s="10"/>
      <c r="N847" s="10"/>
      <c r="O847" s="4"/>
    </row>
    <row r="848" spans="1:15" x14ac:dyDescent="0.2">
      <c r="B848" s="10"/>
      <c r="F848" s="40"/>
      <c r="G848" s="40"/>
      <c r="H848" s="40"/>
      <c r="I848" s="40"/>
      <c r="J848" s="40"/>
    </row>
    <row r="849" spans="1:15" x14ac:dyDescent="0.2">
      <c r="D849" s="106" t="s">
        <v>25</v>
      </c>
      <c r="E849" s="107"/>
      <c r="F849" s="107"/>
      <c r="G849" s="107"/>
      <c r="H849" s="107"/>
      <c r="I849" s="107"/>
      <c r="J849" s="107"/>
      <c r="K849" s="107"/>
      <c r="L849" s="107"/>
    </row>
    <row r="850" spans="1:15" x14ac:dyDescent="0.2">
      <c r="F850" s="40"/>
      <c r="G850" s="40"/>
      <c r="H850" s="40"/>
      <c r="I850" s="40"/>
      <c r="J850" s="40"/>
    </row>
    <row r="851" spans="1:15" ht="18" customHeight="1" x14ac:dyDescent="0.2">
      <c r="A851" s="7">
        <v>1</v>
      </c>
      <c r="B851" s="11" t="s">
        <v>139</v>
      </c>
      <c r="D851" s="5">
        <v>5</v>
      </c>
      <c r="F851" s="37" t="s">
        <v>183</v>
      </c>
      <c r="G851" s="38"/>
      <c r="H851" s="37" t="s">
        <v>176</v>
      </c>
      <c r="I851" s="38"/>
      <c r="J851" s="37"/>
      <c r="L851" s="7"/>
      <c r="M851" s="11" t="s">
        <v>148</v>
      </c>
      <c r="O851" s="5">
        <v>12</v>
      </c>
    </row>
    <row r="852" spans="1:15" x14ac:dyDescent="0.2">
      <c r="B852" s="11" t="s">
        <v>65</v>
      </c>
      <c r="M852" s="11" t="s">
        <v>91</v>
      </c>
    </row>
    <row r="854" spans="1:15" x14ac:dyDescent="0.2">
      <c r="B854" s="41" t="s">
        <v>4</v>
      </c>
      <c r="C854" s="9"/>
      <c r="D854" s="3">
        <f>SUM(D829:D851)</f>
        <v>45</v>
      </c>
      <c r="F854" s="108" t="s">
        <v>15</v>
      </c>
      <c r="G854" s="109"/>
      <c r="H854" s="109"/>
      <c r="I854" s="109"/>
      <c r="J854" s="43" t="s">
        <v>16</v>
      </c>
      <c r="M854" s="41" t="s">
        <v>4</v>
      </c>
      <c r="N854" s="9"/>
      <c r="O854" s="3">
        <f>SUM(O829:O851)</f>
        <v>37</v>
      </c>
    </row>
    <row r="855" spans="1:15" x14ac:dyDescent="0.2">
      <c r="C855" s="10"/>
      <c r="D855" s="4"/>
      <c r="F855" s="101"/>
      <c r="G855" s="102"/>
      <c r="H855" s="102"/>
      <c r="I855" s="103"/>
      <c r="J855" s="44"/>
      <c r="N855" s="10"/>
      <c r="O855" s="4"/>
    </row>
    <row r="856" spans="1:15" x14ac:dyDescent="0.2">
      <c r="B856" s="11"/>
      <c r="C856" s="11"/>
      <c r="D856" s="5"/>
      <c r="F856" s="101"/>
      <c r="G856" s="102"/>
      <c r="H856" s="102"/>
      <c r="I856" s="103"/>
      <c r="J856" s="44"/>
      <c r="M856" s="11"/>
      <c r="N856" s="11"/>
      <c r="O856" s="5"/>
    </row>
    <row r="857" spans="1:15" x14ac:dyDescent="0.2">
      <c r="B857" s="104" t="s">
        <v>5</v>
      </c>
      <c r="C857" s="105"/>
      <c r="D857" s="105"/>
      <c r="F857" s="101"/>
      <c r="G857" s="102"/>
      <c r="H857" s="102"/>
      <c r="I857" s="103"/>
      <c r="J857" s="44"/>
      <c r="M857" s="104" t="s">
        <v>5</v>
      </c>
      <c r="N857" s="105"/>
      <c r="O857" s="105"/>
    </row>
    <row r="858" spans="1:15" x14ac:dyDescent="0.2">
      <c r="D858" s="4"/>
      <c r="E858" s="10"/>
      <c r="F858" s="101"/>
      <c r="G858" s="102"/>
      <c r="H858" s="102"/>
      <c r="I858" s="103"/>
      <c r="J858" s="44"/>
      <c r="K858" s="10"/>
    </row>
    <row r="859" spans="1:15" x14ac:dyDescent="0.2">
      <c r="B859" s="45" t="s">
        <v>35</v>
      </c>
      <c r="C859" s="46">
        <v>1</v>
      </c>
      <c r="D859" s="8" t="s">
        <v>8</v>
      </c>
      <c r="E859" s="47"/>
      <c r="F859" s="101"/>
      <c r="G859" s="102"/>
      <c r="H859" s="102"/>
      <c r="I859" s="103"/>
      <c r="J859" s="44"/>
      <c r="K859" s="47"/>
      <c r="L859" s="48"/>
      <c r="M859" s="45" t="s">
        <v>35</v>
      </c>
      <c r="N859" s="46">
        <v>1</v>
      </c>
      <c r="O859" s="8" t="s">
        <v>8</v>
      </c>
    </row>
    <row r="860" spans="1:15" x14ac:dyDescent="0.2">
      <c r="B860" s="49" t="s">
        <v>19</v>
      </c>
      <c r="C860" s="50">
        <v>2</v>
      </c>
      <c r="D860" s="1" t="s">
        <v>8</v>
      </c>
      <c r="E860" s="47"/>
      <c r="F860" s="101"/>
      <c r="G860" s="102"/>
      <c r="H860" s="102"/>
      <c r="I860" s="103"/>
      <c r="J860" s="44"/>
      <c r="K860" s="47"/>
      <c r="L860" s="51"/>
      <c r="M860" s="49" t="s">
        <v>19</v>
      </c>
      <c r="N860" s="50">
        <v>2</v>
      </c>
      <c r="O860" s="1" t="s">
        <v>8</v>
      </c>
    </row>
    <row r="861" spans="1:15" x14ac:dyDescent="0.2">
      <c r="B861" s="49" t="s">
        <v>20</v>
      </c>
      <c r="C861" s="50">
        <v>3</v>
      </c>
      <c r="D861" s="1" t="s">
        <v>9</v>
      </c>
      <c r="E861" s="47"/>
      <c r="F861" s="101"/>
      <c r="G861" s="102"/>
      <c r="H861" s="102"/>
      <c r="I861" s="103"/>
      <c r="J861" s="44"/>
      <c r="K861" s="47"/>
      <c r="L861" s="51"/>
      <c r="M861" s="49" t="s">
        <v>20</v>
      </c>
      <c r="N861" s="50">
        <v>3</v>
      </c>
      <c r="O861" s="1" t="s">
        <v>9</v>
      </c>
    </row>
    <row r="862" spans="1:15" x14ac:dyDescent="0.2">
      <c r="B862" s="49" t="s">
        <v>14</v>
      </c>
      <c r="C862" s="50">
        <v>6</v>
      </c>
      <c r="D862" s="1" t="s">
        <v>9</v>
      </c>
      <c r="E862" s="47"/>
      <c r="F862" s="101"/>
      <c r="G862" s="102"/>
      <c r="H862" s="102"/>
      <c r="I862" s="103"/>
      <c r="J862" s="44"/>
      <c r="K862" s="47"/>
      <c r="L862" s="51"/>
      <c r="M862" s="49" t="s">
        <v>14</v>
      </c>
      <c r="N862" s="50">
        <v>6</v>
      </c>
      <c r="O862" s="1" t="s">
        <v>9</v>
      </c>
    </row>
    <row r="863" spans="1:15" x14ac:dyDescent="0.2">
      <c r="B863" s="49" t="s">
        <v>17</v>
      </c>
      <c r="C863" s="50">
        <v>12</v>
      </c>
      <c r="D863" s="1" t="s">
        <v>9</v>
      </c>
      <c r="E863" s="47"/>
      <c r="F863" s="101"/>
      <c r="G863" s="102"/>
      <c r="H863" s="102"/>
      <c r="I863" s="103"/>
      <c r="J863" s="44"/>
      <c r="K863" s="47"/>
      <c r="L863" s="51"/>
      <c r="M863" s="49" t="s">
        <v>17</v>
      </c>
      <c r="N863" s="50">
        <v>12</v>
      </c>
      <c r="O863" s="1" t="s">
        <v>9</v>
      </c>
    </row>
    <row r="864" spans="1:15" x14ac:dyDescent="0.2">
      <c r="B864" s="52" t="s">
        <v>18</v>
      </c>
      <c r="C864" s="53">
        <v>10</v>
      </c>
      <c r="D864" s="2" t="s">
        <v>9</v>
      </c>
      <c r="E864" s="47"/>
      <c r="F864" s="101"/>
      <c r="G864" s="102"/>
      <c r="H864" s="102"/>
      <c r="I864" s="103"/>
      <c r="J864" s="44"/>
      <c r="K864" s="47"/>
      <c r="L864" s="51"/>
      <c r="M864" s="52" t="s">
        <v>18</v>
      </c>
      <c r="N864" s="53">
        <v>10</v>
      </c>
      <c r="O864" s="2" t="s">
        <v>9</v>
      </c>
    </row>
    <row r="866" spans="1:15" ht="18" x14ac:dyDescent="0.25">
      <c r="I866" s="26"/>
      <c r="J866" s="26"/>
      <c r="K866" s="120" t="s">
        <v>7</v>
      </c>
      <c r="L866" s="120"/>
      <c r="M866" s="120"/>
      <c r="N866" s="120"/>
      <c r="O866" s="120"/>
    </row>
    <row r="867" spans="1:15" ht="18" x14ac:dyDescent="0.25">
      <c r="I867" s="26"/>
      <c r="J867" s="26"/>
      <c r="K867" s="115" t="s">
        <v>6</v>
      </c>
      <c r="L867" s="115"/>
      <c r="M867" s="115"/>
      <c r="N867" s="115"/>
      <c r="O867" s="115"/>
    </row>
    <row r="868" spans="1:15" ht="18" x14ac:dyDescent="0.25">
      <c r="K868" s="115"/>
      <c r="L868" s="115"/>
      <c r="M868" s="115"/>
      <c r="N868" s="115"/>
      <c r="O868" s="115"/>
    </row>
    <row r="869" spans="1:15" x14ac:dyDescent="0.2">
      <c r="A869" s="28" t="s">
        <v>160</v>
      </c>
      <c r="B869" s="29"/>
      <c r="C869" s="113" t="s">
        <v>161</v>
      </c>
      <c r="D869" s="116"/>
      <c r="E869" s="116"/>
      <c r="F869" s="116"/>
      <c r="G869" s="116"/>
      <c r="H869" s="116"/>
      <c r="I869" s="116"/>
      <c r="J869" s="116"/>
      <c r="K869" s="116"/>
      <c r="L869" s="11"/>
      <c r="M869" s="31" t="s">
        <v>162</v>
      </c>
      <c r="N869" s="11"/>
      <c r="O869" s="5"/>
    </row>
    <row r="870" spans="1:15" x14ac:dyDescent="0.2">
      <c r="B870" s="32"/>
      <c r="C870" s="10"/>
      <c r="E870" s="10"/>
      <c r="F870" s="33"/>
      <c r="G870" s="33"/>
      <c r="H870" s="33"/>
      <c r="I870" s="33"/>
      <c r="J870" s="34"/>
      <c r="K870" s="35"/>
      <c r="L870" s="10"/>
      <c r="M870" s="10"/>
    </row>
    <row r="871" spans="1:15" ht="15" x14ac:dyDescent="0.25">
      <c r="A871" s="117" t="s">
        <v>10</v>
      </c>
      <c r="B871" s="116"/>
      <c r="C871" s="116"/>
      <c r="D871" s="116"/>
      <c r="E871" s="10"/>
      <c r="F871" s="36" t="s">
        <v>12</v>
      </c>
      <c r="G871" s="36"/>
      <c r="H871" s="36"/>
      <c r="I871" s="114" t="s">
        <v>13</v>
      </c>
      <c r="J871" s="118"/>
      <c r="K871" s="6"/>
      <c r="L871" s="119" t="s">
        <v>11</v>
      </c>
      <c r="M871" s="119"/>
      <c r="N871" s="119"/>
      <c r="O871" s="119"/>
    </row>
    <row r="872" spans="1:15" ht="15" x14ac:dyDescent="0.25">
      <c r="A872" s="110" t="s">
        <v>125</v>
      </c>
      <c r="B872" s="111"/>
      <c r="C872" s="111"/>
      <c r="D872" s="111"/>
      <c r="E872" s="10"/>
      <c r="F872" s="74" t="s">
        <v>51</v>
      </c>
      <c r="G872" s="36"/>
      <c r="H872" s="36"/>
      <c r="I872" s="112" t="s">
        <v>28</v>
      </c>
      <c r="J872" s="111"/>
      <c r="K872" s="25"/>
      <c r="L872" s="110" t="s">
        <v>126</v>
      </c>
      <c r="M872" s="111"/>
      <c r="N872" s="111"/>
      <c r="O872" s="111"/>
    </row>
    <row r="874" spans="1:15" x14ac:dyDescent="0.2">
      <c r="A874" s="113"/>
      <c r="B874" s="113"/>
      <c r="D874" s="106" t="s">
        <v>21</v>
      </c>
      <c r="E874" s="107"/>
      <c r="F874" s="107"/>
      <c r="G874" s="107"/>
      <c r="H874" s="107"/>
      <c r="I874" s="107"/>
      <c r="J874" s="107"/>
      <c r="K874" s="107"/>
      <c r="L874" s="107"/>
    </row>
    <row r="876" spans="1:15" x14ac:dyDescent="0.2">
      <c r="A876" s="28" t="s">
        <v>0</v>
      </c>
      <c r="B876" s="7" t="s">
        <v>1</v>
      </c>
      <c r="C876" s="28"/>
      <c r="D876" s="7" t="s">
        <v>2</v>
      </c>
      <c r="E876" s="28"/>
      <c r="F876" s="114" t="s">
        <v>3</v>
      </c>
      <c r="G876" s="114"/>
      <c r="H876" s="114"/>
      <c r="I876" s="114"/>
      <c r="J876" s="114"/>
      <c r="K876" s="28"/>
      <c r="L876" s="28" t="s">
        <v>0</v>
      </c>
      <c r="M876" s="7" t="s">
        <v>1</v>
      </c>
      <c r="N876" s="28"/>
      <c r="O876" s="7" t="s">
        <v>2</v>
      </c>
    </row>
    <row r="877" spans="1:15" ht="18" customHeight="1" x14ac:dyDescent="0.2">
      <c r="A877" s="7">
        <v>1</v>
      </c>
      <c r="B877" s="11" t="s">
        <v>93</v>
      </c>
      <c r="D877" s="5">
        <v>3</v>
      </c>
      <c r="F877" s="37" t="s">
        <v>167</v>
      </c>
      <c r="G877" s="38"/>
      <c r="H877" s="37" t="s">
        <v>176</v>
      </c>
      <c r="I877" s="38"/>
      <c r="J877" s="37"/>
      <c r="L877" s="7"/>
      <c r="M877" s="11" t="s">
        <v>71</v>
      </c>
      <c r="O877" s="5">
        <v>12</v>
      </c>
    </row>
    <row r="878" spans="1:15" x14ac:dyDescent="0.2">
      <c r="A878" s="80"/>
      <c r="C878" s="51"/>
      <c r="D878" s="79"/>
      <c r="F878" s="82"/>
      <c r="G878" s="56"/>
      <c r="H878" s="82"/>
      <c r="I878" s="56"/>
      <c r="J878" s="82"/>
      <c r="L878" s="80"/>
      <c r="M878" s="10"/>
      <c r="O878" s="79"/>
    </row>
    <row r="879" spans="1:15" x14ac:dyDescent="0.2">
      <c r="A879" s="80"/>
      <c r="C879" s="51"/>
      <c r="D879" s="4"/>
      <c r="F879" s="56"/>
      <c r="G879" s="56"/>
      <c r="H879" s="56"/>
      <c r="I879" s="56"/>
      <c r="J879" s="56"/>
      <c r="L879" s="80"/>
      <c r="M879" s="10"/>
      <c r="O879" s="4"/>
    </row>
    <row r="880" spans="1:15" x14ac:dyDescent="0.2">
      <c r="D880" s="4"/>
      <c r="F880" s="39"/>
      <c r="G880" s="39"/>
      <c r="H880" s="39"/>
      <c r="I880" s="39"/>
      <c r="J880" s="39"/>
      <c r="M880" s="10"/>
      <c r="O880" s="4"/>
    </row>
    <row r="881" spans="1:15" x14ac:dyDescent="0.2">
      <c r="D881" s="106" t="s">
        <v>22</v>
      </c>
      <c r="E881" s="107"/>
      <c r="F881" s="107"/>
      <c r="G881" s="107"/>
      <c r="H881" s="107"/>
      <c r="I881" s="107"/>
      <c r="J881" s="107"/>
      <c r="K881" s="107"/>
      <c r="L881" s="107"/>
    </row>
    <row r="882" spans="1:15" x14ac:dyDescent="0.2">
      <c r="F882" s="40"/>
      <c r="G882" s="40"/>
      <c r="H882" s="40"/>
      <c r="I882" s="40"/>
      <c r="J882" s="40"/>
    </row>
    <row r="883" spans="1:15" ht="18" customHeight="1" x14ac:dyDescent="0.2">
      <c r="A883" s="7">
        <v>1</v>
      </c>
      <c r="B883" s="11" t="s">
        <v>148</v>
      </c>
      <c r="D883" s="5">
        <v>2</v>
      </c>
      <c r="E883" s="41"/>
      <c r="F883" s="37" t="s">
        <v>166</v>
      </c>
      <c r="G883" s="38"/>
      <c r="H883" s="37" t="s">
        <v>166</v>
      </c>
      <c r="I883" s="38"/>
      <c r="J883" s="37"/>
      <c r="K883" s="41"/>
      <c r="L883" s="7"/>
      <c r="M883" s="11" t="s">
        <v>82</v>
      </c>
      <c r="O883" s="5">
        <v>12</v>
      </c>
    </row>
    <row r="884" spans="1:15" x14ac:dyDescent="0.2">
      <c r="D884" s="4"/>
      <c r="F884" s="39"/>
      <c r="G884" s="39"/>
      <c r="H884" s="39"/>
      <c r="I884" s="39"/>
      <c r="J884" s="39"/>
      <c r="M884" s="10"/>
      <c r="O884" s="4"/>
    </row>
    <row r="885" spans="1:15" x14ac:dyDescent="0.2">
      <c r="D885" s="106" t="s">
        <v>23</v>
      </c>
      <c r="E885" s="107"/>
      <c r="F885" s="107"/>
      <c r="G885" s="107"/>
      <c r="H885" s="107"/>
      <c r="I885" s="107"/>
      <c r="J885" s="107"/>
      <c r="K885" s="107"/>
      <c r="L885" s="107"/>
    </row>
    <row r="886" spans="1:15" x14ac:dyDescent="0.2">
      <c r="F886" s="40"/>
      <c r="G886" s="40"/>
      <c r="H886" s="40"/>
      <c r="I886" s="40"/>
      <c r="J886" s="40"/>
    </row>
    <row r="887" spans="1:15" ht="18" customHeight="1" x14ac:dyDescent="0.2">
      <c r="A887" s="7">
        <v>1</v>
      </c>
      <c r="B887" s="11" t="s">
        <v>94</v>
      </c>
      <c r="D887" s="5">
        <v>5</v>
      </c>
      <c r="F887" s="37" t="s">
        <v>196</v>
      </c>
      <c r="G887" s="38"/>
      <c r="H887" s="37" t="s">
        <v>213</v>
      </c>
      <c r="I887" s="38"/>
      <c r="J887" s="37"/>
      <c r="L887" s="7"/>
      <c r="M887" s="11" t="s">
        <v>83</v>
      </c>
      <c r="O887" s="5">
        <v>12</v>
      </c>
    </row>
    <row r="888" spans="1:15" x14ac:dyDescent="0.2">
      <c r="B888" s="11" t="s">
        <v>146</v>
      </c>
      <c r="F888" s="40"/>
      <c r="G888" s="40"/>
      <c r="H888" s="40"/>
      <c r="I888" s="40"/>
      <c r="J888" s="40"/>
      <c r="M888" s="11" t="s">
        <v>84</v>
      </c>
    </row>
    <row r="889" spans="1:15" x14ac:dyDescent="0.2">
      <c r="F889" s="40"/>
      <c r="G889" s="40"/>
      <c r="H889" s="40"/>
      <c r="I889" s="40"/>
      <c r="J889" s="40"/>
      <c r="M889" s="10"/>
    </row>
    <row r="890" spans="1:15" x14ac:dyDescent="0.2">
      <c r="B890" s="83"/>
      <c r="D890" s="106" t="s">
        <v>24</v>
      </c>
      <c r="E890" s="107"/>
      <c r="F890" s="107"/>
      <c r="G890" s="107"/>
      <c r="H890" s="107"/>
      <c r="I890" s="107"/>
      <c r="J890" s="107"/>
      <c r="K890" s="107"/>
      <c r="L890" s="107"/>
    </row>
    <row r="891" spans="1:15" x14ac:dyDescent="0.2">
      <c r="F891" s="40"/>
      <c r="G891" s="40"/>
      <c r="H891" s="40"/>
      <c r="I891" s="40"/>
      <c r="J891" s="40"/>
    </row>
    <row r="892" spans="1:15" ht="18" customHeight="1" x14ac:dyDescent="0.2">
      <c r="A892" s="7">
        <v>1</v>
      </c>
      <c r="B892" s="11" t="s">
        <v>92</v>
      </c>
      <c r="D892" s="5">
        <v>4</v>
      </c>
      <c r="F892" s="37" t="s">
        <v>170</v>
      </c>
      <c r="G892" s="38"/>
      <c r="H892" s="37" t="s">
        <v>176</v>
      </c>
      <c r="I892" s="38"/>
      <c r="J892" s="37"/>
      <c r="L892" s="7"/>
      <c r="M892" s="11" t="s">
        <v>74</v>
      </c>
      <c r="O892" s="5">
        <v>12</v>
      </c>
    </row>
    <row r="893" spans="1:15" x14ac:dyDescent="0.2">
      <c r="A893" s="7"/>
      <c r="B893" s="11" t="s">
        <v>142</v>
      </c>
      <c r="F893" s="42"/>
      <c r="G893" s="42"/>
      <c r="H893" s="42"/>
      <c r="I893" s="42"/>
      <c r="J893" s="42"/>
      <c r="L893" s="7"/>
      <c r="M893" s="11" t="s">
        <v>79</v>
      </c>
    </row>
    <row r="894" spans="1:15" x14ac:dyDescent="0.2">
      <c r="A894" s="17"/>
      <c r="C894" s="10"/>
      <c r="D894" s="4"/>
      <c r="E894" s="10"/>
      <c r="F894" s="56"/>
      <c r="G894" s="56"/>
      <c r="H894" s="56"/>
      <c r="I894" s="56"/>
      <c r="J894" s="56"/>
      <c r="K894" s="10"/>
      <c r="L894" s="17"/>
      <c r="M894" s="47"/>
      <c r="N894" s="10"/>
      <c r="O894" s="4"/>
    </row>
    <row r="895" spans="1:15" x14ac:dyDescent="0.2">
      <c r="A895" s="10"/>
      <c r="C895" s="10"/>
      <c r="D895" s="4"/>
      <c r="E895" s="10"/>
      <c r="F895" s="57"/>
      <c r="G895" s="57"/>
      <c r="H895" s="57"/>
      <c r="I895" s="57"/>
      <c r="J895" s="57"/>
      <c r="K895" s="10"/>
      <c r="L895" s="10"/>
      <c r="M895" s="47"/>
      <c r="N895" s="10"/>
      <c r="O895" s="4"/>
    </row>
    <row r="896" spans="1:15" x14ac:dyDescent="0.2">
      <c r="F896" s="40"/>
      <c r="G896" s="40"/>
      <c r="H896" s="40"/>
      <c r="I896" s="40"/>
      <c r="J896" s="40"/>
      <c r="M896" s="10"/>
    </row>
    <row r="897" spans="1:15" x14ac:dyDescent="0.2">
      <c r="D897" s="106" t="s">
        <v>25</v>
      </c>
      <c r="E897" s="107"/>
      <c r="F897" s="107"/>
      <c r="G897" s="107"/>
      <c r="H897" s="107"/>
      <c r="I897" s="107"/>
      <c r="J897" s="107"/>
      <c r="K897" s="107"/>
      <c r="L897" s="107"/>
    </row>
    <row r="898" spans="1:15" x14ac:dyDescent="0.2">
      <c r="F898" s="40"/>
      <c r="G898" s="40"/>
      <c r="H898" s="40"/>
      <c r="I898" s="40"/>
      <c r="J898" s="40"/>
    </row>
    <row r="899" spans="1:15" ht="18" customHeight="1" x14ac:dyDescent="0.2">
      <c r="A899" s="7">
        <v>1</v>
      </c>
      <c r="B899" s="11" t="s">
        <v>95</v>
      </c>
      <c r="D899" s="5">
        <v>12</v>
      </c>
      <c r="F899" s="37" t="s">
        <v>185</v>
      </c>
      <c r="G899" s="38"/>
      <c r="H899" s="37" t="s">
        <v>184</v>
      </c>
      <c r="I899" s="38"/>
      <c r="J899" s="37"/>
      <c r="L899" s="7"/>
      <c r="M899" s="11" t="s">
        <v>141</v>
      </c>
      <c r="O899" s="5">
        <v>6</v>
      </c>
    </row>
    <row r="900" spans="1:15" x14ac:dyDescent="0.2">
      <c r="B900" s="11" t="s">
        <v>91</v>
      </c>
      <c r="M900" s="11" t="s">
        <v>72</v>
      </c>
    </row>
    <row r="902" spans="1:15" x14ac:dyDescent="0.2">
      <c r="B902" s="41" t="s">
        <v>4</v>
      </c>
      <c r="C902" s="9"/>
      <c r="D902" s="3">
        <f>SUM(D877:D899)</f>
        <v>26</v>
      </c>
      <c r="F902" s="108" t="s">
        <v>15</v>
      </c>
      <c r="G902" s="109"/>
      <c r="H902" s="109"/>
      <c r="I902" s="109"/>
      <c r="J902" s="43" t="s">
        <v>16</v>
      </c>
      <c r="M902" s="41" t="s">
        <v>4</v>
      </c>
      <c r="N902" s="9"/>
      <c r="O902" s="3">
        <f>SUM(O877:O899)</f>
        <v>54</v>
      </c>
    </row>
    <row r="903" spans="1:15" x14ac:dyDescent="0.2">
      <c r="C903" s="10"/>
      <c r="D903" s="4"/>
      <c r="F903" s="101"/>
      <c r="G903" s="102"/>
      <c r="H903" s="102"/>
      <c r="I903" s="103"/>
      <c r="J903" s="44"/>
      <c r="N903" s="10"/>
      <c r="O903" s="4"/>
    </row>
    <row r="904" spans="1:15" x14ac:dyDescent="0.2">
      <c r="B904" s="11"/>
      <c r="C904" s="11"/>
      <c r="D904" s="5"/>
      <c r="F904" s="101"/>
      <c r="G904" s="102"/>
      <c r="H904" s="102"/>
      <c r="I904" s="103"/>
      <c r="J904" s="44"/>
      <c r="M904" s="11"/>
      <c r="N904" s="11"/>
      <c r="O904" s="5"/>
    </row>
    <row r="905" spans="1:15" x14ac:dyDescent="0.2">
      <c r="B905" s="104" t="s">
        <v>5</v>
      </c>
      <c r="C905" s="105"/>
      <c r="D905" s="105"/>
      <c r="F905" s="101"/>
      <c r="G905" s="102"/>
      <c r="H905" s="102"/>
      <c r="I905" s="103"/>
      <c r="J905" s="44"/>
      <c r="M905" s="104" t="s">
        <v>5</v>
      </c>
      <c r="N905" s="105"/>
      <c r="O905" s="105"/>
    </row>
    <row r="906" spans="1:15" x14ac:dyDescent="0.2">
      <c r="D906" s="4"/>
      <c r="E906" s="10"/>
      <c r="F906" s="101"/>
      <c r="G906" s="102"/>
      <c r="H906" s="102"/>
      <c r="I906" s="103"/>
      <c r="J906" s="44"/>
      <c r="K906" s="10"/>
    </row>
    <row r="907" spans="1:15" x14ac:dyDescent="0.2">
      <c r="B907" s="45" t="s">
        <v>35</v>
      </c>
      <c r="C907" s="46">
        <v>1</v>
      </c>
      <c r="D907" s="8" t="s">
        <v>8</v>
      </c>
      <c r="E907" s="47"/>
      <c r="F907" s="101"/>
      <c r="G907" s="102"/>
      <c r="H907" s="102"/>
      <c r="I907" s="103"/>
      <c r="J907" s="44"/>
      <c r="K907" s="47"/>
      <c r="L907" s="48"/>
      <c r="M907" s="45" t="s">
        <v>35</v>
      </c>
      <c r="N907" s="46">
        <v>1</v>
      </c>
      <c r="O907" s="8" t="s">
        <v>8</v>
      </c>
    </row>
    <row r="908" spans="1:15" x14ac:dyDescent="0.2">
      <c r="B908" s="49" t="s">
        <v>19</v>
      </c>
      <c r="C908" s="50">
        <v>2</v>
      </c>
      <c r="D908" s="1" t="s">
        <v>8</v>
      </c>
      <c r="E908" s="47"/>
      <c r="F908" s="101"/>
      <c r="G908" s="102"/>
      <c r="H908" s="102"/>
      <c r="I908" s="103"/>
      <c r="J908" s="44"/>
      <c r="K908" s="47"/>
      <c r="L908" s="51"/>
      <c r="M908" s="49" t="s">
        <v>19</v>
      </c>
      <c r="N908" s="50">
        <v>2</v>
      </c>
      <c r="O908" s="1" t="s">
        <v>8</v>
      </c>
    </row>
    <row r="909" spans="1:15" x14ac:dyDescent="0.2">
      <c r="B909" s="49" t="s">
        <v>20</v>
      </c>
      <c r="C909" s="50">
        <v>3</v>
      </c>
      <c r="D909" s="1" t="s">
        <v>9</v>
      </c>
      <c r="E909" s="47"/>
      <c r="F909" s="101"/>
      <c r="G909" s="102"/>
      <c r="H909" s="102"/>
      <c r="I909" s="103"/>
      <c r="J909" s="44"/>
      <c r="K909" s="47"/>
      <c r="L909" s="51"/>
      <c r="M909" s="49" t="s">
        <v>20</v>
      </c>
      <c r="N909" s="50">
        <v>3</v>
      </c>
      <c r="O909" s="1" t="s">
        <v>9</v>
      </c>
    </row>
    <row r="910" spans="1:15" x14ac:dyDescent="0.2">
      <c r="B910" s="49" t="s">
        <v>14</v>
      </c>
      <c r="C910" s="50">
        <v>6</v>
      </c>
      <c r="D910" s="1" t="s">
        <v>9</v>
      </c>
      <c r="E910" s="47"/>
      <c r="F910" s="101"/>
      <c r="G910" s="102"/>
      <c r="H910" s="102"/>
      <c r="I910" s="103"/>
      <c r="J910" s="44"/>
      <c r="K910" s="47"/>
      <c r="L910" s="51"/>
      <c r="M910" s="49" t="s">
        <v>14</v>
      </c>
      <c r="N910" s="50">
        <v>6</v>
      </c>
      <c r="O910" s="1" t="s">
        <v>9</v>
      </c>
    </row>
    <row r="911" spans="1:15" x14ac:dyDescent="0.2">
      <c r="B911" s="49" t="s">
        <v>17</v>
      </c>
      <c r="C911" s="50">
        <v>12</v>
      </c>
      <c r="D911" s="1" t="s">
        <v>9</v>
      </c>
      <c r="E911" s="47"/>
      <c r="F911" s="101"/>
      <c r="G911" s="102"/>
      <c r="H911" s="102"/>
      <c r="I911" s="103"/>
      <c r="J911" s="44"/>
      <c r="K911" s="47"/>
      <c r="L911" s="51"/>
      <c r="M911" s="49" t="s">
        <v>17</v>
      </c>
      <c r="N911" s="50">
        <v>12</v>
      </c>
      <c r="O911" s="1" t="s">
        <v>9</v>
      </c>
    </row>
    <row r="912" spans="1:15" x14ac:dyDescent="0.2">
      <c r="B912" s="52" t="s">
        <v>18</v>
      </c>
      <c r="C912" s="53">
        <v>10</v>
      </c>
      <c r="D912" s="2" t="s">
        <v>9</v>
      </c>
      <c r="E912" s="47"/>
      <c r="F912" s="101"/>
      <c r="G912" s="102"/>
      <c r="H912" s="102"/>
      <c r="I912" s="103"/>
      <c r="J912" s="44"/>
      <c r="K912" s="47"/>
      <c r="L912" s="51"/>
      <c r="M912" s="52" t="s">
        <v>18</v>
      </c>
      <c r="N912" s="53">
        <v>10</v>
      </c>
      <c r="O912" s="2" t="s">
        <v>9</v>
      </c>
    </row>
    <row r="914" spans="1:15" ht="18" x14ac:dyDescent="0.25">
      <c r="I914" s="26"/>
      <c r="J914" s="26"/>
      <c r="K914" s="120" t="s">
        <v>7</v>
      </c>
      <c r="L914" s="120"/>
      <c r="M914" s="120"/>
      <c r="N914" s="120"/>
      <c r="O914" s="120"/>
    </row>
    <row r="915" spans="1:15" ht="18" x14ac:dyDescent="0.25">
      <c r="I915" s="26"/>
      <c r="J915" s="26"/>
      <c r="K915" s="115" t="s">
        <v>6</v>
      </c>
      <c r="L915" s="115"/>
      <c r="M915" s="115"/>
      <c r="N915" s="115"/>
      <c r="O915" s="115"/>
    </row>
    <row r="916" spans="1:15" ht="18" x14ac:dyDescent="0.25">
      <c r="K916" s="115"/>
      <c r="L916" s="115"/>
      <c r="M916" s="115"/>
      <c r="N916" s="115"/>
      <c r="O916" s="115"/>
    </row>
    <row r="917" spans="1:15" x14ac:dyDescent="0.2">
      <c r="A917" s="28" t="s">
        <v>160</v>
      </c>
      <c r="B917" s="29"/>
      <c r="C917" s="113" t="s">
        <v>161</v>
      </c>
      <c r="D917" s="116"/>
      <c r="E917" s="116"/>
      <c r="F917" s="116"/>
      <c r="G917" s="116"/>
      <c r="H917" s="116"/>
      <c r="I917" s="116"/>
      <c r="J917" s="116"/>
      <c r="K917" s="116"/>
      <c r="L917" s="11"/>
      <c r="M917" s="31" t="s">
        <v>162</v>
      </c>
      <c r="N917" s="11"/>
      <c r="O917" s="5"/>
    </row>
    <row r="918" spans="1:15" x14ac:dyDescent="0.2">
      <c r="B918" s="32"/>
      <c r="C918" s="10"/>
      <c r="E918" s="10"/>
      <c r="F918" s="33"/>
      <c r="G918" s="33"/>
      <c r="H918" s="33"/>
      <c r="I918" s="33"/>
      <c r="J918" s="34"/>
      <c r="K918" s="35"/>
      <c r="L918" s="10"/>
      <c r="M918" s="10"/>
    </row>
    <row r="919" spans="1:15" ht="15" x14ac:dyDescent="0.25">
      <c r="A919" s="117" t="s">
        <v>11</v>
      </c>
      <c r="B919" s="116"/>
      <c r="C919" s="116"/>
      <c r="D919" s="116"/>
      <c r="E919" s="10"/>
      <c r="F919" s="36" t="s">
        <v>12</v>
      </c>
      <c r="G919" s="36"/>
      <c r="H919" s="36"/>
      <c r="I919" s="114" t="s">
        <v>13</v>
      </c>
      <c r="J919" s="118"/>
      <c r="K919" s="6"/>
      <c r="L919" s="119" t="s">
        <v>10</v>
      </c>
      <c r="M919" s="119"/>
      <c r="N919" s="119"/>
      <c r="O919" s="119"/>
    </row>
    <row r="920" spans="1:15" ht="15" x14ac:dyDescent="0.25">
      <c r="A920" s="110" t="s">
        <v>43</v>
      </c>
      <c r="B920" s="111"/>
      <c r="C920" s="111"/>
      <c r="D920" s="111"/>
      <c r="E920" s="10"/>
      <c r="F920" s="73" t="s">
        <v>51</v>
      </c>
      <c r="G920" s="36"/>
      <c r="H920" s="36"/>
      <c r="I920" s="112" t="s">
        <v>29</v>
      </c>
      <c r="J920" s="111"/>
      <c r="K920" s="25"/>
      <c r="L920" s="110" t="s">
        <v>32</v>
      </c>
      <c r="M920" s="111"/>
      <c r="N920" s="111"/>
      <c r="O920" s="111"/>
    </row>
    <row r="922" spans="1:15" x14ac:dyDescent="0.2">
      <c r="A922" s="113"/>
      <c r="B922" s="113"/>
      <c r="D922" s="106" t="s">
        <v>21</v>
      </c>
      <c r="E922" s="107"/>
      <c r="F922" s="107"/>
      <c r="G922" s="107"/>
      <c r="H922" s="107"/>
      <c r="I922" s="107"/>
      <c r="J922" s="107"/>
      <c r="K922" s="107"/>
      <c r="L922" s="107"/>
    </row>
    <row r="924" spans="1:15" x14ac:dyDescent="0.2">
      <c r="A924" s="28" t="s">
        <v>0</v>
      </c>
      <c r="B924" s="7" t="s">
        <v>1</v>
      </c>
      <c r="C924" s="28"/>
      <c r="D924" s="7" t="s">
        <v>2</v>
      </c>
      <c r="E924" s="28"/>
      <c r="F924" s="114" t="s">
        <v>3</v>
      </c>
      <c r="G924" s="114"/>
      <c r="H924" s="114"/>
      <c r="I924" s="114"/>
      <c r="J924" s="114"/>
      <c r="K924" s="28"/>
      <c r="L924" s="28" t="s">
        <v>0</v>
      </c>
      <c r="M924" s="7" t="s">
        <v>1</v>
      </c>
      <c r="N924" s="28"/>
      <c r="O924" s="7" t="s">
        <v>2</v>
      </c>
    </row>
    <row r="925" spans="1:15" ht="18" customHeight="1" x14ac:dyDescent="0.2">
      <c r="A925" s="7">
        <v>1</v>
      </c>
      <c r="B925" s="11" t="s">
        <v>149</v>
      </c>
      <c r="D925" s="5">
        <v>12</v>
      </c>
      <c r="F925" s="37" t="s">
        <v>193</v>
      </c>
      <c r="G925" s="38"/>
      <c r="H925" s="37" t="s">
        <v>178</v>
      </c>
      <c r="I925" s="38"/>
      <c r="J925" s="37"/>
      <c r="L925" s="7"/>
      <c r="M925" s="11" t="s">
        <v>112</v>
      </c>
      <c r="O925" s="5">
        <v>4</v>
      </c>
    </row>
    <row r="926" spans="1:15" x14ac:dyDescent="0.2">
      <c r="A926" s="80"/>
      <c r="C926" s="51"/>
      <c r="D926" s="79"/>
      <c r="F926" s="82"/>
      <c r="G926" s="56"/>
      <c r="H926" s="82"/>
      <c r="I926" s="56"/>
      <c r="J926" s="82"/>
      <c r="L926" s="80"/>
      <c r="M926" s="10"/>
      <c r="O926" s="79"/>
    </row>
    <row r="927" spans="1:15" x14ac:dyDescent="0.2">
      <c r="A927" s="80"/>
      <c r="C927" s="51"/>
      <c r="D927" s="4"/>
      <c r="F927" s="56"/>
      <c r="G927" s="56"/>
      <c r="H927" s="56"/>
      <c r="I927" s="56"/>
      <c r="J927" s="56"/>
      <c r="L927" s="80"/>
      <c r="M927" s="10"/>
      <c r="O927" s="4"/>
    </row>
    <row r="928" spans="1:15" x14ac:dyDescent="0.2">
      <c r="B928" s="10"/>
      <c r="D928" s="4"/>
      <c r="F928" s="39"/>
      <c r="G928" s="39"/>
      <c r="H928" s="39"/>
      <c r="I928" s="39"/>
      <c r="J928" s="39"/>
      <c r="M928" s="10"/>
      <c r="O928" s="4"/>
    </row>
    <row r="929" spans="1:15" x14ac:dyDescent="0.2">
      <c r="A929" s="17"/>
      <c r="B929" s="83"/>
      <c r="D929" s="106" t="s">
        <v>22</v>
      </c>
      <c r="E929" s="107"/>
      <c r="F929" s="107"/>
      <c r="G929" s="107"/>
      <c r="H929" s="107"/>
      <c r="I929" s="107"/>
      <c r="J929" s="107"/>
      <c r="K929" s="107"/>
      <c r="L929" s="107"/>
      <c r="M929" s="83"/>
    </row>
    <row r="930" spans="1:15" x14ac:dyDescent="0.2">
      <c r="F930" s="40"/>
      <c r="G930" s="40"/>
      <c r="H930" s="40"/>
      <c r="I930" s="40"/>
      <c r="J930" s="40"/>
    </row>
    <row r="931" spans="1:15" ht="18" customHeight="1" x14ac:dyDescent="0.2">
      <c r="A931" s="7">
        <v>1</v>
      </c>
      <c r="B931" s="11" t="s">
        <v>98</v>
      </c>
      <c r="D931" s="5">
        <v>4</v>
      </c>
      <c r="E931" s="41"/>
      <c r="F931" s="37" t="s">
        <v>176</v>
      </c>
      <c r="G931" s="38"/>
      <c r="H931" s="37" t="s">
        <v>170</v>
      </c>
      <c r="I931" s="38"/>
      <c r="J931" s="37"/>
      <c r="K931" s="41"/>
      <c r="L931" s="7"/>
      <c r="M931" s="11" t="s">
        <v>114</v>
      </c>
      <c r="O931" s="5">
        <v>12</v>
      </c>
    </row>
    <row r="932" spans="1:15" x14ac:dyDescent="0.2">
      <c r="B932" s="10"/>
      <c r="D932" s="4"/>
      <c r="F932" s="39"/>
      <c r="G932" s="39"/>
      <c r="H932" s="39"/>
      <c r="I932" s="39"/>
      <c r="J932" s="39"/>
      <c r="M932" s="10"/>
      <c r="O932" s="4"/>
    </row>
    <row r="933" spans="1:15" x14ac:dyDescent="0.2">
      <c r="A933" s="17"/>
      <c r="B933" s="83"/>
      <c r="D933" s="106" t="s">
        <v>23</v>
      </c>
      <c r="E933" s="107"/>
      <c r="F933" s="107"/>
      <c r="G933" s="107"/>
      <c r="H933" s="107"/>
      <c r="I933" s="107"/>
      <c r="J933" s="107"/>
      <c r="K933" s="107"/>
      <c r="L933" s="107"/>
      <c r="M933" s="83"/>
    </row>
    <row r="934" spans="1:15" x14ac:dyDescent="0.2">
      <c r="F934" s="40"/>
      <c r="G934" s="40"/>
      <c r="H934" s="40"/>
      <c r="I934" s="40"/>
      <c r="J934" s="40"/>
    </row>
    <row r="935" spans="1:15" ht="18" customHeight="1" x14ac:dyDescent="0.2">
      <c r="A935" s="7">
        <v>1</v>
      </c>
      <c r="B935" s="11" t="s">
        <v>97</v>
      </c>
      <c r="D935" s="5">
        <v>12</v>
      </c>
      <c r="F935" s="37" t="s">
        <v>184</v>
      </c>
      <c r="G935" s="38"/>
      <c r="H935" s="37" t="s">
        <v>177</v>
      </c>
      <c r="I935" s="38"/>
      <c r="J935" s="37" t="s">
        <v>187</v>
      </c>
      <c r="L935" s="7"/>
      <c r="M935" s="11" t="s">
        <v>117</v>
      </c>
      <c r="O935" s="5">
        <v>10</v>
      </c>
    </row>
    <row r="936" spans="1:15" x14ac:dyDescent="0.2">
      <c r="B936" s="11" t="s">
        <v>101</v>
      </c>
      <c r="F936" s="40"/>
      <c r="G936" s="40"/>
      <c r="H936" s="40"/>
      <c r="I936" s="40"/>
      <c r="J936" s="40"/>
      <c r="M936" s="11" t="s">
        <v>158</v>
      </c>
    </row>
    <row r="937" spans="1:15" x14ac:dyDescent="0.2">
      <c r="B937" s="10"/>
      <c r="F937" s="40"/>
      <c r="G937" s="40"/>
      <c r="H937" s="40"/>
      <c r="I937" s="40"/>
      <c r="J937" s="40"/>
      <c r="M937" s="10"/>
    </row>
    <row r="938" spans="1:15" x14ac:dyDescent="0.2">
      <c r="A938" s="17"/>
      <c r="B938" s="83"/>
      <c r="D938" s="106" t="s">
        <v>24</v>
      </c>
      <c r="E938" s="107"/>
      <c r="F938" s="107"/>
      <c r="G938" s="107"/>
      <c r="H938" s="107"/>
      <c r="I938" s="107"/>
      <c r="J938" s="107"/>
      <c r="K938" s="107"/>
      <c r="L938" s="107"/>
      <c r="M938" s="83"/>
    </row>
    <row r="939" spans="1:15" x14ac:dyDescent="0.2">
      <c r="F939" s="40"/>
      <c r="G939" s="40"/>
      <c r="H939" s="40"/>
      <c r="I939" s="40"/>
      <c r="J939" s="40"/>
    </row>
    <row r="940" spans="1:15" ht="18" customHeight="1" x14ac:dyDescent="0.2">
      <c r="A940" s="7">
        <v>1</v>
      </c>
      <c r="B940" s="11" t="s">
        <v>153</v>
      </c>
      <c r="D940" s="5">
        <v>3</v>
      </c>
      <c r="F940" s="37" t="s">
        <v>176</v>
      </c>
      <c r="G940" s="38"/>
      <c r="H940" s="37" t="s">
        <v>167</v>
      </c>
      <c r="I940" s="38"/>
      <c r="J940" s="37"/>
      <c r="L940" s="7"/>
      <c r="M940" s="11" t="s">
        <v>107</v>
      </c>
      <c r="O940" s="5">
        <v>12</v>
      </c>
    </row>
    <row r="941" spans="1:15" x14ac:dyDescent="0.2">
      <c r="A941" s="7"/>
      <c r="B941" s="11" t="s">
        <v>96</v>
      </c>
      <c r="F941" s="42"/>
      <c r="G941" s="42"/>
      <c r="H941" s="42"/>
      <c r="I941" s="42"/>
      <c r="J941" s="42"/>
      <c r="L941" s="7"/>
      <c r="M941" s="11" t="s">
        <v>106</v>
      </c>
    </row>
    <row r="942" spans="1:15" x14ac:dyDescent="0.2">
      <c r="A942" s="17"/>
      <c r="B942" s="47"/>
      <c r="C942" s="10"/>
      <c r="D942" s="4"/>
      <c r="E942" s="10"/>
      <c r="F942" s="56"/>
      <c r="G942" s="56"/>
      <c r="H942" s="56"/>
      <c r="I942" s="56"/>
      <c r="J942" s="56"/>
      <c r="K942" s="10"/>
      <c r="L942" s="17"/>
      <c r="M942" s="47"/>
      <c r="N942" s="10"/>
      <c r="O942" s="4"/>
    </row>
    <row r="943" spans="1:15" x14ac:dyDescent="0.2">
      <c r="A943" s="10"/>
      <c r="B943" s="47"/>
      <c r="C943" s="10"/>
      <c r="D943" s="4"/>
      <c r="E943" s="10"/>
      <c r="F943" s="57"/>
      <c r="G943" s="57"/>
      <c r="H943" s="57"/>
      <c r="I943" s="57"/>
      <c r="J943" s="57"/>
      <c r="K943" s="10"/>
      <c r="L943" s="10"/>
      <c r="M943" s="47"/>
      <c r="N943" s="10"/>
      <c r="O943" s="4"/>
    </row>
    <row r="944" spans="1:15" x14ac:dyDescent="0.2">
      <c r="B944" s="10"/>
      <c r="F944" s="40"/>
      <c r="G944" s="40"/>
      <c r="H944" s="40"/>
      <c r="I944" s="40"/>
      <c r="J944" s="40"/>
      <c r="M944" s="10"/>
    </row>
    <row r="945" spans="1:15" x14ac:dyDescent="0.2">
      <c r="A945" s="17"/>
      <c r="B945" s="83"/>
      <c r="D945" s="106" t="s">
        <v>25</v>
      </c>
      <c r="E945" s="107"/>
      <c r="F945" s="107"/>
      <c r="G945" s="107"/>
      <c r="H945" s="107"/>
      <c r="I945" s="107"/>
      <c r="J945" s="107"/>
      <c r="K945" s="107"/>
      <c r="L945" s="107"/>
      <c r="M945" s="83"/>
    </row>
    <row r="946" spans="1:15" x14ac:dyDescent="0.2">
      <c r="F946" s="40"/>
      <c r="G946" s="40"/>
      <c r="H946" s="40"/>
      <c r="I946" s="40"/>
      <c r="J946" s="40"/>
    </row>
    <row r="947" spans="1:15" ht="18" customHeight="1" x14ac:dyDescent="0.2">
      <c r="A947" s="7"/>
      <c r="B947" s="11" t="s">
        <v>99</v>
      </c>
      <c r="D947" s="5">
        <v>4</v>
      </c>
      <c r="F947" s="37" t="s">
        <v>211</v>
      </c>
      <c r="G947" s="38"/>
      <c r="H947" s="37" t="s">
        <v>171</v>
      </c>
      <c r="I947" s="38"/>
      <c r="J947" s="37"/>
      <c r="L947" s="7"/>
      <c r="M947" s="11" t="s">
        <v>159</v>
      </c>
      <c r="O947" s="5">
        <v>12</v>
      </c>
    </row>
    <row r="948" spans="1:15" x14ac:dyDescent="0.2">
      <c r="B948" s="11" t="s">
        <v>150</v>
      </c>
      <c r="M948" s="11" t="s">
        <v>109</v>
      </c>
    </row>
    <row r="950" spans="1:15" x14ac:dyDescent="0.2">
      <c r="B950" s="41" t="s">
        <v>4</v>
      </c>
      <c r="C950" s="9"/>
      <c r="D950" s="3">
        <f>SUM(D925:D947)</f>
        <v>35</v>
      </c>
      <c r="F950" s="108" t="s">
        <v>15</v>
      </c>
      <c r="G950" s="109"/>
      <c r="H950" s="109"/>
      <c r="I950" s="109"/>
      <c r="J950" s="43" t="s">
        <v>16</v>
      </c>
      <c r="M950" s="41" t="s">
        <v>4</v>
      </c>
      <c r="N950" s="9"/>
      <c r="O950" s="3">
        <f>SUM(O925:O947)</f>
        <v>50</v>
      </c>
    </row>
    <row r="951" spans="1:15" x14ac:dyDescent="0.2">
      <c r="C951" s="10"/>
      <c r="D951" s="4"/>
      <c r="F951" s="101"/>
      <c r="G951" s="102"/>
      <c r="H951" s="102"/>
      <c r="I951" s="103"/>
      <c r="J951" s="44"/>
      <c r="N951" s="10"/>
      <c r="O951" s="4"/>
    </row>
    <row r="952" spans="1:15" x14ac:dyDescent="0.2">
      <c r="B952" s="11"/>
      <c r="C952" s="11"/>
      <c r="D952" s="5"/>
      <c r="F952" s="101"/>
      <c r="G952" s="102"/>
      <c r="H952" s="102"/>
      <c r="I952" s="103"/>
      <c r="J952" s="44"/>
      <c r="M952" s="11"/>
      <c r="N952" s="11"/>
      <c r="O952" s="5"/>
    </row>
    <row r="953" spans="1:15" x14ac:dyDescent="0.2">
      <c r="B953" s="104" t="s">
        <v>5</v>
      </c>
      <c r="C953" s="105"/>
      <c r="D953" s="105"/>
      <c r="F953" s="101"/>
      <c r="G953" s="102"/>
      <c r="H953" s="102"/>
      <c r="I953" s="103"/>
      <c r="J953" s="44"/>
      <c r="M953" s="104" t="s">
        <v>5</v>
      </c>
      <c r="N953" s="105"/>
      <c r="O953" s="105"/>
    </row>
    <row r="954" spans="1:15" x14ac:dyDescent="0.2">
      <c r="D954" s="4"/>
      <c r="E954" s="10"/>
      <c r="F954" s="101"/>
      <c r="G954" s="102"/>
      <c r="H954" s="102"/>
      <c r="I954" s="103"/>
      <c r="J954" s="44"/>
      <c r="K954" s="10"/>
    </row>
    <row r="955" spans="1:15" x14ac:dyDescent="0.2">
      <c r="B955" s="45" t="s">
        <v>35</v>
      </c>
      <c r="C955" s="46">
        <v>1</v>
      </c>
      <c r="D955" s="8" t="s">
        <v>8</v>
      </c>
      <c r="E955" s="47"/>
      <c r="F955" s="101"/>
      <c r="G955" s="102"/>
      <c r="H955" s="102"/>
      <c r="I955" s="103"/>
      <c r="J955" s="44"/>
      <c r="K955" s="47"/>
      <c r="L955" s="48"/>
      <c r="M955" s="45" t="s">
        <v>35</v>
      </c>
      <c r="N955" s="46">
        <v>1</v>
      </c>
      <c r="O955" s="8" t="s">
        <v>8</v>
      </c>
    </row>
    <row r="956" spans="1:15" x14ac:dyDescent="0.2">
      <c r="B956" s="49" t="s">
        <v>19</v>
      </c>
      <c r="C956" s="50">
        <v>2</v>
      </c>
      <c r="D956" s="1" t="s">
        <v>8</v>
      </c>
      <c r="E956" s="47"/>
      <c r="F956" s="101"/>
      <c r="G956" s="102"/>
      <c r="H956" s="102"/>
      <c r="I956" s="103"/>
      <c r="J956" s="44"/>
      <c r="K956" s="47"/>
      <c r="L956" s="51"/>
      <c r="M956" s="49" t="s">
        <v>19</v>
      </c>
      <c r="N956" s="50">
        <v>2</v>
      </c>
      <c r="O956" s="1" t="s">
        <v>8</v>
      </c>
    </row>
    <row r="957" spans="1:15" x14ac:dyDescent="0.2">
      <c r="B957" s="49" t="s">
        <v>20</v>
      </c>
      <c r="C957" s="50">
        <v>3</v>
      </c>
      <c r="D957" s="1" t="s">
        <v>9</v>
      </c>
      <c r="E957" s="47"/>
      <c r="F957" s="101"/>
      <c r="G957" s="102"/>
      <c r="H957" s="102"/>
      <c r="I957" s="103"/>
      <c r="J957" s="44"/>
      <c r="K957" s="47"/>
      <c r="L957" s="51"/>
      <c r="M957" s="49" t="s">
        <v>20</v>
      </c>
      <c r="N957" s="50">
        <v>3</v>
      </c>
      <c r="O957" s="1" t="s">
        <v>9</v>
      </c>
    </row>
    <row r="958" spans="1:15" x14ac:dyDescent="0.2">
      <c r="B958" s="49" t="s">
        <v>14</v>
      </c>
      <c r="C958" s="50">
        <v>6</v>
      </c>
      <c r="D958" s="1" t="s">
        <v>9</v>
      </c>
      <c r="E958" s="47"/>
      <c r="F958" s="101"/>
      <c r="G958" s="102"/>
      <c r="H958" s="102"/>
      <c r="I958" s="103"/>
      <c r="J958" s="44"/>
      <c r="K958" s="47"/>
      <c r="L958" s="51"/>
      <c r="M958" s="49" t="s">
        <v>14</v>
      </c>
      <c r="N958" s="50">
        <v>6</v>
      </c>
      <c r="O958" s="1" t="s">
        <v>9</v>
      </c>
    </row>
    <row r="959" spans="1:15" x14ac:dyDescent="0.2">
      <c r="B959" s="49" t="s">
        <v>17</v>
      </c>
      <c r="C959" s="50">
        <v>12</v>
      </c>
      <c r="D959" s="1" t="s">
        <v>9</v>
      </c>
      <c r="E959" s="47"/>
      <c r="F959" s="101"/>
      <c r="G959" s="102"/>
      <c r="H959" s="102"/>
      <c r="I959" s="103"/>
      <c r="J959" s="44"/>
      <c r="K959" s="47"/>
      <c r="L959" s="51"/>
      <c r="M959" s="49" t="s">
        <v>17</v>
      </c>
      <c r="N959" s="50">
        <v>12</v>
      </c>
      <c r="O959" s="1" t="s">
        <v>9</v>
      </c>
    </row>
    <row r="960" spans="1:15" x14ac:dyDescent="0.2">
      <c r="B960" s="52" t="s">
        <v>18</v>
      </c>
      <c r="C960" s="53">
        <v>10</v>
      </c>
      <c r="D960" s="2" t="s">
        <v>9</v>
      </c>
      <c r="E960" s="47"/>
      <c r="F960" s="101"/>
      <c r="G960" s="102"/>
      <c r="H960" s="102"/>
      <c r="I960" s="103"/>
      <c r="J960" s="44"/>
      <c r="K960" s="47"/>
      <c r="L960" s="51"/>
      <c r="M960" s="52" t="s">
        <v>18</v>
      </c>
      <c r="N960" s="53">
        <v>10</v>
      </c>
      <c r="O960" s="2" t="s">
        <v>9</v>
      </c>
    </row>
    <row r="962" spans="1:15" ht="18" x14ac:dyDescent="0.25">
      <c r="I962" s="26"/>
      <c r="J962" s="26"/>
      <c r="K962" s="120" t="s">
        <v>7</v>
      </c>
      <c r="L962" s="120"/>
      <c r="M962" s="120"/>
      <c r="N962" s="120"/>
      <c r="O962" s="120"/>
    </row>
    <row r="963" spans="1:15" ht="18" x14ac:dyDescent="0.25">
      <c r="I963" s="26"/>
      <c r="J963" s="26"/>
      <c r="K963" s="115" t="s">
        <v>6</v>
      </c>
      <c r="L963" s="115"/>
      <c r="M963" s="115"/>
      <c r="N963" s="115"/>
      <c r="O963" s="115"/>
    </row>
    <row r="964" spans="1:15" ht="18" x14ac:dyDescent="0.25">
      <c r="K964" s="115"/>
      <c r="L964" s="115"/>
      <c r="M964" s="115"/>
      <c r="N964" s="115"/>
      <c r="O964" s="115"/>
    </row>
    <row r="965" spans="1:15" x14ac:dyDescent="0.2">
      <c r="A965" s="28" t="s">
        <v>160</v>
      </c>
      <c r="B965" s="29"/>
      <c r="C965" s="113" t="s">
        <v>161</v>
      </c>
      <c r="D965" s="116"/>
      <c r="E965" s="116"/>
      <c r="F965" s="116"/>
      <c r="G965" s="116"/>
      <c r="H965" s="116"/>
      <c r="I965" s="116"/>
      <c r="J965" s="116"/>
      <c r="K965" s="116"/>
      <c r="L965" s="11"/>
      <c r="M965" s="31" t="s">
        <v>162</v>
      </c>
      <c r="N965" s="11"/>
      <c r="O965" s="5"/>
    </row>
    <row r="966" spans="1:15" x14ac:dyDescent="0.2">
      <c r="B966" s="32"/>
      <c r="C966" s="10"/>
      <c r="E966" s="10"/>
      <c r="F966" s="33"/>
      <c r="G966" s="33"/>
      <c r="H966" s="33"/>
      <c r="I966" s="33"/>
      <c r="J966" s="34"/>
      <c r="K966" s="35"/>
      <c r="L966" s="10"/>
      <c r="M966" s="10"/>
    </row>
    <row r="967" spans="1:15" ht="15" x14ac:dyDescent="0.25">
      <c r="A967" s="117" t="s">
        <v>10</v>
      </c>
      <c r="B967" s="116"/>
      <c r="C967" s="116"/>
      <c r="D967" s="116"/>
      <c r="E967" s="10"/>
      <c r="F967" s="36" t="s">
        <v>12</v>
      </c>
      <c r="G967" s="36"/>
      <c r="H967" s="36"/>
      <c r="I967" s="114" t="s">
        <v>13</v>
      </c>
      <c r="J967" s="118"/>
      <c r="K967" s="6"/>
      <c r="L967" s="119" t="s">
        <v>11</v>
      </c>
      <c r="M967" s="119"/>
      <c r="N967" s="119"/>
      <c r="O967" s="119"/>
    </row>
    <row r="968" spans="1:15" ht="15" x14ac:dyDescent="0.25">
      <c r="A968" s="110" t="s">
        <v>44</v>
      </c>
      <c r="B968" s="111"/>
      <c r="C968" s="111"/>
      <c r="D968" s="111"/>
      <c r="E968" s="10"/>
      <c r="F968" s="73" t="s">
        <v>51</v>
      </c>
      <c r="G968" s="36"/>
      <c r="H968" s="36"/>
      <c r="I968" s="112" t="s">
        <v>30</v>
      </c>
      <c r="J968" s="111"/>
      <c r="K968" s="25"/>
      <c r="L968" s="110" t="s">
        <v>34</v>
      </c>
      <c r="M968" s="111"/>
      <c r="N968" s="111"/>
      <c r="O968" s="111"/>
    </row>
    <row r="970" spans="1:15" x14ac:dyDescent="0.2">
      <c r="A970" s="113"/>
      <c r="B970" s="113"/>
      <c r="D970" s="106" t="s">
        <v>21</v>
      </c>
      <c r="E970" s="107"/>
      <c r="F970" s="107"/>
      <c r="G970" s="107"/>
      <c r="H970" s="107"/>
      <c r="I970" s="107"/>
      <c r="J970" s="107"/>
      <c r="K970" s="107"/>
      <c r="L970" s="107"/>
    </row>
    <row r="972" spans="1:15" x14ac:dyDescent="0.2">
      <c r="A972" s="28" t="s">
        <v>0</v>
      </c>
      <c r="B972" s="7" t="s">
        <v>1</v>
      </c>
      <c r="C972" s="28"/>
      <c r="D972" s="7" t="s">
        <v>2</v>
      </c>
      <c r="E972" s="28"/>
      <c r="F972" s="114" t="s">
        <v>3</v>
      </c>
      <c r="G972" s="114"/>
      <c r="H972" s="114"/>
      <c r="I972" s="114"/>
      <c r="J972" s="114"/>
      <c r="K972" s="28"/>
      <c r="L972" s="28" t="s">
        <v>0</v>
      </c>
      <c r="M972" s="7" t="s">
        <v>1</v>
      </c>
      <c r="N972" s="28"/>
      <c r="O972" s="7" t="s">
        <v>2</v>
      </c>
    </row>
    <row r="973" spans="1:15" ht="18" customHeight="1" x14ac:dyDescent="0.2">
      <c r="A973" s="7">
        <v>1</v>
      </c>
      <c r="B973" s="11" t="s">
        <v>57</v>
      </c>
      <c r="D973" s="5">
        <v>6</v>
      </c>
      <c r="F973" s="37" t="s">
        <v>186</v>
      </c>
      <c r="G973" s="38"/>
      <c r="H973" s="37" t="s">
        <v>174</v>
      </c>
      <c r="I973" s="38"/>
      <c r="J973" s="37"/>
      <c r="L973" s="7"/>
      <c r="M973" s="11" t="s">
        <v>64</v>
      </c>
      <c r="O973" s="5">
        <v>12</v>
      </c>
    </row>
    <row r="974" spans="1:15" x14ac:dyDescent="0.2">
      <c r="A974" s="80"/>
      <c r="B974" s="10"/>
      <c r="C974" s="51"/>
      <c r="D974" s="79"/>
      <c r="F974" s="82"/>
      <c r="G974" s="56"/>
      <c r="H974" s="82"/>
      <c r="I974" s="56"/>
      <c r="J974" s="82"/>
      <c r="L974" s="80"/>
      <c r="M974" s="10"/>
      <c r="O974" s="79"/>
    </row>
    <row r="975" spans="1:15" x14ac:dyDescent="0.2">
      <c r="A975" s="80"/>
      <c r="B975" s="10"/>
      <c r="C975" s="51"/>
      <c r="D975" s="4"/>
      <c r="F975" s="56"/>
      <c r="G975" s="56"/>
      <c r="H975" s="56"/>
      <c r="I975" s="56"/>
      <c r="J975" s="56"/>
      <c r="L975" s="80"/>
      <c r="M975" s="10"/>
      <c r="O975" s="4"/>
    </row>
    <row r="976" spans="1:15" x14ac:dyDescent="0.2">
      <c r="B976" s="10"/>
      <c r="D976" s="4"/>
      <c r="F976" s="39"/>
      <c r="G976" s="39"/>
      <c r="H976" s="39"/>
      <c r="I976" s="39"/>
      <c r="J976" s="39"/>
      <c r="M976" s="10"/>
      <c r="O976" s="4"/>
    </row>
    <row r="977" spans="1:15" x14ac:dyDescent="0.2">
      <c r="D977" s="106" t="s">
        <v>22</v>
      </c>
      <c r="E977" s="107"/>
      <c r="F977" s="107"/>
      <c r="G977" s="107"/>
      <c r="H977" s="107"/>
      <c r="I977" s="107"/>
      <c r="J977" s="107"/>
      <c r="K977" s="107"/>
      <c r="L977" s="107"/>
    </row>
    <row r="978" spans="1:15" x14ac:dyDescent="0.2">
      <c r="F978" s="40"/>
      <c r="G978" s="40"/>
      <c r="H978" s="40"/>
      <c r="I978" s="40"/>
      <c r="J978" s="40"/>
    </row>
    <row r="979" spans="1:15" ht="18" customHeight="1" x14ac:dyDescent="0.2">
      <c r="A979" s="7">
        <v>1</v>
      </c>
      <c r="B979" s="11" t="s">
        <v>60</v>
      </c>
      <c r="D979" s="5">
        <v>12</v>
      </c>
      <c r="E979" s="41"/>
      <c r="F979" s="37" t="s">
        <v>199</v>
      </c>
      <c r="G979" s="38"/>
      <c r="H979" s="37" t="s">
        <v>198</v>
      </c>
      <c r="I979" s="38"/>
      <c r="J979" s="37"/>
      <c r="K979" s="41"/>
      <c r="L979" s="7"/>
      <c r="M979" s="11" t="s">
        <v>139</v>
      </c>
      <c r="O979" s="5">
        <v>2</v>
      </c>
    </row>
    <row r="980" spans="1:15" x14ac:dyDescent="0.2">
      <c r="B980" s="10"/>
      <c r="D980" s="4"/>
      <c r="F980" s="39"/>
      <c r="G980" s="39"/>
      <c r="H980" s="39"/>
      <c r="I980" s="39"/>
      <c r="J980" s="39"/>
      <c r="M980" s="10"/>
      <c r="O980" s="4"/>
    </row>
    <row r="981" spans="1:15" x14ac:dyDescent="0.2">
      <c r="D981" s="106" t="s">
        <v>23</v>
      </c>
      <c r="E981" s="107"/>
      <c r="F981" s="107"/>
      <c r="G981" s="107"/>
      <c r="H981" s="107"/>
      <c r="I981" s="107"/>
      <c r="J981" s="107"/>
      <c r="K981" s="107"/>
      <c r="L981" s="107"/>
    </row>
    <row r="982" spans="1:15" x14ac:dyDescent="0.2">
      <c r="F982" s="40"/>
      <c r="G982" s="40"/>
      <c r="H982" s="40"/>
      <c r="I982" s="40"/>
      <c r="J982" s="40"/>
    </row>
    <row r="983" spans="1:15" ht="18" customHeight="1" x14ac:dyDescent="0.2">
      <c r="A983" s="7">
        <v>1</v>
      </c>
      <c r="B983" s="11" t="s">
        <v>62</v>
      </c>
      <c r="D983" s="5">
        <v>4</v>
      </c>
      <c r="F983" s="37" t="s">
        <v>177</v>
      </c>
      <c r="G983" s="38"/>
      <c r="H983" s="37" t="s">
        <v>175</v>
      </c>
      <c r="I983" s="38"/>
      <c r="J983" s="37"/>
      <c r="L983" s="7"/>
      <c r="M983" s="11" t="s">
        <v>69</v>
      </c>
      <c r="O983" s="5">
        <v>12</v>
      </c>
    </row>
    <row r="984" spans="1:15" x14ac:dyDescent="0.2">
      <c r="B984" s="11" t="s">
        <v>61</v>
      </c>
      <c r="F984" s="40"/>
      <c r="G984" s="40"/>
      <c r="H984" s="40"/>
      <c r="I984" s="40"/>
      <c r="J984" s="40"/>
      <c r="M984" s="11" t="s">
        <v>70</v>
      </c>
    </row>
    <row r="985" spans="1:15" x14ac:dyDescent="0.2">
      <c r="B985" s="10"/>
      <c r="F985" s="40"/>
      <c r="G985" s="40"/>
      <c r="H985" s="40"/>
      <c r="I985" s="40"/>
      <c r="J985" s="40"/>
      <c r="M985" s="10"/>
    </row>
    <row r="986" spans="1:15" x14ac:dyDescent="0.2">
      <c r="D986" s="106" t="s">
        <v>24</v>
      </c>
      <c r="E986" s="107"/>
      <c r="F986" s="107"/>
      <c r="G986" s="107"/>
      <c r="H986" s="107"/>
      <c r="I986" s="107"/>
      <c r="J986" s="107"/>
      <c r="K986" s="107"/>
      <c r="L986" s="107"/>
    </row>
    <row r="987" spans="1:15" x14ac:dyDescent="0.2">
      <c r="F987" s="40"/>
      <c r="G987" s="40"/>
      <c r="H987" s="40"/>
      <c r="I987" s="40"/>
      <c r="J987" s="40"/>
    </row>
    <row r="988" spans="1:15" ht="18" customHeight="1" x14ac:dyDescent="0.2">
      <c r="A988" s="7">
        <v>1</v>
      </c>
      <c r="B988" s="11" t="s">
        <v>58</v>
      </c>
      <c r="D988" s="5">
        <v>10</v>
      </c>
      <c r="F988" s="37" t="s">
        <v>169</v>
      </c>
      <c r="G988" s="38"/>
      <c r="H988" s="37" t="s">
        <v>207</v>
      </c>
      <c r="I988" s="38"/>
      <c r="J988" s="37" t="s">
        <v>196</v>
      </c>
      <c r="L988" s="7"/>
      <c r="M988" s="11" t="s">
        <v>135</v>
      </c>
      <c r="O988" s="5">
        <v>12</v>
      </c>
    </row>
    <row r="989" spans="1:15" x14ac:dyDescent="0.2">
      <c r="A989" s="7"/>
      <c r="B989" s="11" t="s">
        <v>130</v>
      </c>
      <c r="F989" s="42"/>
      <c r="G989" s="42"/>
      <c r="H989" s="42"/>
      <c r="I989" s="42"/>
      <c r="J989" s="42"/>
      <c r="L989" s="7"/>
      <c r="M989" s="11" t="s">
        <v>134</v>
      </c>
    </row>
    <row r="990" spans="1:15" x14ac:dyDescent="0.2">
      <c r="A990" s="17"/>
      <c r="B990" s="47"/>
      <c r="C990" s="10"/>
      <c r="D990" s="4"/>
      <c r="E990" s="10"/>
      <c r="F990" s="56"/>
      <c r="G990" s="56"/>
      <c r="H990" s="56"/>
      <c r="I990" s="56"/>
      <c r="J990" s="56"/>
      <c r="K990" s="10"/>
      <c r="L990" s="17"/>
      <c r="M990" s="47"/>
      <c r="N990" s="10"/>
      <c r="O990" s="4"/>
    </row>
    <row r="991" spans="1:15" x14ac:dyDescent="0.2">
      <c r="A991" s="10"/>
      <c r="B991" s="47"/>
      <c r="C991" s="10"/>
      <c r="D991" s="4"/>
      <c r="E991" s="10"/>
      <c r="F991" s="57"/>
      <c r="G991" s="57"/>
      <c r="H991" s="57"/>
      <c r="I991" s="57"/>
      <c r="J991" s="57"/>
      <c r="K991" s="10"/>
      <c r="L991" s="10"/>
      <c r="M991" s="47"/>
      <c r="N991" s="10"/>
      <c r="O991" s="4"/>
    </row>
    <row r="992" spans="1:15" x14ac:dyDescent="0.2">
      <c r="B992" s="10"/>
      <c r="F992" s="40"/>
      <c r="G992" s="40"/>
      <c r="H992" s="40"/>
      <c r="I992" s="40"/>
      <c r="J992" s="40"/>
      <c r="M992" s="10"/>
    </row>
    <row r="993" spans="1:15" x14ac:dyDescent="0.2">
      <c r="D993" s="106" t="s">
        <v>25</v>
      </c>
      <c r="E993" s="107"/>
      <c r="F993" s="107"/>
      <c r="G993" s="107"/>
      <c r="H993" s="107"/>
      <c r="I993" s="107"/>
      <c r="J993" s="107"/>
      <c r="K993" s="107"/>
      <c r="L993" s="107"/>
    </row>
    <row r="994" spans="1:15" x14ac:dyDescent="0.2">
      <c r="F994" s="40"/>
      <c r="G994" s="40"/>
      <c r="H994" s="40"/>
      <c r="I994" s="40"/>
      <c r="J994" s="40"/>
    </row>
    <row r="995" spans="1:15" ht="18" customHeight="1" x14ac:dyDescent="0.2">
      <c r="A995" s="7">
        <v>1</v>
      </c>
      <c r="B995" s="11" t="s">
        <v>132</v>
      </c>
      <c r="D995" s="5">
        <v>3</v>
      </c>
      <c r="F995" s="37" t="s">
        <v>189</v>
      </c>
      <c r="G995" s="38"/>
      <c r="H995" s="37" t="s">
        <v>170</v>
      </c>
      <c r="I995" s="38"/>
      <c r="J995" s="37"/>
      <c r="L995" s="7"/>
      <c r="M995" s="11" t="s">
        <v>67</v>
      </c>
      <c r="O995" s="5">
        <v>12</v>
      </c>
    </row>
    <row r="996" spans="1:15" x14ac:dyDescent="0.2">
      <c r="B996" s="11" t="s">
        <v>59</v>
      </c>
      <c r="M996" s="11" t="s">
        <v>63</v>
      </c>
    </row>
    <row r="998" spans="1:15" x14ac:dyDescent="0.2">
      <c r="B998" s="41" t="s">
        <v>4</v>
      </c>
      <c r="C998" s="9"/>
      <c r="D998" s="3">
        <f>SUM(D973:D995)</f>
        <v>35</v>
      </c>
      <c r="F998" s="108" t="s">
        <v>15</v>
      </c>
      <c r="G998" s="109"/>
      <c r="H998" s="109"/>
      <c r="I998" s="109"/>
      <c r="J998" s="43" t="s">
        <v>16</v>
      </c>
      <c r="M998" s="41" t="s">
        <v>4</v>
      </c>
      <c r="N998" s="9"/>
      <c r="O998" s="3">
        <f>SUM(O973:O995)</f>
        <v>50</v>
      </c>
    </row>
    <row r="999" spans="1:15" x14ac:dyDescent="0.2">
      <c r="C999" s="10"/>
      <c r="D999" s="4"/>
      <c r="F999" s="101"/>
      <c r="G999" s="102"/>
      <c r="H999" s="102"/>
      <c r="I999" s="103"/>
      <c r="J999" s="44"/>
      <c r="N999" s="10"/>
      <c r="O999" s="4"/>
    </row>
    <row r="1000" spans="1:15" x14ac:dyDescent="0.2">
      <c r="B1000" s="11"/>
      <c r="C1000" s="11"/>
      <c r="D1000" s="5"/>
      <c r="F1000" s="101"/>
      <c r="G1000" s="102"/>
      <c r="H1000" s="102"/>
      <c r="I1000" s="103"/>
      <c r="J1000" s="44"/>
      <c r="M1000" s="11"/>
      <c r="N1000" s="11"/>
      <c r="O1000" s="5"/>
    </row>
    <row r="1001" spans="1:15" x14ac:dyDescent="0.2">
      <c r="B1001" s="104" t="s">
        <v>5</v>
      </c>
      <c r="C1001" s="105"/>
      <c r="D1001" s="105"/>
      <c r="F1001" s="101"/>
      <c r="G1001" s="102"/>
      <c r="H1001" s="102"/>
      <c r="I1001" s="103"/>
      <c r="J1001" s="44"/>
      <c r="M1001" s="104" t="s">
        <v>5</v>
      </c>
      <c r="N1001" s="105"/>
      <c r="O1001" s="105"/>
    </row>
    <row r="1002" spans="1:15" x14ac:dyDescent="0.2">
      <c r="D1002" s="4"/>
      <c r="E1002" s="10"/>
      <c r="F1002" s="101"/>
      <c r="G1002" s="102"/>
      <c r="H1002" s="102"/>
      <c r="I1002" s="103"/>
      <c r="J1002" s="44"/>
      <c r="K1002" s="10"/>
    </row>
    <row r="1003" spans="1:15" x14ac:dyDescent="0.2">
      <c r="B1003" s="45" t="s">
        <v>35</v>
      </c>
      <c r="C1003" s="46">
        <v>1</v>
      </c>
      <c r="D1003" s="8" t="s">
        <v>8</v>
      </c>
      <c r="E1003" s="47"/>
      <c r="F1003" s="101"/>
      <c r="G1003" s="102"/>
      <c r="H1003" s="102"/>
      <c r="I1003" s="103"/>
      <c r="J1003" s="44"/>
      <c r="K1003" s="47"/>
      <c r="L1003" s="48"/>
      <c r="M1003" s="45" t="s">
        <v>35</v>
      </c>
      <c r="N1003" s="46">
        <v>1</v>
      </c>
      <c r="O1003" s="8" t="s">
        <v>8</v>
      </c>
    </row>
    <row r="1004" spans="1:15" x14ac:dyDescent="0.2">
      <c r="B1004" s="49" t="s">
        <v>19</v>
      </c>
      <c r="C1004" s="50">
        <v>2</v>
      </c>
      <c r="D1004" s="1" t="s">
        <v>8</v>
      </c>
      <c r="E1004" s="47"/>
      <c r="F1004" s="101"/>
      <c r="G1004" s="102"/>
      <c r="H1004" s="102"/>
      <c r="I1004" s="103"/>
      <c r="J1004" s="44"/>
      <c r="K1004" s="47"/>
      <c r="L1004" s="51"/>
      <c r="M1004" s="49" t="s">
        <v>19</v>
      </c>
      <c r="N1004" s="50">
        <v>2</v>
      </c>
      <c r="O1004" s="1" t="s">
        <v>8</v>
      </c>
    </row>
    <row r="1005" spans="1:15" x14ac:dyDescent="0.2">
      <c r="B1005" s="49" t="s">
        <v>20</v>
      </c>
      <c r="C1005" s="50">
        <v>3</v>
      </c>
      <c r="D1005" s="1" t="s">
        <v>9</v>
      </c>
      <c r="E1005" s="47"/>
      <c r="F1005" s="101"/>
      <c r="G1005" s="102"/>
      <c r="H1005" s="102"/>
      <c r="I1005" s="103"/>
      <c r="J1005" s="44"/>
      <c r="K1005" s="47"/>
      <c r="L1005" s="51"/>
      <c r="M1005" s="49" t="s">
        <v>20</v>
      </c>
      <c r="N1005" s="50">
        <v>3</v>
      </c>
      <c r="O1005" s="1" t="s">
        <v>9</v>
      </c>
    </row>
    <row r="1006" spans="1:15" x14ac:dyDescent="0.2">
      <c r="B1006" s="49" t="s">
        <v>14</v>
      </c>
      <c r="C1006" s="50">
        <v>6</v>
      </c>
      <c r="D1006" s="1" t="s">
        <v>9</v>
      </c>
      <c r="E1006" s="47"/>
      <c r="F1006" s="101"/>
      <c r="G1006" s="102"/>
      <c r="H1006" s="102"/>
      <c r="I1006" s="103"/>
      <c r="J1006" s="44"/>
      <c r="K1006" s="47"/>
      <c r="L1006" s="51"/>
      <c r="M1006" s="49" t="s">
        <v>14</v>
      </c>
      <c r="N1006" s="50">
        <v>6</v>
      </c>
      <c r="O1006" s="1" t="s">
        <v>9</v>
      </c>
    </row>
    <row r="1007" spans="1:15" x14ac:dyDescent="0.2">
      <c r="B1007" s="49" t="s">
        <v>17</v>
      </c>
      <c r="C1007" s="50">
        <v>12</v>
      </c>
      <c r="D1007" s="1" t="s">
        <v>9</v>
      </c>
      <c r="E1007" s="47"/>
      <c r="F1007" s="101"/>
      <c r="G1007" s="102"/>
      <c r="H1007" s="102"/>
      <c r="I1007" s="103"/>
      <c r="J1007" s="44"/>
      <c r="K1007" s="47"/>
      <c r="L1007" s="51"/>
      <c r="M1007" s="49" t="s">
        <v>17</v>
      </c>
      <c r="N1007" s="50">
        <v>12</v>
      </c>
      <c r="O1007" s="1" t="s">
        <v>9</v>
      </c>
    </row>
    <row r="1008" spans="1:15" x14ac:dyDescent="0.2">
      <c r="B1008" s="52" t="s">
        <v>18</v>
      </c>
      <c r="C1008" s="53">
        <v>10</v>
      </c>
      <c r="D1008" s="2" t="s">
        <v>9</v>
      </c>
      <c r="E1008" s="47"/>
      <c r="F1008" s="101"/>
      <c r="G1008" s="102"/>
      <c r="H1008" s="102"/>
      <c r="I1008" s="103"/>
      <c r="J1008" s="44"/>
      <c r="K1008" s="47"/>
      <c r="L1008" s="51"/>
      <c r="M1008" s="52" t="s">
        <v>18</v>
      </c>
      <c r="N1008" s="53">
        <v>10</v>
      </c>
      <c r="O1008" s="2" t="s">
        <v>9</v>
      </c>
    </row>
  </sheetData>
  <mergeCells count="1066">
    <mergeCell ref="F719:I719"/>
    <mergeCell ref="F720:I720"/>
    <mergeCell ref="F714:I714"/>
    <mergeCell ref="F715:I715"/>
    <mergeCell ref="F716:I716"/>
    <mergeCell ref="F717:I717"/>
    <mergeCell ref="F718:I718"/>
    <mergeCell ref="AO690:AP690"/>
    <mergeCell ref="AK694:AL694"/>
    <mergeCell ref="AO694:AP694"/>
    <mergeCell ref="AS694:AT694"/>
    <mergeCell ref="AW694:AX694"/>
    <mergeCell ref="AK693:AL693"/>
    <mergeCell ref="AO693:AP693"/>
    <mergeCell ref="AC693:AD693"/>
    <mergeCell ref="AG693:AH693"/>
    <mergeCell ref="AK690:AL690"/>
    <mergeCell ref="AS693:AT693"/>
    <mergeCell ref="AS690:AT690"/>
    <mergeCell ref="AW693:AX693"/>
    <mergeCell ref="AW690:AX690"/>
    <mergeCell ref="B713:D713"/>
    <mergeCell ref="Y693:Z693"/>
    <mergeCell ref="X687:Y687"/>
    <mergeCell ref="F711:I711"/>
    <mergeCell ref="F712:I712"/>
    <mergeCell ref="F713:I713"/>
    <mergeCell ref="F710:I710"/>
    <mergeCell ref="D705:L705"/>
    <mergeCell ref="D698:L698"/>
    <mergeCell ref="Y689:Z689"/>
    <mergeCell ref="M713:O713"/>
    <mergeCell ref="Y644:Z644"/>
    <mergeCell ref="AC644:AD644"/>
    <mergeCell ref="AG644:AH644"/>
    <mergeCell ref="AK644:AL644"/>
    <mergeCell ref="AK641:AL641"/>
    <mergeCell ref="AO641:AP641"/>
    <mergeCell ref="AO644:AP644"/>
    <mergeCell ref="A679:D679"/>
    <mergeCell ref="L679:O679"/>
    <mergeCell ref="D693:L693"/>
    <mergeCell ref="A682:B682"/>
    <mergeCell ref="F684:J684"/>
    <mergeCell ref="L680:O680"/>
    <mergeCell ref="I679:J679"/>
    <mergeCell ref="I680:J680"/>
    <mergeCell ref="D689:L689"/>
    <mergeCell ref="F667:I667"/>
    <mergeCell ref="F666:I666"/>
    <mergeCell ref="F663:I663"/>
    <mergeCell ref="F664:I664"/>
    <mergeCell ref="F665:I665"/>
    <mergeCell ref="AS644:AT644"/>
    <mergeCell ref="AW644:AX644"/>
    <mergeCell ref="AK645:AL645"/>
    <mergeCell ref="AO645:AP645"/>
    <mergeCell ref="AS645:AT645"/>
    <mergeCell ref="AW645:AX645"/>
    <mergeCell ref="AC689:AD689"/>
    <mergeCell ref="AG689:AH689"/>
    <mergeCell ref="AK689:AL689"/>
    <mergeCell ref="AO689:AP689"/>
    <mergeCell ref="AB687:AC687"/>
    <mergeCell ref="AF687:AG687"/>
    <mergeCell ref="AJ687:AK687"/>
    <mergeCell ref="AN687:AO687"/>
    <mergeCell ref="AR687:AS687"/>
    <mergeCell ref="AV687:AW687"/>
    <mergeCell ref="AS689:AT689"/>
    <mergeCell ref="AW689:AX689"/>
    <mergeCell ref="AK596:AL596"/>
    <mergeCell ref="AO596:AP596"/>
    <mergeCell ref="AS596:AT596"/>
    <mergeCell ref="AW596:AX596"/>
    <mergeCell ref="AS640:AT640"/>
    <mergeCell ref="AW640:AX640"/>
    <mergeCell ref="X638:Y638"/>
    <mergeCell ref="AB638:AC638"/>
    <mergeCell ref="AF638:AG638"/>
    <mergeCell ref="AJ638:AK638"/>
    <mergeCell ref="AS641:AT641"/>
    <mergeCell ref="AW641:AX641"/>
    <mergeCell ref="AN638:AO638"/>
    <mergeCell ref="AR638:AS638"/>
    <mergeCell ref="AV638:AW638"/>
    <mergeCell ref="Y640:Z640"/>
    <mergeCell ref="AC640:AD640"/>
    <mergeCell ref="AG640:AH640"/>
    <mergeCell ref="AK640:AL640"/>
    <mergeCell ref="AO640:AP640"/>
    <mergeCell ref="AS592:AT592"/>
    <mergeCell ref="AW592:AX592"/>
    <mergeCell ref="AN589:AO589"/>
    <mergeCell ref="AR589:AS589"/>
    <mergeCell ref="AV589:AW589"/>
    <mergeCell ref="Y591:Z591"/>
    <mergeCell ref="AC591:AD591"/>
    <mergeCell ref="AG591:AH591"/>
    <mergeCell ref="AK591:AL591"/>
    <mergeCell ref="AO591:AP591"/>
    <mergeCell ref="Y595:Z595"/>
    <mergeCell ref="AC595:AD595"/>
    <mergeCell ref="AG595:AH595"/>
    <mergeCell ref="AK595:AL595"/>
    <mergeCell ref="AK592:AL592"/>
    <mergeCell ref="AO592:AP592"/>
    <mergeCell ref="AO595:AP595"/>
    <mergeCell ref="AS595:AT595"/>
    <mergeCell ref="AW595:AX595"/>
    <mergeCell ref="Y546:Z546"/>
    <mergeCell ref="AC546:AD546"/>
    <mergeCell ref="AG546:AH546"/>
    <mergeCell ref="AK546:AL546"/>
    <mergeCell ref="AK543:AL543"/>
    <mergeCell ref="AO543:AP543"/>
    <mergeCell ref="AO546:AP546"/>
    <mergeCell ref="AS546:AT546"/>
    <mergeCell ref="AW546:AX546"/>
    <mergeCell ref="AK547:AL547"/>
    <mergeCell ref="AO547:AP547"/>
    <mergeCell ref="AS547:AT547"/>
    <mergeCell ref="AW547:AX547"/>
    <mergeCell ref="AS591:AT591"/>
    <mergeCell ref="AW591:AX591"/>
    <mergeCell ref="X589:Y589"/>
    <mergeCell ref="AB589:AC589"/>
    <mergeCell ref="AF589:AG589"/>
    <mergeCell ref="AJ589:AK589"/>
    <mergeCell ref="AK498:AL498"/>
    <mergeCell ref="AO498:AP498"/>
    <mergeCell ref="AS498:AT498"/>
    <mergeCell ref="AW498:AX498"/>
    <mergeCell ref="AS542:AT542"/>
    <mergeCell ref="AW542:AX542"/>
    <mergeCell ref="X540:Y540"/>
    <mergeCell ref="AB540:AC540"/>
    <mergeCell ref="AF540:AG540"/>
    <mergeCell ref="AJ540:AK540"/>
    <mergeCell ref="AS543:AT543"/>
    <mergeCell ref="AW543:AX543"/>
    <mergeCell ref="AN540:AO540"/>
    <mergeCell ref="AR540:AS540"/>
    <mergeCell ref="AV540:AW540"/>
    <mergeCell ref="Y542:Z542"/>
    <mergeCell ref="AC542:AD542"/>
    <mergeCell ref="AG542:AH542"/>
    <mergeCell ref="AK542:AL542"/>
    <mergeCell ref="AO542:AP542"/>
    <mergeCell ref="AS494:AT494"/>
    <mergeCell ref="AW494:AX494"/>
    <mergeCell ref="AN491:AO491"/>
    <mergeCell ref="AR491:AS491"/>
    <mergeCell ref="AV491:AW491"/>
    <mergeCell ref="Y493:Z493"/>
    <mergeCell ref="AC493:AD493"/>
    <mergeCell ref="AG493:AH493"/>
    <mergeCell ref="AK493:AL493"/>
    <mergeCell ref="AO493:AP493"/>
    <mergeCell ref="Y497:Z497"/>
    <mergeCell ref="AC497:AD497"/>
    <mergeCell ref="AG497:AH497"/>
    <mergeCell ref="AK497:AL497"/>
    <mergeCell ref="AK494:AL494"/>
    <mergeCell ref="AO494:AP494"/>
    <mergeCell ref="AO497:AP497"/>
    <mergeCell ref="AS497:AT497"/>
    <mergeCell ref="AW497:AX497"/>
    <mergeCell ref="Y448:Z448"/>
    <mergeCell ref="AC448:AD448"/>
    <mergeCell ref="AG448:AH448"/>
    <mergeCell ref="AK448:AL448"/>
    <mergeCell ref="AK445:AL445"/>
    <mergeCell ref="AO445:AP445"/>
    <mergeCell ref="AO448:AP448"/>
    <mergeCell ref="AS448:AT448"/>
    <mergeCell ref="AW448:AX448"/>
    <mergeCell ref="AK449:AL449"/>
    <mergeCell ref="AO449:AP449"/>
    <mergeCell ref="AS449:AT449"/>
    <mergeCell ref="AW449:AX449"/>
    <mergeCell ref="AS493:AT493"/>
    <mergeCell ref="AW493:AX493"/>
    <mergeCell ref="X491:Y491"/>
    <mergeCell ref="AB491:AC491"/>
    <mergeCell ref="AF491:AG491"/>
    <mergeCell ref="AJ491:AK491"/>
    <mergeCell ref="AK400:AL400"/>
    <mergeCell ref="AO400:AP400"/>
    <mergeCell ref="AS400:AT400"/>
    <mergeCell ref="AW400:AX400"/>
    <mergeCell ref="AS444:AT444"/>
    <mergeCell ref="AW444:AX444"/>
    <mergeCell ref="X442:Y442"/>
    <mergeCell ref="AB442:AC442"/>
    <mergeCell ref="AF442:AG442"/>
    <mergeCell ref="AJ442:AK442"/>
    <mergeCell ref="AS445:AT445"/>
    <mergeCell ref="AW445:AX445"/>
    <mergeCell ref="AN442:AO442"/>
    <mergeCell ref="AR442:AS442"/>
    <mergeCell ref="AV442:AW442"/>
    <mergeCell ref="Y444:Z444"/>
    <mergeCell ref="AC444:AD444"/>
    <mergeCell ref="AG444:AH444"/>
    <mergeCell ref="AK444:AL444"/>
    <mergeCell ref="AO444:AP444"/>
    <mergeCell ref="AS396:AT396"/>
    <mergeCell ref="AW396:AX396"/>
    <mergeCell ref="AN393:AO393"/>
    <mergeCell ref="AR393:AS393"/>
    <mergeCell ref="AV393:AW393"/>
    <mergeCell ref="Y395:Z395"/>
    <mergeCell ref="AC395:AD395"/>
    <mergeCell ref="AG395:AH395"/>
    <mergeCell ref="AK395:AL395"/>
    <mergeCell ref="AO395:AP395"/>
    <mergeCell ref="Y399:Z399"/>
    <mergeCell ref="AC399:AD399"/>
    <mergeCell ref="AG399:AH399"/>
    <mergeCell ref="AK399:AL399"/>
    <mergeCell ref="AK396:AL396"/>
    <mergeCell ref="AO396:AP396"/>
    <mergeCell ref="AO399:AP399"/>
    <mergeCell ref="AS399:AT399"/>
    <mergeCell ref="AW399:AX399"/>
    <mergeCell ref="AK350:AL350"/>
    <mergeCell ref="AO350:AP350"/>
    <mergeCell ref="AS346:AT346"/>
    <mergeCell ref="AW346:AX346"/>
    <mergeCell ref="AK347:AL347"/>
    <mergeCell ref="AO347:AP347"/>
    <mergeCell ref="AS347:AT347"/>
    <mergeCell ref="AW347:AX347"/>
    <mergeCell ref="AS350:AT350"/>
    <mergeCell ref="AW350:AX350"/>
    <mergeCell ref="AK351:AL351"/>
    <mergeCell ref="AO351:AP351"/>
    <mergeCell ref="AS351:AT351"/>
    <mergeCell ref="AW351:AX351"/>
    <mergeCell ref="AS395:AT395"/>
    <mergeCell ref="AW395:AX395"/>
    <mergeCell ref="X393:Y393"/>
    <mergeCell ref="AB393:AC393"/>
    <mergeCell ref="AF393:AG393"/>
    <mergeCell ref="AJ393:AK393"/>
    <mergeCell ref="AB295:AC295"/>
    <mergeCell ref="AR295:AS295"/>
    <mergeCell ref="AS298:AT298"/>
    <mergeCell ref="AW298:AX298"/>
    <mergeCell ref="Y301:Z301"/>
    <mergeCell ref="AC301:AD301"/>
    <mergeCell ref="AG301:AH301"/>
    <mergeCell ref="AK301:AL301"/>
    <mergeCell ref="AO301:AP301"/>
    <mergeCell ref="AS301:AT301"/>
    <mergeCell ref="AW301:AX301"/>
    <mergeCell ref="AK298:AL298"/>
    <mergeCell ref="AS302:AT302"/>
    <mergeCell ref="AW302:AX302"/>
    <mergeCell ref="X344:Y344"/>
    <mergeCell ref="AB344:AC344"/>
    <mergeCell ref="AF344:AG344"/>
    <mergeCell ref="AJ344:AK344"/>
    <mergeCell ref="AN344:AO344"/>
    <mergeCell ref="AR344:AS344"/>
    <mergeCell ref="AV344:AW344"/>
    <mergeCell ref="D602:L602"/>
    <mergeCell ref="AK248:AL248"/>
    <mergeCell ref="AO248:AP248"/>
    <mergeCell ref="AS248:AT248"/>
    <mergeCell ref="AW248:AX248"/>
    <mergeCell ref="AF246:AG246"/>
    <mergeCell ref="AV295:AW295"/>
    <mergeCell ref="AC346:AD346"/>
    <mergeCell ref="Y346:Z346"/>
    <mergeCell ref="AS249:AT249"/>
    <mergeCell ref="AW249:AX249"/>
    <mergeCell ref="AG252:AH252"/>
    <mergeCell ref="AK252:AL252"/>
    <mergeCell ref="AO252:AP252"/>
    <mergeCell ref="AF295:AG295"/>
    <mergeCell ref="AJ295:AK295"/>
    <mergeCell ref="AS252:AT252"/>
    <mergeCell ref="AW252:AX252"/>
    <mergeCell ref="AK253:AL253"/>
    <mergeCell ref="AO253:AP253"/>
    <mergeCell ref="AS253:AT253"/>
    <mergeCell ref="AW253:AX253"/>
    <mergeCell ref="AO298:AP298"/>
    <mergeCell ref="AK302:AL302"/>
    <mergeCell ref="AO302:AP302"/>
    <mergeCell ref="AG346:AH346"/>
    <mergeCell ref="AK346:AL346"/>
    <mergeCell ref="AO346:AP346"/>
    <mergeCell ref="AO297:AP297"/>
    <mergeCell ref="AS297:AT297"/>
    <mergeCell ref="AW297:AX297"/>
    <mergeCell ref="AN295:AO295"/>
    <mergeCell ref="L583:O583"/>
    <mergeCell ref="K578:O578"/>
    <mergeCell ref="K530:O530"/>
    <mergeCell ref="K531:O531"/>
    <mergeCell ref="AO203:AP203"/>
    <mergeCell ref="K532:O532"/>
    <mergeCell ref="Y203:Z203"/>
    <mergeCell ref="AC203:AD203"/>
    <mergeCell ref="AK200:AL200"/>
    <mergeCell ref="Y350:Z350"/>
    <mergeCell ref="AW203:AX203"/>
    <mergeCell ref="AK204:AL204"/>
    <mergeCell ref="AO204:AP204"/>
    <mergeCell ref="AS204:AT204"/>
    <mergeCell ref="AW204:AX204"/>
    <mergeCell ref="AG203:AH203"/>
    <mergeCell ref="AK203:AL203"/>
    <mergeCell ref="AS203:AT203"/>
    <mergeCell ref="Y252:Z252"/>
    <mergeCell ref="AJ246:AK246"/>
    <mergeCell ref="AN246:AO246"/>
    <mergeCell ref="AK249:AL249"/>
    <mergeCell ref="AO249:AP249"/>
    <mergeCell ref="AC252:AD252"/>
    <mergeCell ref="AR246:AS246"/>
    <mergeCell ref="X246:Y246"/>
    <mergeCell ref="AB246:AC246"/>
    <mergeCell ref="X295:Y295"/>
    <mergeCell ref="AV246:AW246"/>
    <mergeCell ref="Y248:Z248"/>
    <mergeCell ref="Y297:Z297"/>
    <mergeCell ref="AK297:AL297"/>
    <mergeCell ref="AW150:AX150"/>
    <mergeCell ref="AF148:AG148"/>
    <mergeCell ref="AK151:AL151"/>
    <mergeCell ref="AO151:AP151"/>
    <mergeCell ref="AS151:AT151"/>
    <mergeCell ref="AF197:AG197"/>
    <mergeCell ref="AJ197:AK197"/>
    <mergeCell ref="AN197:AO197"/>
    <mergeCell ref="AR197:AS197"/>
    <mergeCell ref="AW154:AX154"/>
    <mergeCell ref="AK155:AL155"/>
    <mergeCell ref="AO155:AP155"/>
    <mergeCell ref="AS155:AT155"/>
    <mergeCell ref="AW155:AX155"/>
    <mergeCell ref="AG154:AH154"/>
    <mergeCell ref="AW200:AX200"/>
    <mergeCell ref="AV197:AW197"/>
    <mergeCell ref="AG199:AH199"/>
    <mergeCell ref="AK199:AL199"/>
    <mergeCell ref="AO199:AP199"/>
    <mergeCell ref="AS199:AT199"/>
    <mergeCell ref="AW199:AX199"/>
    <mergeCell ref="AO200:AP200"/>
    <mergeCell ref="AS200:AT200"/>
    <mergeCell ref="AK105:AL105"/>
    <mergeCell ref="AK102:AL102"/>
    <mergeCell ref="AO102:AP102"/>
    <mergeCell ref="AS102:AT102"/>
    <mergeCell ref="X197:Y197"/>
    <mergeCell ref="AB197:AC197"/>
    <mergeCell ref="AO105:AP105"/>
    <mergeCell ref="AS105:AT105"/>
    <mergeCell ref="AW105:AX105"/>
    <mergeCell ref="AK106:AL106"/>
    <mergeCell ref="AO106:AP106"/>
    <mergeCell ref="AS106:AT106"/>
    <mergeCell ref="AW106:AX106"/>
    <mergeCell ref="Y105:Z105"/>
    <mergeCell ref="AJ148:AK148"/>
    <mergeCell ref="AN148:AO148"/>
    <mergeCell ref="AR148:AS148"/>
    <mergeCell ref="X148:Y148"/>
    <mergeCell ref="AB148:AC148"/>
    <mergeCell ref="Y154:Z154"/>
    <mergeCell ref="AC154:AD154"/>
    <mergeCell ref="AK154:AL154"/>
    <mergeCell ref="AO154:AP154"/>
    <mergeCell ref="AS154:AT154"/>
    <mergeCell ref="AW151:AX151"/>
    <mergeCell ref="AV148:AW148"/>
    <mergeCell ref="Y150:Z150"/>
    <mergeCell ref="AC150:AD150"/>
    <mergeCell ref="AG150:AH150"/>
    <mergeCell ref="AK150:AL150"/>
    <mergeCell ref="AO150:AP150"/>
    <mergeCell ref="AS150:AT150"/>
    <mergeCell ref="AW101:AX101"/>
    <mergeCell ref="X99:Y99"/>
    <mergeCell ref="AB99:AC99"/>
    <mergeCell ref="AF99:AG99"/>
    <mergeCell ref="AJ99:AK99"/>
    <mergeCell ref="AO56:AP56"/>
    <mergeCell ref="AS56:AT56"/>
    <mergeCell ref="AW56:AX56"/>
    <mergeCell ref="AK57:AL57"/>
    <mergeCell ref="AO57:AP57"/>
    <mergeCell ref="AW102:AX102"/>
    <mergeCell ref="AN99:AO99"/>
    <mergeCell ref="AR99:AS99"/>
    <mergeCell ref="AV99:AW99"/>
    <mergeCell ref="Y101:Z101"/>
    <mergeCell ref="AC101:AD101"/>
    <mergeCell ref="AG101:AH101"/>
    <mergeCell ref="AK101:AL101"/>
    <mergeCell ref="AO101:AP101"/>
    <mergeCell ref="AS101:AT101"/>
    <mergeCell ref="AK52:AL52"/>
    <mergeCell ref="AS8:AT8"/>
    <mergeCell ref="AW8:AX8"/>
    <mergeCell ref="X50:Y50"/>
    <mergeCell ref="AB50:AC50"/>
    <mergeCell ref="AF50:AG50"/>
    <mergeCell ref="AJ50:AK50"/>
    <mergeCell ref="AO52:AP52"/>
    <mergeCell ref="AS52:AT52"/>
    <mergeCell ref="AW52:AX52"/>
    <mergeCell ref="AK53:AL53"/>
    <mergeCell ref="AO53:AP53"/>
    <mergeCell ref="AS53:AT53"/>
    <mergeCell ref="AW53:AX53"/>
    <mergeCell ref="AS57:AT57"/>
    <mergeCell ref="AW57:AX57"/>
    <mergeCell ref="Y56:Z56"/>
    <mergeCell ref="AC56:AD56"/>
    <mergeCell ref="AG56:AH56"/>
    <mergeCell ref="AK56:AL56"/>
    <mergeCell ref="AJ1:AK1"/>
    <mergeCell ref="AN1:AO1"/>
    <mergeCell ref="AO3:AP3"/>
    <mergeCell ref="AO7:AP7"/>
    <mergeCell ref="AW4:AX4"/>
    <mergeCell ref="AR1:AS1"/>
    <mergeCell ref="AS3:AT3"/>
    <mergeCell ref="AS7:AT7"/>
    <mergeCell ref="AO8:AP8"/>
    <mergeCell ref="AK3:AL3"/>
    <mergeCell ref="AK7:AL7"/>
    <mergeCell ref="AN50:AO50"/>
    <mergeCell ref="AR50:AS50"/>
    <mergeCell ref="AV50:AW50"/>
    <mergeCell ref="AK8:AL8"/>
    <mergeCell ref="AV1:AW1"/>
    <mergeCell ref="AW3:AX3"/>
    <mergeCell ref="AW7:AX7"/>
    <mergeCell ref="AK4:AL4"/>
    <mergeCell ref="AO4:AP4"/>
    <mergeCell ref="AS4:AT4"/>
    <mergeCell ref="F573:I573"/>
    <mergeCell ref="F574:I574"/>
    <mergeCell ref="F575:I575"/>
    <mergeCell ref="F668:I668"/>
    <mergeCell ref="F615:I615"/>
    <mergeCell ref="D586:L586"/>
    <mergeCell ref="D593:L593"/>
    <mergeCell ref="D597:L597"/>
    <mergeCell ref="AB1:AC1"/>
    <mergeCell ref="AC3:AD3"/>
    <mergeCell ref="AC7:AD7"/>
    <mergeCell ref="T1:U1"/>
    <mergeCell ref="X1:Y1"/>
    <mergeCell ref="Y3:Z3"/>
    <mergeCell ref="Y7:Z7"/>
    <mergeCell ref="AF1:AG1"/>
    <mergeCell ref="AG3:AH3"/>
    <mergeCell ref="AG7:AH7"/>
    <mergeCell ref="Y52:Z52"/>
    <mergeCell ref="AC52:AD52"/>
    <mergeCell ref="AG52:AH52"/>
    <mergeCell ref="AC105:AD105"/>
    <mergeCell ref="AG105:AH105"/>
    <mergeCell ref="Y199:Z199"/>
    <mergeCell ref="AC199:AD199"/>
    <mergeCell ref="AC248:AD248"/>
    <mergeCell ref="AG248:AH248"/>
    <mergeCell ref="AC297:AD297"/>
    <mergeCell ref="AG297:AH297"/>
    <mergeCell ref="AC350:AD350"/>
    <mergeCell ref="AG350:AH350"/>
    <mergeCell ref="M617:O617"/>
    <mergeCell ref="D609:L609"/>
    <mergeCell ref="C581:K581"/>
    <mergeCell ref="A583:D583"/>
    <mergeCell ref="F568:I568"/>
    <mergeCell ref="F569:I569"/>
    <mergeCell ref="K579:O579"/>
    <mergeCell ref="K580:O580"/>
    <mergeCell ref="M569:O569"/>
    <mergeCell ref="F570:I570"/>
    <mergeCell ref="A586:B586"/>
    <mergeCell ref="F588:J588"/>
    <mergeCell ref="A584:D584"/>
    <mergeCell ref="A632:D632"/>
    <mergeCell ref="A631:D631"/>
    <mergeCell ref="F618:I618"/>
    <mergeCell ref="F619:I619"/>
    <mergeCell ref="F620:I620"/>
    <mergeCell ref="F617:I617"/>
    <mergeCell ref="B617:D617"/>
    <mergeCell ref="L632:O632"/>
    <mergeCell ref="K626:O626"/>
    <mergeCell ref="K627:O627"/>
    <mergeCell ref="K628:O628"/>
    <mergeCell ref="C629:K629"/>
    <mergeCell ref="I631:J631"/>
    <mergeCell ref="F576:I576"/>
    <mergeCell ref="I632:J632"/>
    <mergeCell ref="L584:O584"/>
    <mergeCell ref="I583:J583"/>
    <mergeCell ref="I584:J584"/>
    <mergeCell ref="L631:O631"/>
    <mergeCell ref="F614:I614"/>
    <mergeCell ref="D554:L554"/>
    <mergeCell ref="D561:L561"/>
    <mergeCell ref="F527:I527"/>
    <mergeCell ref="A535:D535"/>
    <mergeCell ref="L535:O535"/>
    <mergeCell ref="A536:D536"/>
    <mergeCell ref="L536:O536"/>
    <mergeCell ref="I535:J535"/>
    <mergeCell ref="I536:J536"/>
    <mergeCell ref="F528:I528"/>
    <mergeCell ref="F571:I571"/>
    <mergeCell ref="F572:I572"/>
    <mergeCell ref="A538:B538"/>
    <mergeCell ref="F540:J540"/>
    <mergeCell ref="B569:D569"/>
    <mergeCell ref="D538:L538"/>
    <mergeCell ref="D545:L545"/>
    <mergeCell ref="D549:L549"/>
    <mergeCell ref="F567:I567"/>
    <mergeCell ref="F566:I566"/>
    <mergeCell ref="M521:O521"/>
    <mergeCell ref="F518:I518"/>
    <mergeCell ref="F520:I520"/>
    <mergeCell ref="F521:I521"/>
    <mergeCell ref="F444:J444"/>
    <mergeCell ref="B473:D473"/>
    <mergeCell ref="M473:O473"/>
    <mergeCell ref="F470:I470"/>
    <mergeCell ref="F472:I472"/>
    <mergeCell ref="F473:I473"/>
    <mergeCell ref="C533:K533"/>
    <mergeCell ref="F523:I523"/>
    <mergeCell ref="F524:I524"/>
    <mergeCell ref="F525:I525"/>
    <mergeCell ref="F526:I526"/>
    <mergeCell ref="A490:B490"/>
    <mergeCell ref="F492:J492"/>
    <mergeCell ref="B521:D521"/>
    <mergeCell ref="F522:I522"/>
    <mergeCell ref="L488:O488"/>
    <mergeCell ref="I487:J487"/>
    <mergeCell ref="I488:J488"/>
    <mergeCell ref="F519:I519"/>
    <mergeCell ref="D501:L501"/>
    <mergeCell ref="D506:L506"/>
    <mergeCell ref="D513:L513"/>
    <mergeCell ref="D490:L490"/>
    <mergeCell ref="D497:L497"/>
    <mergeCell ref="C485:K485"/>
    <mergeCell ref="A487:D487"/>
    <mergeCell ref="L487:O487"/>
    <mergeCell ref="A488:D488"/>
    <mergeCell ref="F432:I432"/>
    <mergeCell ref="A439:D439"/>
    <mergeCell ref="D442:L442"/>
    <mergeCell ref="M377:O377"/>
    <mergeCell ref="F375:I375"/>
    <mergeCell ref="F374:I374"/>
    <mergeCell ref="F376:I376"/>
    <mergeCell ref="F377:I377"/>
    <mergeCell ref="F384:I384"/>
    <mergeCell ref="C389:K389"/>
    <mergeCell ref="F426:I426"/>
    <mergeCell ref="F427:I427"/>
    <mergeCell ref="A442:B442"/>
    <mergeCell ref="F428:I428"/>
    <mergeCell ref="F429:I429"/>
    <mergeCell ref="F430:I430"/>
    <mergeCell ref="F431:I431"/>
    <mergeCell ref="F425:I425"/>
    <mergeCell ref="F423:I423"/>
    <mergeCell ref="M425:O425"/>
    <mergeCell ref="L439:O439"/>
    <mergeCell ref="A440:D440"/>
    <mergeCell ref="L440:O440"/>
    <mergeCell ref="I439:J439"/>
    <mergeCell ref="I440:J440"/>
    <mergeCell ref="F380:I380"/>
    <mergeCell ref="F381:I381"/>
    <mergeCell ref="F382:I382"/>
    <mergeCell ref="F383:I383"/>
    <mergeCell ref="I391:J391"/>
    <mergeCell ref="L391:O391"/>
    <mergeCell ref="L392:O392"/>
    <mergeCell ref="A295:D295"/>
    <mergeCell ref="M329:O329"/>
    <mergeCell ref="F326:I326"/>
    <mergeCell ref="F328:I328"/>
    <mergeCell ref="F329:I329"/>
    <mergeCell ref="F327:I327"/>
    <mergeCell ref="L295:O295"/>
    <mergeCell ref="D309:L309"/>
    <mergeCell ref="D314:L314"/>
    <mergeCell ref="B329:D329"/>
    <mergeCell ref="A298:B298"/>
    <mergeCell ref="I344:J344"/>
    <mergeCell ref="A343:D343"/>
    <mergeCell ref="A346:B346"/>
    <mergeCell ref="F348:J348"/>
    <mergeCell ref="I343:J343"/>
    <mergeCell ref="A344:D344"/>
    <mergeCell ref="D346:L346"/>
    <mergeCell ref="F335:I335"/>
    <mergeCell ref="K2:O2"/>
    <mergeCell ref="K3:O3"/>
    <mergeCell ref="I7:J7"/>
    <mergeCell ref="C5:K5"/>
    <mergeCell ref="A7:D7"/>
    <mergeCell ref="L7:O7"/>
    <mergeCell ref="K4:O4"/>
    <mergeCell ref="A10:B10"/>
    <mergeCell ref="I8:J8"/>
    <mergeCell ref="F38:I38"/>
    <mergeCell ref="B41:D41"/>
    <mergeCell ref="F39:I39"/>
    <mergeCell ref="F40:I40"/>
    <mergeCell ref="A8:D8"/>
    <mergeCell ref="D21:L21"/>
    <mergeCell ref="L8:O8"/>
    <mergeCell ref="B137:D137"/>
    <mergeCell ref="B89:D89"/>
    <mergeCell ref="F48:I48"/>
    <mergeCell ref="A58:B58"/>
    <mergeCell ref="F60:J60"/>
    <mergeCell ref="I56:J56"/>
    <mergeCell ref="A56:D56"/>
    <mergeCell ref="D65:L65"/>
    <mergeCell ref="D69:L69"/>
    <mergeCell ref="D58:L58"/>
    <mergeCell ref="F42:I42"/>
    <mergeCell ref="F43:I43"/>
    <mergeCell ref="F44:I44"/>
    <mergeCell ref="M41:O41"/>
    <mergeCell ref="D10:L10"/>
    <mergeCell ref="D17:L17"/>
    <mergeCell ref="D33:L33"/>
    <mergeCell ref="D26:L26"/>
    <mergeCell ref="F12:J12"/>
    <mergeCell ref="F41:I41"/>
    <mergeCell ref="F45:I45"/>
    <mergeCell ref="F46:I46"/>
    <mergeCell ref="F47:I47"/>
    <mergeCell ref="I55:J55"/>
    <mergeCell ref="C53:K53"/>
    <mergeCell ref="K50:O50"/>
    <mergeCell ref="K51:O51"/>
    <mergeCell ref="K52:O52"/>
    <mergeCell ref="L55:O55"/>
    <mergeCell ref="A55:D55"/>
    <mergeCell ref="F87:I87"/>
    <mergeCell ref="F88:I88"/>
    <mergeCell ref="F89:I89"/>
    <mergeCell ref="F86:I86"/>
    <mergeCell ref="F108:J108"/>
    <mergeCell ref="I104:J104"/>
    <mergeCell ref="I103:J103"/>
    <mergeCell ref="C101:K101"/>
    <mergeCell ref="A103:D103"/>
    <mergeCell ref="D74:L74"/>
    <mergeCell ref="D81:L81"/>
    <mergeCell ref="L56:O56"/>
    <mergeCell ref="M137:O137"/>
    <mergeCell ref="F134:I134"/>
    <mergeCell ref="F137:I137"/>
    <mergeCell ref="F91:I91"/>
    <mergeCell ref="D117:L117"/>
    <mergeCell ref="K99:O99"/>
    <mergeCell ref="K100:O100"/>
    <mergeCell ref="F135:I135"/>
    <mergeCell ref="D129:L129"/>
    <mergeCell ref="A104:D104"/>
    <mergeCell ref="L104:O104"/>
    <mergeCell ref="I392:J392"/>
    <mergeCell ref="F92:I92"/>
    <mergeCell ref="F93:I93"/>
    <mergeCell ref="F94:I94"/>
    <mergeCell ref="F190:I190"/>
    <mergeCell ref="F136:I136"/>
    <mergeCell ref="I248:J248"/>
    <mergeCell ref="D122:L122"/>
    <mergeCell ref="D106:L106"/>
    <mergeCell ref="D113:L113"/>
    <mergeCell ref="K386:O386"/>
    <mergeCell ref="K387:O387"/>
    <mergeCell ref="K388:O388"/>
    <mergeCell ref="A200:D200"/>
    <mergeCell ref="B233:D233"/>
    <mergeCell ref="F252:J252"/>
    <mergeCell ref="A248:D248"/>
    <mergeCell ref="F140:I140"/>
    <mergeCell ref="F141:I141"/>
    <mergeCell ref="M185:O185"/>
    <mergeCell ref="A151:D151"/>
    <mergeCell ref="F144:I144"/>
    <mergeCell ref="D165:L165"/>
    <mergeCell ref="D170:L170"/>
    <mergeCell ref="A106:B106"/>
    <mergeCell ref="F182:I182"/>
    <mergeCell ref="D177:L177"/>
    <mergeCell ref="I151:J151"/>
    <mergeCell ref="I152:J152"/>
    <mergeCell ref="D161:L161"/>
    <mergeCell ref="L151:O151"/>
    <mergeCell ref="F286:I286"/>
    <mergeCell ref="A154:B154"/>
    <mergeCell ref="F156:J156"/>
    <mergeCell ref="A152:D152"/>
    <mergeCell ref="D154:L154"/>
    <mergeCell ref="L152:O152"/>
    <mergeCell ref="F236:I236"/>
    <mergeCell ref="F204:J204"/>
    <mergeCell ref="F184:I184"/>
    <mergeCell ref="F192:I192"/>
    <mergeCell ref="F187:I187"/>
    <mergeCell ref="F186:I186"/>
    <mergeCell ref="F189:I189"/>
    <mergeCell ref="F138:I138"/>
    <mergeCell ref="F139:I139"/>
    <mergeCell ref="K242:O242"/>
    <mergeCell ref="K243:O243"/>
    <mergeCell ref="F183:I183"/>
    <mergeCell ref="D209:L209"/>
    <mergeCell ref="F191:I191"/>
    <mergeCell ref="F185:I185"/>
    <mergeCell ref="K146:O146"/>
    <mergeCell ref="K147:O147"/>
    <mergeCell ref="K148:O148"/>
    <mergeCell ref="C149:K149"/>
    <mergeCell ref="F142:I142"/>
    <mergeCell ref="F143:I143"/>
    <mergeCell ref="L200:O200"/>
    <mergeCell ref="I200:J200"/>
    <mergeCell ref="F283:I283"/>
    <mergeCell ref="F284:I284"/>
    <mergeCell ref="F285:I285"/>
    <mergeCell ref="B185:D185"/>
    <mergeCell ref="I199:J199"/>
    <mergeCell ref="C197:K197"/>
    <mergeCell ref="F237:I237"/>
    <mergeCell ref="F238:I238"/>
    <mergeCell ref="F239:I239"/>
    <mergeCell ref="K195:O195"/>
    <mergeCell ref="K196:O196"/>
    <mergeCell ref="L199:O199"/>
    <mergeCell ref="M233:O233"/>
    <mergeCell ref="F230:I230"/>
    <mergeCell ref="F232:I232"/>
    <mergeCell ref="F233:I233"/>
    <mergeCell ref="F231:I231"/>
    <mergeCell ref="L247:O247"/>
    <mergeCell ref="I247:J247"/>
    <mergeCell ref="C245:K245"/>
    <mergeCell ref="A247:D247"/>
    <mergeCell ref="D266:L266"/>
    <mergeCell ref="D273:L273"/>
    <mergeCell ref="A199:D199"/>
    <mergeCell ref="A250:B250"/>
    <mergeCell ref="A202:B202"/>
    <mergeCell ref="D202:L202"/>
    <mergeCell ref="K194:O194"/>
    <mergeCell ref="F287:I287"/>
    <mergeCell ref="F288:I288"/>
    <mergeCell ref="F300:J300"/>
    <mergeCell ref="F330:I330"/>
    <mergeCell ref="D321:L321"/>
    <mergeCell ref="F188:I188"/>
    <mergeCell ref="D213:L213"/>
    <mergeCell ref="D218:L218"/>
    <mergeCell ref="D225:L225"/>
    <mergeCell ref="D250:L250"/>
    <mergeCell ref="D257:L257"/>
    <mergeCell ref="L248:O248"/>
    <mergeCell ref="K244:O244"/>
    <mergeCell ref="F234:I234"/>
    <mergeCell ref="F235:I235"/>
    <mergeCell ref="F240:I240"/>
    <mergeCell ref="M281:O281"/>
    <mergeCell ref="F278:I278"/>
    <mergeCell ref="F280:I280"/>
    <mergeCell ref="F281:I281"/>
    <mergeCell ref="F279:I279"/>
    <mergeCell ref="B281:D281"/>
    <mergeCell ref="D261:L261"/>
    <mergeCell ref="A296:D296"/>
    <mergeCell ref="L296:O296"/>
    <mergeCell ref="K290:O290"/>
    <mergeCell ref="K291:O291"/>
    <mergeCell ref="K292:O292"/>
    <mergeCell ref="C293:K293"/>
    <mergeCell ref="I295:J295"/>
    <mergeCell ref="I296:J296"/>
    <mergeCell ref="F282:I282"/>
    <mergeCell ref="F624:I624"/>
    <mergeCell ref="F662:I662"/>
    <mergeCell ref="A634:B634"/>
    <mergeCell ref="F636:J636"/>
    <mergeCell ref="D634:L634"/>
    <mergeCell ref="D641:L641"/>
    <mergeCell ref="F671:I671"/>
    <mergeCell ref="F672:I672"/>
    <mergeCell ref="A680:D680"/>
    <mergeCell ref="C677:K677"/>
    <mergeCell ref="K675:O675"/>
    <mergeCell ref="K676:O676"/>
    <mergeCell ref="K674:O674"/>
    <mergeCell ref="F669:I669"/>
    <mergeCell ref="F670:I670"/>
    <mergeCell ref="D645:L645"/>
    <mergeCell ref="D650:L650"/>
    <mergeCell ref="D657:L657"/>
    <mergeCell ref="D682:L682"/>
    <mergeCell ref="F474:I474"/>
    <mergeCell ref="D458:L458"/>
    <mergeCell ref="D465:L465"/>
    <mergeCell ref="F379:I379"/>
    <mergeCell ref="F475:I475"/>
    <mergeCell ref="F476:I476"/>
    <mergeCell ref="F396:J396"/>
    <mergeCell ref="K435:O435"/>
    <mergeCell ref="K436:O436"/>
    <mergeCell ref="C437:K437"/>
    <mergeCell ref="K484:O484"/>
    <mergeCell ref="F479:I479"/>
    <mergeCell ref="F480:I480"/>
    <mergeCell ref="K482:O482"/>
    <mergeCell ref="K483:O483"/>
    <mergeCell ref="F477:I477"/>
    <mergeCell ref="F478:I478"/>
    <mergeCell ref="F422:I422"/>
    <mergeCell ref="A392:D392"/>
    <mergeCell ref="B425:D425"/>
    <mergeCell ref="K434:O434"/>
    <mergeCell ref="F424:I424"/>
    <mergeCell ref="F471:I471"/>
    <mergeCell ref="D453:L453"/>
    <mergeCell ref="D449:L449"/>
    <mergeCell ref="B665:D665"/>
    <mergeCell ref="M665:O665"/>
    <mergeCell ref="F616:I616"/>
    <mergeCell ref="F621:I621"/>
    <mergeCell ref="F622:I622"/>
    <mergeCell ref="F623:I623"/>
    <mergeCell ref="F378:I378"/>
    <mergeCell ref="M89:O89"/>
    <mergeCell ref="K98:O98"/>
    <mergeCell ref="F90:I90"/>
    <mergeCell ref="F95:I95"/>
    <mergeCell ref="F96:I96"/>
    <mergeCell ref="D353:L353"/>
    <mergeCell ref="L343:O343"/>
    <mergeCell ref="L344:O344"/>
    <mergeCell ref="F331:I331"/>
    <mergeCell ref="D417:L417"/>
    <mergeCell ref="D405:L405"/>
    <mergeCell ref="D410:L410"/>
    <mergeCell ref="A391:D391"/>
    <mergeCell ref="L103:O103"/>
    <mergeCell ref="D401:L401"/>
    <mergeCell ref="A394:B394"/>
    <mergeCell ref="D298:L298"/>
    <mergeCell ref="D305:L305"/>
    <mergeCell ref="D394:L394"/>
    <mergeCell ref="D357:L357"/>
    <mergeCell ref="D362:L362"/>
    <mergeCell ref="D369:L369"/>
    <mergeCell ref="B377:D377"/>
    <mergeCell ref="F332:I332"/>
    <mergeCell ref="F333:I333"/>
    <mergeCell ref="F334:I334"/>
    <mergeCell ref="K338:O338"/>
    <mergeCell ref="K339:O339"/>
    <mergeCell ref="F336:I336"/>
    <mergeCell ref="K340:O340"/>
    <mergeCell ref="C341:K341"/>
    <mergeCell ref="D737:L737"/>
    <mergeCell ref="D741:L741"/>
    <mergeCell ref="D746:L746"/>
    <mergeCell ref="D753:L753"/>
    <mergeCell ref="F758:I758"/>
    <mergeCell ref="F759:I759"/>
    <mergeCell ref="A728:D728"/>
    <mergeCell ref="I728:J728"/>
    <mergeCell ref="L728:O728"/>
    <mergeCell ref="A730:B730"/>
    <mergeCell ref="D730:L730"/>
    <mergeCell ref="F732:J732"/>
    <mergeCell ref="K722:O722"/>
    <mergeCell ref="K723:O723"/>
    <mergeCell ref="K724:O724"/>
    <mergeCell ref="C725:K725"/>
    <mergeCell ref="A727:D727"/>
    <mergeCell ref="I727:J727"/>
    <mergeCell ref="L727:O727"/>
    <mergeCell ref="K771:O771"/>
    <mergeCell ref="K772:O772"/>
    <mergeCell ref="C773:K773"/>
    <mergeCell ref="A775:D775"/>
    <mergeCell ref="I775:J775"/>
    <mergeCell ref="L775:O775"/>
    <mergeCell ref="F764:I764"/>
    <mergeCell ref="F765:I765"/>
    <mergeCell ref="F766:I766"/>
    <mergeCell ref="F767:I767"/>
    <mergeCell ref="F768:I768"/>
    <mergeCell ref="K770:O770"/>
    <mergeCell ref="F760:I760"/>
    <mergeCell ref="B761:D761"/>
    <mergeCell ref="F761:I761"/>
    <mergeCell ref="M761:O761"/>
    <mergeCell ref="F762:I762"/>
    <mergeCell ref="F763:I763"/>
    <mergeCell ref="F808:I808"/>
    <mergeCell ref="B809:D809"/>
    <mergeCell ref="F809:I809"/>
    <mergeCell ref="M809:O809"/>
    <mergeCell ref="F810:I810"/>
    <mergeCell ref="F811:I811"/>
    <mergeCell ref="D785:L785"/>
    <mergeCell ref="D789:L789"/>
    <mergeCell ref="D794:L794"/>
    <mergeCell ref="D801:L801"/>
    <mergeCell ref="F806:I806"/>
    <mergeCell ref="F807:I807"/>
    <mergeCell ref="A776:D776"/>
    <mergeCell ref="I776:J776"/>
    <mergeCell ref="L776:O776"/>
    <mergeCell ref="A778:B778"/>
    <mergeCell ref="D778:L778"/>
    <mergeCell ref="F780:J780"/>
    <mergeCell ref="A824:D824"/>
    <mergeCell ref="I824:J824"/>
    <mergeCell ref="L824:O824"/>
    <mergeCell ref="A826:B826"/>
    <mergeCell ref="D826:L826"/>
    <mergeCell ref="F828:J828"/>
    <mergeCell ref="K819:O819"/>
    <mergeCell ref="K820:O820"/>
    <mergeCell ref="C821:K821"/>
    <mergeCell ref="A823:D823"/>
    <mergeCell ref="I823:J823"/>
    <mergeCell ref="L823:O823"/>
    <mergeCell ref="F812:I812"/>
    <mergeCell ref="F813:I813"/>
    <mergeCell ref="F814:I814"/>
    <mergeCell ref="F815:I815"/>
    <mergeCell ref="F816:I816"/>
    <mergeCell ref="K818:O818"/>
    <mergeCell ref="F860:I860"/>
    <mergeCell ref="F861:I861"/>
    <mergeCell ref="F862:I862"/>
    <mergeCell ref="F863:I863"/>
    <mergeCell ref="F864:I864"/>
    <mergeCell ref="K866:O866"/>
    <mergeCell ref="F856:I856"/>
    <mergeCell ref="B857:D857"/>
    <mergeCell ref="F857:I857"/>
    <mergeCell ref="M857:O857"/>
    <mergeCell ref="F858:I858"/>
    <mergeCell ref="F859:I859"/>
    <mergeCell ref="D833:L833"/>
    <mergeCell ref="D837:L837"/>
    <mergeCell ref="D842:L842"/>
    <mergeCell ref="D849:L849"/>
    <mergeCell ref="F854:I854"/>
    <mergeCell ref="F855:I855"/>
    <mergeCell ref="D881:L881"/>
    <mergeCell ref="D885:L885"/>
    <mergeCell ref="D890:L890"/>
    <mergeCell ref="D897:L897"/>
    <mergeCell ref="F902:I902"/>
    <mergeCell ref="F903:I903"/>
    <mergeCell ref="A872:D872"/>
    <mergeCell ref="I872:J872"/>
    <mergeCell ref="L872:O872"/>
    <mergeCell ref="A874:B874"/>
    <mergeCell ref="D874:L874"/>
    <mergeCell ref="F876:J876"/>
    <mergeCell ref="K867:O867"/>
    <mergeCell ref="K868:O868"/>
    <mergeCell ref="C869:K869"/>
    <mergeCell ref="A871:D871"/>
    <mergeCell ref="I871:J871"/>
    <mergeCell ref="L871:O871"/>
    <mergeCell ref="K915:O915"/>
    <mergeCell ref="K916:O916"/>
    <mergeCell ref="C917:K917"/>
    <mergeCell ref="A919:D919"/>
    <mergeCell ref="I919:J919"/>
    <mergeCell ref="L919:O919"/>
    <mergeCell ref="F908:I908"/>
    <mergeCell ref="F909:I909"/>
    <mergeCell ref="F910:I910"/>
    <mergeCell ref="F911:I911"/>
    <mergeCell ref="F912:I912"/>
    <mergeCell ref="K914:O914"/>
    <mergeCell ref="F904:I904"/>
    <mergeCell ref="B905:D905"/>
    <mergeCell ref="F905:I905"/>
    <mergeCell ref="M905:O905"/>
    <mergeCell ref="F906:I906"/>
    <mergeCell ref="F907:I907"/>
    <mergeCell ref="F952:I952"/>
    <mergeCell ref="B953:D953"/>
    <mergeCell ref="F953:I953"/>
    <mergeCell ref="M953:O953"/>
    <mergeCell ref="F954:I954"/>
    <mergeCell ref="F955:I955"/>
    <mergeCell ref="D929:L929"/>
    <mergeCell ref="D933:L933"/>
    <mergeCell ref="D938:L938"/>
    <mergeCell ref="D945:L945"/>
    <mergeCell ref="F950:I950"/>
    <mergeCell ref="F951:I951"/>
    <mergeCell ref="A920:D920"/>
    <mergeCell ref="I920:J920"/>
    <mergeCell ref="L920:O920"/>
    <mergeCell ref="A922:B922"/>
    <mergeCell ref="D922:L922"/>
    <mergeCell ref="F924:J924"/>
    <mergeCell ref="A968:D968"/>
    <mergeCell ref="I968:J968"/>
    <mergeCell ref="L968:O968"/>
    <mergeCell ref="A970:B970"/>
    <mergeCell ref="D970:L970"/>
    <mergeCell ref="F972:J972"/>
    <mergeCell ref="K963:O963"/>
    <mergeCell ref="K964:O964"/>
    <mergeCell ref="C965:K965"/>
    <mergeCell ref="A967:D967"/>
    <mergeCell ref="I967:J967"/>
    <mergeCell ref="L967:O967"/>
    <mergeCell ref="F956:I956"/>
    <mergeCell ref="F957:I957"/>
    <mergeCell ref="F958:I958"/>
    <mergeCell ref="F959:I959"/>
    <mergeCell ref="F960:I960"/>
    <mergeCell ref="K962:O962"/>
    <mergeCell ref="F1004:I1004"/>
    <mergeCell ref="F1005:I1005"/>
    <mergeCell ref="F1006:I1006"/>
    <mergeCell ref="F1007:I1007"/>
    <mergeCell ref="F1008:I1008"/>
    <mergeCell ref="F1000:I1000"/>
    <mergeCell ref="B1001:D1001"/>
    <mergeCell ref="F1001:I1001"/>
    <mergeCell ref="M1001:O1001"/>
    <mergeCell ref="F1002:I1002"/>
    <mergeCell ref="F1003:I1003"/>
    <mergeCell ref="D977:L977"/>
    <mergeCell ref="D981:L981"/>
    <mergeCell ref="D986:L986"/>
    <mergeCell ref="D993:L993"/>
    <mergeCell ref="F998:I998"/>
    <mergeCell ref="F999:I999"/>
  </mergeCells>
  <phoneticPr fontId="0" type="noConversion"/>
  <dataValidations count="15">
    <dataValidation type="list" allowBlank="1" showInputMessage="1" showErrorMessage="1" sqref="A8:D8 L8:O8 A56:D56 L56:O56 A104:D104 L104:O104 A152:D152 L152:O152 A200:D200 L200:O200 A248:D248 L248:O248 A296:D296 L296:O296 A344:D344 L344:O344 A392:D392 L392:O392 A440:D440 L440:O440 A488:D488 L488:O488 A536:D536 L536:O536 A584:D584 L584:O584 A632:D632 L632:O632 A680:D680 L680:O680 A728:D728 L728:O728 A776:D776 L776:O776 A824:D824 L824:O824 A872:D872 L872:O872 A920:D920 L920:O920 A968:D968 L968:O968">
      <formula1>$U$3:$U$10</formula1>
    </dataValidation>
    <dataValidation type="list" allowBlank="1" showInputMessage="1" showErrorMessage="1" sqref="B109 B948 B940:B941 B925 M468 M460:M461 M445 M324 M316:M317 M301 B276 B268:B269 B253 B132 B756 B748:B749 B124:B125 B733">
      <formula1>$Q$47:$Q$55</formula1>
    </dataValidation>
    <dataValidation type="list" allowBlank="1" showInputMessage="1" showErrorMessage="1" sqref="B115 B947 B935:B936 B931 M467 M455:M456 M451 M323 M311:M312 M307 B275 B263:B264 B259 B131 B755 B743:B744 B119:B120 B739">
      <formula1>$S$47:$S$52</formula1>
    </dataValidation>
    <dataValidation type="list" allowBlank="1" showInputMessage="1" showErrorMessage="1" sqref="B995 B707 B695:B696 B691 B515 B503:B504 B499 M803 M791:M792 M787 M35 M23:M24 M19 B323 B311:B312 B307 B979 B983:B984">
      <formula1>$S$5:$S$10</formula1>
    </dataValidation>
    <dataValidation type="list" allowBlank="1" showInputMessage="1" showErrorMessage="1" sqref="B13 B900 B892:B893 B877 M852 M844:M845 M829 B612 B604:B605 B589 M372 M364:M365 M349 M276 M268:M269 M253 B36 B28:B29">
      <formula1>$Q$37:$Q$46</formula1>
    </dataValidation>
    <dataValidation type="list" allowBlank="1" showInputMessage="1" showErrorMessage="1" sqref="B19 B899 B887:B888 B883 M851 M839:M840 M835 B611 B599:B600 B595 M371 M359:M360 M355 M275 M263:M264 M259 B35 B23:B24">
      <formula1>$S$37:$S$43</formula1>
    </dataValidation>
    <dataValidation type="list" allowBlank="1" showInputMessage="1" showErrorMessage="1" sqref="M13 B996 B988:B989 B973 M804 M796:M797 M781 B708 B700:B701 B685 B516 B508:B509 B493 B324 B316:B317 B301 M36 M28:M29">
      <formula1>$Q$5:$Q$11</formula1>
    </dataValidation>
    <dataValidation type="list" allowBlank="1" showInputMessage="1" showErrorMessage="1" sqref="B61 M756 M748:M749 M733 M708 M700:M701 M685 B564 B556:B557 B541 B372 B364:B365 B349 M180 M172:M173 M157 B84 B76:B77">
      <formula1>$Q$56:$Q$63</formula1>
    </dataValidation>
    <dataValidation type="list" allowBlank="1" showInputMessage="1" showErrorMessage="1" sqref="B67 M755 M743:M744 M739 M707 M695:M696 M691 B563 B551:B552 B547 B371 B359:B360 B355 M179 M167:M168 M163 B83 B71:B72">
      <formula1>$S$56:$S$61</formula1>
    </dataValidation>
    <dataValidation type="list" allowBlank="1" showInputMessage="1" showErrorMessage="1" sqref="M61 M996 M988:M989 M973 B852 B844:B845 B829 M660 M652:M653 M637 B468 B460:B461 B445 B228 B220:B221 B205 M84 M76:M77">
      <formula1>$Q$12:$Q$23</formula1>
    </dataValidation>
    <dataValidation type="list" allowBlank="1" showInputMessage="1" showErrorMessage="1" sqref="M67 M995 M983:M984 M979 B851 B839:B840 B835 M659 M647:M648 M643 B467 B455:B456 B451 B227 B215:B216 B211 M83 M71:M72">
      <formula1>$S$12:$S$18</formula1>
    </dataValidation>
    <dataValidation type="list" allowBlank="1" showInputMessage="1" showErrorMessage="1" sqref="M109 M900 M892:M893 M877 B660 B652:B653 B637 M516 M508:M509 M493 M420 M412:M413 M397 B180 B172:B173 B157 M132 M124:M125">
      <formula1>$Q$24:$Q$36</formula1>
    </dataValidation>
    <dataValidation type="list" allowBlank="1" showInputMessage="1" showErrorMessage="1" sqref="M115 M899 M887:M888 M883 B659 B647:B648 B643 M515 M503:M504 M499 M419 M407:M408 M403 B179 B167:B168 B163 M131 M119:M120">
      <formula1>$S$24:$S$35</formula1>
    </dataValidation>
    <dataValidation type="list" allowBlank="1" showInputMessage="1" showErrorMessage="1" sqref="M205 M948 M940:M941 M925 B804 B796:B797 B781 M612 M604:M605 M589 M564 M556:M557 M541 B420 B412:B413 B397 M228 M220:M221">
      <formula1>$Q$64:$Q$72</formula1>
    </dataValidation>
    <dataValidation type="list" allowBlank="1" showInputMessage="1" showErrorMessage="1" sqref="M211 M947 M935:M936 M931 B803 B791:B792 B787 M611 M599:M600 M595 M563 M551:M552 M547 B419 B407:B408 B403 M227 M215:M216">
      <formula1>$S$64:$S$72</formula1>
    </dataValidation>
  </dataValidations>
  <printOptions horizontalCentered="1" verticalCentered="1"/>
  <pageMargins left="0" right="0" top="0" bottom="0" header="0" footer="0"/>
  <pageSetup scale="86" fitToHeight="21" orientation="portrait" verticalDpi="300" r:id="rId1"/>
  <headerFooter alignWithMargins="0">
    <oddFooter>Page &amp;P de &amp;N</oddFooter>
  </headerFooter>
  <rowBreaks count="20" manualBreakCount="20">
    <brk id="48" max="16383" man="1"/>
    <brk id="96" max="16383" man="1"/>
    <brk id="144" max="16383" man="1"/>
    <brk id="192" max="16383" man="1"/>
    <brk id="240" max="16383" man="1"/>
    <brk id="288" max="16383" man="1"/>
    <brk id="336" max="16383" man="1"/>
    <brk id="384" max="16383" man="1"/>
    <brk id="432" max="16383" man="1"/>
    <brk id="480" max="16383" man="1"/>
    <brk id="528" max="16383" man="1"/>
    <brk id="576" max="16383" man="1"/>
    <brk id="624" max="16383" man="1"/>
    <brk id="672" max="16383" man="1"/>
    <brk id="720" max="16383" man="1"/>
    <brk id="768" max="16383" man="1"/>
    <brk id="816" max="16383" man="1"/>
    <brk id="864" max="16383" man="1"/>
    <brk id="912" max="16383" man="1"/>
    <brk id="960" max="16383" man="1"/>
  </rowBreaks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4"/>
  <sheetViews>
    <sheetView workbookViewId="0">
      <selection activeCell="E51" sqref="E51"/>
    </sheetView>
  </sheetViews>
  <sheetFormatPr baseColWidth="10" defaultRowHeight="12.75" x14ac:dyDescent="0.2"/>
  <cols>
    <col min="1" max="1" width="3.28515625" style="12" customWidth="1"/>
    <col min="2" max="2" width="5.140625" style="13" bestFit="1" customWidth="1"/>
    <col min="3" max="3" width="45.5703125" style="12" bestFit="1" customWidth="1"/>
    <col min="4" max="4" width="9.140625" style="14" customWidth="1"/>
    <col min="5" max="5" width="15.28515625" style="14" customWidth="1"/>
    <col min="6" max="6" width="3.28515625" style="13" customWidth="1"/>
    <col min="7" max="7" width="5.140625" style="13" bestFit="1" customWidth="1"/>
    <col min="8" max="8" width="42.42578125" style="12" bestFit="1" customWidth="1"/>
    <col min="9" max="9" width="8.42578125" style="14" customWidth="1"/>
    <col min="10" max="10" width="8" style="14" customWidth="1"/>
    <col min="11" max="11" width="11.42578125" style="12"/>
    <col min="12" max="12" width="29" style="12" bestFit="1" customWidth="1"/>
    <col min="13" max="13" width="5" style="12" bestFit="1" customWidth="1"/>
    <col min="14" max="14" width="30.140625" style="12" bestFit="1" customWidth="1"/>
    <col min="15" max="15" width="4" style="12" bestFit="1" customWidth="1"/>
    <col min="16" max="16384" width="11.42578125" style="12"/>
  </cols>
  <sheetData>
    <row r="1" spans="1:10" ht="13.5" thickBot="1" x14ac:dyDescent="0.25">
      <c r="A1" s="124" t="s">
        <v>26</v>
      </c>
      <c r="B1" s="124"/>
      <c r="C1" s="124"/>
      <c r="D1" s="124"/>
      <c r="E1" s="17"/>
      <c r="F1" s="124" t="s">
        <v>27</v>
      </c>
      <c r="G1" s="125"/>
      <c r="H1" s="125"/>
      <c r="I1" s="125"/>
      <c r="J1" s="17"/>
    </row>
    <row r="2" spans="1:10" ht="13.5" thickBot="1" x14ac:dyDescent="0.25">
      <c r="A2" s="124" t="s">
        <v>163</v>
      </c>
      <c r="B2" s="124"/>
      <c r="C2" s="124"/>
      <c r="D2" s="21" t="s">
        <v>164</v>
      </c>
      <c r="E2" s="20"/>
      <c r="F2" s="124" t="s">
        <v>163</v>
      </c>
      <c r="G2" s="125"/>
      <c r="H2" s="125"/>
      <c r="I2" s="21" t="s">
        <v>164</v>
      </c>
      <c r="J2" s="18"/>
    </row>
    <row r="3" spans="1:10" x14ac:dyDescent="0.2">
      <c r="A3" s="15"/>
      <c r="B3" s="16" t="str">
        <f t="shared" ref="B3:B66" si="0">MID(C3,1,3)</f>
        <v>BEA</v>
      </c>
      <c r="C3" s="58" t="s">
        <v>57</v>
      </c>
      <c r="D3" s="97" t="s">
        <v>217</v>
      </c>
      <c r="E3" s="19"/>
      <c r="F3" s="16"/>
      <c r="G3" s="16" t="str">
        <f>MID(H3,1,3)</f>
        <v>BEA</v>
      </c>
      <c r="H3" s="58" t="s">
        <v>60</v>
      </c>
      <c r="I3" s="61" t="s">
        <v>217</v>
      </c>
      <c r="J3" s="13"/>
    </row>
    <row r="4" spans="1:10" x14ac:dyDescent="0.2">
      <c r="A4" s="15"/>
      <c r="B4" s="16" t="str">
        <f t="shared" si="0"/>
        <v>BEA</v>
      </c>
      <c r="C4" s="58" t="s">
        <v>58</v>
      </c>
      <c r="D4" s="97" t="s">
        <v>217</v>
      </c>
      <c r="F4" s="16"/>
      <c r="G4" s="16" t="str">
        <f t="shared" ref="G4:G5" si="1">MID(H4,1,3)</f>
        <v>BEA</v>
      </c>
      <c r="H4" s="12" t="s">
        <v>132</v>
      </c>
      <c r="I4" s="61" t="s">
        <v>217</v>
      </c>
      <c r="J4" s="13"/>
    </row>
    <row r="5" spans="1:10" x14ac:dyDescent="0.2">
      <c r="A5" s="15"/>
      <c r="B5" s="16" t="str">
        <f t="shared" si="0"/>
        <v>BEA</v>
      </c>
      <c r="C5" s="58" t="s">
        <v>59</v>
      </c>
      <c r="D5" s="97" t="s">
        <v>217</v>
      </c>
      <c r="F5" s="16"/>
      <c r="G5" s="16" t="str">
        <f t="shared" si="1"/>
        <v/>
      </c>
      <c r="I5" s="19"/>
      <c r="J5" s="13"/>
    </row>
    <row r="6" spans="1:10" x14ac:dyDescent="0.2">
      <c r="A6" s="15"/>
      <c r="B6" s="16" t="str">
        <f t="shared" si="0"/>
        <v>BEA</v>
      </c>
      <c r="C6" s="58" t="s">
        <v>129</v>
      </c>
      <c r="D6" s="97" t="s">
        <v>217</v>
      </c>
      <c r="F6" s="16"/>
      <c r="G6" s="16" t="str">
        <f t="shared" ref="G6:G7" si="2">MID(H6,1,3)</f>
        <v>BEA</v>
      </c>
      <c r="H6" s="12" t="s">
        <v>61</v>
      </c>
      <c r="I6" s="54" t="s">
        <v>217</v>
      </c>
      <c r="J6" s="13"/>
    </row>
    <row r="7" spans="1:10" x14ac:dyDescent="0.2">
      <c r="A7" s="15"/>
      <c r="B7" s="16" t="str">
        <f t="shared" si="0"/>
        <v>BEA</v>
      </c>
      <c r="C7" s="58" t="s">
        <v>130</v>
      </c>
      <c r="D7" s="97" t="s">
        <v>217</v>
      </c>
      <c r="F7" s="16"/>
      <c r="G7" s="16" t="str">
        <f t="shared" si="2"/>
        <v>BEA</v>
      </c>
      <c r="H7" s="12" t="s">
        <v>62</v>
      </c>
      <c r="I7" s="54" t="s">
        <v>217</v>
      </c>
      <c r="J7" s="6"/>
    </row>
    <row r="8" spans="1:10" x14ac:dyDescent="0.2">
      <c r="A8" s="15"/>
      <c r="B8" s="16" t="str">
        <f t="shared" si="0"/>
        <v>BEA</v>
      </c>
      <c r="C8" s="58" t="s">
        <v>131</v>
      </c>
      <c r="D8" s="60"/>
      <c r="F8" s="16"/>
      <c r="G8" s="16"/>
      <c r="J8" s="13"/>
    </row>
    <row r="9" spans="1:10" x14ac:dyDescent="0.2">
      <c r="A9" s="15"/>
      <c r="B9" s="16"/>
      <c r="C9" s="58"/>
      <c r="D9" s="60"/>
      <c r="F9" s="16"/>
      <c r="G9" s="16"/>
      <c r="J9" s="13"/>
    </row>
    <row r="10" spans="1:10" x14ac:dyDescent="0.2">
      <c r="A10" s="15"/>
      <c r="B10" s="16" t="str">
        <f t="shared" si="0"/>
        <v>CLL</v>
      </c>
      <c r="C10" s="58" t="s">
        <v>63</v>
      </c>
      <c r="D10" s="97" t="s">
        <v>217</v>
      </c>
      <c r="E10" s="54"/>
      <c r="F10" s="16"/>
      <c r="G10" s="16" t="str">
        <f t="shared" ref="G10:G69" si="3">MID(H10,1,3)</f>
        <v>CLL</v>
      </c>
      <c r="H10" s="12" t="s">
        <v>67</v>
      </c>
      <c r="I10" s="54" t="s">
        <v>217</v>
      </c>
      <c r="J10" s="19"/>
    </row>
    <row r="11" spans="1:10" x14ac:dyDescent="0.2">
      <c r="A11" s="15"/>
      <c r="B11" s="16" t="str">
        <f t="shared" si="0"/>
        <v>CLL</v>
      </c>
      <c r="C11" s="58" t="s">
        <v>64</v>
      </c>
      <c r="D11" s="97" t="s">
        <v>217</v>
      </c>
      <c r="E11" s="54"/>
      <c r="F11" s="16"/>
      <c r="G11" s="16" t="str">
        <f t="shared" si="3"/>
        <v>CLL</v>
      </c>
      <c r="H11" s="12" t="s">
        <v>68</v>
      </c>
      <c r="I11" s="54" t="s">
        <v>217</v>
      </c>
      <c r="J11" s="13"/>
    </row>
    <row r="12" spans="1:10" x14ac:dyDescent="0.2">
      <c r="A12" s="15"/>
      <c r="B12" s="16" t="str">
        <f t="shared" si="0"/>
        <v>CLL</v>
      </c>
      <c r="C12" s="58" t="s">
        <v>133</v>
      </c>
      <c r="D12" s="97" t="s">
        <v>217</v>
      </c>
      <c r="E12" s="54"/>
      <c r="F12" s="16"/>
      <c r="G12" s="16" t="str">
        <f t="shared" si="3"/>
        <v>CLL</v>
      </c>
      <c r="H12" s="12" t="s">
        <v>69</v>
      </c>
      <c r="I12" s="54" t="s">
        <v>217</v>
      </c>
      <c r="J12" s="13"/>
    </row>
    <row r="13" spans="1:10" x14ac:dyDescent="0.2">
      <c r="A13" s="15"/>
      <c r="B13" s="16" t="str">
        <f t="shared" si="0"/>
        <v>CLL</v>
      </c>
      <c r="C13" s="58" t="s">
        <v>134</v>
      </c>
      <c r="D13" s="97" t="s">
        <v>217</v>
      </c>
      <c r="F13" s="16"/>
      <c r="G13" s="16" t="str">
        <f t="shared" si="3"/>
        <v>CLL</v>
      </c>
      <c r="H13" s="12" t="s">
        <v>70</v>
      </c>
      <c r="I13" s="54" t="s">
        <v>217</v>
      </c>
      <c r="J13" s="13"/>
    </row>
    <row r="14" spans="1:10" x14ac:dyDescent="0.2">
      <c r="A14" s="15"/>
      <c r="B14" s="16" t="str">
        <f t="shared" si="0"/>
        <v>CLL</v>
      </c>
      <c r="C14" s="58" t="s">
        <v>65</v>
      </c>
      <c r="D14" s="97" t="s">
        <v>217</v>
      </c>
      <c r="E14" s="19"/>
      <c r="F14" s="16"/>
      <c r="G14" s="16" t="str">
        <f t="shared" si="3"/>
        <v>CLL</v>
      </c>
      <c r="H14" s="12" t="s">
        <v>139</v>
      </c>
      <c r="I14" s="54" t="s">
        <v>217</v>
      </c>
      <c r="J14" s="13"/>
    </row>
    <row r="15" spans="1:10" x14ac:dyDescent="0.2">
      <c r="A15" s="15"/>
      <c r="B15" s="16" t="str">
        <f t="shared" si="0"/>
        <v>CLL</v>
      </c>
      <c r="C15" s="58" t="s">
        <v>135</v>
      </c>
      <c r="D15" s="97" t="s">
        <v>217</v>
      </c>
      <c r="F15" s="16"/>
      <c r="G15" s="16" t="str">
        <f t="shared" si="3"/>
        <v>CLL</v>
      </c>
      <c r="H15" s="12" t="s">
        <v>140</v>
      </c>
      <c r="I15" s="54" t="s">
        <v>217</v>
      </c>
      <c r="J15" s="13"/>
    </row>
    <row r="16" spans="1:10" x14ac:dyDescent="0.2">
      <c r="A16" s="15"/>
      <c r="B16" s="16" t="str">
        <f t="shared" si="0"/>
        <v>CLL</v>
      </c>
      <c r="C16" s="58" t="s">
        <v>136</v>
      </c>
      <c r="D16" s="97" t="s">
        <v>217</v>
      </c>
      <c r="E16" s="54"/>
      <c r="G16" s="16"/>
      <c r="J16" s="13"/>
    </row>
    <row r="17" spans="1:10" x14ac:dyDescent="0.2">
      <c r="A17" s="15"/>
      <c r="B17" s="16" t="str">
        <f t="shared" si="0"/>
        <v/>
      </c>
      <c r="C17" s="58"/>
      <c r="D17" s="60"/>
      <c r="G17" s="16"/>
      <c r="J17" s="13"/>
    </row>
    <row r="18" spans="1:10" x14ac:dyDescent="0.2">
      <c r="A18" s="15"/>
      <c r="B18" s="16" t="str">
        <f t="shared" si="0"/>
        <v>CLL</v>
      </c>
      <c r="C18" s="58" t="s">
        <v>66</v>
      </c>
      <c r="D18" s="97" t="s">
        <v>217</v>
      </c>
      <c r="F18" s="16"/>
      <c r="G18" s="16"/>
      <c r="J18" s="13"/>
    </row>
    <row r="19" spans="1:10" x14ac:dyDescent="0.2">
      <c r="A19" s="15"/>
      <c r="B19" s="16" t="str">
        <f t="shared" si="0"/>
        <v>CLL</v>
      </c>
      <c r="C19" s="58" t="s">
        <v>137</v>
      </c>
      <c r="D19" s="97" t="s">
        <v>217</v>
      </c>
      <c r="F19" s="16"/>
      <c r="G19" s="16"/>
      <c r="J19" s="13"/>
    </row>
    <row r="20" spans="1:10" x14ac:dyDescent="0.2">
      <c r="A20" s="15"/>
      <c r="B20" s="16" t="str">
        <f t="shared" si="0"/>
        <v>CLL</v>
      </c>
      <c r="C20" s="58" t="s">
        <v>138</v>
      </c>
      <c r="D20" s="97" t="s">
        <v>217</v>
      </c>
      <c r="F20" s="16"/>
      <c r="G20" s="16"/>
      <c r="J20" s="13"/>
    </row>
    <row r="21" spans="1:10" x14ac:dyDescent="0.2">
      <c r="A21" s="15"/>
      <c r="B21" s="16"/>
      <c r="C21" s="58"/>
      <c r="D21" s="60"/>
      <c r="F21" s="16"/>
      <c r="G21" s="16"/>
      <c r="J21" s="13"/>
    </row>
    <row r="22" spans="1:10" x14ac:dyDescent="0.2">
      <c r="A22" s="15"/>
      <c r="B22" s="16" t="str">
        <f t="shared" si="0"/>
        <v/>
      </c>
      <c r="C22" s="58"/>
      <c r="D22" s="60"/>
      <c r="F22" s="16"/>
      <c r="G22" s="16" t="str">
        <f t="shared" si="3"/>
        <v/>
      </c>
      <c r="J22" s="13"/>
    </row>
    <row r="23" spans="1:10" x14ac:dyDescent="0.2">
      <c r="A23" s="15"/>
      <c r="B23" s="16" t="str">
        <f t="shared" si="0"/>
        <v>CSF</v>
      </c>
      <c r="C23" s="58" t="s">
        <v>71</v>
      </c>
      <c r="D23" s="97" t="s">
        <v>217</v>
      </c>
      <c r="F23" s="16"/>
      <c r="G23" s="16" t="str">
        <f t="shared" si="3"/>
        <v>CSF</v>
      </c>
      <c r="H23" s="12" t="s">
        <v>82</v>
      </c>
      <c r="I23" s="54" t="s">
        <v>217</v>
      </c>
      <c r="J23" s="13"/>
    </row>
    <row r="24" spans="1:10" x14ac:dyDescent="0.2">
      <c r="A24" s="15"/>
      <c r="B24" s="16" t="str">
        <f t="shared" si="0"/>
        <v>CSF</v>
      </c>
      <c r="C24" s="58" t="s">
        <v>72</v>
      </c>
      <c r="D24" s="97" t="s">
        <v>217</v>
      </c>
      <c r="E24" s="19"/>
      <c r="G24" s="16" t="str">
        <f t="shared" si="3"/>
        <v/>
      </c>
      <c r="H24" s="15"/>
      <c r="I24" s="19"/>
      <c r="J24" s="13"/>
    </row>
    <row r="25" spans="1:10" x14ac:dyDescent="0.2">
      <c r="A25" s="15"/>
      <c r="B25" s="16" t="str">
        <f t="shared" si="0"/>
        <v>CSF</v>
      </c>
      <c r="C25" s="58" t="s">
        <v>73</v>
      </c>
      <c r="D25" s="97" t="s">
        <v>217</v>
      </c>
      <c r="G25" s="16" t="str">
        <f t="shared" si="3"/>
        <v>CSF</v>
      </c>
      <c r="H25" s="15" t="s">
        <v>83</v>
      </c>
      <c r="I25" s="61" t="s">
        <v>217</v>
      </c>
      <c r="J25" s="13"/>
    </row>
    <row r="26" spans="1:10" x14ac:dyDescent="0.2">
      <c r="A26" s="15"/>
      <c r="B26" s="16" t="str">
        <f t="shared" si="0"/>
        <v>CSF</v>
      </c>
      <c r="C26" s="58" t="s">
        <v>74</v>
      </c>
      <c r="D26" s="97" t="s">
        <v>217</v>
      </c>
      <c r="G26" s="16" t="str">
        <f t="shared" si="3"/>
        <v>CSF</v>
      </c>
      <c r="H26" s="15" t="s">
        <v>84</v>
      </c>
      <c r="I26" s="61" t="s">
        <v>217</v>
      </c>
      <c r="J26" s="13"/>
    </row>
    <row r="27" spans="1:10" x14ac:dyDescent="0.2">
      <c r="A27" s="15"/>
      <c r="B27" s="16" t="str">
        <f t="shared" si="0"/>
        <v>CSF</v>
      </c>
      <c r="C27" s="58" t="s">
        <v>75</v>
      </c>
      <c r="D27" s="54" t="s">
        <v>217</v>
      </c>
      <c r="G27" s="16" t="str">
        <f t="shared" si="3"/>
        <v>CSF</v>
      </c>
      <c r="H27" s="15" t="s">
        <v>141</v>
      </c>
      <c r="I27" s="61" t="s">
        <v>217</v>
      </c>
      <c r="J27" s="13"/>
    </row>
    <row r="28" spans="1:10" x14ac:dyDescent="0.2">
      <c r="A28" s="15"/>
      <c r="B28" s="16" t="str">
        <f t="shared" si="0"/>
        <v>CSF</v>
      </c>
      <c r="C28" s="58" t="s">
        <v>76</v>
      </c>
      <c r="D28" s="97" t="s">
        <v>217</v>
      </c>
      <c r="G28" s="16" t="str">
        <f t="shared" si="3"/>
        <v>CSF</v>
      </c>
      <c r="H28" s="12" t="s">
        <v>85</v>
      </c>
      <c r="I28" s="61" t="s">
        <v>217</v>
      </c>
      <c r="J28" s="13"/>
    </row>
    <row r="29" spans="1:10" x14ac:dyDescent="0.2">
      <c r="A29" s="15"/>
      <c r="B29" s="16" t="str">
        <f t="shared" si="0"/>
        <v>CSF</v>
      </c>
      <c r="C29" s="63" t="s">
        <v>77</v>
      </c>
      <c r="D29" s="97" t="s">
        <v>217</v>
      </c>
      <c r="G29" s="16" t="str">
        <f t="shared" si="3"/>
        <v>CSF</v>
      </c>
      <c r="H29" s="15" t="s">
        <v>86</v>
      </c>
      <c r="I29" s="61" t="s">
        <v>217</v>
      </c>
      <c r="J29" s="13"/>
    </row>
    <row r="30" spans="1:10" x14ac:dyDescent="0.2">
      <c r="A30" s="15"/>
      <c r="B30" s="16" t="str">
        <f t="shared" si="0"/>
        <v>CSF</v>
      </c>
      <c r="C30" s="58" t="s">
        <v>78</v>
      </c>
      <c r="D30" s="97" t="s">
        <v>217</v>
      </c>
      <c r="G30" s="16" t="str">
        <f t="shared" si="3"/>
        <v>CSF</v>
      </c>
      <c r="H30" s="15" t="s">
        <v>87</v>
      </c>
      <c r="I30" s="61" t="s">
        <v>217</v>
      </c>
      <c r="J30" s="13"/>
    </row>
    <row r="31" spans="1:10" x14ac:dyDescent="0.2">
      <c r="A31" s="15"/>
      <c r="B31" s="16" t="str">
        <f t="shared" si="0"/>
        <v>CSF</v>
      </c>
      <c r="C31" s="58" t="s">
        <v>79</v>
      </c>
      <c r="D31" s="97" t="s">
        <v>217</v>
      </c>
      <c r="G31" s="16" t="str">
        <f t="shared" si="3"/>
        <v>CSF</v>
      </c>
      <c r="H31" s="15" t="s">
        <v>88</v>
      </c>
      <c r="I31" s="61" t="s">
        <v>217</v>
      </c>
      <c r="J31" s="13"/>
    </row>
    <row r="32" spans="1:10" x14ac:dyDescent="0.2">
      <c r="A32" s="15"/>
      <c r="B32" s="16" t="str">
        <f t="shared" si="0"/>
        <v>CSF</v>
      </c>
      <c r="C32" s="58" t="s">
        <v>80</v>
      </c>
      <c r="D32" s="97" t="s">
        <v>217</v>
      </c>
      <c r="G32" s="16" t="str">
        <f t="shared" si="3"/>
        <v>CSF</v>
      </c>
      <c r="H32" s="15" t="s">
        <v>89</v>
      </c>
      <c r="I32" s="61" t="s">
        <v>217</v>
      </c>
      <c r="J32" s="13"/>
    </row>
    <row r="33" spans="1:10" x14ac:dyDescent="0.2">
      <c r="A33" s="15"/>
      <c r="B33" s="16" t="str">
        <f t="shared" si="0"/>
        <v>CSF</v>
      </c>
      <c r="C33" s="58" t="s">
        <v>81</v>
      </c>
      <c r="D33" s="97" t="s">
        <v>217</v>
      </c>
      <c r="G33" s="16"/>
      <c r="H33" s="15"/>
      <c r="I33" s="19"/>
      <c r="J33" s="13"/>
    </row>
    <row r="34" spans="1:10" x14ac:dyDescent="0.2">
      <c r="A34" s="15"/>
      <c r="B34" s="16"/>
      <c r="C34" s="58"/>
      <c r="D34" s="60"/>
      <c r="E34" s="19"/>
      <c r="G34" s="16"/>
      <c r="H34" s="15"/>
      <c r="I34" s="19"/>
      <c r="J34" s="13"/>
    </row>
    <row r="35" spans="1:10" x14ac:dyDescent="0.2">
      <c r="A35" s="15"/>
      <c r="B35" s="16" t="str">
        <f t="shared" si="0"/>
        <v>FXG</v>
      </c>
      <c r="C35" s="58" t="s">
        <v>90</v>
      </c>
      <c r="D35" s="97" t="s">
        <v>217</v>
      </c>
      <c r="G35" s="16" t="str">
        <f t="shared" si="3"/>
        <v>FXG</v>
      </c>
      <c r="H35" s="15" t="s">
        <v>94</v>
      </c>
      <c r="I35" s="61" t="s">
        <v>217</v>
      </c>
      <c r="J35" s="13"/>
    </row>
    <row r="36" spans="1:10" x14ac:dyDescent="0.2">
      <c r="A36" s="15"/>
      <c r="B36" s="16" t="str">
        <f t="shared" si="0"/>
        <v>FXG</v>
      </c>
      <c r="C36" s="58" t="s">
        <v>91</v>
      </c>
      <c r="D36" s="97" t="s">
        <v>217</v>
      </c>
      <c r="G36" s="16" t="str">
        <f t="shared" si="3"/>
        <v>FXG</v>
      </c>
      <c r="H36" s="15" t="s">
        <v>95</v>
      </c>
      <c r="I36" s="61" t="s">
        <v>217</v>
      </c>
      <c r="J36" s="13"/>
    </row>
    <row r="37" spans="1:10" x14ac:dyDescent="0.2">
      <c r="A37" s="15"/>
      <c r="B37" s="16" t="str">
        <f t="shared" si="0"/>
        <v>FXG</v>
      </c>
      <c r="C37" s="58" t="s">
        <v>92</v>
      </c>
      <c r="D37" s="97" t="s">
        <v>217</v>
      </c>
      <c r="G37" s="16" t="str">
        <f t="shared" si="3"/>
        <v>FXG</v>
      </c>
      <c r="H37" s="15" t="s">
        <v>146</v>
      </c>
      <c r="I37" s="54" t="s">
        <v>217</v>
      </c>
      <c r="J37" s="13"/>
    </row>
    <row r="38" spans="1:10" x14ac:dyDescent="0.2">
      <c r="A38" s="15"/>
      <c r="B38" s="16" t="str">
        <f t="shared" si="0"/>
        <v>FXG</v>
      </c>
      <c r="C38" s="58" t="s">
        <v>93</v>
      </c>
      <c r="D38" s="97" t="s">
        <v>217</v>
      </c>
      <c r="G38" s="16" t="str">
        <f t="shared" si="3"/>
        <v>FXG</v>
      </c>
      <c r="H38" s="15" t="s">
        <v>147</v>
      </c>
      <c r="I38" s="61" t="s">
        <v>217</v>
      </c>
      <c r="J38" s="13"/>
    </row>
    <row r="39" spans="1:10" x14ac:dyDescent="0.2">
      <c r="A39" s="15"/>
      <c r="B39" s="16" t="str">
        <f t="shared" si="0"/>
        <v>FXG</v>
      </c>
      <c r="C39" s="58" t="s">
        <v>142</v>
      </c>
      <c r="D39" s="97" t="s">
        <v>217</v>
      </c>
      <c r="G39" s="16" t="str">
        <f t="shared" si="3"/>
        <v>FXG</v>
      </c>
      <c r="H39" s="15" t="s">
        <v>148</v>
      </c>
      <c r="I39" s="61" t="s">
        <v>217</v>
      </c>
      <c r="J39" s="13"/>
    </row>
    <row r="40" spans="1:10" x14ac:dyDescent="0.2">
      <c r="A40" s="15"/>
      <c r="B40" s="16" t="str">
        <f t="shared" si="0"/>
        <v>FXG</v>
      </c>
      <c r="C40" s="58" t="s">
        <v>143</v>
      </c>
      <c r="D40" s="54" t="s">
        <v>217</v>
      </c>
      <c r="F40" s="16"/>
      <c r="G40" s="16" t="str">
        <f t="shared" si="3"/>
        <v/>
      </c>
      <c r="H40" s="15"/>
      <c r="I40" s="61"/>
      <c r="J40" s="13"/>
    </row>
    <row r="41" spans="1:10" x14ac:dyDescent="0.2">
      <c r="A41" s="15"/>
      <c r="B41" s="16" t="str">
        <f t="shared" si="0"/>
        <v>FXG</v>
      </c>
      <c r="C41" s="58" t="s">
        <v>208</v>
      </c>
      <c r="D41" s="54" t="s">
        <v>217</v>
      </c>
      <c r="F41" s="16"/>
      <c r="G41" s="16"/>
      <c r="I41" s="61"/>
      <c r="J41" s="13"/>
    </row>
    <row r="42" spans="1:10" x14ac:dyDescent="0.2">
      <c r="A42" s="15"/>
      <c r="B42" s="16" t="str">
        <f t="shared" si="0"/>
        <v>FXG</v>
      </c>
      <c r="C42" s="58" t="s">
        <v>144</v>
      </c>
      <c r="D42" s="97" t="s">
        <v>217</v>
      </c>
      <c r="E42" s="19"/>
      <c r="F42" s="16"/>
      <c r="G42" s="16"/>
      <c r="H42" s="15"/>
      <c r="I42" s="61"/>
      <c r="J42" s="13"/>
    </row>
    <row r="43" spans="1:10" x14ac:dyDescent="0.2">
      <c r="A43" s="15"/>
      <c r="B43" s="16" t="str">
        <f t="shared" si="0"/>
        <v>FXG</v>
      </c>
      <c r="C43" s="58" t="s">
        <v>145</v>
      </c>
      <c r="D43" s="97" t="s">
        <v>217</v>
      </c>
      <c r="F43" s="16"/>
      <c r="G43" s="16"/>
      <c r="H43" s="15"/>
      <c r="I43" s="19"/>
      <c r="J43" s="13"/>
    </row>
    <row r="44" spans="1:10" x14ac:dyDescent="0.2">
      <c r="A44" s="15"/>
      <c r="B44" s="16"/>
      <c r="C44" s="58"/>
      <c r="D44" s="60"/>
      <c r="G44" s="16"/>
      <c r="H44" s="15"/>
      <c r="J44" s="13"/>
    </row>
    <row r="45" spans="1:10" x14ac:dyDescent="0.2">
      <c r="A45" s="15"/>
      <c r="B45" s="16" t="str">
        <f t="shared" si="0"/>
        <v>LIM</v>
      </c>
      <c r="C45" s="58" t="s">
        <v>149</v>
      </c>
      <c r="D45" s="97" t="s">
        <v>217</v>
      </c>
      <c r="G45" s="16" t="str">
        <f t="shared" si="3"/>
        <v>LIM</v>
      </c>
      <c r="H45" s="10" t="s">
        <v>97</v>
      </c>
      <c r="I45" s="61" t="s">
        <v>217</v>
      </c>
      <c r="J45" s="13"/>
    </row>
    <row r="46" spans="1:10" x14ac:dyDescent="0.2">
      <c r="A46" s="15"/>
      <c r="B46" s="16" t="str">
        <f t="shared" si="0"/>
        <v>LIM</v>
      </c>
      <c r="C46" s="58" t="s">
        <v>150</v>
      </c>
      <c r="D46" s="97" t="s">
        <v>217</v>
      </c>
      <c r="G46" s="16" t="str">
        <f t="shared" si="3"/>
        <v>LIM</v>
      </c>
      <c r="H46" s="15" t="s">
        <v>98</v>
      </c>
      <c r="I46" s="61" t="s">
        <v>217</v>
      </c>
      <c r="J46" s="13"/>
    </row>
    <row r="47" spans="1:10" x14ac:dyDescent="0.2">
      <c r="A47" s="15"/>
      <c r="B47" s="16" t="str">
        <f t="shared" si="0"/>
        <v>LIM</v>
      </c>
      <c r="C47" s="58" t="s">
        <v>151</v>
      </c>
      <c r="D47" s="97" t="s">
        <v>217</v>
      </c>
      <c r="G47" s="16" t="str">
        <f t="shared" si="3"/>
        <v>LIM</v>
      </c>
      <c r="H47" s="15" t="s">
        <v>99</v>
      </c>
      <c r="I47" s="61" t="s">
        <v>217</v>
      </c>
      <c r="J47" s="13"/>
    </row>
    <row r="48" spans="1:10" x14ac:dyDescent="0.2">
      <c r="A48" s="15"/>
      <c r="B48" s="16" t="str">
        <f t="shared" si="0"/>
        <v/>
      </c>
      <c r="C48" s="58"/>
      <c r="D48" s="60"/>
      <c r="G48" s="16" t="str">
        <f t="shared" si="3"/>
        <v>LIM</v>
      </c>
      <c r="H48" s="15" t="s">
        <v>100</v>
      </c>
      <c r="I48" s="61" t="s">
        <v>217</v>
      </c>
      <c r="J48" s="13"/>
    </row>
    <row r="49" spans="1:10" x14ac:dyDescent="0.2">
      <c r="A49" s="15"/>
      <c r="B49" s="16" t="str">
        <f t="shared" si="0"/>
        <v>LIM</v>
      </c>
      <c r="C49" s="58" t="s">
        <v>152</v>
      </c>
      <c r="D49" s="97" t="s">
        <v>217</v>
      </c>
      <c r="E49" s="19"/>
      <c r="G49" s="16" t="str">
        <f t="shared" si="3"/>
        <v>LIM</v>
      </c>
      <c r="H49" s="15" t="s">
        <v>101</v>
      </c>
      <c r="I49" s="61" t="s">
        <v>217</v>
      </c>
      <c r="J49" s="13"/>
    </row>
    <row r="50" spans="1:10" x14ac:dyDescent="0.2">
      <c r="A50" s="15"/>
      <c r="B50" s="16" t="str">
        <f t="shared" si="0"/>
        <v>LIM</v>
      </c>
      <c r="C50" s="58" t="s">
        <v>153</v>
      </c>
      <c r="D50" s="97" t="s">
        <v>217</v>
      </c>
      <c r="G50" s="16"/>
      <c r="H50" s="15"/>
      <c r="I50" s="19"/>
      <c r="J50" s="13"/>
    </row>
    <row r="51" spans="1:10" x14ac:dyDescent="0.2">
      <c r="A51" s="15"/>
      <c r="B51" s="16" t="str">
        <f t="shared" si="0"/>
        <v/>
      </c>
      <c r="C51" s="58"/>
      <c r="D51" s="60"/>
      <c r="G51" s="16"/>
      <c r="H51" s="15"/>
      <c r="I51" s="19"/>
      <c r="J51" s="13"/>
    </row>
    <row r="52" spans="1:10" x14ac:dyDescent="0.2">
      <c r="A52" s="15"/>
      <c r="B52" s="16" t="str">
        <f t="shared" si="0"/>
        <v>LIM</v>
      </c>
      <c r="C52" s="58" t="s">
        <v>96</v>
      </c>
      <c r="D52" s="97" t="s">
        <v>217</v>
      </c>
      <c r="F52" s="16"/>
      <c r="G52" s="16"/>
      <c r="H52" s="15"/>
      <c r="I52" s="19"/>
      <c r="J52" s="13"/>
    </row>
    <row r="53" spans="1:10" x14ac:dyDescent="0.2">
      <c r="A53" s="15"/>
      <c r="B53" s="16"/>
      <c r="C53" s="58"/>
      <c r="D53" s="60"/>
      <c r="F53" s="16"/>
      <c r="G53" s="16"/>
      <c r="H53" s="15"/>
      <c r="I53" s="19"/>
      <c r="J53" s="13"/>
    </row>
    <row r="54" spans="1:10" x14ac:dyDescent="0.2">
      <c r="A54" s="15"/>
      <c r="B54" s="16" t="str">
        <f t="shared" si="0"/>
        <v>RDL</v>
      </c>
      <c r="C54" s="58" t="s">
        <v>102</v>
      </c>
      <c r="D54" s="97" t="s">
        <v>217</v>
      </c>
      <c r="F54" s="16"/>
      <c r="G54" s="16" t="str">
        <f t="shared" si="3"/>
        <v>RDL</v>
      </c>
      <c r="H54" s="15" t="s">
        <v>104</v>
      </c>
      <c r="I54" s="61" t="s">
        <v>217</v>
      </c>
      <c r="J54" s="13"/>
    </row>
    <row r="55" spans="1:10" x14ac:dyDescent="0.2">
      <c r="A55" s="15"/>
      <c r="B55" s="16" t="str">
        <f t="shared" si="0"/>
        <v/>
      </c>
      <c r="C55" s="58"/>
      <c r="D55" s="60"/>
      <c r="F55" s="16"/>
      <c r="G55" s="16" t="str">
        <f t="shared" si="3"/>
        <v>RDL</v>
      </c>
      <c r="H55" s="15" t="s">
        <v>156</v>
      </c>
      <c r="I55" s="61" t="s">
        <v>217</v>
      </c>
      <c r="J55" s="13"/>
    </row>
    <row r="56" spans="1:10" x14ac:dyDescent="0.2">
      <c r="A56" s="15"/>
      <c r="B56" s="16" t="str">
        <f t="shared" si="0"/>
        <v/>
      </c>
      <c r="C56" s="58"/>
      <c r="D56" s="60"/>
      <c r="F56" s="16"/>
      <c r="G56" s="16" t="str">
        <f t="shared" si="3"/>
        <v>RDL</v>
      </c>
      <c r="H56" s="15" t="s">
        <v>157</v>
      </c>
      <c r="I56" s="54" t="s">
        <v>217</v>
      </c>
      <c r="J56" s="13"/>
    </row>
    <row r="57" spans="1:10" x14ac:dyDescent="0.2">
      <c r="A57" s="15"/>
      <c r="B57" s="16" t="str">
        <f t="shared" si="0"/>
        <v>RDL</v>
      </c>
      <c r="C57" s="58" t="s">
        <v>103</v>
      </c>
      <c r="D57" s="97" t="s">
        <v>217</v>
      </c>
      <c r="F57" s="16"/>
      <c r="G57" s="16" t="str">
        <f t="shared" si="3"/>
        <v>RDL</v>
      </c>
      <c r="H57" s="15" t="s">
        <v>105</v>
      </c>
      <c r="I57" s="61" t="s">
        <v>217</v>
      </c>
      <c r="J57" s="13"/>
    </row>
    <row r="58" spans="1:10" x14ac:dyDescent="0.2">
      <c r="A58" s="15"/>
      <c r="B58" s="16" t="str">
        <f t="shared" si="0"/>
        <v>RDL</v>
      </c>
      <c r="C58" s="58" t="s">
        <v>165</v>
      </c>
      <c r="D58" s="97" t="s">
        <v>217</v>
      </c>
      <c r="F58" s="16"/>
      <c r="G58" s="16" t="str">
        <f t="shared" si="3"/>
        <v/>
      </c>
      <c r="H58" s="15"/>
      <c r="I58" s="19"/>
      <c r="J58" s="13"/>
    </row>
    <row r="59" spans="1:10" x14ac:dyDescent="0.2">
      <c r="A59" s="15"/>
      <c r="B59" s="16" t="str">
        <f t="shared" si="0"/>
        <v>RDL</v>
      </c>
      <c r="C59" s="58" t="s">
        <v>154</v>
      </c>
      <c r="D59" s="97" t="s">
        <v>217</v>
      </c>
      <c r="F59" s="16"/>
      <c r="G59" s="16"/>
      <c r="H59" s="15"/>
      <c r="I59" s="19"/>
      <c r="J59" s="13"/>
    </row>
    <row r="60" spans="1:10" x14ac:dyDescent="0.2">
      <c r="A60" s="15"/>
      <c r="B60" s="16" t="str">
        <f t="shared" si="0"/>
        <v>RDL</v>
      </c>
      <c r="C60" s="58" t="s">
        <v>155</v>
      </c>
      <c r="D60" s="97" t="s">
        <v>217</v>
      </c>
      <c r="G60" s="16"/>
      <c r="H60" s="15"/>
      <c r="I60" s="19"/>
      <c r="J60" s="13"/>
    </row>
    <row r="61" spans="1:10" x14ac:dyDescent="0.2">
      <c r="A61" s="15"/>
      <c r="B61" s="16"/>
      <c r="C61" s="58"/>
      <c r="D61" s="60"/>
      <c r="G61" s="16"/>
      <c r="H61" s="15"/>
      <c r="I61" s="19"/>
      <c r="J61" s="13"/>
    </row>
    <row r="62" spans="1:10" x14ac:dyDescent="0.2">
      <c r="A62" s="15"/>
      <c r="B62" s="16" t="str">
        <f t="shared" si="0"/>
        <v>RIM</v>
      </c>
      <c r="C62" s="58" t="s">
        <v>106</v>
      </c>
      <c r="D62" s="97" t="s">
        <v>217</v>
      </c>
      <c r="G62" s="16" t="str">
        <f t="shared" si="3"/>
        <v>RIM</v>
      </c>
      <c r="H62" s="15" t="s">
        <v>113</v>
      </c>
      <c r="I62" s="61" t="s">
        <v>217</v>
      </c>
    </row>
    <row r="63" spans="1:10" x14ac:dyDescent="0.2">
      <c r="A63" s="15"/>
      <c r="B63" s="16" t="str">
        <f t="shared" si="0"/>
        <v>RIM</v>
      </c>
      <c r="C63" s="58" t="s">
        <v>107</v>
      </c>
      <c r="D63" s="97" t="s">
        <v>217</v>
      </c>
      <c r="G63" s="16" t="str">
        <f t="shared" si="3"/>
        <v>RIM</v>
      </c>
      <c r="H63" s="12" t="s">
        <v>114</v>
      </c>
      <c r="I63" s="61" t="s">
        <v>217</v>
      </c>
    </row>
    <row r="64" spans="1:10" x14ac:dyDescent="0.2">
      <c r="A64" s="15"/>
      <c r="B64" s="16" t="str">
        <f t="shared" si="0"/>
        <v>RIM</v>
      </c>
      <c r="C64" s="58" t="s">
        <v>108</v>
      </c>
      <c r="D64" s="97" t="s">
        <v>217</v>
      </c>
      <c r="G64" s="16" t="str">
        <f t="shared" si="3"/>
        <v>RIM</v>
      </c>
      <c r="H64" s="15" t="s">
        <v>115</v>
      </c>
      <c r="I64" s="61" t="s">
        <v>217</v>
      </c>
    </row>
    <row r="65" spans="1:9" x14ac:dyDescent="0.2">
      <c r="A65" s="15"/>
      <c r="B65" s="16" t="str">
        <f t="shared" si="0"/>
        <v>RIM</v>
      </c>
      <c r="C65" s="58" t="s">
        <v>109</v>
      </c>
      <c r="D65" s="61" t="s">
        <v>217</v>
      </c>
      <c r="G65" s="16" t="str">
        <f t="shared" si="3"/>
        <v>RIM</v>
      </c>
      <c r="H65" s="15" t="s">
        <v>116</v>
      </c>
      <c r="I65" s="61" t="s">
        <v>217</v>
      </c>
    </row>
    <row r="66" spans="1:9" x14ac:dyDescent="0.2">
      <c r="A66" s="15"/>
      <c r="B66" s="16" t="str">
        <f t="shared" si="0"/>
        <v>RIM</v>
      </c>
      <c r="C66" s="58" t="s">
        <v>110</v>
      </c>
      <c r="D66" s="18" t="s">
        <v>217</v>
      </c>
      <c r="G66" s="16" t="str">
        <f t="shared" si="3"/>
        <v>RIM</v>
      </c>
      <c r="H66" s="12" t="s">
        <v>117</v>
      </c>
      <c r="I66" s="61" t="s">
        <v>217</v>
      </c>
    </row>
    <row r="67" spans="1:9" x14ac:dyDescent="0.2">
      <c r="A67" s="15"/>
      <c r="B67" s="16" t="str">
        <f t="shared" ref="B67:B69" si="4">MID(C67,1,3)</f>
        <v>RIM</v>
      </c>
      <c r="C67" s="58" t="s">
        <v>111</v>
      </c>
      <c r="D67" s="61" t="s">
        <v>217</v>
      </c>
      <c r="G67" s="16" t="str">
        <f t="shared" si="3"/>
        <v>RIM</v>
      </c>
      <c r="H67" s="15" t="s">
        <v>158</v>
      </c>
      <c r="I67" s="61" t="s">
        <v>217</v>
      </c>
    </row>
    <row r="68" spans="1:9" x14ac:dyDescent="0.2">
      <c r="A68" s="15"/>
      <c r="B68" s="16" t="str">
        <f t="shared" si="4"/>
        <v>RIM</v>
      </c>
      <c r="C68" s="58" t="s">
        <v>112</v>
      </c>
      <c r="D68" s="61" t="s">
        <v>217</v>
      </c>
      <c r="G68" s="16" t="str">
        <f t="shared" si="3"/>
        <v>RIM</v>
      </c>
      <c r="H68" s="15" t="s">
        <v>159</v>
      </c>
      <c r="I68" s="61" t="s">
        <v>217</v>
      </c>
    </row>
    <row r="69" spans="1:9" x14ac:dyDescent="0.2">
      <c r="A69" s="15"/>
      <c r="B69" s="16" t="str">
        <f t="shared" si="4"/>
        <v/>
      </c>
      <c r="C69" s="58"/>
      <c r="D69" s="19"/>
      <c r="G69" s="16" t="str">
        <f t="shared" si="3"/>
        <v/>
      </c>
      <c r="H69" s="15"/>
      <c r="I69" s="18"/>
    </row>
    <row r="70" spans="1:9" x14ac:dyDescent="0.2">
      <c r="A70" s="15"/>
      <c r="B70" s="16"/>
      <c r="C70" s="58"/>
      <c r="D70" s="19"/>
      <c r="F70" s="16"/>
      <c r="G70" s="16" t="str">
        <f>MID(H71,1,3)</f>
        <v/>
      </c>
      <c r="H70" s="15"/>
      <c r="I70" s="18"/>
    </row>
    <row r="71" spans="1:9" x14ac:dyDescent="0.2">
      <c r="A71" s="15"/>
      <c r="B71" s="16"/>
      <c r="C71" s="58"/>
      <c r="D71" s="19"/>
      <c r="F71" s="16"/>
      <c r="G71" s="16" t="str">
        <f>MID(H72,1,3)</f>
        <v/>
      </c>
      <c r="I71" s="18"/>
    </row>
    <row r="72" spans="1:9" x14ac:dyDescent="0.2">
      <c r="A72" s="15"/>
      <c r="B72" s="16"/>
      <c r="C72" s="58"/>
      <c r="D72" s="19"/>
      <c r="F72" s="16"/>
      <c r="G72" s="16"/>
      <c r="I72" s="18"/>
    </row>
    <row r="73" spans="1:9" x14ac:dyDescent="0.2">
      <c r="A73" s="15"/>
      <c r="B73" s="16"/>
      <c r="C73" s="58"/>
      <c r="D73" s="19"/>
      <c r="F73" s="16"/>
      <c r="G73" s="16"/>
      <c r="I73" s="18"/>
    </row>
    <row r="74" spans="1:9" x14ac:dyDescent="0.2">
      <c r="A74" s="15"/>
      <c r="B74" s="16"/>
      <c r="C74" s="58"/>
      <c r="D74" s="18"/>
      <c r="F74" s="16"/>
      <c r="G74" s="16"/>
      <c r="I74" s="18"/>
    </row>
    <row r="75" spans="1:9" x14ac:dyDescent="0.2">
      <c r="A75" s="15"/>
      <c r="B75" s="16"/>
      <c r="C75" s="58"/>
      <c r="D75" s="19"/>
      <c r="F75" s="16"/>
      <c r="G75" s="16"/>
      <c r="I75" s="18"/>
    </row>
    <row r="76" spans="1:9" x14ac:dyDescent="0.2">
      <c r="A76" s="15"/>
      <c r="B76" s="16"/>
      <c r="C76" s="58"/>
      <c r="F76" s="16"/>
      <c r="G76" s="16"/>
      <c r="I76" s="19"/>
    </row>
    <row r="77" spans="1:9" x14ac:dyDescent="0.2">
      <c r="A77" s="15"/>
      <c r="B77" s="16"/>
      <c r="C77" s="59"/>
      <c r="F77" s="16"/>
      <c r="G77" s="16"/>
      <c r="I77" s="19"/>
    </row>
    <row r="78" spans="1:9" x14ac:dyDescent="0.2">
      <c r="A78" s="15"/>
      <c r="B78" s="16"/>
      <c r="C78" s="58"/>
      <c r="G78" s="16"/>
      <c r="I78" s="19"/>
    </row>
    <row r="79" spans="1:9" x14ac:dyDescent="0.2">
      <c r="A79" s="15"/>
      <c r="B79" s="16" t="str">
        <f t="shared" ref="B79:B81" si="5">MID(C80,1,3)</f>
        <v/>
      </c>
      <c r="C79" s="58"/>
      <c r="G79" s="16"/>
      <c r="I79" s="19"/>
    </row>
    <row r="80" spans="1:9" x14ac:dyDescent="0.2">
      <c r="A80" s="15"/>
      <c r="B80" s="16" t="str">
        <f t="shared" si="5"/>
        <v/>
      </c>
      <c r="F80" s="16"/>
      <c r="G80" s="16"/>
      <c r="I80" s="19"/>
    </row>
    <row r="81" spans="1:10" x14ac:dyDescent="0.2">
      <c r="A81" s="15"/>
      <c r="B81" s="16" t="str">
        <f t="shared" si="5"/>
        <v/>
      </c>
      <c r="C81" s="15"/>
      <c r="F81" s="16"/>
      <c r="G81" s="16" t="str">
        <f>MID(H82,1,3)</f>
        <v/>
      </c>
      <c r="I81" s="19"/>
      <c r="J81" s="54"/>
    </row>
    <row r="82" spans="1:10" x14ac:dyDescent="0.2">
      <c r="A82" s="15"/>
      <c r="F82" s="16"/>
      <c r="G82" s="16" t="str">
        <f>MID(H83,1,3)</f>
        <v/>
      </c>
      <c r="I82" s="19"/>
      <c r="J82" s="54"/>
    </row>
    <row r="83" spans="1:10" x14ac:dyDescent="0.2">
      <c r="A83" s="15"/>
      <c r="F83" s="16"/>
      <c r="G83" s="16" t="str">
        <f>MID(H84,1,3)</f>
        <v/>
      </c>
      <c r="H83" s="15"/>
      <c r="I83" s="19"/>
    </row>
    <row r="84" spans="1:10" x14ac:dyDescent="0.2">
      <c r="A84" s="15"/>
      <c r="G84" s="16" t="str">
        <f>MID(H85,1,3)</f>
        <v/>
      </c>
      <c r="H84" s="15"/>
      <c r="I84" s="19"/>
    </row>
    <row r="85" spans="1:10" x14ac:dyDescent="0.2">
      <c r="A85" s="15"/>
      <c r="G85" s="16"/>
      <c r="H85" s="15"/>
      <c r="I85" s="18"/>
    </row>
    <row r="86" spans="1:10" x14ac:dyDescent="0.2">
      <c r="A86" s="15"/>
      <c r="G86" s="16"/>
      <c r="H86" s="15"/>
      <c r="I86" s="19"/>
    </row>
    <row r="87" spans="1:10" x14ac:dyDescent="0.2">
      <c r="A87" s="15"/>
      <c r="G87" s="16"/>
      <c r="H87" s="15"/>
      <c r="I87" s="18"/>
    </row>
    <row r="88" spans="1:10" x14ac:dyDescent="0.2">
      <c r="A88" s="15"/>
      <c r="G88" s="16"/>
      <c r="H88" s="15"/>
      <c r="I88" s="19"/>
    </row>
    <row r="89" spans="1:10" x14ac:dyDescent="0.2">
      <c r="A89" s="15"/>
      <c r="G89" s="16" t="str">
        <f t="shared" ref="G89:G94" si="6">MID(H90,1,3)</f>
        <v/>
      </c>
      <c r="H89" s="15"/>
      <c r="I89" s="19"/>
    </row>
    <row r="90" spans="1:10" x14ac:dyDescent="0.2">
      <c r="A90" s="15"/>
      <c r="G90" s="16" t="str">
        <f t="shared" si="6"/>
        <v/>
      </c>
      <c r="H90" s="15"/>
      <c r="I90" s="19"/>
    </row>
    <row r="91" spans="1:10" x14ac:dyDescent="0.2">
      <c r="A91" s="15"/>
      <c r="G91" s="16" t="str">
        <f t="shared" si="6"/>
        <v/>
      </c>
      <c r="H91" s="58"/>
      <c r="I91" s="19"/>
    </row>
    <row r="92" spans="1:10" x14ac:dyDescent="0.2">
      <c r="A92" s="15"/>
      <c r="G92" s="16" t="str">
        <f t="shared" si="6"/>
        <v/>
      </c>
      <c r="I92" s="19"/>
    </row>
    <row r="93" spans="1:10" x14ac:dyDescent="0.2">
      <c r="A93" s="15"/>
      <c r="G93" s="16" t="str">
        <f t="shared" si="6"/>
        <v/>
      </c>
    </row>
    <row r="94" spans="1:10" x14ac:dyDescent="0.2">
      <c r="A94" s="15"/>
      <c r="G94" s="16" t="str">
        <f t="shared" si="6"/>
        <v/>
      </c>
      <c r="H94" s="15"/>
    </row>
    <row r="95" spans="1:10" x14ac:dyDescent="0.2">
      <c r="A95" s="15"/>
      <c r="G95" s="16"/>
      <c r="H95" s="15"/>
      <c r="I95" s="19"/>
    </row>
    <row r="96" spans="1:10" x14ac:dyDescent="0.2">
      <c r="A96" s="15"/>
      <c r="G96" s="16"/>
      <c r="H96" s="15"/>
      <c r="I96" s="19"/>
    </row>
    <row r="97" spans="1:9" x14ac:dyDescent="0.2">
      <c r="A97" s="15"/>
      <c r="G97" s="16" t="str">
        <f t="shared" ref="G97:G103" si="7">MID(H98,1,3)</f>
        <v/>
      </c>
      <c r="H97" s="15"/>
      <c r="I97" s="19"/>
    </row>
    <row r="98" spans="1:9" x14ac:dyDescent="0.2">
      <c r="G98" s="16" t="str">
        <f t="shared" si="7"/>
        <v/>
      </c>
      <c r="H98" s="15"/>
      <c r="I98" s="19"/>
    </row>
    <row r="99" spans="1:9" x14ac:dyDescent="0.2">
      <c r="G99" s="16" t="str">
        <f t="shared" si="7"/>
        <v/>
      </c>
      <c r="I99" s="19"/>
    </row>
    <row r="100" spans="1:9" x14ac:dyDescent="0.2">
      <c r="G100" s="16" t="str">
        <f t="shared" si="7"/>
        <v/>
      </c>
      <c r="I100" s="19"/>
    </row>
    <row r="101" spans="1:9" x14ac:dyDescent="0.2">
      <c r="G101" s="16" t="str">
        <f t="shared" si="7"/>
        <v/>
      </c>
      <c r="H101" s="15"/>
      <c r="I101" s="19"/>
    </row>
    <row r="102" spans="1:9" x14ac:dyDescent="0.2">
      <c r="G102" s="16" t="str">
        <f t="shared" si="7"/>
        <v/>
      </c>
      <c r="H102" s="15"/>
      <c r="I102" s="19"/>
    </row>
    <row r="103" spans="1:9" x14ac:dyDescent="0.2">
      <c r="G103" s="16" t="str">
        <f t="shared" si="7"/>
        <v/>
      </c>
      <c r="H103" s="15"/>
      <c r="I103" s="19"/>
    </row>
    <row r="104" spans="1:9" x14ac:dyDescent="0.2">
      <c r="G104" s="16"/>
      <c r="H104" s="15"/>
    </row>
    <row r="105" spans="1:9" x14ac:dyDescent="0.2">
      <c r="G105" s="16"/>
      <c r="H105" s="15"/>
    </row>
    <row r="106" spans="1:9" x14ac:dyDescent="0.2">
      <c r="G106" s="16"/>
      <c r="H106" s="15"/>
    </row>
    <row r="107" spans="1:9" x14ac:dyDescent="0.2">
      <c r="G107" s="16"/>
      <c r="H107" s="15"/>
    </row>
    <row r="108" spans="1:9" x14ac:dyDescent="0.2">
      <c r="G108" s="16"/>
      <c r="H108" s="15"/>
    </row>
    <row r="109" spans="1:9" x14ac:dyDescent="0.2">
      <c r="G109" s="16" t="str">
        <f>MID(H110,1,3)</f>
        <v/>
      </c>
      <c r="H109" s="15"/>
    </row>
    <row r="110" spans="1:9" x14ac:dyDescent="0.2">
      <c r="G110" s="16" t="str">
        <f>MID(H111,1,3)</f>
        <v/>
      </c>
    </row>
    <row r="111" spans="1:9" x14ac:dyDescent="0.2">
      <c r="G111" s="16" t="str">
        <f>MID(H112,1,3)</f>
        <v/>
      </c>
    </row>
    <row r="112" spans="1:9" x14ac:dyDescent="0.2">
      <c r="G112" s="16" t="str">
        <f>MID(H113,1,3)</f>
        <v/>
      </c>
    </row>
    <row r="113" spans="7:9" x14ac:dyDescent="0.2">
      <c r="G113" s="16"/>
      <c r="H113" s="15"/>
      <c r="I113" s="19"/>
    </row>
    <row r="114" spans="7:9" x14ac:dyDescent="0.2">
      <c r="G114" s="16"/>
      <c r="H114" s="15"/>
      <c r="I114" s="19"/>
    </row>
    <row r="115" spans="7:9" x14ac:dyDescent="0.2">
      <c r="G115" s="16"/>
      <c r="H115" s="15"/>
    </row>
    <row r="116" spans="7:9" x14ac:dyDescent="0.2">
      <c r="G116" s="16"/>
      <c r="H116" s="15"/>
      <c r="I116" s="19"/>
    </row>
    <row r="117" spans="7:9" x14ac:dyDescent="0.2">
      <c r="G117" s="16"/>
      <c r="H117" s="15"/>
      <c r="I117" s="19"/>
    </row>
    <row r="118" spans="7:9" x14ac:dyDescent="0.2">
      <c r="G118" s="16" t="str">
        <f>MID(H119,1,3)</f>
        <v/>
      </c>
      <c r="H118" s="15"/>
      <c r="I118" s="19"/>
    </row>
    <row r="119" spans="7:9" x14ac:dyDescent="0.2">
      <c r="G119" s="16" t="str">
        <f>MID(H120,1,3)</f>
        <v/>
      </c>
      <c r="H119" s="15"/>
      <c r="I119" s="19"/>
    </row>
    <row r="120" spans="7:9" x14ac:dyDescent="0.2">
      <c r="G120" s="16" t="str">
        <f>MID(H121,1,3)</f>
        <v/>
      </c>
      <c r="I120" s="19"/>
    </row>
    <row r="121" spans="7:9" x14ac:dyDescent="0.2">
      <c r="G121" s="16" t="str">
        <f>MID(H122,1,3)</f>
        <v/>
      </c>
      <c r="I121" s="19"/>
    </row>
    <row r="122" spans="7:9" x14ac:dyDescent="0.2">
      <c r="G122" s="16"/>
      <c r="H122" s="15"/>
      <c r="I122" s="19"/>
    </row>
    <row r="123" spans="7:9" x14ac:dyDescent="0.2">
      <c r="G123" s="16"/>
      <c r="H123" s="55"/>
      <c r="I123" s="19"/>
    </row>
    <row r="124" spans="7:9" x14ac:dyDescent="0.2">
      <c r="G124" s="16"/>
      <c r="H124" s="55"/>
      <c r="I124" s="19"/>
    </row>
    <row r="125" spans="7:9" x14ac:dyDescent="0.2">
      <c r="G125" s="16"/>
      <c r="H125" s="55"/>
    </row>
    <row r="126" spans="7:9" x14ac:dyDescent="0.2">
      <c r="G126" s="16" t="str">
        <f t="shared" ref="G126:G131" si="8">MID(H127,1,3)</f>
        <v/>
      </c>
      <c r="H126" s="55"/>
      <c r="I126" s="19"/>
    </row>
    <row r="127" spans="7:9" x14ac:dyDescent="0.2">
      <c r="G127" s="16" t="str">
        <f t="shared" si="8"/>
        <v/>
      </c>
      <c r="H127" s="15"/>
      <c r="I127" s="19"/>
    </row>
    <row r="128" spans="7:9" x14ac:dyDescent="0.2">
      <c r="G128" s="16" t="str">
        <f t="shared" si="8"/>
        <v/>
      </c>
      <c r="H128" s="15"/>
    </row>
    <row r="129" spans="7:8" x14ac:dyDescent="0.2">
      <c r="G129" s="16" t="str">
        <f t="shared" si="8"/>
        <v/>
      </c>
      <c r="H129" s="15"/>
    </row>
    <row r="130" spans="7:8" x14ac:dyDescent="0.2">
      <c r="G130" s="16" t="str">
        <f t="shared" si="8"/>
        <v/>
      </c>
      <c r="H130" s="15"/>
    </row>
    <row r="131" spans="7:8" x14ac:dyDescent="0.2">
      <c r="G131" s="16" t="str">
        <f t="shared" si="8"/>
        <v/>
      </c>
    </row>
    <row r="132" spans="7:8" x14ac:dyDescent="0.2">
      <c r="G132" s="16" t="str">
        <f>MID(H133,1,3)</f>
        <v/>
      </c>
      <c r="H132" s="15"/>
    </row>
    <row r="133" spans="7:8" x14ac:dyDescent="0.2">
      <c r="G133" s="16" t="str">
        <f>MID(H134,1,3)</f>
        <v/>
      </c>
      <c r="H133" s="15"/>
    </row>
    <row r="134" spans="7:8" x14ac:dyDescent="0.2">
      <c r="G134" s="16" t="str">
        <f>MID(H135,1,3)</f>
        <v/>
      </c>
    </row>
    <row r="135" spans="7:8" x14ac:dyDescent="0.2">
      <c r="G135" s="16" t="str">
        <f>MID(H136,1,3)</f>
        <v/>
      </c>
      <c r="H135" s="15"/>
    </row>
    <row r="136" spans="7:8" x14ac:dyDescent="0.2">
      <c r="G136" s="16"/>
      <c r="H136" s="15"/>
    </row>
    <row r="137" spans="7:8" x14ac:dyDescent="0.2">
      <c r="G137" s="16"/>
    </row>
    <row r="138" spans="7:8" x14ac:dyDescent="0.2">
      <c r="G138" s="16"/>
    </row>
    <row r="139" spans="7:8" x14ac:dyDescent="0.2">
      <c r="G139" s="16"/>
    </row>
    <row r="140" spans="7:8" x14ac:dyDescent="0.2">
      <c r="G140" s="16"/>
    </row>
    <row r="141" spans="7:8" x14ac:dyDescent="0.2">
      <c r="G141" s="16"/>
    </row>
    <row r="142" spans="7:8" x14ac:dyDescent="0.2">
      <c r="G142" s="16"/>
      <c r="H142" s="22"/>
    </row>
    <row r="143" spans="7:8" x14ac:dyDescent="0.2">
      <c r="G143" s="16"/>
    </row>
    <row r="144" spans="7:8" x14ac:dyDescent="0.2">
      <c r="G144" s="16"/>
    </row>
    <row r="145" spans="7:7" x14ac:dyDescent="0.2">
      <c r="G145" s="16"/>
    </row>
    <row r="146" spans="7:7" x14ac:dyDescent="0.2">
      <c r="G146" s="16"/>
    </row>
    <row r="147" spans="7:7" x14ac:dyDescent="0.2">
      <c r="G147" s="16"/>
    </row>
    <row r="148" spans="7:7" x14ac:dyDescent="0.2">
      <c r="G148" s="16"/>
    </row>
    <row r="149" spans="7:7" x14ac:dyDescent="0.2">
      <c r="G149" s="16"/>
    </row>
    <row r="150" spans="7:7" x14ac:dyDescent="0.2">
      <c r="G150" s="16"/>
    </row>
    <row r="151" spans="7:7" x14ac:dyDescent="0.2">
      <c r="G151" s="16"/>
    </row>
    <row r="152" spans="7:7" x14ac:dyDescent="0.2">
      <c r="G152" s="16"/>
    </row>
    <row r="153" spans="7:7" x14ac:dyDescent="0.2">
      <c r="G153" s="16"/>
    </row>
    <row r="154" spans="7:7" x14ac:dyDescent="0.2">
      <c r="G154" s="16"/>
    </row>
    <row r="155" spans="7:7" x14ac:dyDescent="0.2">
      <c r="G155" s="16"/>
    </row>
    <row r="156" spans="7:7" x14ac:dyDescent="0.2">
      <c r="G156" s="16"/>
    </row>
    <row r="157" spans="7:7" x14ac:dyDescent="0.2">
      <c r="G157" s="16"/>
    </row>
    <row r="158" spans="7:7" x14ac:dyDescent="0.2">
      <c r="G158" s="16"/>
    </row>
    <row r="159" spans="7:7" x14ac:dyDescent="0.2">
      <c r="G159" s="16"/>
    </row>
    <row r="160" spans="7:7" x14ac:dyDescent="0.2">
      <c r="G160" s="16"/>
    </row>
    <row r="161" spans="7:7" x14ac:dyDescent="0.2">
      <c r="G161" s="16"/>
    </row>
    <row r="162" spans="7:7" x14ac:dyDescent="0.2">
      <c r="G162" s="16"/>
    </row>
    <row r="163" spans="7:7" x14ac:dyDescent="0.2">
      <c r="G163" s="16"/>
    </row>
    <row r="164" spans="7:7" x14ac:dyDescent="0.2">
      <c r="G164" s="16"/>
    </row>
  </sheetData>
  <mergeCells count="4">
    <mergeCell ref="F1:I1"/>
    <mergeCell ref="F2:H2"/>
    <mergeCell ref="A1:D1"/>
    <mergeCell ref="A2:C2"/>
  </mergeCells>
  <phoneticPr fontId="0" type="noConversion"/>
  <printOptions horizontalCentered="1" verticalCentered="1" gridLines="1"/>
  <pageMargins left="0.15748031496062992" right="0.15748031496062992" top="0.43307086614173229" bottom="0.51181102362204722" header="0.23622047244094491" footer="0.51181102362204722"/>
  <pageSetup scale="43" orientation="portrait" r:id="rId1"/>
  <headerFooter alignWithMargins="0">
    <oddHeader>&amp;CPARTICIPANTS ÉQUIPE #2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A30"/>
  <sheetViews>
    <sheetView tabSelected="1" zoomScale="70" zoomScaleNormal="70" workbookViewId="0">
      <selection activeCell="K15" sqref="K15"/>
    </sheetView>
  </sheetViews>
  <sheetFormatPr baseColWidth="10" defaultRowHeight="12.75" x14ac:dyDescent="0.2"/>
  <cols>
    <col min="1" max="1" width="21.42578125" bestFit="1" customWidth="1"/>
    <col min="2" max="2" width="6.7109375" customWidth="1"/>
    <col min="3" max="3" width="2.7109375" bestFit="1" customWidth="1"/>
    <col min="4" max="5" width="6.7109375" customWidth="1"/>
    <col min="6" max="6" width="2.7109375" bestFit="1" customWidth="1"/>
    <col min="7" max="8" width="6.7109375" customWidth="1"/>
    <col min="9" max="9" width="2.7109375" bestFit="1" customWidth="1"/>
    <col min="10" max="11" width="6.7109375" customWidth="1"/>
    <col min="12" max="12" width="2.7109375" bestFit="1" customWidth="1"/>
    <col min="13" max="14" width="6.7109375" customWidth="1"/>
    <col min="15" max="15" width="2.7109375" bestFit="1" customWidth="1"/>
    <col min="16" max="17" width="6.7109375" customWidth="1"/>
    <col min="18" max="18" width="2.7109375" bestFit="1" customWidth="1"/>
    <col min="19" max="20" width="6.7109375" customWidth="1"/>
    <col min="21" max="21" width="2.7109375" bestFit="1" customWidth="1"/>
    <col min="22" max="22" width="6.7109375" customWidth="1"/>
    <col min="23" max="23" width="5.7109375" customWidth="1"/>
    <col min="24" max="24" width="6.42578125" customWidth="1"/>
    <col min="25" max="25" width="8.7109375" customWidth="1"/>
    <col min="26" max="26" width="8.85546875" customWidth="1"/>
    <col min="27" max="27" width="8.42578125" customWidth="1"/>
  </cols>
  <sheetData>
    <row r="7" spans="1:27" x14ac:dyDescent="0.2">
      <c r="AA7">
        <v>5</v>
      </c>
    </row>
    <row r="8" spans="1:27" ht="15.75" x14ac:dyDescent="0.25">
      <c r="A8" s="135" t="s">
        <v>223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6"/>
      <c r="Z8" s="136"/>
      <c r="AA8" s="136"/>
    </row>
    <row r="9" spans="1:27" ht="15.75" x14ac:dyDescent="0.25">
      <c r="A9" s="135" t="s">
        <v>128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6"/>
      <c r="Z9" s="136"/>
      <c r="AA9" s="136"/>
    </row>
    <row r="10" spans="1:27" ht="15.75" x14ac:dyDescent="0.25">
      <c r="A10" s="135" t="s">
        <v>214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6"/>
      <c r="Z10" s="136"/>
      <c r="AA10" s="136"/>
    </row>
    <row r="11" spans="1:27" ht="15.75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</row>
    <row r="13" spans="1:27" ht="21" customHeight="1" x14ac:dyDescent="0.2">
      <c r="A13" s="65" t="s">
        <v>36</v>
      </c>
      <c r="B13" s="137" t="s">
        <v>221</v>
      </c>
      <c r="C13" s="138"/>
      <c r="D13" s="139"/>
      <c r="E13" s="137" t="s">
        <v>52</v>
      </c>
      <c r="F13" s="138"/>
      <c r="G13" s="139"/>
      <c r="H13" s="137" t="s">
        <v>53</v>
      </c>
      <c r="I13" s="138"/>
      <c r="J13" s="139"/>
      <c r="K13" s="137" t="s">
        <v>54</v>
      </c>
      <c r="L13" s="138"/>
      <c r="M13" s="139"/>
      <c r="N13" s="137" t="s">
        <v>55</v>
      </c>
      <c r="O13" s="138"/>
      <c r="P13" s="139"/>
      <c r="Q13" s="137" t="s">
        <v>56</v>
      </c>
      <c r="R13" s="138"/>
      <c r="S13" s="139"/>
      <c r="T13" s="137" t="s">
        <v>222</v>
      </c>
      <c r="U13" s="138"/>
      <c r="V13" s="139"/>
      <c r="W13" s="65" t="s">
        <v>37</v>
      </c>
      <c r="X13" s="65" t="s">
        <v>38</v>
      </c>
      <c r="Y13" s="66" t="s">
        <v>39</v>
      </c>
      <c r="Z13" s="66" t="s">
        <v>40</v>
      </c>
      <c r="AA13" s="66" t="s">
        <v>41</v>
      </c>
    </row>
    <row r="14" spans="1:27" ht="21" customHeight="1" x14ac:dyDescent="0.2">
      <c r="A14" s="81" t="s">
        <v>125</v>
      </c>
      <c r="B14" s="126"/>
      <c r="C14" s="127"/>
      <c r="D14" s="128"/>
      <c r="E14" s="75">
        <f>D15</f>
        <v>26</v>
      </c>
      <c r="F14" s="69">
        <v>19</v>
      </c>
      <c r="G14" s="75">
        <f>B15</f>
        <v>54</v>
      </c>
      <c r="H14" s="84">
        <f>D16</f>
        <v>37</v>
      </c>
      <c r="I14" s="85">
        <v>18</v>
      </c>
      <c r="J14" s="84">
        <f>B16</f>
        <v>45</v>
      </c>
      <c r="K14" s="84">
        <f>D17</f>
        <v>40</v>
      </c>
      <c r="L14" s="85">
        <v>13</v>
      </c>
      <c r="M14" s="84">
        <f>B17</f>
        <v>50</v>
      </c>
      <c r="N14" s="84">
        <f>D18</f>
        <v>58</v>
      </c>
      <c r="O14" s="85">
        <v>8</v>
      </c>
      <c r="P14" s="84">
        <f>B18</f>
        <v>34</v>
      </c>
      <c r="Q14" s="84">
        <f>D19</f>
        <v>41</v>
      </c>
      <c r="R14" s="88">
        <v>6</v>
      </c>
      <c r="S14" s="84">
        <f>B19</f>
        <v>37</v>
      </c>
      <c r="T14" s="84">
        <f>D20</f>
        <v>51</v>
      </c>
      <c r="U14" s="85">
        <v>1</v>
      </c>
      <c r="V14" s="84">
        <f>B20</f>
        <v>48</v>
      </c>
      <c r="W14" s="68">
        <v>3</v>
      </c>
      <c r="X14" s="68">
        <v>3</v>
      </c>
      <c r="Y14" s="68">
        <f>E14+H14+K14+N14+Q14+T14</f>
        <v>253</v>
      </c>
      <c r="Z14" s="70">
        <f>G14+J14+M14+P14+S14+V14</f>
        <v>268</v>
      </c>
      <c r="AA14" s="70">
        <f t="shared" ref="AA14:AA20" si="0">+Y14</f>
        <v>253</v>
      </c>
    </row>
    <row r="15" spans="1:27" ht="21" customHeight="1" x14ac:dyDescent="0.2">
      <c r="A15" s="10" t="s">
        <v>126</v>
      </c>
      <c r="B15" s="75">
        <f>alignement!$O$902</f>
        <v>54</v>
      </c>
      <c r="C15" s="69">
        <v>19</v>
      </c>
      <c r="D15" s="76">
        <f>alignement!$D$902</f>
        <v>26</v>
      </c>
      <c r="E15" s="126"/>
      <c r="F15" s="127"/>
      <c r="G15" s="128"/>
      <c r="H15" s="84">
        <f>G16</f>
        <v>58</v>
      </c>
      <c r="I15" s="85">
        <v>14</v>
      </c>
      <c r="J15" s="84">
        <f>E16</f>
        <v>33</v>
      </c>
      <c r="K15" s="84">
        <f>G17</f>
        <v>52</v>
      </c>
      <c r="L15" s="85">
        <v>9</v>
      </c>
      <c r="M15" s="84">
        <f>E17</f>
        <v>36</v>
      </c>
      <c r="N15" s="84">
        <f>G18</f>
        <v>60</v>
      </c>
      <c r="O15" s="85">
        <v>4</v>
      </c>
      <c r="P15" s="84">
        <f>E18</f>
        <v>18</v>
      </c>
      <c r="Q15" s="84">
        <f>G19</f>
        <v>60</v>
      </c>
      <c r="R15" s="88">
        <v>3</v>
      </c>
      <c r="S15" s="84">
        <f>E19</f>
        <v>22</v>
      </c>
      <c r="T15" s="84">
        <f>G20</f>
        <v>53</v>
      </c>
      <c r="U15" s="85">
        <v>11</v>
      </c>
      <c r="V15" s="84">
        <f>E20</f>
        <v>26</v>
      </c>
      <c r="W15" s="68">
        <v>6</v>
      </c>
      <c r="X15" s="68">
        <v>0</v>
      </c>
      <c r="Y15" s="68">
        <f>B15+H15+K15+N15+Q15+T15</f>
        <v>337</v>
      </c>
      <c r="Z15" s="77">
        <f>D15+J15+M15+P15+S15+V15</f>
        <v>161</v>
      </c>
      <c r="AA15" s="70">
        <f t="shared" si="0"/>
        <v>337</v>
      </c>
    </row>
    <row r="16" spans="1:27" ht="21" customHeight="1" x14ac:dyDescent="0.2">
      <c r="A16" s="10" t="s">
        <v>34</v>
      </c>
      <c r="B16" s="84">
        <f>alignement!$D$854</f>
        <v>45</v>
      </c>
      <c r="C16" s="85">
        <v>18</v>
      </c>
      <c r="D16" s="84">
        <f>alignement!$O$854</f>
        <v>37</v>
      </c>
      <c r="E16" s="84">
        <f>alignement!$O$662</f>
        <v>33</v>
      </c>
      <c r="F16" s="85">
        <v>14</v>
      </c>
      <c r="G16" s="84">
        <f>alignement!$D$662</f>
        <v>58</v>
      </c>
      <c r="H16" s="126"/>
      <c r="I16" s="127"/>
      <c r="J16" s="128"/>
      <c r="K16" s="84">
        <f>J17</f>
        <v>34</v>
      </c>
      <c r="L16" s="85">
        <v>5</v>
      </c>
      <c r="M16" s="84">
        <f>H17</f>
        <v>52</v>
      </c>
      <c r="N16" s="84">
        <f>J18</f>
        <v>52</v>
      </c>
      <c r="O16" s="85">
        <v>2</v>
      </c>
      <c r="P16" s="84">
        <f>H18</f>
        <v>28</v>
      </c>
      <c r="Q16" s="84">
        <f>J19</f>
        <v>43</v>
      </c>
      <c r="R16" s="88">
        <v>10</v>
      </c>
      <c r="S16" s="84">
        <f>H19</f>
        <v>35</v>
      </c>
      <c r="T16" s="75">
        <f>J20</f>
        <v>50</v>
      </c>
      <c r="U16" s="69">
        <v>21</v>
      </c>
      <c r="V16" s="75">
        <f>H20</f>
        <v>35</v>
      </c>
      <c r="W16" s="68">
        <v>4</v>
      </c>
      <c r="X16" s="68">
        <v>2</v>
      </c>
      <c r="Y16" s="68">
        <f>B16+E16+K16+N16+Q16+T16</f>
        <v>257</v>
      </c>
      <c r="Z16" s="77">
        <f>D16+G16+M16+P16+S16+V16</f>
        <v>245</v>
      </c>
      <c r="AA16" s="70">
        <f t="shared" si="0"/>
        <v>257</v>
      </c>
    </row>
    <row r="17" spans="1:27" ht="21" customHeight="1" x14ac:dyDescent="0.2">
      <c r="A17" s="81" t="s">
        <v>127</v>
      </c>
      <c r="B17" s="84">
        <f>alignement!$O$614</f>
        <v>50</v>
      </c>
      <c r="C17" s="85">
        <v>13</v>
      </c>
      <c r="D17" s="84">
        <f>alignement!$D$614</f>
        <v>40</v>
      </c>
      <c r="E17" s="84">
        <f>alignement!$D$422</f>
        <v>36</v>
      </c>
      <c r="F17" s="85">
        <v>9</v>
      </c>
      <c r="G17" s="84">
        <f>alignement!$O$422</f>
        <v>52</v>
      </c>
      <c r="H17" s="84">
        <f>alignement!$O$230</f>
        <v>52</v>
      </c>
      <c r="I17" s="85">
        <v>5</v>
      </c>
      <c r="J17" s="84">
        <f>alignement!$D$230</f>
        <v>34</v>
      </c>
      <c r="K17" s="126"/>
      <c r="L17" s="127"/>
      <c r="M17" s="128"/>
      <c r="N17" s="84">
        <f>M18</f>
        <v>52</v>
      </c>
      <c r="O17" s="85">
        <v>12</v>
      </c>
      <c r="P17" s="84">
        <f>K18</f>
        <v>43</v>
      </c>
      <c r="Q17" s="84">
        <f>M19</f>
        <v>50</v>
      </c>
      <c r="R17" s="88">
        <v>20</v>
      </c>
      <c r="S17" s="84">
        <f>K19</f>
        <v>35</v>
      </c>
      <c r="T17" s="84">
        <f>M20</f>
        <v>43</v>
      </c>
      <c r="U17" s="85">
        <v>17</v>
      </c>
      <c r="V17" s="84">
        <f>K20</f>
        <v>39</v>
      </c>
      <c r="W17" s="68">
        <v>5</v>
      </c>
      <c r="X17" s="68">
        <v>1</v>
      </c>
      <c r="Y17" s="68">
        <f>B17+E17+H17+N17+Q17+T17</f>
        <v>283</v>
      </c>
      <c r="Z17" s="77">
        <f>D17+G17+J17+P17+S17+V17</f>
        <v>243</v>
      </c>
      <c r="AA17" s="70">
        <f t="shared" si="0"/>
        <v>283</v>
      </c>
    </row>
    <row r="18" spans="1:27" ht="21" customHeight="1" x14ac:dyDescent="0.2">
      <c r="A18" s="10" t="s">
        <v>33</v>
      </c>
      <c r="B18" s="84">
        <f>alignement!$D$374</f>
        <v>34</v>
      </c>
      <c r="C18" s="85">
        <v>8</v>
      </c>
      <c r="D18" s="84">
        <f>alignement!$O$374</f>
        <v>58</v>
      </c>
      <c r="E18" s="84">
        <f>alignement!$O$182</f>
        <v>18</v>
      </c>
      <c r="F18" s="85">
        <v>4</v>
      </c>
      <c r="G18" s="84">
        <f>alignement!$D$182</f>
        <v>60</v>
      </c>
      <c r="H18" s="84">
        <f>alignement!$D$86</f>
        <v>28</v>
      </c>
      <c r="I18" s="85">
        <v>2</v>
      </c>
      <c r="J18" s="84">
        <f>alignement!$O$86</f>
        <v>52</v>
      </c>
      <c r="K18" s="84">
        <f>alignement!$D$566</f>
        <v>43</v>
      </c>
      <c r="L18" s="85">
        <v>12</v>
      </c>
      <c r="M18" s="84">
        <f>alignement!$O$566</f>
        <v>52</v>
      </c>
      <c r="N18" s="126"/>
      <c r="O18" s="127"/>
      <c r="P18" s="128"/>
      <c r="Q18" s="89">
        <f>P19</f>
        <v>41</v>
      </c>
      <c r="R18" s="90">
        <v>16</v>
      </c>
      <c r="S18" s="89">
        <f>N19</f>
        <v>42</v>
      </c>
      <c r="T18" s="84">
        <f>P20</f>
        <v>32</v>
      </c>
      <c r="U18" s="85">
        <v>15</v>
      </c>
      <c r="V18" s="84">
        <f>N20</f>
        <v>58</v>
      </c>
      <c r="W18" s="68">
        <v>0</v>
      </c>
      <c r="X18" s="68">
        <v>6</v>
      </c>
      <c r="Y18" s="68">
        <f>B18+E18+H18+K18+Q18+T18</f>
        <v>196</v>
      </c>
      <c r="Z18" s="77">
        <f>D18+G18+J18+M18+S18+V18</f>
        <v>322</v>
      </c>
      <c r="AA18" s="70">
        <f t="shared" si="0"/>
        <v>196</v>
      </c>
    </row>
    <row r="19" spans="1:27" ht="21" customHeight="1" x14ac:dyDescent="0.2">
      <c r="A19" s="10" t="s">
        <v>43</v>
      </c>
      <c r="B19" s="84">
        <f>alignement!$D$278</f>
        <v>37</v>
      </c>
      <c r="C19" s="85">
        <v>6</v>
      </c>
      <c r="D19" s="84">
        <f>alignement!$O$278</f>
        <v>41</v>
      </c>
      <c r="E19" s="84">
        <f>alignement!$D$134</f>
        <v>22</v>
      </c>
      <c r="F19" s="85">
        <v>3</v>
      </c>
      <c r="G19" s="84">
        <f>alignement!$O$134</f>
        <v>60</v>
      </c>
      <c r="H19" s="84">
        <f>alignement!$O$470</f>
        <v>35</v>
      </c>
      <c r="I19" s="85">
        <v>10</v>
      </c>
      <c r="J19" s="84">
        <f>alignement!$D$470</f>
        <v>43</v>
      </c>
      <c r="K19" s="84">
        <f>alignement!$D$950</f>
        <v>35</v>
      </c>
      <c r="L19" s="85">
        <v>20</v>
      </c>
      <c r="M19" s="84">
        <f>alignement!$O$950</f>
        <v>50</v>
      </c>
      <c r="N19" s="84">
        <f>alignement!$D$758</f>
        <v>42</v>
      </c>
      <c r="O19" s="85">
        <v>16</v>
      </c>
      <c r="P19" s="84">
        <f>alignement!$O$758</f>
        <v>41</v>
      </c>
      <c r="Q19" s="129"/>
      <c r="R19" s="130"/>
      <c r="S19" s="131"/>
      <c r="T19" s="89">
        <f>S20</f>
        <v>42</v>
      </c>
      <c r="U19" s="90">
        <v>7</v>
      </c>
      <c r="V19" s="89">
        <f>Q20</f>
        <v>43</v>
      </c>
      <c r="W19" s="68">
        <v>1</v>
      </c>
      <c r="X19" s="68">
        <v>5</v>
      </c>
      <c r="Y19" s="68">
        <f>B19+E19+H19+K19+N19+T19</f>
        <v>213</v>
      </c>
      <c r="Z19" s="77">
        <f>D19+G19+J19+M19+P19+V19</f>
        <v>278</v>
      </c>
      <c r="AA19" s="70">
        <f t="shared" si="0"/>
        <v>213</v>
      </c>
    </row>
    <row r="20" spans="1:27" ht="21" customHeight="1" x14ac:dyDescent="0.2">
      <c r="A20" s="10" t="s">
        <v>44</v>
      </c>
      <c r="B20" s="84">
        <f>alignement!$O$38</f>
        <v>48</v>
      </c>
      <c r="C20" s="85">
        <v>1</v>
      </c>
      <c r="D20" s="84">
        <f>alignement!$D$38</f>
        <v>51</v>
      </c>
      <c r="E20" s="84">
        <f>alignement!$D$518</f>
        <v>26</v>
      </c>
      <c r="F20" s="85">
        <v>11</v>
      </c>
      <c r="G20" s="84">
        <f>alignement!$O$518</f>
        <v>53</v>
      </c>
      <c r="H20" s="75">
        <f>alignement!$D$998</f>
        <v>35</v>
      </c>
      <c r="I20" s="69">
        <v>21</v>
      </c>
      <c r="J20" s="75">
        <f>alignement!$O$998</f>
        <v>50</v>
      </c>
      <c r="K20" s="84">
        <f>alignement!$O$806</f>
        <v>39</v>
      </c>
      <c r="L20" s="85">
        <v>17</v>
      </c>
      <c r="M20" s="84">
        <f>alignement!$D$806</f>
        <v>43</v>
      </c>
      <c r="N20" s="84">
        <f>alignement!$D$710</f>
        <v>58</v>
      </c>
      <c r="O20" s="85">
        <v>15</v>
      </c>
      <c r="P20" s="84">
        <f>alignement!$O$710</f>
        <v>32</v>
      </c>
      <c r="Q20" s="86">
        <f>alignement!$D$326</f>
        <v>43</v>
      </c>
      <c r="R20" s="87">
        <v>7</v>
      </c>
      <c r="S20" s="86">
        <f>alignement!$O$326</f>
        <v>42</v>
      </c>
      <c r="T20" s="126"/>
      <c r="U20" s="127"/>
      <c r="V20" s="128"/>
      <c r="W20" s="68">
        <v>2</v>
      </c>
      <c r="X20" s="68">
        <v>4</v>
      </c>
      <c r="Y20" s="68">
        <f>B20+E20+H20+K20+N20+Q20</f>
        <v>249</v>
      </c>
      <c r="Z20" s="77">
        <f>D20+G20+J20+M20+P20+S20</f>
        <v>271</v>
      </c>
      <c r="AA20" s="70">
        <f t="shared" si="0"/>
        <v>249</v>
      </c>
    </row>
    <row r="23" spans="1:27" x14ac:dyDescent="0.2">
      <c r="A23" s="71"/>
      <c r="B23" s="132" t="s">
        <v>218</v>
      </c>
      <c r="C23" s="132"/>
      <c r="D23" s="72"/>
      <c r="E23" s="133" t="s">
        <v>219</v>
      </c>
      <c r="F23" s="133"/>
      <c r="H23" s="134" t="s">
        <v>220</v>
      </c>
      <c r="I23" s="134"/>
      <c r="K23" s="95" t="s">
        <v>200</v>
      </c>
      <c r="L23" s="96"/>
      <c r="M23" s="94" t="s">
        <v>215</v>
      </c>
      <c r="N23" s="94" t="s">
        <v>42</v>
      </c>
      <c r="O23" s="92"/>
    </row>
    <row r="24" spans="1:27" x14ac:dyDescent="0.2">
      <c r="A24" s="67" t="s">
        <v>119</v>
      </c>
      <c r="B24" s="93">
        <v>327</v>
      </c>
      <c r="C24" s="68">
        <v>1</v>
      </c>
      <c r="E24" s="99">
        <v>337</v>
      </c>
      <c r="F24" s="100">
        <v>1</v>
      </c>
      <c r="H24" s="98"/>
      <c r="I24" s="91"/>
      <c r="K24" s="93">
        <f t="shared" ref="K24:K30" si="1">B24+E24</f>
        <v>664</v>
      </c>
      <c r="L24" s="91"/>
      <c r="M24" s="68" t="s">
        <v>216</v>
      </c>
      <c r="N24" s="68">
        <v>1</v>
      </c>
      <c r="O24" s="92"/>
    </row>
    <row r="25" spans="1:27" x14ac:dyDescent="0.2">
      <c r="A25" s="67" t="s">
        <v>122</v>
      </c>
      <c r="B25" s="93">
        <v>299</v>
      </c>
      <c r="C25" s="68">
        <v>2</v>
      </c>
      <c r="E25" s="99">
        <v>283</v>
      </c>
      <c r="F25" s="100">
        <v>2</v>
      </c>
      <c r="H25" s="98"/>
      <c r="I25" s="91"/>
      <c r="K25" s="93">
        <f t="shared" si="1"/>
        <v>582</v>
      </c>
      <c r="L25" s="91"/>
      <c r="M25" s="75">
        <f>K24-K25</f>
        <v>82</v>
      </c>
      <c r="N25" s="68">
        <v>2</v>
      </c>
      <c r="O25" s="92"/>
    </row>
    <row r="26" spans="1:27" x14ac:dyDescent="0.2">
      <c r="A26" s="67" t="s">
        <v>118</v>
      </c>
      <c r="B26" s="93">
        <v>261</v>
      </c>
      <c r="C26" s="68">
        <v>3</v>
      </c>
      <c r="E26" s="99">
        <v>253</v>
      </c>
      <c r="F26" s="100">
        <v>4</v>
      </c>
      <c r="H26" s="98"/>
      <c r="I26" s="91"/>
      <c r="K26" s="93">
        <f t="shared" si="1"/>
        <v>514</v>
      </c>
      <c r="L26" s="91"/>
      <c r="M26" s="75">
        <f t="shared" ref="M26:M30" si="2">K25-K26</f>
        <v>68</v>
      </c>
      <c r="N26" s="68">
        <v>3</v>
      </c>
      <c r="O26" s="92"/>
    </row>
    <row r="27" spans="1:27" x14ac:dyDescent="0.2">
      <c r="A27" s="67" t="s">
        <v>121</v>
      </c>
      <c r="B27" s="93">
        <v>258</v>
      </c>
      <c r="C27" s="68">
        <v>4</v>
      </c>
      <c r="E27" s="99">
        <v>249</v>
      </c>
      <c r="F27" s="100">
        <v>5</v>
      </c>
      <c r="H27" s="98"/>
      <c r="I27" s="91"/>
      <c r="K27" s="93">
        <f t="shared" si="1"/>
        <v>507</v>
      </c>
      <c r="L27" s="91"/>
      <c r="M27" s="75">
        <f t="shared" si="2"/>
        <v>7</v>
      </c>
      <c r="N27" s="68">
        <v>4</v>
      </c>
      <c r="O27" s="92"/>
    </row>
    <row r="28" spans="1:27" x14ac:dyDescent="0.2">
      <c r="A28" s="67" t="s">
        <v>120</v>
      </c>
      <c r="B28" s="93">
        <v>206</v>
      </c>
      <c r="C28" s="68">
        <v>7</v>
      </c>
      <c r="E28" s="99">
        <v>257</v>
      </c>
      <c r="F28" s="100">
        <v>3</v>
      </c>
      <c r="H28" s="98"/>
      <c r="I28" s="91"/>
      <c r="K28" s="93">
        <f t="shared" si="1"/>
        <v>463</v>
      </c>
      <c r="L28" s="91"/>
      <c r="M28" s="75">
        <f t="shared" si="2"/>
        <v>44</v>
      </c>
      <c r="N28" s="68">
        <v>5</v>
      </c>
      <c r="O28" s="92"/>
    </row>
    <row r="29" spans="1:27" x14ac:dyDescent="0.2">
      <c r="A29" s="67" t="s">
        <v>123</v>
      </c>
      <c r="B29" s="93">
        <v>234</v>
      </c>
      <c r="C29" s="68">
        <v>5</v>
      </c>
      <c r="E29" s="99">
        <v>213</v>
      </c>
      <c r="F29" s="100">
        <v>6</v>
      </c>
      <c r="H29" s="98"/>
      <c r="I29" s="91"/>
      <c r="K29" s="93">
        <f t="shared" si="1"/>
        <v>447</v>
      </c>
      <c r="L29" s="91"/>
      <c r="M29" s="75">
        <f t="shared" si="2"/>
        <v>16</v>
      </c>
      <c r="N29" s="68">
        <v>6</v>
      </c>
      <c r="O29" s="92"/>
    </row>
    <row r="30" spans="1:27" x14ac:dyDescent="0.2">
      <c r="A30" s="67" t="s">
        <v>124</v>
      </c>
      <c r="B30" s="93">
        <v>215</v>
      </c>
      <c r="C30" s="68">
        <v>6</v>
      </c>
      <c r="E30" s="99">
        <v>196</v>
      </c>
      <c r="F30" s="100">
        <v>7</v>
      </c>
      <c r="H30" s="98"/>
      <c r="I30" s="91"/>
      <c r="K30" s="93">
        <f t="shared" si="1"/>
        <v>411</v>
      </c>
      <c r="L30" s="91"/>
      <c r="M30" s="75">
        <f t="shared" si="2"/>
        <v>36</v>
      </c>
      <c r="N30" s="68">
        <v>7</v>
      </c>
      <c r="O30" s="92"/>
    </row>
  </sheetData>
  <sortState ref="A24:H30">
    <sortCondition descending="1" ref="H24:H30"/>
  </sortState>
  <mergeCells count="20">
    <mergeCell ref="T20:V20"/>
    <mergeCell ref="B14:D14"/>
    <mergeCell ref="E15:G15"/>
    <mergeCell ref="A8:AA8"/>
    <mergeCell ref="A9:AA9"/>
    <mergeCell ref="A10:AA10"/>
    <mergeCell ref="B13:D13"/>
    <mergeCell ref="E13:G13"/>
    <mergeCell ref="H13:J13"/>
    <mergeCell ref="K13:M13"/>
    <mergeCell ref="N13:P13"/>
    <mergeCell ref="Q13:S13"/>
    <mergeCell ref="T13:V13"/>
    <mergeCell ref="H16:J16"/>
    <mergeCell ref="K17:M17"/>
    <mergeCell ref="N18:P18"/>
    <mergeCell ref="Q19:S19"/>
    <mergeCell ref="B23:C23"/>
    <mergeCell ref="E23:F23"/>
    <mergeCell ref="H23:I23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alignement</vt:lpstr>
      <vt:lpstr>joueurs</vt:lpstr>
      <vt:lpstr>RÉSULTATS</vt:lpstr>
    </vt:vector>
  </TitlesOfParts>
  <Company>Sport Étudiant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Daniel Allie</cp:lastModifiedBy>
  <cp:lastPrinted>2012-11-23T22:11:20Z</cp:lastPrinted>
  <dcterms:created xsi:type="dcterms:W3CDTF">1997-10-17T13:28:14Z</dcterms:created>
  <dcterms:modified xsi:type="dcterms:W3CDTF">2012-11-25T20:37:04Z</dcterms:modified>
</cp:coreProperties>
</file>