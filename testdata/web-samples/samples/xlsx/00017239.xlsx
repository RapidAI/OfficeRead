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360" yWindow="100" windowWidth="31060" windowHeight="21300"/>
  </bookViews>
  <sheets>
    <sheet name="TT Results sheet" sheetId="1" r:id="rId1"/>
    <sheet name="Sheet3" sheetId="3" r:id="rId2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O83" i="1"/>
  <c r="N83"/>
  <c r="P83"/>
  <c r="T83"/>
  <c r="N9"/>
  <c r="T9"/>
  <c r="N10"/>
  <c r="T10"/>
  <c r="N11"/>
  <c r="T11"/>
  <c r="N12"/>
  <c r="T12"/>
  <c r="N13"/>
  <c r="T13"/>
  <c r="N14"/>
  <c r="T14"/>
  <c r="N15"/>
  <c r="T15"/>
  <c r="N16"/>
  <c r="T16"/>
  <c r="N17"/>
  <c r="T17"/>
  <c r="N18"/>
  <c r="T18"/>
  <c r="N19"/>
  <c r="T19"/>
  <c r="N20"/>
  <c r="T20"/>
  <c r="N21"/>
  <c r="T21"/>
  <c r="N22"/>
  <c r="T22"/>
  <c r="N24"/>
  <c r="T24"/>
  <c r="N25"/>
  <c r="T25"/>
  <c r="N26"/>
  <c r="T26"/>
  <c r="N27"/>
  <c r="T27"/>
  <c r="N28"/>
  <c r="T28"/>
  <c r="N29"/>
  <c r="T29"/>
  <c r="N31"/>
  <c r="T31"/>
  <c r="N32"/>
  <c r="T32"/>
  <c r="N34"/>
  <c r="T34"/>
  <c r="N35"/>
  <c r="T35"/>
  <c r="N36"/>
  <c r="T36"/>
  <c r="N37"/>
  <c r="T37"/>
  <c r="N38"/>
  <c r="T38"/>
  <c r="N39"/>
  <c r="T39"/>
  <c r="N40"/>
  <c r="T40"/>
  <c r="N41"/>
  <c r="T41"/>
  <c r="N42"/>
  <c r="T42"/>
  <c r="N43"/>
  <c r="T43"/>
  <c r="N45"/>
  <c r="T45"/>
  <c r="N46"/>
  <c r="T46"/>
  <c r="N47"/>
  <c r="T47"/>
  <c r="N48"/>
  <c r="T48"/>
  <c r="N49"/>
  <c r="T49"/>
  <c r="N50"/>
  <c r="T50"/>
  <c r="N51"/>
  <c r="T51"/>
  <c r="N52"/>
  <c r="T52"/>
  <c r="N53"/>
  <c r="T53"/>
  <c r="N54"/>
  <c r="T54"/>
  <c r="N55"/>
  <c r="T55"/>
  <c r="N56"/>
  <c r="T56"/>
  <c r="N57"/>
  <c r="T57"/>
  <c r="N58"/>
  <c r="T58"/>
  <c r="N59"/>
  <c r="T59"/>
  <c r="N60"/>
  <c r="T60"/>
  <c r="N61"/>
  <c r="T61"/>
  <c r="N66"/>
  <c r="T66"/>
  <c r="N67"/>
  <c r="T67"/>
  <c r="N68"/>
  <c r="T68"/>
  <c r="N71"/>
  <c r="T71"/>
  <c r="N74"/>
  <c r="T74"/>
  <c r="N77"/>
  <c r="T77"/>
  <c r="N78"/>
  <c r="T78"/>
  <c r="N79"/>
  <c r="T79"/>
  <c r="N80"/>
  <c r="T80"/>
  <c r="N81"/>
  <c r="T81"/>
  <c r="N82"/>
  <c r="T82"/>
  <c r="U83"/>
  <c r="O11"/>
  <c r="O21"/>
  <c r="O19"/>
  <c r="O17"/>
  <c r="O10"/>
  <c r="O9"/>
  <c r="O22"/>
  <c r="O20"/>
  <c r="O18"/>
  <c r="O16"/>
  <c r="O15"/>
  <c r="O12"/>
  <c r="O13"/>
  <c r="P11"/>
  <c r="P21"/>
  <c r="P19"/>
  <c r="P17"/>
  <c r="P10"/>
  <c r="P9"/>
  <c r="P22"/>
  <c r="P20"/>
  <c r="P18"/>
  <c r="P16"/>
  <c r="P15"/>
  <c r="P12"/>
  <c r="O54"/>
  <c r="O57"/>
  <c r="O56"/>
  <c r="O51"/>
  <c r="O43"/>
  <c r="P43"/>
  <c r="O77"/>
  <c r="O80"/>
  <c r="O79"/>
  <c r="O82"/>
  <c r="O81"/>
  <c r="O78"/>
  <c r="O74"/>
  <c r="O71"/>
  <c r="O68"/>
  <c r="O67"/>
  <c r="O66"/>
  <c r="O61"/>
  <c r="O41"/>
  <c r="P41"/>
  <c r="O60"/>
  <c r="O59"/>
  <c r="O58"/>
  <c r="O55"/>
  <c r="O53"/>
  <c r="O52"/>
  <c r="O50"/>
  <c r="O36"/>
  <c r="P36"/>
  <c r="O49"/>
  <c r="O48"/>
  <c r="O47"/>
  <c r="O46"/>
  <c r="O45"/>
  <c r="O42"/>
  <c r="O29"/>
  <c r="O40"/>
  <c r="O39"/>
  <c r="O38"/>
  <c r="O37"/>
  <c r="O32"/>
  <c r="O27"/>
  <c r="O35"/>
  <c r="O34"/>
  <c r="O31"/>
  <c r="O25"/>
  <c r="O28"/>
  <c r="P13"/>
  <c r="O26"/>
  <c r="O24"/>
  <c r="O14"/>
  <c r="P14"/>
  <c r="Q12"/>
  <c r="Q15"/>
  <c r="Q18"/>
  <c r="Q20"/>
  <c r="Q22"/>
  <c r="Q24"/>
  <c r="Q26"/>
  <c r="Q13"/>
  <c r="Q28"/>
  <c r="Q16"/>
  <c r="Q9"/>
  <c r="Q10"/>
  <c r="Q25"/>
  <c r="Q31"/>
  <c r="Q11"/>
  <c r="Q17"/>
  <c r="Q19"/>
  <c r="Q21"/>
  <c r="Q34"/>
  <c r="Q35"/>
  <c r="Q27"/>
  <c r="Q32"/>
  <c r="Q37"/>
  <c r="Q38"/>
  <c r="Q39"/>
  <c r="Q40"/>
  <c r="Q29"/>
  <c r="Q42"/>
  <c r="Q45"/>
  <c r="Q46"/>
  <c r="Q47"/>
  <c r="Q48"/>
  <c r="Q49"/>
  <c r="Q36"/>
  <c r="Q50"/>
  <c r="Q52"/>
  <c r="Q53"/>
  <c r="Q55"/>
  <c r="Q58"/>
  <c r="Q59"/>
  <c r="Q60"/>
  <c r="Q41"/>
  <c r="Q61"/>
  <c r="Q66"/>
  <c r="Q67"/>
  <c r="Q68"/>
  <c r="Q69"/>
  <c r="Q70"/>
  <c r="Q71"/>
  <c r="Q72"/>
  <c r="Q73"/>
  <c r="Q74"/>
  <c r="Q75"/>
  <c r="Q76"/>
  <c r="Q78"/>
  <c r="Q81"/>
  <c r="Q82"/>
  <c r="Q79"/>
  <c r="Q80"/>
  <c r="Q77"/>
  <c r="Q14"/>
  <c r="R14"/>
  <c r="U54"/>
  <c r="U56"/>
  <c r="U57"/>
  <c r="S56"/>
  <c r="S57"/>
  <c r="S54"/>
  <c r="U14"/>
  <c r="S45"/>
  <c r="S46"/>
  <c r="S47"/>
  <c r="S48"/>
  <c r="S49"/>
  <c r="S36"/>
  <c r="S50"/>
  <c r="S52"/>
  <c r="S53"/>
  <c r="S55"/>
  <c r="S58"/>
  <c r="S59"/>
  <c r="S60"/>
  <c r="S41"/>
  <c r="S61"/>
  <c r="S43"/>
  <c r="S51"/>
  <c r="S34"/>
  <c r="S35"/>
  <c r="S32"/>
  <c r="S37"/>
  <c r="S38"/>
  <c r="S39"/>
  <c r="S40"/>
  <c r="S42"/>
  <c r="S25"/>
  <c r="S31"/>
  <c r="S27"/>
  <c r="S29"/>
  <c r="S13"/>
  <c r="S14"/>
  <c r="S12"/>
  <c r="S15"/>
  <c r="S16"/>
  <c r="S18"/>
  <c r="S20"/>
  <c r="S22"/>
  <c r="S24"/>
  <c r="S26"/>
  <c r="S28"/>
  <c r="S9"/>
  <c r="S10"/>
  <c r="S11"/>
  <c r="S17"/>
  <c r="S19"/>
  <c r="S21"/>
  <c r="U43"/>
  <c r="U51"/>
  <c r="P24"/>
  <c r="P26"/>
  <c r="P28"/>
  <c r="P25"/>
  <c r="P31"/>
  <c r="P34"/>
  <c r="P35"/>
  <c r="P27"/>
  <c r="P32"/>
  <c r="P37"/>
  <c r="P38"/>
  <c r="P39"/>
  <c r="P40"/>
  <c r="P29"/>
  <c r="P42"/>
  <c r="P66"/>
  <c r="P67"/>
  <c r="P68"/>
  <c r="P71"/>
  <c r="P74"/>
  <c r="P78"/>
  <c r="P81"/>
  <c r="P82"/>
  <c r="P79"/>
  <c r="P80"/>
  <c r="P77"/>
  <c r="R61"/>
  <c r="R41"/>
  <c r="R60"/>
  <c r="R59"/>
  <c r="R58"/>
  <c r="R55"/>
  <c r="R53"/>
  <c r="R52"/>
  <c r="R50"/>
  <c r="R36"/>
  <c r="R49"/>
  <c r="R48"/>
  <c r="R47"/>
  <c r="R46"/>
  <c r="R45"/>
  <c r="R42"/>
  <c r="R29"/>
  <c r="R40"/>
  <c r="R39"/>
  <c r="R38"/>
  <c r="R37"/>
  <c r="R32"/>
  <c r="R27"/>
  <c r="R35"/>
  <c r="R34"/>
  <c r="R21"/>
  <c r="R19"/>
  <c r="R17"/>
  <c r="R11"/>
  <c r="R31"/>
  <c r="R25"/>
  <c r="R10"/>
  <c r="R9"/>
  <c r="R16"/>
  <c r="R28"/>
  <c r="R13"/>
  <c r="R26"/>
  <c r="R24"/>
  <c r="R22"/>
  <c r="R20"/>
  <c r="R18"/>
  <c r="R15"/>
  <c r="R12"/>
  <c r="U77"/>
  <c r="U80"/>
  <c r="U79"/>
  <c r="U82"/>
  <c r="U81"/>
  <c r="U78"/>
  <c r="U74"/>
  <c r="U71"/>
  <c r="U68"/>
  <c r="U67"/>
  <c r="U66"/>
  <c r="U61"/>
  <c r="U41"/>
  <c r="U60"/>
  <c r="U59"/>
  <c r="U58"/>
  <c r="U55"/>
  <c r="U53"/>
  <c r="U52"/>
  <c r="U50"/>
  <c r="U36"/>
  <c r="U49"/>
  <c r="U48"/>
  <c r="U47"/>
  <c r="U46"/>
  <c r="U45"/>
  <c r="U42"/>
  <c r="U29"/>
  <c r="U40"/>
  <c r="U39"/>
  <c r="U38"/>
  <c r="U37"/>
  <c r="U32"/>
  <c r="U27"/>
  <c r="U35"/>
  <c r="U34"/>
  <c r="U21"/>
  <c r="U19"/>
  <c r="U17"/>
  <c r="U11"/>
  <c r="U31"/>
  <c r="U25"/>
  <c r="U10"/>
  <c r="U9"/>
  <c r="U16"/>
  <c r="U28"/>
  <c r="U13"/>
  <c r="U26"/>
  <c r="U24"/>
  <c r="U22"/>
  <c r="U20"/>
  <c r="U18"/>
  <c r="U15"/>
  <c r="U12"/>
</calcChain>
</file>

<file path=xl/sharedStrings.xml><?xml version="1.0" encoding="utf-8"?>
<sst xmlns="http://schemas.openxmlformats.org/spreadsheetml/2006/main" count="80" uniqueCount="80">
  <si>
    <t xml:space="preserve">Cardiff Ajax CC </t>
  </si>
  <si>
    <t>Name</t>
  </si>
  <si>
    <t>Bernard Brown</t>
  </si>
  <si>
    <t>Rob Morgan</t>
  </si>
  <si>
    <t>John Chichester</t>
  </si>
  <si>
    <t>Suzie Warren</t>
  </si>
  <si>
    <t>Graham Donnan</t>
  </si>
  <si>
    <t>Paul Beard</t>
  </si>
  <si>
    <t>Simon Roberts</t>
  </si>
  <si>
    <t>Ian Herbert</t>
  </si>
  <si>
    <t>Michael Williams</t>
  </si>
  <si>
    <t>Georgina Harper</t>
  </si>
  <si>
    <t>Andy Wilton</t>
  </si>
  <si>
    <t>Toby Hopper</t>
  </si>
  <si>
    <t>Guest Riders</t>
  </si>
  <si>
    <t>Ajax Members</t>
  </si>
  <si>
    <t>Series Time</t>
  </si>
  <si>
    <t>Nia James</t>
  </si>
  <si>
    <t>Ben Carroll</t>
  </si>
  <si>
    <t>Kevin Hughes</t>
  </si>
  <si>
    <t>Chris James</t>
  </si>
  <si>
    <t>Edward Bennett</t>
  </si>
  <si>
    <t>Mike Barnes</t>
  </si>
  <si>
    <t>Justin Parker</t>
  </si>
  <si>
    <t>Dave Lane</t>
  </si>
  <si>
    <t>Rob Berry</t>
  </si>
  <si>
    <t>Luke Cornish</t>
  </si>
  <si>
    <t>Average time</t>
  </si>
  <si>
    <t xml:space="preserve">Summer 2012 10 Mile Time Trial Series </t>
  </si>
  <si>
    <t>Krzystof Chrostek</t>
  </si>
  <si>
    <t>Louis Adams</t>
  </si>
  <si>
    <t>David Medhurst</t>
  </si>
  <si>
    <t>Pat Jennings</t>
  </si>
  <si>
    <t>Angela Green</t>
  </si>
  <si>
    <t>Andrew Palmer</t>
  </si>
  <si>
    <t>Rob Goldsmith, Andy Wilton and Julian Morgan</t>
  </si>
  <si>
    <t>Alex Tuck</t>
  </si>
  <si>
    <t>2UP TTT</t>
  </si>
  <si>
    <t>3UP TTT</t>
  </si>
  <si>
    <t>Tandem</t>
  </si>
  <si>
    <t>Matt Burns &amp; Dylan</t>
  </si>
  <si>
    <t>Lydia Greenman &amp; Mark Cane</t>
  </si>
  <si>
    <t>Rob Warren</t>
  </si>
  <si>
    <t>Eric Grill</t>
  </si>
  <si>
    <t>Ian Llewelyn</t>
  </si>
  <si>
    <t>Andy Rees</t>
  </si>
  <si>
    <t>Dan Wood</t>
  </si>
  <si>
    <t>Tony Carroll</t>
  </si>
  <si>
    <t>Phil Thomas</t>
  </si>
  <si>
    <t>Mark Cane</t>
  </si>
  <si>
    <t>David Knowles</t>
  </si>
  <si>
    <t>Sion Jones</t>
  </si>
  <si>
    <t>Luke Rowe (Sky Pro Cycling)</t>
  </si>
  <si>
    <t>Tim Cummings (Forza)</t>
  </si>
  <si>
    <t>Andrew Jeans (Jif)</t>
  </si>
  <si>
    <t>Gareth Jones (Certinil)</t>
  </si>
  <si>
    <t>Graeme Boswell</t>
  </si>
  <si>
    <t>Non-series qualifiying rides:</t>
  </si>
  <si>
    <t>George Gilbert &amp; B Bendall</t>
  </si>
  <si>
    <t>Mark Austin &amp; Lisa Chichester</t>
  </si>
  <si>
    <t>Michael Gallagher (Paralmpic Cycling Australia)</t>
  </si>
  <si>
    <t>Julian Morgan</t>
  </si>
  <si>
    <t>Ryan Westcombe</t>
  </si>
  <si>
    <t>Chris Carroll</t>
  </si>
  <si>
    <t>Chris Morris</t>
  </si>
  <si>
    <t>Lisa Chichester</t>
  </si>
  <si>
    <t>Auto Avg Time</t>
  </si>
  <si>
    <t>Auto Rank By Avg</t>
  </si>
  <si>
    <t>Sarah Murray</t>
  </si>
  <si>
    <t>Andrew Proctor</t>
  </si>
  <si>
    <t>DNF</t>
  </si>
  <si>
    <t xml:space="preserve"> Rides</t>
  </si>
  <si>
    <t>Best Ride</t>
  </si>
  <si>
    <t>Rank by Best Time</t>
  </si>
  <si>
    <t>Series Rank</t>
  </si>
  <si>
    <t>Mark Nurcombe</t>
  </si>
  <si>
    <t>Nathan Hartley</t>
  </si>
  <si>
    <t>Heather Dennis</t>
  </si>
  <si>
    <t>Harry Lock</t>
  </si>
  <si>
    <t>Series complete after Round 11 (31 August)</t>
  </si>
</sst>
</file>

<file path=xl/styles.xml><?xml version="1.0" encoding="utf-8"?>
<styleSheet xmlns="http://schemas.openxmlformats.org/spreadsheetml/2006/main">
  <numFmts count="5">
    <numFmt numFmtId="164" formatCode="dd/mm/yyyy;@"/>
    <numFmt numFmtId="165" formatCode="h:mm:ss;@"/>
    <numFmt numFmtId="166" formatCode="hh:mm:ss;@"/>
    <numFmt numFmtId="167" formatCode="[mm]:ss"/>
    <numFmt numFmtId="168" formatCode="[$-F400]h:mm:ss\ AM/PM"/>
  </numFmts>
  <fonts count="1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7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Calibri"/>
      <family val="2"/>
    </font>
    <font>
      <sz val="11"/>
      <name val="Calibri"/>
      <family val="2"/>
    </font>
    <font>
      <b/>
      <u/>
      <sz val="11"/>
      <color indexed="8"/>
      <name val="Calibri"/>
      <family val="2"/>
    </font>
    <font>
      <b/>
      <u/>
      <sz val="11"/>
      <color indexed="10"/>
      <name val="Calibri"/>
      <family val="2"/>
    </font>
    <font>
      <b/>
      <u/>
      <sz val="11"/>
      <color indexed="10"/>
      <name val="Calibri"/>
      <family val="2"/>
    </font>
    <font>
      <b/>
      <u/>
      <sz val="11"/>
      <color indexed="57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4" fillId="0" borderId="0" xfId="0" applyFont="1"/>
    <xf numFmtId="166" fontId="4" fillId="0" borderId="0" xfId="0" applyNumberFormat="1" applyFont="1"/>
    <xf numFmtId="0" fontId="0" fillId="0" borderId="0" xfId="0" applyFont="1"/>
    <xf numFmtId="166" fontId="0" fillId="0" borderId="0" xfId="0" applyNumberFormat="1" applyFont="1"/>
    <xf numFmtId="165" fontId="5" fillId="0" borderId="0" xfId="0" applyNumberFormat="1" applyFont="1"/>
    <xf numFmtId="166" fontId="1" fillId="0" borderId="0" xfId="0" applyNumberFormat="1" applyFont="1"/>
    <xf numFmtId="0" fontId="1" fillId="0" borderId="0" xfId="0" applyFont="1"/>
    <xf numFmtId="21" fontId="0" fillId="0" borderId="0" xfId="0" applyNumberFormat="1"/>
    <xf numFmtId="0" fontId="6" fillId="0" borderId="0" xfId="0" applyFont="1"/>
    <xf numFmtId="0" fontId="6" fillId="0" borderId="0" xfId="0" applyNumberFormat="1" applyFont="1"/>
    <xf numFmtId="167" fontId="6" fillId="0" borderId="0" xfId="0" applyNumberFormat="1" applyFont="1"/>
    <xf numFmtId="168" fontId="0" fillId="0" borderId="0" xfId="0" applyNumberFormat="1"/>
    <xf numFmtId="168" fontId="0" fillId="0" borderId="0" xfId="0" applyNumberFormat="1" applyFont="1"/>
    <xf numFmtId="168" fontId="1" fillId="0" borderId="0" xfId="0" applyNumberFormat="1" applyFont="1"/>
    <xf numFmtId="0" fontId="8" fillId="0" borderId="0" xfId="0" applyFont="1"/>
    <xf numFmtId="0" fontId="8" fillId="0" borderId="0" xfId="0" applyNumberFormat="1" applyFont="1"/>
    <xf numFmtId="165" fontId="8" fillId="0" borderId="0" xfId="0" applyNumberFormat="1" applyFont="1"/>
    <xf numFmtId="167" fontId="9" fillId="0" borderId="0" xfId="0" applyNumberFormat="1" applyFont="1"/>
    <xf numFmtId="0" fontId="9" fillId="0" borderId="0" xfId="0" applyFont="1"/>
    <xf numFmtId="165" fontId="7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4" fontId="11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U92"/>
  <sheetViews>
    <sheetView tabSelected="1" workbookViewId="0">
      <selection activeCell="S16" sqref="S16"/>
    </sheetView>
  </sheetViews>
  <sheetFormatPr baseColWidth="10" defaultColWidth="8.83203125" defaultRowHeight="14"/>
  <cols>
    <col min="1" max="1" width="33.6640625" customWidth="1"/>
    <col min="2" max="4" width="10.6640625" bestFit="1" customWidth="1"/>
    <col min="5" max="12" width="10.6640625" customWidth="1"/>
    <col min="13" max="13" width="10.6640625" hidden="1" customWidth="1"/>
    <col min="14" max="14" width="10.6640625" style="18" customWidth="1"/>
    <col min="15" max="15" width="11.33203125" bestFit="1" customWidth="1"/>
    <col min="16" max="16" width="12.83203125" bestFit="1" customWidth="1"/>
    <col min="17" max="17" width="14" style="12" hidden="1" customWidth="1"/>
    <col min="18" max="18" width="18.6640625" style="13" hidden="1" customWidth="1"/>
    <col min="19" max="19" width="19" style="12" customWidth="1"/>
    <col min="20" max="20" width="10.83203125" style="12" customWidth="1"/>
    <col min="21" max="21" width="16.5" style="12" customWidth="1"/>
  </cols>
  <sheetData>
    <row r="1" spans="1:21">
      <c r="A1" s="3" t="s">
        <v>0</v>
      </c>
    </row>
    <row r="2" spans="1:21">
      <c r="A2" s="3" t="s">
        <v>28</v>
      </c>
    </row>
    <row r="3" spans="1:21">
      <c r="A3" s="3" t="s">
        <v>79</v>
      </c>
    </row>
    <row r="4" spans="1:21">
      <c r="A4" s="3"/>
    </row>
    <row r="6" spans="1:21">
      <c r="A6" s="3" t="s">
        <v>15</v>
      </c>
    </row>
    <row r="8" spans="1:21" s="3" customFormat="1">
      <c r="A8" s="24" t="s">
        <v>1</v>
      </c>
      <c r="B8" s="25">
        <v>41075</v>
      </c>
      <c r="C8" s="25">
        <v>41082</v>
      </c>
      <c r="D8" s="25">
        <v>41089</v>
      </c>
      <c r="E8" s="25">
        <v>41096</v>
      </c>
      <c r="F8" s="25">
        <v>41103</v>
      </c>
      <c r="G8" s="25">
        <v>41110</v>
      </c>
      <c r="H8" s="25">
        <v>41124</v>
      </c>
      <c r="I8" s="25">
        <v>41131</v>
      </c>
      <c r="J8" s="25">
        <v>41138</v>
      </c>
      <c r="K8" s="25">
        <v>41145</v>
      </c>
      <c r="L8" s="25">
        <v>41152</v>
      </c>
      <c r="M8" s="25">
        <v>41159</v>
      </c>
      <c r="N8" s="26" t="s">
        <v>71</v>
      </c>
      <c r="O8" s="26" t="s">
        <v>16</v>
      </c>
      <c r="P8" s="27" t="s">
        <v>27</v>
      </c>
      <c r="Q8" s="28" t="s">
        <v>66</v>
      </c>
      <c r="R8" s="29" t="s">
        <v>67</v>
      </c>
      <c r="S8" s="30" t="s">
        <v>74</v>
      </c>
      <c r="T8" s="31" t="s">
        <v>72</v>
      </c>
      <c r="U8" s="31" t="s">
        <v>73</v>
      </c>
    </row>
    <row r="9" spans="1:21">
      <c r="A9" t="s">
        <v>31</v>
      </c>
      <c r="C9" s="2"/>
      <c r="D9" s="2"/>
      <c r="E9" s="2">
        <v>1.6793981481481483E-2</v>
      </c>
      <c r="F9" s="2">
        <v>1.6631944444444446E-2</v>
      </c>
      <c r="G9" s="2">
        <v>1.6238425925925924E-2</v>
      </c>
      <c r="H9" s="2"/>
      <c r="I9" s="2"/>
      <c r="J9" s="2"/>
      <c r="K9" s="2">
        <v>1.6400462962962964E-2</v>
      </c>
      <c r="L9" s="2">
        <v>1.622685185185185E-2</v>
      </c>
      <c r="M9" s="15"/>
      <c r="N9" s="19">
        <f t="shared" ref="N9:N22" si="0">COUNT(B9:M9)</f>
        <v>5</v>
      </c>
      <c r="O9" s="23">
        <f>SUM(SMALL(B9:M9,{1,2,3,4,5}))</f>
        <v>8.2291666666666666E-2</v>
      </c>
      <c r="P9" s="8">
        <f t="shared" ref="P9:P22" si="1">O9/5</f>
        <v>1.6458333333333332E-2</v>
      </c>
      <c r="Q9" s="14">
        <f>IF((COUNT(B9:M9))&gt;5,(SUM(SMALL(B9:M9,{1,2,3,4,5}))/5),IF(COUNT(B9:M9)=0,"",(SUM(B9:M9)/COUNT(B9:M9))))</f>
        <v>1.6458333333333332E-2</v>
      </c>
      <c r="R9" s="13">
        <f t="shared" ref="R9:R22" si="2">IF(Q9&gt;0,(COUNT($Q$9:$Q$58)-(RANK(Q9,$Q$9:$Q$58)+COUNTIF($Q$9:$Q$58,Q9))+2),"")</f>
        <v>1</v>
      </c>
      <c r="S9" s="18">
        <f t="shared" ref="S9:S22" si="3">IF(N9&gt;4,(1+SUMPRODUCT(($N$9:$N$58&gt;4)*($Q$9:$Q$58&lt;Q9))),"Series Incomplete")</f>
        <v>1</v>
      </c>
      <c r="T9" s="21">
        <f t="shared" ref="T9:T22" si="4">IF(N9=0,"0",SMALL(B9:M9,1))</f>
        <v>1.622685185185185E-2</v>
      </c>
      <c r="U9" s="22">
        <f t="shared" ref="U9:U22" si="5">IF(T9&gt;0,(COUNT($T$9:$T$86)-(RANK(T9,$T$9:$T$86)+COUNTIF($T$9:$T$86,T9))+2),"X")</f>
        <v>4</v>
      </c>
    </row>
    <row r="10" spans="1:21">
      <c r="A10" t="s">
        <v>46</v>
      </c>
      <c r="B10" s="2"/>
      <c r="C10" s="2"/>
      <c r="D10" s="2"/>
      <c r="E10" s="2"/>
      <c r="F10" s="5"/>
      <c r="G10" s="7">
        <v>1.892361111111111E-2</v>
      </c>
      <c r="H10" s="7"/>
      <c r="I10" s="7">
        <v>1.6793981481481483E-2</v>
      </c>
      <c r="J10" s="7">
        <v>1.6759259259259258E-2</v>
      </c>
      <c r="K10" s="7">
        <v>1.6747685185185185E-2</v>
      </c>
      <c r="L10" s="7">
        <v>1.7164351851851851E-2</v>
      </c>
      <c r="M10" s="16"/>
      <c r="N10" s="19">
        <f t="shared" si="0"/>
        <v>5</v>
      </c>
      <c r="O10" s="23">
        <f>SUM(SMALL(B10:M10,{1,2,3,4,5}))</f>
        <v>8.638888888888889E-2</v>
      </c>
      <c r="P10" s="8">
        <f t="shared" si="1"/>
        <v>1.7277777777777777E-2</v>
      </c>
      <c r="Q10" s="14">
        <f>IF((COUNT(B10:M10))&gt;5,(SUM(SMALL(B10:M10,{1,2,3,4,5}))/5),IF(COUNT(B10:M10)=0,"",(SUM(B10:M10)/COUNT(B10:M10))))</f>
        <v>1.7277777777777777E-2</v>
      </c>
      <c r="R10" s="13">
        <f t="shared" si="2"/>
        <v>4</v>
      </c>
      <c r="S10" s="18">
        <f t="shared" si="3"/>
        <v>2</v>
      </c>
      <c r="T10" s="21">
        <f t="shared" si="4"/>
        <v>1.6747685185185185E-2</v>
      </c>
      <c r="U10" s="22">
        <f t="shared" si="5"/>
        <v>5</v>
      </c>
    </row>
    <row r="11" spans="1:21">
      <c r="A11" s="6" t="s">
        <v>36</v>
      </c>
      <c r="C11" s="2"/>
      <c r="D11" s="2"/>
      <c r="E11" s="2"/>
      <c r="F11" s="7">
        <v>1.894675925925926E-2</v>
      </c>
      <c r="G11" s="7">
        <v>1.9085648148148147E-2</v>
      </c>
      <c r="J11" s="11">
        <v>1.8819444444444448E-2</v>
      </c>
      <c r="K11" s="2">
        <v>1.8715277777777779E-2</v>
      </c>
      <c r="L11" s="2">
        <v>1.8587962962962962E-2</v>
      </c>
      <c r="M11" s="15"/>
      <c r="N11" s="19">
        <f t="shared" si="0"/>
        <v>5</v>
      </c>
      <c r="O11" s="23">
        <f>SUM(SMALL(B11:M11,{1,2,3,4,5}))</f>
        <v>9.4155092592592596E-2</v>
      </c>
      <c r="P11" s="8">
        <f t="shared" si="1"/>
        <v>1.8831018518518518E-2</v>
      </c>
      <c r="Q11" s="14">
        <f>IF((COUNT(B11:M11))&gt;5,(SUM(SMALL(B11:M11,{1,2,3,4,5}))/5),IF(COUNT(B11:M11)=0,"",(SUM(B11:M11)/COUNT(B11:M11))))</f>
        <v>1.8831018518518518E-2</v>
      </c>
      <c r="R11" s="13">
        <f t="shared" si="2"/>
        <v>14</v>
      </c>
      <c r="S11" s="18">
        <f t="shared" si="3"/>
        <v>3</v>
      </c>
      <c r="T11" s="21">
        <f t="shared" si="4"/>
        <v>1.8587962962962962E-2</v>
      </c>
      <c r="U11" s="22">
        <f t="shared" si="5"/>
        <v>24</v>
      </c>
    </row>
    <row r="12" spans="1:21">
      <c r="A12" t="s">
        <v>4</v>
      </c>
      <c r="B12" s="2">
        <v>1.9699074074074074E-2</v>
      </c>
      <c r="C12" s="2">
        <v>1.9791666666666666E-2</v>
      </c>
      <c r="D12" s="2"/>
      <c r="E12" s="2"/>
      <c r="F12" s="7">
        <v>1.9317129629629629E-2</v>
      </c>
      <c r="G12" s="7">
        <v>1.9143518518518518E-2</v>
      </c>
      <c r="H12" s="7"/>
      <c r="I12" s="7">
        <v>1.8333333333333333E-2</v>
      </c>
      <c r="J12" s="7">
        <v>1.9016203703703705E-2</v>
      </c>
      <c r="K12" s="2" t="s">
        <v>70</v>
      </c>
      <c r="L12" s="7">
        <v>1.8692129629629631E-2</v>
      </c>
      <c r="M12" s="16"/>
      <c r="N12" s="19">
        <f t="shared" si="0"/>
        <v>7</v>
      </c>
      <c r="O12" s="23">
        <f>SUM(SMALL(B12:M12,{1,2,3,4,5}))</f>
        <v>9.4502314814814817E-2</v>
      </c>
      <c r="P12" s="8">
        <f t="shared" si="1"/>
        <v>1.8900462962962963E-2</v>
      </c>
      <c r="Q12" s="14">
        <f>IF((COUNT(B12:M12))&gt;5,(SUM(SMALL(B12:M12,{1,2,3,4,5}))/5),IF(COUNT(B12:M12)=0,"",(SUM(B12:M12)/COUNT(B12:M12))))</f>
        <v>1.8900462962962963E-2</v>
      </c>
      <c r="R12" s="13">
        <f t="shared" si="2"/>
        <v>16</v>
      </c>
      <c r="S12" s="18">
        <f t="shared" si="3"/>
        <v>4</v>
      </c>
      <c r="T12" s="21">
        <f t="shared" si="4"/>
        <v>1.8333333333333333E-2</v>
      </c>
      <c r="U12" s="22">
        <f t="shared" si="5"/>
        <v>21</v>
      </c>
    </row>
    <row r="13" spans="1:21">
      <c r="A13" t="s">
        <v>32</v>
      </c>
      <c r="C13" s="2"/>
      <c r="D13" s="2"/>
      <c r="E13" s="2">
        <v>1.9247685185185184E-2</v>
      </c>
      <c r="F13" s="2"/>
      <c r="G13" s="2">
        <v>1.9444444444444445E-2</v>
      </c>
      <c r="H13" s="2">
        <v>1.8518518518518521E-2</v>
      </c>
      <c r="I13" s="2">
        <v>1.8993055555555558E-2</v>
      </c>
      <c r="J13" s="2"/>
      <c r="K13" s="2">
        <v>1.8761574074074073E-2</v>
      </c>
      <c r="L13" s="2"/>
      <c r="M13" s="15"/>
      <c r="N13" s="19">
        <f t="shared" si="0"/>
        <v>5</v>
      </c>
      <c r="O13" s="23">
        <f>SUM(SMALL(B13:M13,{1,2,3,4,5}))</f>
        <v>9.4965277777777787E-2</v>
      </c>
      <c r="P13" s="8">
        <f t="shared" si="1"/>
        <v>1.8993055555555558E-2</v>
      </c>
      <c r="Q13" s="14">
        <f>IF((COUNT(B13:M13))&gt;5,(SUM(SMALL(B13:M13,{1,2,3,4,5}))/5),IF(COUNT(B13:M13)=0,"",(SUM(B13:M13)/COUNT(B13:M13))))</f>
        <v>1.8993055555555555E-2</v>
      </c>
      <c r="R13" s="13">
        <f t="shared" si="2"/>
        <v>17</v>
      </c>
      <c r="S13" s="18">
        <f t="shared" si="3"/>
        <v>5</v>
      </c>
      <c r="T13" s="21">
        <f t="shared" si="4"/>
        <v>1.8518518518518521E-2</v>
      </c>
      <c r="U13" s="22">
        <f t="shared" si="5"/>
        <v>23</v>
      </c>
    </row>
    <row r="14" spans="1:21">
      <c r="A14" t="s">
        <v>18</v>
      </c>
      <c r="B14" s="2"/>
      <c r="C14" s="2"/>
      <c r="D14" s="2">
        <v>1.9039351851851852E-2</v>
      </c>
      <c r="E14" s="2"/>
      <c r="F14" s="2">
        <v>1.8668981481481481E-2</v>
      </c>
      <c r="G14" s="2">
        <v>1.9247685185185184E-2</v>
      </c>
      <c r="H14" s="2"/>
      <c r="I14" s="2">
        <v>1.9120370370370371E-2</v>
      </c>
      <c r="J14" s="2">
        <v>1.9212962962962963E-2</v>
      </c>
      <c r="K14" s="2"/>
      <c r="L14" s="2">
        <v>1.9328703703703702E-2</v>
      </c>
      <c r="M14" s="15"/>
      <c r="N14" s="19">
        <f t="shared" si="0"/>
        <v>6</v>
      </c>
      <c r="O14" s="23">
        <f>SUM(SMALL(B14:M14,{1,2,3,4,5}))</f>
        <v>9.5289351851851847E-2</v>
      </c>
      <c r="P14" s="8">
        <f t="shared" si="1"/>
        <v>1.9057870370370371E-2</v>
      </c>
      <c r="Q14" s="14">
        <f>IF((COUNT(B14:M14))&gt;5,(SUM(SMALL(B14:M14,{1,2,3,4,5}))/5),IF(COUNT(B14:M14)=0,"",(SUM(B14:M14)/COUNT(B14:M14))))</f>
        <v>1.9057870370370371E-2</v>
      </c>
      <c r="R14" s="13">
        <f t="shared" si="2"/>
        <v>18</v>
      </c>
      <c r="S14" s="18">
        <f t="shared" si="3"/>
        <v>6</v>
      </c>
      <c r="T14" s="21">
        <f t="shared" si="4"/>
        <v>1.8668981481481481E-2</v>
      </c>
      <c r="U14" s="22">
        <f t="shared" si="5"/>
        <v>26</v>
      </c>
    </row>
    <row r="15" spans="1:21">
      <c r="A15" t="s">
        <v>2</v>
      </c>
      <c r="B15" s="2">
        <v>1.9560185185185184E-2</v>
      </c>
      <c r="C15" s="2">
        <v>1.9664351851851853E-2</v>
      </c>
      <c r="D15" s="2">
        <v>1.9768518518518515E-2</v>
      </c>
      <c r="E15" s="2"/>
      <c r="F15" s="2"/>
      <c r="G15" s="2">
        <v>2.0023148148148148E-2</v>
      </c>
      <c r="H15" s="2"/>
      <c r="I15" s="2">
        <v>1.9872685185185184E-2</v>
      </c>
      <c r="J15" s="2"/>
      <c r="K15" s="2"/>
      <c r="L15" s="2">
        <v>1.96875E-2</v>
      </c>
      <c r="M15" s="15"/>
      <c r="N15" s="19">
        <f t="shared" si="0"/>
        <v>6</v>
      </c>
      <c r="O15" s="23">
        <f>SUM(SMALL(B15:M15,{1,2,3,4,5}))</f>
        <v>9.8553240740740747E-2</v>
      </c>
      <c r="P15" s="8">
        <f t="shared" si="1"/>
        <v>1.9710648148148151E-2</v>
      </c>
      <c r="Q15" s="14">
        <f>IF((COUNT(B15:M15))&gt;5,(SUM(SMALL(B15:M15,{1,2,3,4,5}))/5),IF(COUNT(B15:M15)=0,"",(SUM(B15:M15)/COUNT(B15:M15))))</f>
        <v>1.9710648148148151E-2</v>
      </c>
      <c r="R15" s="13">
        <f t="shared" si="2"/>
        <v>25</v>
      </c>
      <c r="S15" s="18">
        <f t="shared" si="3"/>
        <v>7</v>
      </c>
      <c r="T15" s="21">
        <f t="shared" si="4"/>
        <v>1.9560185185185184E-2</v>
      </c>
      <c r="U15" s="22">
        <f t="shared" si="5"/>
        <v>31</v>
      </c>
    </row>
    <row r="16" spans="1:21">
      <c r="A16" t="s">
        <v>25</v>
      </c>
      <c r="B16" s="2"/>
      <c r="C16" s="2"/>
      <c r="D16" s="2">
        <v>2.0335648148148148E-2</v>
      </c>
      <c r="E16" s="2"/>
      <c r="F16" s="2"/>
      <c r="G16" s="2">
        <v>2.0358796296296295E-2</v>
      </c>
      <c r="H16" s="2"/>
      <c r="I16" s="2">
        <v>1.9791666666666666E-2</v>
      </c>
      <c r="J16" s="2">
        <v>2.0636574074074075E-2</v>
      </c>
      <c r="K16" s="2">
        <v>1.9456018518518518E-2</v>
      </c>
      <c r="L16" s="2">
        <v>1.9409722222222221E-2</v>
      </c>
      <c r="M16" s="15"/>
      <c r="N16" s="19">
        <f t="shared" si="0"/>
        <v>6</v>
      </c>
      <c r="O16" s="23">
        <f>SUM(SMALL(B16:M16,{1,2,3,4,5}))</f>
        <v>9.9351851851851844E-2</v>
      </c>
      <c r="P16" s="8">
        <f t="shared" si="1"/>
        <v>1.9870370370370368E-2</v>
      </c>
      <c r="Q16" s="14">
        <f>IF((COUNT(B16:M16))&gt;5,(SUM(SMALL(B16:M16,{1,2,3,4,5}))/5),IF(COUNT(B16:M16)=0,"",(SUM(B16:M16)/COUNT(B16:M16))))</f>
        <v>1.9870370370370368E-2</v>
      </c>
      <c r="R16" s="13">
        <f t="shared" si="2"/>
        <v>27</v>
      </c>
      <c r="S16" s="18">
        <f t="shared" si="3"/>
        <v>8</v>
      </c>
      <c r="T16" s="21">
        <f t="shared" si="4"/>
        <v>1.9409722222222221E-2</v>
      </c>
      <c r="U16" s="22">
        <f t="shared" si="5"/>
        <v>30</v>
      </c>
    </row>
    <row r="17" spans="1:21">
      <c r="A17" t="s">
        <v>43</v>
      </c>
      <c r="B17" s="2"/>
      <c r="C17" s="2"/>
      <c r="D17" s="2"/>
      <c r="E17" s="2"/>
      <c r="F17" s="5"/>
      <c r="G17" s="7">
        <v>2.0868055555555556E-2</v>
      </c>
      <c r="H17" s="7">
        <v>2.056712962962963E-2</v>
      </c>
      <c r="I17" s="7"/>
      <c r="J17" s="7">
        <v>1.9780092592592592E-2</v>
      </c>
      <c r="K17" s="7">
        <v>2.0057870370370368E-2</v>
      </c>
      <c r="L17" s="7">
        <v>1.9027777777777779E-2</v>
      </c>
      <c r="M17" s="16"/>
      <c r="N17" s="19">
        <f t="shared" si="0"/>
        <v>5</v>
      </c>
      <c r="O17" s="23">
        <f>SUM(SMALL(B17:M17,{1,2,3,4,5}))</f>
        <v>0.10030092592592592</v>
      </c>
      <c r="P17" s="8">
        <f t="shared" si="1"/>
        <v>2.0060185185185184E-2</v>
      </c>
      <c r="Q17" s="14">
        <f>IF((COUNT(B17:M17))&gt;5,(SUM(SMALL(B17:M17,{1,2,3,4,5}))/5),IF(COUNT(B17:M17)=0,"",(SUM(B17:M17)/COUNT(B17:M17))))</f>
        <v>2.0060185185185188E-2</v>
      </c>
      <c r="R17" s="13">
        <f t="shared" si="2"/>
        <v>30</v>
      </c>
      <c r="S17" s="18">
        <f t="shared" si="3"/>
        <v>9</v>
      </c>
      <c r="T17" s="21">
        <f t="shared" si="4"/>
        <v>1.9027777777777779E-2</v>
      </c>
      <c r="U17" s="22">
        <f t="shared" si="5"/>
        <v>28</v>
      </c>
    </row>
    <row r="18" spans="1:21">
      <c r="A18" t="s">
        <v>11</v>
      </c>
      <c r="C18" s="2">
        <v>2.1307870370370369E-2</v>
      </c>
      <c r="D18" s="2">
        <v>2.0219907407407409E-2</v>
      </c>
      <c r="E18" s="2"/>
      <c r="F18" s="7">
        <v>2.0081018518518519E-2</v>
      </c>
      <c r="G18" s="7">
        <v>2.314814814814815E-2</v>
      </c>
      <c r="H18" s="7"/>
      <c r="I18" s="7"/>
      <c r="J18" s="7">
        <v>2.0185185185185184E-2</v>
      </c>
      <c r="K18" s="7">
        <v>2.0196759259259258E-2</v>
      </c>
      <c r="L18" s="7"/>
      <c r="M18" s="16"/>
      <c r="N18" s="19">
        <f t="shared" si="0"/>
        <v>6</v>
      </c>
      <c r="O18" s="23">
        <f>SUM(SMALL(B18:M18,{1,2,3,4,5}))</f>
        <v>0.10199074074074074</v>
      </c>
      <c r="P18" s="8">
        <f t="shared" si="1"/>
        <v>2.0398148148148148E-2</v>
      </c>
      <c r="Q18" s="14">
        <f>IF((COUNT(B18:M18))&gt;5,(SUM(SMALL(B18:M18,{1,2,3,4,5}))/5),IF(COUNT(B18:M18)=0,"",(SUM(B18:M18)/COUNT(B18:M18))))</f>
        <v>2.0398148148148148E-2</v>
      </c>
      <c r="R18" s="13">
        <f t="shared" si="2"/>
        <v>32</v>
      </c>
      <c r="S18" s="18">
        <f t="shared" si="3"/>
        <v>10</v>
      </c>
      <c r="T18" s="21">
        <f t="shared" si="4"/>
        <v>2.0081018518518519E-2</v>
      </c>
      <c r="U18" s="22">
        <f t="shared" si="5"/>
        <v>40</v>
      </c>
    </row>
    <row r="19" spans="1:21">
      <c r="A19" t="s">
        <v>20</v>
      </c>
      <c r="B19" s="2"/>
      <c r="C19" s="2"/>
      <c r="D19" s="2">
        <v>2.1041666666666667E-2</v>
      </c>
      <c r="E19" s="2"/>
      <c r="F19" s="7">
        <v>2.056712962962963E-2</v>
      </c>
      <c r="G19" s="7"/>
      <c r="H19" s="7"/>
      <c r="I19" s="7"/>
      <c r="J19" s="7">
        <v>2.074074074074074E-2</v>
      </c>
      <c r="K19" s="7">
        <v>2.0439814814814817E-2</v>
      </c>
      <c r="L19" s="7">
        <v>2.0763888888888887E-2</v>
      </c>
      <c r="M19" s="16"/>
      <c r="N19" s="19">
        <f t="shared" si="0"/>
        <v>5</v>
      </c>
      <c r="O19" s="23">
        <f>SUM(SMALL(B19:M19,{1,2,3,4,5}))</f>
        <v>0.10355324074074074</v>
      </c>
      <c r="P19" s="8">
        <f t="shared" si="1"/>
        <v>2.0710648148148148E-2</v>
      </c>
      <c r="Q19" s="14">
        <f>IF((COUNT(B19:M19))&gt;5,(SUM(SMALL(B19:M19,{1,2,3,4,5}))/5),IF(COUNT(B19:M19)=0,"",(SUM(B19:M19)/COUNT(B19:M19))))</f>
        <v>2.0710648148148148E-2</v>
      </c>
      <c r="R19" s="13">
        <f t="shared" si="2"/>
        <v>35</v>
      </c>
      <c r="S19" s="18">
        <f t="shared" si="3"/>
        <v>11</v>
      </c>
      <c r="T19" s="21">
        <f t="shared" si="4"/>
        <v>2.0439814814814817E-2</v>
      </c>
      <c r="U19" s="22">
        <f t="shared" si="5"/>
        <v>44</v>
      </c>
    </row>
    <row r="20" spans="1:21">
      <c r="A20" t="s">
        <v>3</v>
      </c>
      <c r="B20" s="2">
        <v>2.1770833333333336E-2</v>
      </c>
      <c r="C20" s="2">
        <v>2.2280092592592591E-2</v>
      </c>
      <c r="D20" s="2">
        <v>2.0798611111111111E-2</v>
      </c>
      <c r="E20" s="2"/>
      <c r="F20" s="2">
        <v>2.1168981481481483E-2</v>
      </c>
      <c r="G20" s="2">
        <v>2.0787037037037038E-2</v>
      </c>
      <c r="H20" s="2"/>
      <c r="I20" s="2"/>
      <c r="J20" s="2"/>
      <c r="K20" s="2"/>
      <c r="L20" s="2">
        <v>2.1041666666666667E-2</v>
      </c>
      <c r="M20" s="15"/>
      <c r="N20" s="19">
        <f t="shared" si="0"/>
        <v>6</v>
      </c>
      <c r="O20" s="23">
        <f>SUM(SMALL(B20:M20,{1,2,3,4,5}))</f>
        <v>0.10556712962962964</v>
      </c>
      <c r="P20" s="8">
        <f t="shared" si="1"/>
        <v>2.1113425925925928E-2</v>
      </c>
      <c r="Q20" s="14">
        <f>IF((COUNT(B20:M20))&gt;5,(SUM(SMALL(B20:M20,{1,2,3,4,5}))/5),IF(COUNT(B20:M20)=0,"",(SUM(B20:M20)/COUNT(B20:M20))))</f>
        <v>2.1113425925925928E-2</v>
      </c>
      <c r="R20" s="13">
        <f t="shared" si="2"/>
        <v>36</v>
      </c>
      <c r="S20" s="18">
        <f t="shared" si="3"/>
        <v>12</v>
      </c>
      <c r="T20" s="21">
        <f t="shared" si="4"/>
        <v>2.0787037037037038E-2</v>
      </c>
      <c r="U20" s="22">
        <f t="shared" si="5"/>
        <v>45</v>
      </c>
    </row>
    <row r="21" spans="1:21">
      <c r="A21" t="s">
        <v>17</v>
      </c>
      <c r="B21" s="2"/>
      <c r="C21" s="2"/>
      <c r="D21" s="2">
        <v>2.146990740740741E-2</v>
      </c>
      <c r="E21" s="2"/>
      <c r="F21" s="2">
        <v>2.2152777777777775E-2</v>
      </c>
      <c r="G21" s="2"/>
      <c r="H21" s="2"/>
      <c r="I21" s="2"/>
      <c r="J21" s="2">
        <v>2.1435185185185186E-2</v>
      </c>
      <c r="K21" s="2">
        <v>2.3483796296296298E-2</v>
      </c>
      <c r="L21" s="2">
        <v>2.1435185185185186E-2</v>
      </c>
      <c r="M21" s="15"/>
      <c r="N21" s="19">
        <f t="shared" si="0"/>
        <v>5</v>
      </c>
      <c r="O21" s="23">
        <f>SUM(SMALL(B21:M21,{1,2,3,4,5}))</f>
        <v>0.10997685185185185</v>
      </c>
      <c r="P21" s="8">
        <f t="shared" si="1"/>
        <v>2.199537037037037E-2</v>
      </c>
      <c r="Q21" s="14">
        <f>IF((COUNT(B21:M21))&gt;5,(SUM(SMALL(B21:M21,{1,2,3,4,5}))/5),IF(COUNT(B21:M21)=0,"",(SUM(B21:M21)/COUNT(B21:M21))))</f>
        <v>2.1995370370370367E-2</v>
      </c>
      <c r="R21" s="13">
        <f t="shared" si="2"/>
        <v>38</v>
      </c>
      <c r="S21" s="18">
        <f t="shared" si="3"/>
        <v>13</v>
      </c>
      <c r="T21" s="21">
        <f t="shared" si="4"/>
        <v>2.1435185185185186E-2</v>
      </c>
      <c r="U21" s="22">
        <f t="shared" si="5"/>
        <v>53</v>
      </c>
    </row>
    <row r="22" spans="1:21">
      <c r="A22" t="s">
        <v>5</v>
      </c>
      <c r="C22" s="2">
        <v>2.3217592592592592E-2</v>
      </c>
      <c r="D22" s="2">
        <v>2.2662037037037036E-2</v>
      </c>
      <c r="E22" s="2"/>
      <c r="F22" s="2"/>
      <c r="G22" s="2"/>
      <c r="H22" s="2">
        <v>2.2847222222222224E-2</v>
      </c>
      <c r="I22" s="2">
        <v>2.2916666666666669E-2</v>
      </c>
      <c r="J22" s="2">
        <v>2.3020833333333334E-2</v>
      </c>
      <c r="K22" s="2"/>
      <c r="L22" s="2"/>
      <c r="M22" s="15"/>
      <c r="N22" s="19">
        <f t="shared" si="0"/>
        <v>5</v>
      </c>
      <c r="O22" s="23">
        <f>SUM(SMALL(B22:M22,{1,2,3,4,5}))</f>
        <v>0.11466435185185186</v>
      </c>
      <c r="P22" s="8">
        <f t="shared" si="1"/>
        <v>2.2932870370370374E-2</v>
      </c>
      <c r="Q22" s="14">
        <f>IF((COUNT(B22:M22))&gt;5,(SUM(SMALL(B22:M22,{1,2,3,4,5}))/5),IF(COUNT(B22:M22)=0,"",(SUM(B22:M22)/COUNT(B22:M22))))</f>
        <v>2.2932870370370374E-2</v>
      </c>
      <c r="R22" s="13">
        <f t="shared" si="2"/>
        <v>40</v>
      </c>
      <c r="S22" s="18">
        <f t="shared" si="3"/>
        <v>14</v>
      </c>
      <c r="T22" s="21">
        <f t="shared" si="4"/>
        <v>2.2662037037037036E-2</v>
      </c>
      <c r="U22" s="22">
        <f t="shared" si="5"/>
        <v>56</v>
      </c>
    </row>
    <row r="23" spans="1:2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5"/>
      <c r="N23" s="19"/>
      <c r="O23" s="23"/>
      <c r="P23" s="8"/>
      <c r="Q23" s="14"/>
      <c r="S23" s="18"/>
      <c r="T23" s="21"/>
      <c r="U23" s="22"/>
    </row>
    <row r="24" spans="1:21">
      <c r="A24" t="s">
        <v>13</v>
      </c>
      <c r="B24" s="2"/>
      <c r="C24" s="2">
        <v>1.8090277777777778E-2</v>
      </c>
      <c r="D24" s="2">
        <v>1.7453703703703704E-2</v>
      </c>
      <c r="E24" s="2"/>
      <c r="F24" s="2"/>
      <c r="G24" s="2"/>
      <c r="H24" s="7">
        <v>1.7488425925925925E-2</v>
      </c>
      <c r="I24" s="7">
        <v>1.7499999999999998E-2</v>
      </c>
      <c r="J24" s="7"/>
      <c r="K24" s="7"/>
      <c r="L24" s="7"/>
      <c r="M24" s="16"/>
      <c r="N24" s="19">
        <f t="shared" ref="N24:N29" si="6">COUNT(B24:M24)</f>
        <v>4</v>
      </c>
      <c r="O24" s="23">
        <f t="shared" ref="O24:O29" si="7">SUM(B24:M24)</f>
        <v>7.0532407407407405E-2</v>
      </c>
      <c r="P24" s="8">
        <f t="shared" ref="P24:P29" si="8">O24/N24</f>
        <v>1.7633101851851851E-2</v>
      </c>
      <c r="Q24" s="14">
        <f>IF((COUNT(B24:M24))&gt;5,(SUM(SMALL(B24:M24,{1,2,3,4,5}))/5),IF(COUNT(B24:M24)=0,"",(SUM(B24:M24)/COUNT(B24:M24))))</f>
        <v>1.7633101851851851E-2</v>
      </c>
      <c r="R24" s="13">
        <f t="shared" ref="R24:R29" si="9">IF(Q24&gt;0,(COUNT($Q$9:$Q$58)-(RANK(Q24,$Q$9:$Q$58)+COUNTIF($Q$9:$Q$58,Q24))+2),"")</f>
        <v>5</v>
      </c>
      <c r="S24" s="18" t="str">
        <f t="shared" ref="S24:S29" si="10">IF(N24&gt;4,(1+SUMPRODUCT(($N$9:$N$58&gt;4)*($Q$9:$Q$58&lt;Q24))),"Series Incomplete")</f>
        <v>Series Incomplete</v>
      </c>
      <c r="T24" s="21">
        <f t="shared" ref="T24:T29" si="11">IF(N24=0,"0",SMALL(B24:M24,1))</f>
        <v>1.7453703703703704E-2</v>
      </c>
      <c r="U24" s="22">
        <f t="shared" ref="U24:U29" si="12">IF(T24&gt;0,(COUNT($T$9:$T$86)-(RANK(T24,$T$9:$T$86)+COUNTIF($T$9:$T$86,T24))+2),"X")</f>
        <v>9</v>
      </c>
    </row>
    <row r="25" spans="1:21">
      <c r="A25" t="s">
        <v>51</v>
      </c>
      <c r="B25" s="1"/>
      <c r="C25" s="1"/>
      <c r="D25" s="1"/>
      <c r="E25" s="1"/>
      <c r="F25" s="1"/>
      <c r="G25" s="1"/>
      <c r="H25" s="2">
        <v>1.8229166666666668E-2</v>
      </c>
      <c r="I25" s="2">
        <v>1.7349537037037038E-2</v>
      </c>
      <c r="J25" s="2">
        <v>1.7893518518518517E-2</v>
      </c>
      <c r="K25" s="2"/>
      <c r="L25" s="2">
        <v>1.7361111111111112E-2</v>
      </c>
      <c r="M25" s="15"/>
      <c r="N25" s="19">
        <f t="shared" si="6"/>
        <v>4</v>
      </c>
      <c r="O25" s="23">
        <f t="shared" si="7"/>
        <v>7.0833333333333331E-2</v>
      </c>
      <c r="P25" s="8">
        <f t="shared" si="8"/>
        <v>1.7708333333333333E-2</v>
      </c>
      <c r="Q25" s="14">
        <f>IF((COUNT(B25:M25))&gt;5,(SUM(SMALL(B25:M25,{1,2,3,4,5}))/5),IF(COUNT(B25:M25)=0,"",(SUM(B25:M25)/COUNT(B25:M25))))</f>
        <v>1.7708333333333333E-2</v>
      </c>
      <c r="R25" s="13">
        <f t="shared" si="9"/>
        <v>7</v>
      </c>
      <c r="S25" s="18" t="str">
        <f t="shared" si="10"/>
        <v>Series Incomplete</v>
      </c>
      <c r="T25" s="21">
        <f t="shared" si="11"/>
        <v>1.7349537037037038E-2</v>
      </c>
      <c r="U25" s="22">
        <f t="shared" si="12"/>
        <v>8</v>
      </c>
    </row>
    <row r="26" spans="1:21">
      <c r="A26" t="s">
        <v>30</v>
      </c>
      <c r="C26" s="2"/>
      <c r="D26" s="2"/>
      <c r="E26" s="2">
        <v>1.7997685185185186E-2</v>
      </c>
      <c r="F26" s="2">
        <v>1.7928240740740741E-2</v>
      </c>
      <c r="G26" s="2">
        <v>1.7800925925925925E-2</v>
      </c>
      <c r="H26" s="2">
        <v>1.7951388888888888E-2</v>
      </c>
      <c r="I26" s="2"/>
      <c r="J26" s="2"/>
      <c r="K26" s="2"/>
      <c r="L26" s="2"/>
      <c r="M26" s="15"/>
      <c r="N26" s="19">
        <f t="shared" si="6"/>
        <v>4</v>
      </c>
      <c r="O26" s="23">
        <f t="shared" si="7"/>
        <v>7.1678240740740751E-2</v>
      </c>
      <c r="P26" s="8">
        <f t="shared" si="8"/>
        <v>1.7919560185185188E-2</v>
      </c>
      <c r="Q26" s="14">
        <f>IF((COUNT(B26:M26))&gt;5,(SUM(SMALL(B26:M26,{1,2,3,4,5}))/5),IF(COUNT(B26:M26)=0,"",(SUM(B26:M26)/COUNT(B26:M26))))</f>
        <v>1.7919560185185188E-2</v>
      </c>
      <c r="R26" s="13">
        <f t="shared" si="9"/>
        <v>9</v>
      </c>
      <c r="S26" s="18" t="str">
        <f t="shared" si="10"/>
        <v>Series Incomplete</v>
      </c>
      <c r="T26" s="21">
        <f t="shared" si="11"/>
        <v>1.7800925925925925E-2</v>
      </c>
      <c r="U26" s="22">
        <f t="shared" si="12"/>
        <v>11</v>
      </c>
    </row>
    <row r="27" spans="1:21">
      <c r="A27" t="s">
        <v>49</v>
      </c>
      <c r="B27" s="2"/>
      <c r="C27" s="2"/>
      <c r="D27" s="2"/>
      <c r="E27" s="2"/>
      <c r="F27" s="5"/>
      <c r="G27" s="5"/>
      <c r="H27" s="9">
        <v>1.90625E-2</v>
      </c>
      <c r="I27" s="9">
        <v>1.8298611111111113E-2</v>
      </c>
      <c r="J27" s="9"/>
      <c r="K27" s="9">
        <v>1.9618055555555555E-2</v>
      </c>
      <c r="L27" s="9">
        <v>1.8599537037037036E-2</v>
      </c>
      <c r="M27" s="17"/>
      <c r="N27" s="19">
        <f t="shared" si="6"/>
        <v>4</v>
      </c>
      <c r="O27" s="23">
        <f t="shared" si="7"/>
        <v>7.5578703703703703E-2</v>
      </c>
      <c r="P27" s="8">
        <f t="shared" si="8"/>
        <v>1.8894675925925926E-2</v>
      </c>
      <c r="Q27" s="14">
        <f>IF((COUNT(B27:M27))&gt;5,(SUM(SMALL(B27:M27,{1,2,3,4,5}))/5),IF(COUNT(B27:M27)=0,"",(SUM(B27:M27)/COUNT(B27:M27))))</f>
        <v>1.8894675925925926E-2</v>
      </c>
      <c r="R27" s="13">
        <f t="shared" si="9"/>
        <v>15</v>
      </c>
      <c r="S27" s="18" t="str">
        <f t="shared" si="10"/>
        <v>Series Incomplete</v>
      </c>
      <c r="T27" s="21">
        <f t="shared" si="11"/>
        <v>1.8298611111111113E-2</v>
      </c>
      <c r="U27" s="22">
        <f t="shared" si="12"/>
        <v>19</v>
      </c>
    </row>
    <row r="28" spans="1:21">
      <c r="A28" t="s">
        <v>12</v>
      </c>
      <c r="C28" s="2">
        <v>2.0069444444444442E-2</v>
      </c>
      <c r="D28" s="2"/>
      <c r="E28" s="2"/>
      <c r="F28" s="2"/>
      <c r="G28" s="2">
        <v>1.9293981481481485E-2</v>
      </c>
      <c r="H28" s="2">
        <v>1.8657407407407407E-2</v>
      </c>
      <c r="I28" s="2">
        <v>1.8217592592592594E-2</v>
      </c>
      <c r="J28" s="2"/>
      <c r="K28" s="2"/>
      <c r="L28" s="2"/>
      <c r="M28" s="15"/>
      <c r="N28" s="19">
        <f t="shared" si="6"/>
        <v>4</v>
      </c>
      <c r="O28" s="23">
        <f t="shared" si="7"/>
        <v>7.6238425925925932E-2</v>
      </c>
      <c r="P28" s="8">
        <f t="shared" si="8"/>
        <v>1.9059606481481483E-2</v>
      </c>
      <c r="Q28" s="14">
        <f>IF((COUNT(B28:M28))&gt;5,(SUM(SMALL(B28:M28,{1,2,3,4,5}))/5),IF(COUNT(B28:M28)=0,"",(SUM(B28:M28)/COUNT(B28:M28))))</f>
        <v>1.9059606481481483E-2</v>
      </c>
      <c r="R28" s="13">
        <f t="shared" si="9"/>
        <v>19</v>
      </c>
      <c r="S28" s="18" t="str">
        <f t="shared" si="10"/>
        <v>Series Incomplete</v>
      </c>
      <c r="T28" s="21">
        <f t="shared" si="11"/>
        <v>1.8217592592592594E-2</v>
      </c>
      <c r="U28" s="22">
        <f t="shared" si="12"/>
        <v>17</v>
      </c>
    </row>
    <row r="29" spans="1:21">
      <c r="A29" t="s">
        <v>6</v>
      </c>
      <c r="C29" s="2">
        <v>2.1840277777777778E-2</v>
      </c>
      <c r="D29" s="2"/>
      <c r="E29" s="2"/>
      <c r="F29" s="2"/>
      <c r="G29" s="2"/>
      <c r="H29" s="2"/>
      <c r="I29" s="2">
        <v>1.9814814814814816E-2</v>
      </c>
      <c r="J29" s="2"/>
      <c r="K29" s="2">
        <v>2.0856481481481479E-2</v>
      </c>
      <c r="L29" s="2">
        <v>1.9976851851851853E-2</v>
      </c>
      <c r="M29" s="15"/>
      <c r="N29" s="19">
        <f t="shared" si="6"/>
        <v>4</v>
      </c>
      <c r="O29" s="23">
        <f t="shared" si="7"/>
        <v>8.2488425925925923E-2</v>
      </c>
      <c r="P29" s="8">
        <f t="shared" si="8"/>
        <v>2.0622106481481481E-2</v>
      </c>
      <c r="Q29" s="14">
        <f>IF((COUNT(B29:M29))&gt;5,(SUM(SMALL(B29:M29,{1,2,3,4,5}))/5),IF(COUNT(B29:M29)=0,"",(SUM(B29:M29)/COUNT(B29:M29))))</f>
        <v>2.0622106481481481E-2</v>
      </c>
      <c r="R29" s="13">
        <f t="shared" si="9"/>
        <v>34</v>
      </c>
      <c r="S29" s="18" t="str">
        <f t="shared" si="10"/>
        <v>Series Incomplete</v>
      </c>
      <c r="T29" s="21">
        <f t="shared" si="11"/>
        <v>1.9814814814814816E-2</v>
      </c>
      <c r="U29" s="22">
        <f t="shared" si="12"/>
        <v>37</v>
      </c>
    </row>
    <row r="30" spans="1:2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5"/>
      <c r="N30" s="19"/>
      <c r="O30" s="23"/>
      <c r="P30" s="8"/>
      <c r="Q30" s="14"/>
      <c r="S30" s="18"/>
      <c r="T30" s="21"/>
      <c r="U30" s="22"/>
    </row>
    <row r="31" spans="1:21">
      <c r="A31" t="s">
        <v>21</v>
      </c>
      <c r="B31" s="2"/>
      <c r="C31" s="2"/>
      <c r="D31" s="2">
        <v>1.8391203703703705E-2</v>
      </c>
      <c r="E31" s="2">
        <v>1.8483796296296297E-2</v>
      </c>
      <c r="F31" s="2"/>
      <c r="G31" s="2">
        <v>1.8796296296296297E-2</v>
      </c>
      <c r="H31" s="2"/>
      <c r="I31" s="2"/>
      <c r="J31" s="2"/>
      <c r="K31" s="2"/>
      <c r="L31" s="2"/>
      <c r="M31" s="15"/>
      <c r="N31" s="19">
        <f>COUNT(B31:M31)</f>
        <v>3</v>
      </c>
      <c r="O31" s="23">
        <f>SUM(B31:M31)</f>
        <v>5.5671296296296302E-2</v>
      </c>
      <c r="P31" s="8">
        <f>O31/N31</f>
        <v>1.8557098765432101E-2</v>
      </c>
      <c r="Q31" s="14">
        <f>IF((COUNT(B31:M31))&gt;5,(SUM(SMALL(B31:M31,{1,2,3,4,5}))/5),IF(COUNT(B31:M31)=0,"",(SUM(B31:M31)/COUNT(B31:M31))))</f>
        <v>1.8557098765432101E-2</v>
      </c>
      <c r="R31" s="13">
        <f>IF(Q31&gt;0,(COUNT($Q$9:$Q$58)-(RANK(Q31,$Q$9:$Q$58)+COUNTIF($Q$9:$Q$58,Q31))+2),"")</f>
        <v>12</v>
      </c>
      <c r="S31" s="18" t="str">
        <f>IF(N31&gt;4,(1+SUMPRODUCT(($N$9:$N$58&gt;4)*($Q$9:$Q$58&lt;Q31))),"Series Incomplete")</f>
        <v>Series Incomplete</v>
      </c>
      <c r="T31" s="21">
        <f>IF(N31=0,"0",SMALL(B31:M31,1))</f>
        <v>1.8391203703703705E-2</v>
      </c>
      <c r="U31" s="22">
        <f>IF(T31&gt;0,(COUNT($T$9:$T$86)-(RANK(T31,$T$9:$T$86)+COUNTIF($T$9:$T$86,T31))+2),"X")</f>
        <v>22</v>
      </c>
    </row>
    <row r="32" spans="1:21">
      <c r="A32" t="s">
        <v>8</v>
      </c>
      <c r="C32" s="2">
        <v>2.0173611111111111E-2</v>
      </c>
      <c r="D32" s="2"/>
      <c r="E32" s="2"/>
      <c r="F32" s="2"/>
      <c r="G32" s="2"/>
      <c r="H32" s="2"/>
      <c r="I32" s="2">
        <v>1.8240740740740741E-2</v>
      </c>
      <c r="J32" s="2"/>
      <c r="K32" s="2"/>
      <c r="L32" s="2">
        <v>1.9039351851851852E-2</v>
      </c>
      <c r="M32" s="15"/>
      <c r="N32" s="19">
        <f>COUNT(B32:M32)</f>
        <v>3</v>
      </c>
      <c r="O32" s="23">
        <f>SUM(B32:M32)</f>
        <v>5.7453703703703701E-2</v>
      </c>
      <c r="P32" s="8">
        <f>O32/N32</f>
        <v>1.9151234567901233E-2</v>
      </c>
      <c r="Q32" s="14">
        <f>IF((COUNT(B32:M32))&gt;5,(SUM(SMALL(B32:M32,{1,2,3,4,5}))/5),IF(COUNT(B32:M32)=0,"",(SUM(B32:M32)/COUNT(B32:M32))))</f>
        <v>1.9151234567901233E-2</v>
      </c>
      <c r="R32" s="13">
        <f>IF(Q32&gt;0,(COUNT($Q$9:$Q$58)-(RANK(Q32,$Q$9:$Q$58)+COUNTIF($Q$9:$Q$58,Q32))+2),"")</f>
        <v>20</v>
      </c>
      <c r="S32" s="18" t="str">
        <f>IF(N32&gt;4,(1+SUMPRODUCT(($N$9:$N$58&gt;4)*($Q$9:$Q$58&lt;Q32))),"Series Incomplete")</f>
        <v>Series Incomplete</v>
      </c>
      <c r="T32" s="21">
        <f>IF(N32=0,"0",SMALL(B32:M32,1))</f>
        <v>1.8240740740740741E-2</v>
      </c>
      <c r="U32" s="22">
        <f>IF(T32&gt;0,(COUNT($T$9:$T$86)-(RANK(T32,$T$9:$T$86)+COUNTIF($T$9:$T$86,T32))+2),"X")</f>
        <v>18</v>
      </c>
    </row>
    <row r="33" spans="1:21">
      <c r="C33" s="2"/>
      <c r="D33" s="2"/>
      <c r="E33" s="2"/>
      <c r="F33" s="2"/>
      <c r="G33" s="2"/>
      <c r="H33" s="2"/>
      <c r="I33" s="2"/>
      <c r="J33" s="2"/>
      <c r="K33" s="2"/>
      <c r="L33" s="2"/>
      <c r="M33" s="15"/>
      <c r="N33" s="19"/>
      <c r="O33" s="23"/>
      <c r="P33" s="8"/>
      <c r="Q33" s="14"/>
      <c r="S33" s="18"/>
      <c r="T33" s="21"/>
      <c r="U33" s="22"/>
    </row>
    <row r="34" spans="1:21" ht="14.25" customHeight="1">
      <c r="A34" t="s">
        <v>56</v>
      </c>
      <c r="B34" s="2"/>
      <c r="C34" s="2"/>
      <c r="D34" s="2"/>
      <c r="E34" s="2"/>
      <c r="F34" s="5"/>
      <c r="G34" s="5"/>
      <c r="H34" s="9">
        <v>1.744212962962963E-2</v>
      </c>
      <c r="I34" s="9">
        <v>1.6041666666666666E-2</v>
      </c>
      <c r="J34" s="9"/>
      <c r="K34" s="9"/>
      <c r="L34" s="9"/>
      <c r="M34" s="17"/>
      <c r="N34" s="19">
        <f t="shared" ref="N34:N43" si="13">COUNT(B34:M34)</f>
        <v>2</v>
      </c>
      <c r="O34" s="23">
        <f t="shared" ref="O34:O43" si="14">SUM(B34:M34)</f>
        <v>3.3483796296296296E-2</v>
      </c>
      <c r="P34" s="8">
        <f t="shared" ref="P34:P43" si="15">O34/N34</f>
        <v>1.6741898148148148E-2</v>
      </c>
      <c r="Q34" s="14">
        <f>IF((COUNT(B34:M34))&gt;5,(SUM(SMALL(B34:M34,{1,2,3,4,5}))/5),IF(COUNT(B34:M34)=0,"",(SUM(B34:M34)/COUNT(B34:M34))))</f>
        <v>1.6741898148148148E-2</v>
      </c>
      <c r="R34" s="13">
        <f t="shared" ref="R34:R42" si="16">IF(Q34&gt;0,(COUNT($Q$9:$Q$58)-(RANK(Q34,$Q$9:$Q$58)+COUNTIF($Q$9:$Q$58,Q34))+2),"")</f>
        <v>2</v>
      </c>
      <c r="S34" s="18" t="str">
        <f t="shared" ref="S34:S43" si="17">IF(N34&gt;4,(1+SUMPRODUCT(($N$9:$N$58&gt;4)*($Q$9:$Q$58&lt;Q34))),"Series Incomplete")</f>
        <v>Series Incomplete</v>
      </c>
      <c r="T34" s="21">
        <f t="shared" ref="T34:T43" si="18">IF(N34=0,"0",SMALL(B34:M34,1))</f>
        <v>1.6041666666666666E-2</v>
      </c>
      <c r="U34" s="22">
        <f t="shared" ref="U34:U43" si="19">IF(T34&gt;0,(COUNT($T$9:$T$86)-(RANK(T34,$T$9:$T$86)+COUNTIF($T$9:$T$86,T34))+2),"X")</f>
        <v>3</v>
      </c>
    </row>
    <row r="35" spans="1:21">
      <c r="A35" t="s">
        <v>48</v>
      </c>
      <c r="B35" s="2"/>
      <c r="C35" s="2"/>
      <c r="D35" s="2"/>
      <c r="E35" s="2"/>
      <c r="F35" s="5"/>
      <c r="G35" s="7">
        <v>1.9131944444444444E-2</v>
      </c>
      <c r="H35" s="7"/>
      <c r="I35" s="7">
        <v>1.8101851851851852E-2</v>
      </c>
      <c r="J35" s="7"/>
      <c r="K35" s="7"/>
      <c r="L35" s="7"/>
      <c r="M35" s="16"/>
      <c r="N35" s="19">
        <f t="shared" si="13"/>
        <v>2</v>
      </c>
      <c r="O35" s="23">
        <f t="shared" si="14"/>
        <v>3.7233796296296293E-2</v>
      </c>
      <c r="P35" s="8">
        <f t="shared" si="15"/>
        <v>1.8616898148148146E-2</v>
      </c>
      <c r="Q35" s="14">
        <f>IF((COUNT(B35:M35))&gt;5,(SUM(SMALL(B35:M35,{1,2,3,4,5}))/5),IF(COUNT(B35:M35)=0,"",(SUM(B35:M35)/COUNT(B35:M35))))</f>
        <v>1.8616898148148146E-2</v>
      </c>
      <c r="R35" s="13">
        <f t="shared" si="16"/>
        <v>13</v>
      </c>
      <c r="S35" s="18" t="str">
        <f t="shared" si="17"/>
        <v>Series Incomplete</v>
      </c>
      <c r="T35" s="21">
        <f t="shared" si="18"/>
        <v>1.8101851851851852E-2</v>
      </c>
      <c r="U35" s="22">
        <f t="shared" si="19"/>
        <v>14</v>
      </c>
    </row>
    <row r="36" spans="1:21">
      <c r="A36" t="s">
        <v>63</v>
      </c>
      <c r="B36" s="2"/>
      <c r="C36" s="2"/>
      <c r="D36" s="2"/>
      <c r="E36" s="2"/>
      <c r="F36" s="5"/>
      <c r="G36" s="7"/>
      <c r="H36" s="7"/>
      <c r="I36" s="2">
        <v>1.9212962962962963E-2</v>
      </c>
      <c r="J36" s="2"/>
      <c r="K36" s="2"/>
      <c r="L36" s="2">
        <v>1.9699074074074074E-2</v>
      </c>
      <c r="M36" s="15"/>
      <c r="N36" s="19">
        <f t="shared" si="13"/>
        <v>2</v>
      </c>
      <c r="O36" s="23">
        <f t="shared" si="14"/>
        <v>3.8912037037037037E-2</v>
      </c>
      <c r="P36" s="8">
        <f t="shared" si="15"/>
        <v>1.9456018518518518E-2</v>
      </c>
      <c r="Q36" s="14">
        <f>IF((COUNT(B36:M36))&gt;5,(SUM(SMALL(B36:M36,{1,2,3,4,5}))/5),IF(COUNT(B36:M36)=0,"",(SUM(B36:M36)/COUNT(B36:M36))))</f>
        <v>1.9456018518518518E-2</v>
      </c>
      <c r="R36" s="13">
        <f t="shared" si="16"/>
        <v>21</v>
      </c>
      <c r="S36" s="18" t="str">
        <f t="shared" si="17"/>
        <v>Series Incomplete</v>
      </c>
      <c r="T36" s="21">
        <f t="shared" si="18"/>
        <v>1.9212962962962963E-2</v>
      </c>
      <c r="U36" s="22">
        <f t="shared" si="19"/>
        <v>29</v>
      </c>
    </row>
    <row r="37" spans="1:21">
      <c r="A37" t="s">
        <v>22</v>
      </c>
      <c r="B37" s="2"/>
      <c r="C37" s="2"/>
      <c r="D37" s="2">
        <v>1.9606481481481482E-2</v>
      </c>
      <c r="E37" s="2"/>
      <c r="F37" s="2"/>
      <c r="G37" s="2">
        <v>1.9583333333333331E-2</v>
      </c>
      <c r="H37" s="2"/>
      <c r="I37" s="2"/>
      <c r="J37" s="2"/>
      <c r="K37" s="2"/>
      <c r="L37" s="2"/>
      <c r="M37" s="15"/>
      <c r="N37" s="19">
        <f t="shared" si="13"/>
        <v>2</v>
      </c>
      <c r="O37" s="23">
        <f t="shared" si="14"/>
        <v>3.9189814814814816E-2</v>
      </c>
      <c r="P37" s="8">
        <f t="shared" si="15"/>
        <v>1.9594907407407408E-2</v>
      </c>
      <c r="Q37" s="14">
        <f>IF((COUNT(B37:M37))&gt;5,(SUM(SMALL(B37:M37,{1,2,3,4,5}))/5),IF(COUNT(B37:M37)=0,"",(SUM(B37:M37)/COUNT(B37:M37))))</f>
        <v>1.9594907407407408E-2</v>
      </c>
      <c r="R37" s="13">
        <f t="shared" si="16"/>
        <v>22</v>
      </c>
      <c r="S37" s="18" t="str">
        <f t="shared" si="17"/>
        <v>Series Incomplete</v>
      </c>
      <c r="T37" s="21">
        <f t="shared" si="18"/>
        <v>1.9583333333333331E-2</v>
      </c>
      <c r="U37" s="22">
        <f t="shared" si="19"/>
        <v>32</v>
      </c>
    </row>
    <row r="38" spans="1:21">
      <c r="A38" s="6" t="s">
        <v>34</v>
      </c>
      <c r="C38" s="2"/>
      <c r="D38" s="2"/>
      <c r="E38" s="2"/>
      <c r="F38" s="7">
        <v>1.9652777777777779E-2</v>
      </c>
      <c r="G38" s="7"/>
      <c r="H38" s="7"/>
      <c r="I38" s="7"/>
      <c r="J38" s="7">
        <v>1.9733796296296298E-2</v>
      </c>
      <c r="K38" s="7"/>
      <c r="L38" s="7"/>
      <c r="M38" s="16"/>
      <c r="N38" s="19">
        <f t="shared" si="13"/>
        <v>2</v>
      </c>
      <c r="O38" s="23">
        <f t="shared" si="14"/>
        <v>3.9386574074074074E-2</v>
      </c>
      <c r="P38" s="8">
        <f t="shared" si="15"/>
        <v>1.9693287037037037E-2</v>
      </c>
      <c r="Q38" s="14">
        <f>IF((COUNT(B38:M38))&gt;5,(SUM(SMALL(B38:M38,{1,2,3,4,5}))/5),IF(COUNT(B38:M38)=0,"",(SUM(B38:M38)/COUNT(B38:M38))))</f>
        <v>1.9693287037037037E-2</v>
      </c>
      <c r="R38" s="13">
        <f t="shared" si="16"/>
        <v>24</v>
      </c>
      <c r="S38" s="18" t="str">
        <f t="shared" si="17"/>
        <v>Series Incomplete</v>
      </c>
      <c r="T38" s="21">
        <f t="shared" si="18"/>
        <v>1.9652777777777779E-2</v>
      </c>
      <c r="U38" s="22">
        <f t="shared" si="19"/>
        <v>33</v>
      </c>
    </row>
    <row r="39" spans="1:21">
      <c r="A39" t="s">
        <v>9</v>
      </c>
      <c r="B39" s="2"/>
      <c r="C39" s="2"/>
      <c r="D39" s="2"/>
      <c r="E39" s="2"/>
      <c r="F39" s="2">
        <v>1.9780092592592592E-2</v>
      </c>
      <c r="G39" s="2"/>
      <c r="H39" s="2"/>
      <c r="I39" s="2">
        <v>2.0057870370370368E-2</v>
      </c>
      <c r="J39" s="2"/>
      <c r="K39" s="2"/>
      <c r="L39" s="2"/>
      <c r="M39" s="15"/>
      <c r="N39" s="19">
        <f t="shared" si="13"/>
        <v>2</v>
      </c>
      <c r="O39" s="23">
        <f t="shared" si="14"/>
        <v>3.9837962962962964E-2</v>
      </c>
      <c r="P39" s="8">
        <f t="shared" si="15"/>
        <v>1.9918981481481482E-2</v>
      </c>
      <c r="Q39" s="14">
        <f>IF((COUNT(B39:M39))&gt;5,(SUM(SMALL(B39:M39,{1,2,3,4,5}))/5),IF(COUNT(B39:M39)=0,"",(SUM(B39:M39)/COUNT(B39:M39))))</f>
        <v>1.9918981481481482E-2</v>
      </c>
      <c r="R39" s="13">
        <f t="shared" si="16"/>
        <v>28</v>
      </c>
      <c r="S39" s="18" t="str">
        <f t="shared" si="17"/>
        <v>Series Incomplete</v>
      </c>
      <c r="T39" s="21">
        <f t="shared" si="18"/>
        <v>1.9780092592592592E-2</v>
      </c>
      <c r="U39" s="22">
        <f t="shared" si="19"/>
        <v>36</v>
      </c>
    </row>
    <row r="40" spans="1:21">
      <c r="A40" t="s">
        <v>7</v>
      </c>
      <c r="C40" s="2">
        <v>2.0405092592592593E-2</v>
      </c>
      <c r="D40" s="2"/>
      <c r="E40" s="2"/>
      <c r="F40" s="2"/>
      <c r="G40" s="2"/>
      <c r="H40" s="2">
        <v>2.028935185185185E-2</v>
      </c>
      <c r="I40" s="2"/>
      <c r="J40" s="2"/>
      <c r="K40" s="2"/>
      <c r="L40" s="2"/>
      <c r="M40" s="15"/>
      <c r="N40" s="19">
        <f t="shared" si="13"/>
        <v>2</v>
      </c>
      <c r="O40" s="23">
        <f t="shared" si="14"/>
        <v>4.0694444444444443E-2</v>
      </c>
      <c r="P40" s="8">
        <f t="shared" si="15"/>
        <v>2.0347222222222221E-2</v>
      </c>
      <c r="Q40" s="14">
        <f>IF((COUNT(B40:M40))&gt;5,(SUM(SMALL(B40:M40,{1,2,3,4,5}))/5),IF(COUNT(B40:M40)=0,"",(SUM(B40:M40)/COUNT(B40:M40))))</f>
        <v>2.0347222222222221E-2</v>
      </c>
      <c r="R40" s="13">
        <f t="shared" si="16"/>
        <v>31</v>
      </c>
      <c r="S40" s="18" t="str">
        <f t="shared" si="17"/>
        <v>Series Incomplete</v>
      </c>
      <c r="T40" s="21">
        <f t="shared" si="18"/>
        <v>2.028935185185185E-2</v>
      </c>
      <c r="U40" s="22">
        <f t="shared" si="19"/>
        <v>42</v>
      </c>
    </row>
    <row r="41" spans="1:21">
      <c r="A41" s="6" t="s">
        <v>33</v>
      </c>
      <c r="C41" s="2"/>
      <c r="D41" s="2"/>
      <c r="E41" s="2"/>
      <c r="F41" s="7">
        <v>2.238425925925926E-2</v>
      </c>
      <c r="G41" s="7"/>
      <c r="H41" s="7"/>
      <c r="I41" s="7"/>
      <c r="J41" s="7"/>
      <c r="K41" s="7"/>
      <c r="L41" s="7">
        <v>2.1701388888888892E-2</v>
      </c>
      <c r="M41" s="16"/>
      <c r="N41" s="19">
        <f t="shared" si="13"/>
        <v>2</v>
      </c>
      <c r="O41" s="23">
        <f t="shared" si="14"/>
        <v>4.4085648148148152E-2</v>
      </c>
      <c r="P41" s="8">
        <f t="shared" si="15"/>
        <v>2.2042824074074076E-2</v>
      </c>
      <c r="Q41" s="14">
        <f>IF((COUNT(B41:M41))&gt;5,(SUM(SMALL(B41:M41,{1,2,3,4,5}))/5),IF(COUNT(B41:M41)=0,"",(SUM(B41:M41)/COUNT(B41:M41))))</f>
        <v>2.2042824074074076E-2</v>
      </c>
      <c r="R41" s="13">
        <f t="shared" si="16"/>
        <v>39</v>
      </c>
      <c r="S41" s="18" t="str">
        <f t="shared" si="17"/>
        <v>Series Incomplete</v>
      </c>
      <c r="T41" s="21">
        <f t="shared" si="18"/>
        <v>2.1701388888888892E-2</v>
      </c>
      <c r="U41" s="22">
        <f t="shared" si="19"/>
        <v>54</v>
      </c>
    </row>
    <row r="42" spans="1:21">
      <c r="A42" t="s">
        <v>10</v>
      </c>
      <c r="C42" s="2">
        <v>2.4004629629629629E-2</v>
      </c>
      <c r="D42" s="2">
        <v>2.2719907407407411E-2</v>
      </c>
      <c r="E42" s="2"/>
      <c r="F42" s="2"/>
      <c r="G42" s="2"/>
      <c r="H42" s="2"/>
      <c r="I42" s="2"/>
      <c r="J42" s="2"/>
      <c r="K42" s="2"/>
      <c r="L42" s="2"/>
      <c r="M42" s="15"/>
      <c r="N42" s="19">
        <f t="shared" si="13"/>
        <v>2</v>
      </c>
      <c r="O42" s="23">
        <f t="shared" si="14"/>
        <v>4.6724537037037037E-2</v>
      </c>
      <c r="P42" s="8">
        <f t="shared" si="15"/>
        <v>2.3362268518518518E-2</v>
      </c>
      <c r="Q42" s="14">
        <f>IF((COUNT(B42:M42))&gt;5,(SUM(SMALL(B42:M42,{1,2,3,4,5}))/5),IF(COUNT(B42:M42)=0,"",(SUM(B42:M42)/COUNT(B42:M42))))</f>
        <v>2.3362268518518518E-2</v>
      </c>
      <c r="R42" s="13">
        <f t="shared" si="16"/>
        <v>41</v>
      </c>
      <c r="S42" s="18" t="str">
        <f t="shared" si="17"/>
        <v>Series Incomplete</v>
      </c>
      <c r="T42" s="21">
        <f t="shared" si="18"/>
        <v>2.2719907407407411E-2</v>
      </c>
      <c r="U42" s="22">
        <f t="shared" si="19"/>
        <v>57</v>
      </c>
    </row>
    <row r="43" spans="1:21">
      <c r="A43" t="s">
        <v>68</v>
      </c>
      <c r="B43" s="2"/>
      <c r="C43" s="2"/>
      <c r="D43" s="2"/>
      <c r="E43" s="2"/>
      <c r="F43" s="5"/>
      <c r="G43" s="7"/>
      <c r="H43" s="7"/>
      <c r="I43" s="7"/>
      <c r="J43" s="7"/>
      <c r="K43" s="7">
        <v>2.4224537037037034E-2</v>
      </c>
      <c r="L43" s="7">
        <v>2.3368055555555555E-2</v>
      </c>
      <c r="M43" s="16"/>
      <c r="N43" s="19">
        <f t="shared" si="13"/>
        <v>2</v>
      </c>
      <c r="O43" s="23">
        <f t="shared" si="14"/>
        <v>4.7592592592592589E-2</v>
      </c>
      <c r="P43" s="8">
        <f t="shared" si="15"/>
        <v>2.3796296296296295E-2</v>
      </c>
      <c r="Q43" s="14"/>
      <c r="S43" s="18" t="str">
        <f t="shared" si="17"/>
        <v>Series Incomplete</v>
      </c>
      <c r="T43" s="21">
        <f t="shared" si="18"/>
        <v>2.3368055555555555E-2</v>
      </c>
      <c r="U43" s="22">
        <f t="shared" si="19"/>
        <v>61</v>
      </c>
    </row>
    <row r="44" spans="1:21">
      <c r="C44" s="2"/>
      <c r="D44" s="2"/>
      <c r="E44" s="2"/>
      <c r="F44" s="2"/>
      <c r="G44" s="2"/>
      <c r="H44" s="2"/>
      <c r="I44" s="2"/>
      <c r="J44" s="2"/>
      <c r="K44" s="2"/>
      <c r="L44" s="2"/>
      <c r="M44" s="15"/>
      <c r="N44" s="19"/>
      <c r="O44" s="23"/>
      <c r="P44" s="8"/>
      <c r="Q44" s="14"/>
      <c r="S44" s="18"/>
      <c r="T44" s="21"/>
      <c r="U44" s="22"/>
    </row>
    <row r="45" spans="1:21">
      <c r="A45" t="s">
        <v>61</v>
      </c>
      <c r="B45" s="2"/>
      <c r="C45" s="2"/>
      <c r="D45" s="2"/>
      <c r="E45" s="2"/>
      <c r="F45" s="5"/>
      <c r="G45" s="7"/>
      <c r="H45" s="7"/>
      <c r="I45" s="2">
        <v>1.6921296296296299E-2</v>
      </c>
      <c r="J45" s="2"/>
      <c r="K45" s="2"/>
      <c r="L45" s="2"/>
      <c r="M45" s="15"/>
      <c r="N45" s="19">
        <f t="shared" ref="N45:N61" si="20">COUNT(B45:M45)</f>
        <v>1</v>
      </c>
      <c r="O45" s="23">
        <f t="shared" ref="O45:O61" si="21">SUM(B45:M45)</f>
        <v>1.6921296296296299E-2</v>
      </c>
      <c r="P45" s="8"/>
      <c r="Q45" s="14">
        <f>IF((COUNT(B45:M45))&gt;5,(SUM(SMALL(B45:M45,{1,2,3,4,5}))/5),IF(COUNT(B45:M45)=0,"",(SUM(B45:M45)/COUNT(B45:M45))))</f>
        <v>1.6921296296296299E-2</v>
      </c>
      <c r="R45" s="13">
        <f t="shared" ref="R45:R50" si="22">IF(Q45&gt;0,(COUNT($Q$9:$Q$58)-(RANK(Q45,$Q$9:$Q$58)+COUNTIF($Q$9:$Q$58,Q45))+2),"")</f>
        <v>3</v>
      </c>
      <c r="S45" s="18" t="str">
        <f t="shared" ref="S45:S61" si="23">IF(N45&gt;4,(1+SUMPRODUCT(($N$9:$N$58&gt;4)*($Q$9:$Q$58&lt;Q45))),"Series Incomplete")</f>
        <v>Series Incomplete</v>
      </c>
      <c r="T45" s="21">
        <f t="shared" ref="T45:T61" si="24">IF(N45=0,"0",SMALL(B45:M45,1))</f>
        <v>1.6921296296296299E-2</v>
      </c>
      <c r="U45" s="22">
        <f t="shared" ref="U45:U61" si="25">IF(T45&gt;0,(COUNT($T$9:$T$86)-(RANK(T45,$T$9:$T$86)+COUNTIF($T$9:$T$86,T45))+2),"X")</f>
        <v>6</v>
      </c>
    </row>
    <row r="46" spans="1:21">
      <c r="A46" t="s">
        <v>29</v>
      </c>
      <c r="C46" s="2"/>
      <c r="D46" s="2"/>
      <c r="E46" s="2">
        <v>1.7696759259259259E-2</v>
      </c>
      <c r="F46" s="2"/>
      <c r="G46" s="2"/>
      <c r="H46" s="2"/>
      <c r="I46" s="2"/>
      <c r="J46" s="2"/>
      <c r="K46" s="2"/>
      <c r="L46" s="2"/>
      <c r="M46" s="15"/>
      <c r="N46" s="19">
        <f t="shared" si="20"/>
        <v>1</v>
      </c>
      <c r="O46" s="23">
        <f t="shared" si="21"/>
        <v>1.7696759259259259E-2</v>
      </c>
      <c r="P46" s="8"/>
      <c r="Q46" s="14">
        <f>IF((COUNT(B46:M46))&gt;5,(SUM(SMALL(B46:M46,{1,2,3,4,5}))/5),IF(COUNT(B46:M46)=0,"",(SUM(B46:M46)/COUNT(B46:M46))))</f>
        <v>1.7696759259259259E-2</v>
      </c>
      <c r="R46" s="13">
        <f t="shared" si="22"/>
        <v>6</v>
      </c>
      <c r="S46" s="18" t="str">
        <f t="shared" si="23"/>
        <v>Series Incomplete</v>
      </c>
      <c r="T46" s="21">
        <f t="shared" si="24"/>
        <v>1.7696759259259259E-2</v>
      </c>
      <c r="U46" s="22">
        <f t="shared" si="25"/>
        <v>10</v>
      </c>
    </row>
    <row r="47" spans="1:21">
      <c r="A47" t="s">
        <v>24</v>
      </c>
      <c r="B47" s="2"/>
      <c r="C47" s="2"/>
      <c r="D47" s="2">
        <v>1.7812499999999998E-2</v>
      </c>
      <c r="E47" s="2"/>
      <c r="F47" s="2"/>
      <c r="G47" s="2"/>
      <c r="H47" s="2"/>
      <c r="I47" s="2"/>
      <c r="J47" s="2"/>
      <c r="K47" s="2"/>
      <c r="L47" s="2"/>
      <c r="M47" s="15"/>
      <c r="N47" s="19">
        <f t="shared" si="20"/>
        <v>1</v>
      </c>
      <c r="O47" s="23">
        <f t="shared" si="21"/>
        <v>1.7812499999999998E-2</v>
      </c>
      <c r="P47" s="8"/>
      <c r="Q47" s="14">
        <f>IF((COUNT(B47:M47))&gt;5,(SUM(SMALL(B47:M47,{1,2,3,4,5}))/5),IF(COUNT(B47:M47)=0,"",(SUM(B47:M47)/COUNT(B47:M47))))</f>
        <v>1.7812499999999998E-2</v>
      </c>
      <c r="R47" s="13">
        <f t="shared" si="22"/>
        <v>8</v>
      </c>
      <c r="S47" s="18" t="str">
        <f t="shared" si="23"/>
        <v>Series Incomplete</v>
      </c>
      <c r="T47" s="21">
        <f t="shared" si="24"/>
        <v>1.7812499999999998E-2</v>
      </c>
      <c r="U47" s="22">
        <f t="shared" si="25"/>
        <v>12</v>
      </c>
    </row>
    <row r="48" spans="1:21">
      <c r="A48" t="s">
        <v>47</v>
      </c>
      <c r="B48" s="2"/>
      <c r="C48" s="2"/>
      <c r="D48" s="2"/>
      <c r="E48" s="2"/>
      <c r="F48" s="5"/>
      <c r="G48" s="7">
        <v>1.8194444444444444E-2</v>
      </c>
      <c r="H48" s="7"/>
      <c r="I48" s="7"/>
      <c r="J48" s="7"/>
      <c r="K48" s="7"/>
      <c r="L48" s="7"/>
      <c r="M48" s="16"/>
      <c r="N48" s="19">
        <f t="shared" si="20"/>
        <v>1</v>
      </c>
      <c r="O48" s="23">
        <f t="shared" si="21"/>
        <v>1.8194444444444444E-2</v>
      </c>
      <c r="P48" s="8"/>
      <c r="Q48" s="14">
        <f>IF((COUNT(B48:M48))&gt;5,(SUM(SMALL(B48:M48,{1,2,3,4,5}))/5),IF(COUNT(B48:M48)=0,"",(SUM(B48:M48)/COUNT(B48:M48))))</f>
        <v>1.8194444444444444E-2</v>
      </c>
      <c r="R48" s="13">
        <f t="shared" si="22"/>
        <v>10</v>
      </c>
      <c r="S48" s="18" t="str">
        <f t="shared" si="23"/>
        <v>Series Incomplete</v>
      </c>
      <c r="T48" s="21">
        <f t="shared" si="24"/>
        <v>1.8194444444444444E-2</v>
      </c>
      <c r="U48" s="22">
        <f t="shared" si="25"/>
        <v>16</v>
      </c>
    </row>
    <row r="49" spans="1:21">
      <c r="A49" t="s">
        <v>23</v>
      </c>
      <c r="B49" s="2"/>
      <c r="C49" s="2"/>
      <c r="D49" s="2">
        <v>1.8310185185185186E-2</v>
      </c>
      <c r="E49" s="2"/>
      <c r="F49" s="2"/>
      <c r="G49" s="2"/>
      <c r="H49" s="2"/>
      <c r="I49" s="2"/>
      <c r="J49" s="2"/>
      <c r="K49" s="2"/>
      <c r="L49" s="2"/>
      <c r="M49" s="15"/>
      <c r="N49" s="19">
        <f t="shared" si="20"/>
        <v>1</v>
      </c>
      <c r="O49" s="23">
        <f t="shared" si="21"/>
        <v>1.8310185185185186E-2</v>
      </c>
      <c r="P49" s="8"/>
      <c r="Q49" s="14">
        <f>IF((COUNT(B49:M49))&gt;5,(SUM(SMALL(B49:M49,{1,2,3,4,5}))/5),IF(COUNT(B49:M49)=0,"",(SUM(B49:M49)/COUNT(B49:M49))))</f>
        <v>1.8310185185185186E-2</v>
      </c>
      <c r="R49" s="13">
        <f t="shared" si="22"/>
        <v>11</v>
      </c>
      <c r="S49" s="18" t="str">
        <f t="shared" si="23"/>
        <v>Series Incomplete</v>
      </c>
      <c r="T49" s="21">
        <f t="shared" si="24"/>
        <v>1.8310185185185186E-2</v>
      </c>
      <c r="U49" s="22">
        <f t="shared" si="25"/>
        <v>20</v>
      </c>
    </row>
    <row r="50" spans="1:21">
      <c r="A50" t="s">
        <v>62</v>
      </c>
      <c r="B50" s="2"/>
      <c r="C50" s="2"/>
      <c r="D50" s="2"/>
      <c r="E50" s="2"/>
      <c r="F50" s="5"/>
      <c r="G50" s="7"/>
      <c r="H50" s="7"/>
      <c r="I50" s="7">
        <v>1.9652777777777779E-2</v>
      </c>
      <c r="J50" s="7"/>
      <c r="K50" s="7"/>
      <c r="L50" s="7"/>
      <c r="M50" s="16"/>
      <c r="N50" s="19">
        <f t="shared" si="20"/>
        <v>1</v>
      </c>
      <c r="O50" s="23">
        <f t="shared" si="21"/>
        <v>1.9652777777777779E-2</v>
      </c>
      <c r="P50" s="8"/>
      <c r="Q50" s="14">
        <f>IF((COUNT(B50:M50))&gt;5,(SUM(SMALL(B50:M50,{1,2,3,4,5}))/5),IF(COUNT(B50:M50)=0,"",(SUM(B50:M50)/COUNT(B50:M50))))</f>
        <v>1.9652777777777779E-2</v>
      </c>
      <c r="R50" s="13">
        <f t="shared" si="22"/>
        <v>23</v>
      </c>
      <c r="S50" s="18" t="str">
        <f t="shared" si="23"/>
        <v>Series Incomplete</v>
      </c>
      <c r="T50" s="21">
        <f t="shared" si="24"/>
        <v>1.9652777777777779E-2</v>
      </c>
      <c r="U50" s="22">
        <f t="shared" si="25"/>
        <v>33</v>
      </c>
    </row>
    <row r="51" spans="1:21">
      <c r="A51" t="s">
        <v>69</v>
      </c>
      <c r="B51" s="2"/>
      <c r="C51" s="2"/>
      <c r="D51" s="2"/>
      <c r="E51" s="2"/>
      <c r="F51" s="5"/>
      <c r="G51" s="7"/>
      <c r="H51" s="7"/>
      <c r="I51" s="7"/>
      <c r="J51" s="7"/>
      <c r="K51" s="7">
        <v>1.9699074074074074E-2</v>
      </c>
      <c r="L51" s="7"/>
      <c r="M51" s="16"/>
      <c r="N51" s="19">
        <f t="shared" si="20"/>
        <v>1</v>
      </c>
      <c r="O51" s="23">
        <f t="shared" si="21"/>
        <v>1.9699074074074074E-2</v>
      </c>
      <c r="P51" s="8"/>
      <c r="Q51" s="14"/>
      <c r="S51" s="18" t="str">
        <f t="shared" si="23"/>
        <v>Series Incomplete</v>
      </c>
      <c r="T51" s="21">
        <f t="shared" si="24"/>
        <v>1.9699074074074074E-2</v>
      </c>
      <c r="U51" s="22">
        <f t="shared" si="25"/>
        <v>35</v>
      </c>
    </row>
    <row r="52" spans="1:21">
      <c r="A52" t="s">
        <v>64</v>
      </c>
      <c r="B52" s="2"/>
      <c r="C52" s="2"/>
      <c r="D52" s="2"/>
      <c r="E52" s="2"/>
      <c r="F52" s="5"/>
      <c r="G52" s="7"/>
      <c r="H52" s="7"/>
      <c r="I52" s="7"/>
      <c r="J52" s="7">
        <v>1.982638888888889E-2</v>
      </c>
      <c r="K52" s="7"/>
      <c r="L52" s="7"/>
      <c r="M52" s="16"/>
      <c r="N52" s="19">
        <f t="shared" si="20"/>
        <v>1</v>
      </c>
      <c r="O52" s="23">
        <f t="shared" si="21"/>
        <v>1.982638888888889E-2</v>
      </c>
      <c r="P52" s="8"/>
      <c r="Q52" s="14">
        <f>IF((COUNT(B52:M52))&gt;5,(SUM(SMALL(B52:M52,{1,2,3,4,5}))/5),IF(COUNT(B52:M52)=0,"",(SUM(B52:M52)/COUNT(B52:M52))))</f>
        <v>1.982638888888889E-2</v>
      </c>
      <c r="R52" s="13">
        <f>IF(Q52&gt;0,(COUNT($Q$9:$Q$58)-(RANK(Q52,$Q$9:$Q$58)+COUNTIF($Q$9:$Q$58,Q52))+2),"")</f>
        <v>26</v>
      </c>
      <c r="S52" s="18" t="str">
        <f t="shared" si="23"/>
        <v>Series Incomplete</v>
      </c>
      <c r="T52" s="21">
        <f t="shared" si="24"/>
        <v>1.982638888888889E-2</v>
      </c>
      <c r="U52" s="22">
        <f t="shared" si="25"/>
        <v>38</v>
      </c>
    </row>
    <row r="53" spans="1:21">
      <c r="A53" t="s">
        <v>44</v>
      </c>
      <c r="B53" s="2"/>
      <c r="C53" s="2"/>
      <c r="D53" s="2"/>
      <c r="E53" s="2"/>
      <c r="F53" s="5"/>
      <c r="G53" s="7">
        <v>1.9942129629629629E-2</v>
      </c>
      <c r="H53" s="7"/>
      <c r="I53" s="7"/>
      <c r="J53" s="7"/>
      <c r="K53" s="7"/>
      <c r="L53" s="7"/>
      <c r="M53" s="16"/>
      <c r="N53" s="19">
        <f t="shared" si="20"/>
        <v>1</v>
      </c>
      <c r="O53" s="23">
        <f t="shared" si="21"/>
        <v>1.9942129629629629E-2</v>
      </c>
      <c r="P53" s="8"/>
      <c r="Q53" s="14">
        <f>IF((COUNT(B53:M53))&gt;5,(SUM(SMALL(B53:M53,{1,2,3,4,5}))/5),IF(COUNT(B53:M53)=0,"",(SUM(B53:M53)/COUNT(B53:M53))))</f>
        <v>1.9942129629629629E-2</v>
      </c>
      <c r="R53" s="13">
        <f>IF(Q53&gt;0,(COUNT($Q$9:$Q$58)-(RANK(Q53,$Q$9:$Q$58)+COUNTIF($Q$9:$Q$58,Q53))+2),"")</f>
        <v>29</v>
      </c>
      <c r="S53" s="18" t="str">
        <f t="shared" si="23"/>
        <v>Series Incomplete</v>
      </c>
      <c r="T53" s="21">
        <f t="shared" si="24"/>
        <v>1.9942129629629629E-2</v>
      </c>
      <c r="U53" s="22">
        <f t="shared" si="25"/>
        <v>39</v>
      </c>
    </row>
    <row r="54" spans="1:21">
      <c r="A54" t="s">
        <v>78</v>
      </c>
      <c r="B54" s="2"/>
      <c r="C54" s="2"/>
      <c r="D54" s="2"/>
      <c r="E54" s="2"/>
      <c r="F54" s="5"/>
      <c r="G54" s="7"/>
      <c r="H54" s="7"/>
      <c r="I54" s="7"/>
      <c r="J54" s="7"/>
      <c r="K54" s="7"/>
      <c r="L54" s="7">
        <v>2.0185185185185184E-2</v>
      </c>
      <c r="M54" s="16"/>
      <c r="N54" s="19">
        <f t="shared" si="20"/>
        <v>1</v>
      </c>
      <c r="O54" s="23">
        <f t="shared" si="21"/>
        <v>2.0185185185185184E-2</v>
      </c>
      <c r="P54" s="8"/>
      <c r="Q54" s="14"/>
      <c r="S54" s="18" t="str">
        <f t="shared" si="23"/>
        <v>Series Incomplete</v>
      </c>
      <c r="T54" s="21">
        <f t="shared" si="24"/>
        <v>2.0185185185185184E-2</v>
      </c>
      <c r="U54" s="22">
        <f t="shared" si="25"/>
        <v>41</v>
      </c>
    </row>
    <row r="55" spans="1:21">
      <c r="A55" t="s">
        <v>19</v>
      </c>
      <c r="B55" s="2"/>
      <c r="C55" s="2"/>
      <c r="D55" s="2">
        <v>2.0428240740740743E-2</v>
      </c>
      <c r="E55" s="2"/>
      <c r="F55" s="2"/>
      <c r="G55" s="2"/>
      <c r="H55" s="2"/>
      <c r="I55" s="2"/>
      <c r="J55" s="2"/>
      <c r="K55" s="2"/>
      <c r="L55" s="2"/>
      <c r="M55" s="15"/>
      <c r="N55" s="19">
        <f t="shared" si="20"/>
        <v>1</v>
      </c>
      <c r="O55" s="23">
        <f t="shared" si="21"/>
        <v>2.0428240740740743E-2</v>
      </c>
      <c r="P55" s="8"/>
      <c r="Q55" s="14">
        <f>IF((COUNT(B55:M55))&gt;5,(SUM(SMALL(B55:M55,{1,2,3,4,5}))/5),IF(COUNT(B55:M55)=0,"",(SUM(B55:M55)/COUNT(B55:M55))))</f>
        <v>2.0428240740740743E-2</v>
      </c>
      <c r="R55" s="13">
        <f>IF(Q55&gt;0,(COUNT($Q$9:$Q$58)-(RANK(Q55,$Q$9:$Q$58)+COUNTIF($Q$9:$Q$58,Q55))+2),"")</f>
        <v>33</v>
      </c>
      <c r="S55" s="18" t="str">
        <f t="shared" si="23"/>
        <v>Series Incomplete</v>
      </c>
      <c r="T55" s="21">
        <f t="shared" si="24"/>
        <v>2.0428240740740743E-2</v>
      </c>
      <c r="U55" s="22">
        <f t="shared" si="25"/>
        <v>43</v>
      </c>
    </row>
    <row r="56" spans="1:21">
      <c r="A56" t="s">
        <v>76</v>
      </c>
      <c r="B56" s="2"/>
      <c r="C56" s="2"/>
      <c r="D56" s="2"/>
      <c r="E56" s="2"/>
      <c r="F56" s="5"/>
      <c r="G56" s="7"/>
      <c r="H56" s="7"/>
      <c r="I56" s="7"/>
      <c r="J56" s="7"/>
      <c r="K56" s="7"/>
      <c r="L56" s="7">
        <v>2.0787037037037038E-2</v>
      </c>
      <c r="M56" s="16"/>
      <c r="N56" s="19">
        <f t="shared" si="20"/>
        <v>1</v>
      </c>
      <c r="O56" s="23">
        <f t="shared" si="21"/>
        <v>2.0787037037037038E-2</v>
      </c>
      <c r="P56" s="8"/>
      <c r="Q56" s="14"/>
      <c r="S56" s="18" t="str">
        <f t="shared" si="23"/>
        <v>Series Incomplete</v>
      </c>
      <c r="T56" s="21">
        <f t="shared" si="24"/>
        <v>2.0787037037037038E-2</v>
      </c>
      <c r="U56" s="22">
        <f t="shared" si="25"/>
        <v>45</v>
      </c>
    </row>
    <row r="57" spans="1:21">
      <c r="A57" t="s">
        <v>77</v>
      </c>
      <c r="B57" s="2"/>
      <c r="C57" s="2"/>
      <c r="D57" s="2"/>
      <c r="E57" s="2"/>
      <c r="F57" s="5"/>
      <c r="G57" s="7"/>
      <c r="H57" s="7"/>
      <c r="I57" s="7"/>
      <c r="J57" s="7"/>
      <c r="K57" s="7"/>
      <c r="L57" s="7">
        <v>2.1168981481481483E-2</v>
      </c>
      <c r="M57" s="16"/>
      <c r="N57" s="19">
        <f t="shared" si="20"/>
        <v>1</v>
      </c>
      <c r="O57" s="23">
        <f t="shared" si="21"/>
        <v>2.1168981481481483E-2</v>
      </c>
      <c r="P57" s="8"/>
      <c r="Q57" s="14"/>
      <c r="S57" s="18" t="str">
        <f t="shared" si="23"/>
        <v>Series Incomplete</v>
      </c>
      <c r="T57" s="21">
        <f t="shared" si="24"/>
        <v>2.1168981481481483E-2</v>
      </c>
      <c r="U57" s="22">
        <f t="shared" si="25"/>
        <v>47</v>
      </c>
    </row>
    <row r="58" spans="1:21">
      <c r="A58" t="s">
        <v>50</v>
      </c>
      <c r="B58" s="2"/>
      <c r="C58" s="2"/>
      <c r="D58" s="2"/>
      <c r="E58" s="2"/>
      <c r="F58" s="5"/>
      <c r="G58" s="5"/>
      <c r="H58" s="9">
        <v>2.1180555555555553E-2</v>
      </c>
      <c r="I58" s="9"/>
      <c r="J58" s="9"/>
      <c r="K58" s="9"/>
      <c r="L58" s="9"/>
      <c r="M58" s="17"/>
      <c r="N58" s="19">
        <f t="shared" si="20"/>
        <v>1</v>
      </c>
      <c r="O58" s="23">
        <f t="shared" si="21"/>
        <v>2.1180555555555553E-2</v>
      </c>
      <c r="P58" s="8"/>
      <c r="Q58" s="14">
        <f>IF((COUNT(B58:M58))&gt;5,(SUM(SMALL(B58:M58,{1,2,3,4,5}))/5),IF(COUNT(B58:M58)=0,"",(SUM(B58:M58)/COUNT(B58:M58))))</f>
        <v>2.1180555555555553E-2</v>
      </c>
      <c r="R58" s="13">
        <f>IF(Q58&gt;0,(COUNT($Q$9:$Q$58)-(RANK(Q58,$Q$9:$Q$58)+COUNTIF($Q$9:$Q$58,Q58))+2),"")</f>
        <v>37</v>
      </c>
      <c r="S58" s="18" t="str">
        <f t="shared" si="23"/>
        <v>Series Incomplete</v>
      </c>
      <c r="T58" s="21">
        <f t="shared" si="24"/>
        <v>2.1180555555555553E-2</v>
      </c>
      <c r="U58" s="22">
        <f t="shared" si="25"/>
        <v>49</v>
      </c>
    </row>
    <row r="59" spans="1:21">
      <c r="A59" t="s">
        <v>42</v>
      </c>
      <c r="B59" s="2"/>
      <c r="C59" s="2"/>
      <c r="D59" s="2"/>
      <c r="E59" s="2"/>
      <c r="F59" s="5"/>
      <c r="G59" s="7">
        <v>2.1180555555555553E-2</v>
      </c>
      <c r="H59" s="7"/>
      <c r="I59" s="7"/>
      <c r="J59" s="7"/>
      <c r="K59" s="7"/>
      <c r="L59" s="7"/>
      <c r="M59" s="16"/>
      <c r="N59" s="19">
        <f t="shared" si="20"/>
        <v>1</v>
      </c>
      <c r="O59" s="23">
        <f t="shared" si="21"/>
        <v>2.1180555555555553E-2</v>
      </c>
      <c r="P59" s="8"/>
      <c r="Q59" s="14">
        <f>IF((COUNT(B59:M59))&gt;5,(SUM(SMALL(B59:M59,{1,2,3,4,5}))/5),IF(COUNT(B59:M59)=0,"",(SUM(B59:M59)/COUNT(B59:M59))))</f>
        <v>2.1180555555555553E-2</v>
      </c>
      <c r="R59" s="13">
        <f>IF(Q59&gt;0,(COUNT($Q$9:$Q$58)-(RANK(Q59,$Q$9:$Q$58)+COUNTIF($Q$9:$Q$58,Q59))+2),"")</f>
        <v>37</v>
      </c>
      <c r="S59" s="18" t="str">
        <f t="shared" si="23"/>
        <v>Series Incomplete</v>
      </c>
      <c r="T59" s="21">
        <f t="shared" si="24"/>
        <v>2.1180555555555553E-2</v>
      </c>
      <c r="U59" s="22">
        <f t="shared" si="25"/>
        <v>49</v>
      </c>
    </row>
    <row r="60" spans="1:21">
      <c r="A60" t="s">
        <v>65</v>
      </c>
      <c r="B60" s="2"/>
      <c r="C60" s="2"/>
      <c r="D60" s="2"/>
      <c r="E60" s="2"/>
      <c r="F60" s="5"/>
      <c r="G60" s="7"/>
      <c r="H60" s="7"/>
      <c r="I60" s="7"/>
      <c r="J60" s="9">
        <v>2.1979166666666664E-2</v>
      </c>
      <c r="K60" s="9"/>
      <c r="L60" s="9"/>
      <c r="M60" s="17"/>
      <c r="N60" s="19">
        <f t="shared" si="20"/>
        <v>1</v>
      </c>
      <c r="O60" s="23">
        <f t="shared" si="21"/>
        <v>2.1979166666666664E-2</v>
      </c>
      <c r="P60" s="8"/>
      <c r="Q60" s="14">
        <f>IF((COUNT(B60:M60))&gt;5,(SUM(SMALL(B60:M60,{1,2,3,4,5}))/5),IF(COUNT(B60:M60)=0,"",(SUM(B60:M60)/COUNT(B60:M60))))</f>
        <v>2.1979166666666664E-2</v>
      </c>
      <c r="R60" s="13" t="e">
        <f>IF(Q60&gt;0,(COUNT($Q$9:$Q$58)-(RANK(Q60,$Q$9:$Q$58)+COUNTIF($Q$9:$Q$58,Q60))+2),"")</f>
        <v>#N/A</v>
      </c>
      <c r="S60" s="18" t="str">
        <f t="shared" si="23"/>
        <v>Series Incomplete</v>
      </c>
      <c r="T60" s="21">
        <f t="shared" si="24"/>
        <v>2.1979166666666664E-2</v>
      </c>
      <c r="U60" s="22">
        <f t="shared" si="25"/>
        <v>55</v>
      </c>
    </row>
    <row r="61" spans="1:21">
      <c r="A61" t="s">
        <v>45</v>
      </c>
      <c r="B61" s="2"/>
      <c r="C61" s="2"/>
      <c r="D61" s="2"/>
      <c r="E61" s="2"/>
      <c r="F61" s="5"/>
      <c r="G61" s="7">
        <v>2.3252314814814812E-2</v>
      </c>
      <c r="H61" s="7"/>
      <c r="I61" s="7"/>
      <c r="J61" s="7"/>
      <c r="K61" s="7"/>
      <c r="L61" s="7"/>
      <c r="M61" s="16"/>
      <c r="N61" s="19">
        <f t="shared" si="20"/>
        <v>1</v>
      </c>
      <c r="O61" s="23">
        <f t="shared" si="21"/>
        <v>2.3252314814814812E-2</v>
      </c>
      <c r="P61" s="8"/>
      <c r="Q61" s="14">
        <f>IF((COUNT(B61:M61))&gt;5,(SUM(SMALL(B61:M61,{1,2,3,4,5}))/5),IF(COUNT(B61:M61)=0,"",(SUM(B61:M61)/COUNT(B61:M61))))</f>
        <v>2.3252314814814812E-2</v>
      </c>
      <c r="R61" s="13" t="e">
        <f>IF(Q61&gt;0,(COUNT($Q$9:$Q$58)-(RANK(Q61,$Q$9:$Q$58)+COUNTIF($Q$9:$Q$58,Q61))+2),"")</f>
        <v>#N/A</v>
      </c>
      <c r="S61" s="18" t="str">
        <f t="shared" si="23"/>
        <v>Series Incomplete</v>
      </c>
      <c r="T61" s="21">
        <f t="shared" si="24"/>
        <v>2.3252314814814812E-2</v>
      </c>
      <c r="U61" s="22">
        <f t="shared" si="25"/>
        <v>60</v>
      </c>
    </row>
    <row r="62" spans="1:21">
      <c r="B62" s="2"/>
      <c r="C62" s="2"/>
      <c r="D62" s="2"/>
      <c r="E62" s="2"/>
      <c r="F62" s="5"/>
      <c r="G62" s="5"/>
      <c r="H62" s="9"/>
      <c r="I62" s="9"/>
      <c r="K62" s="2"/>
      <c r="L62" s="2"/>
      <c r="M62" s="15"/>
      <c r="N62" s="19"/>
      <c r="O62" s="23"/>
      <c r="P62" s="8"/>
      <c r="Q62" s="14"/>
      <c r="S62" s="18"/>
      <c r="T62" s="21"/>
      <c r="U62" s="22"/>
    </row>
    <row r="63" spans="1:21">
      <c r="A63" s="3" t="s">
        <v>57</v>
      </c>
      <c r="B63" s="2"/>
      <c r="C63" s="2"/>
      <c r="D63" s="2"/>
      <c r="E63" s="2"/>
      <c r="F63" s="5"/>
      <c r="G63" s="5"/>
      <c r="H63" s="9"/>
      <c r="I63" s="9"/>
      <c r="J63" s="9"/>
      <c r="K63" s="9"/>
      <c r="L63" s="9"/>
      <c r="M63" s="17"/>
      <c r="N63" s="19"/>
      <c r="O63" s="23"/>
      <c r="P63" s="8"/>
      <c r="Q63" s="14"/>
      <c r="S63" s="18"/>
      <c r="T63" s="21"/>
      <c r="U63" s="22"/>
    </row>
    <row r="64" spans="1:21">
      <c r="A64" s="3"/>
      <c r="B64" s="2"/>
      <c r="C64" s="2"/>
      <c r="D64" s="2"/>
      <c r="E64" s="2"/>
      <c r="F64" s="5"/>
      <c r="G64" s="5"/>
      <c r="H64" s="9"/>
      <c r="I64" s="9"/>
      <c r="J64" s="9"/>
      <c r="K64" s="9"/>
      <c r="L64" s="9"/>
      <c r="M64" s="17"/>
      <c r="N64" s="19"/>
      <c r="O64" s="23"/>
      <c r="P64" s="8"/>
      <c r="Q64" s="14"/>
      <c r="S64" s="18"/>
      <c r="T64" s="21"/>
      <c r="U64" s="22"/>
    </row>
    <row r="65" spans="1:21">
      <c r="A65" s="4" t="s">
        <v>37</v>
      </c>
      <c r="C65" s="2"/>
      <c r="D65" s="2"/>
      <c r="E65" s="2"/>
      <c r="F65" s="7"/>
      <c r="G65" s="7"/>
      <c r="H65" s="7"/>
      <c r="I65" s="7"/>
      <c r="J65" s="7"/>
      <c r="K65" s="7"/>
      <c r="L65" s="7"/>
      <c r="M65" s="16"/>
      <c r="N65" s="19"/>
      <c r="O65" s="23"/>
      <c r="P65" s="8"/>
      <c r="Q65" s="14"/>
      <c r="S65" s="18"/>
      <c r="T65" s="21"/>
      <c r="U65" s="22"/>
    </row>
    <row r="66" spans="1:21">
      <c r="A66" s="10" t="s">
        <v>59</v>
      </c>
      <c r="C66" s="2"/>
      <c r="D66" s="2"/>
      <c r="E66" s="2"/>
      <c r="F66" s="7"/>
      <c r="G66" s="7"/>
      <c r="H66" s="7"/>
      <c r="I66" s="7">
        <v>2.1215277777777777E-2</v>
      </c>
      <c r="J66" s="7"/>
      <c r="K66" s="7"/>
      <c r="L66" s="7">
        <v>2.1828703703703701E-2</v>
      </c>
      <c r="M66" s="16"/>
      <c r="N66" s="19">
        <f t="shared" ref="N66:N74" si="26">COUNT(B66:M66)</f>
        <v>2</v>
      </c>
      <c r="O66" s="23">
        <f t="shared" ref="O66:O74" si="27">SUM(B66:M66)</f>
        <v>4.3043981481481475E-2</v>
      </c>
      <c r="P66" s="8">
        <f>O66/N66</f>
        <v>2.1521990740740737E-2</v>
      </c>
      <c r="Q66" s="14">
        <f>IF((COUNT(B66:M66))&gt;5,(SUM(SMALL(B66:M66,{1,2,3,4,5}))/5),IF(COUNT(B66:M66)=0,"",(SUM(B66:M66)/COUNT(B66:M66))))</f>
        <v>2.1521990740740737E-2</v>
      </c>
      <c r="S66" s="18"/>
      <c r="T66" s="21">
        <f>IF(N66=0,"0",SMALL(B66:M66,1))</f>
        <v>2.1215277777777777E-2</v>
      </c>
      <c r="U66" s="22">
        <f>IF(T66&gt;0,(COUNT($T$9:$T$86)-(RANK(T66,$T$9:$T$86)+COUNTIF($T$9:$T$86,T66))+2),"X")</f>
        <v>51</v>
      </c>
    </row>
    <row r="67" spans="1:21">
      <c r="A67" s="6" t="s">
        <v>41</v>
      </c>
      <c r="C67" s="2"/>
      <c r="D67" s="2"/>
      <c r="E67" s="2"/>
      <c r="F67" s="7"/>
      <c r="G67" s="7">
        <v>2.1250000000000002E-2</v>
      </c>
      <c r="H67" s="7"/>
      <c r="I67" s="7"/>
      <c r="J67" s="7"/>
      <c r="K67" s="7"/>
      <c r="L67" s="7"/>
      <c r="M67" s="16"/>
      <c r="N67" s="19">
        <f t="shared" si="26"/>
        <v>1</v>
      </c>
      <c r="O67" s="23">
        <f t="shared" si="27"/>
        <v>2.1250000000000002E-2</v>
      </c>
      <c r="P67" s="8">
        <f>O67/N67</f>
        <v>2.1250000000000002E-2</v>
      </c>
      <c r="Q67" s="14">
        <f>IF((COUNT(B67:M67))&gt;5,(SUM(SMALL(B67:M67,{1,2,3,4,5}))/5),IF(COUNT(B67:M67)=0,"",(SUM(B67:M67)/COUNT(B67:M67))))</f>
        <v>2.1250000000000002E-2</v>
      </c>
      <c r="S67" s="18"/>
      <c r="T67" s="21">
        <f>IF(N67=0,"0",SMALL(B67:M67,1))</f>
        <v>2.1250000000000002E-2</v>
      </c>
      <c r="U67" s="22">
        <f>IF(T67&gt;0,(COUNT($T$9:$T$86)-(RANK(T67,$T$9:$T$86)+COUNTIF($T$9:$T$86,T67))+2),"X")</f>
        <v>52</v>
      </c>
    </row>
    <row r="68" spans="1:21">
      <c r="A68" t="s">
        <v>58</v>
      </c>
      <c r="C68" s="2"/>
      <c r="D68" s="2"/>
      <c r="E68" s="2"/>
      <c r="F68" s="7">
        <v>2.2916666666666669E-2</v>
      </c>
      <c r="G68" s="7"/>
      <c r="H68" s="7"/>
      <c r="I68" s="7"/>
      <c r="J68" s="7"/>
      <c r="K68" s="7"/>
      <c r="L68" s="7"/>
      <c r="M68" s="16"/>
      <c r="N68" s="19">
        <f t="shared" si="26"/>
        <v>1</v>
      </c>
      <c r="O68" s="23">
        <f t="shared" si="27"/>
        <v>2.2916666666666669E-2</v>
      </c>
      <c r="P68" s="8">
        <f>O68/N68</f>
        <v>2.2916666666666669E-2</v>
      </c>
      <c r="Q68" s="14">
        <f>IF((COUNT(B68:M68))&gt;5,(SUM(SMALL(B68:M68,{1,2,3,4,5}))/5),IF(COUNT(B68:M68)=0,"",(SUM(B68:M68)/COUNT(B68:M68))))</f>
        <v>2.2916666666666669E-2</v>
      </c>
      <c r="S68" s="18"/>
      <c r="T68" s="21">
        <f>IF(N68=0,"0",SMALL(B68:M68,1))</f>
        <v>2.2916666666666669E-2</v>
      </c>
      <c r="U68" s="22">
        <f>IF(T68&gt;0,(COUNT($T$9:$T$86)-(RANK(T68,$T$9:$T$86)+COUNTIF($T$9:$T$86,T68))+2),"X")</f>
        <v>59</v>
      </c>
    </row>
    <row r="69" spans="1:21">
      <c r="A69" s="6"/>
      <c r="C69" s="2"/>
      <c r="D69" s="2"/>
      <c r="E69" s="2"/>
      <c r="F69" s="7"/>
      <c r="G69" s="7"/>
      <c r="H69" s="7"/>
      <c r="I69" s="7"/>
      <c r="J69" s="7"/>
      <c r="K69" s="7"/>
      <c r="L69" s="7"/>
      <c r="M69" s="16"/>
      <c r="N69" s="19"/>
      <c r="O69" s="23"/>
      <c r="P69" s="8"/>
      <c r="Q69" s="14" t="str">
        <f>IF((COUNT(B69:M69))&gt;5,(SUM(SMALL(B69:M69,{1,2,3,4,5}))/5),IF(COUNT(B69:M69)=0,"",(SUM(B69:M69)/COUNT(B69:M69))))</f>
        <v/>
      </c>
      <c r="S69" s="18"/>
      <c r="T69" s="21"/>
      <c r="U69" s="22"/>
    </row>
    <row r="70" spans="1:21">
      <c r="A70" s="4" t="s">
        <v>38</v>
      </c>
      <c r="C70" s="2"/>
      <c r="D70" s="2"/>
      <c r="E70" s="2"/>
      <c r="F70" s="7"/>
      <c r="G70" s="7"/>
      <c r="H70" s="7"/>
      <c r="I70" s="7"/>
      <c r="J70" s="7"/>
      <c r="K70" s="7"/>
      <c r="L70" s="7"/>
      <c r="M70" s="16"/>
      <c r="N70" s="19"/>
      <c r="O70" s="23"/>
      <c r="P70" s="8"/>
      <c r="Q70" s="14" t="str">
        <f>IF((COUNT(B70:M70))&gt;5,(SUM(SMALL(B70:M70,{1,2,3,4,5}))/5),IF(COUNT(B70:M70)=0,"",(SUM(B70:M70)/COUNT(B70:M70))))</f>
        <v/>
      </c>
      <c r="S70" s="18"/>
      <c r="T70" s="21"/>
      <c r="U70" s="22"/>
    </row>
    <row r="71" spans="1:21">
      <c r="A71" s="6" t="s">
        <v>35</v>
      </c>
      <c r="C71" s="2"/>
      <c r="D71" s="2"/>
      <c r="E71" s="2"/>
      <c r="F71" s="7">
        <v>1.818287037037037E-2</v>
      </c>
      <c r="G71" s="7"/>
      <c r="H71" s="7"/>
      <c r="I71" s="7"/>
      <c r="J71" s="7"/>
      <c r="K71" s="7"/>
      <c r="L71" s="7"/>
      <c r="M71" s="16"/>
      <c r="N71" s="19">
        <f t="shared" si="26"/>
        <v>1</v>
      </c>
      <c r="O71" s="23">
        <f t="shared" si="27"/>
        <v>1.818287037037037E-2</v>
      </c>
      <c r="P71" s="8">
        <f>O71/N71</f>
        <v>1.818287037037037E-2</v>
      </c>
      <c r="Q71" s="14">
        <f>IF((COUNT(B71:M71))&gt;5,(SUM(SMALL(B71:M71,{1,2,3,4,5}))/5),IF(COUNT(B71:M71)=0,"",(SUM(B71:M71)/COUNT(B71:M71))))</f>
        <v>1.818287037037037E-2</v>
      </c>
      <c r="S71" s="18"/>
      <c r="T71" s="21">
        <f>IF(N71=0,"0",SMALL(B71:M71,1))</f>
        <v>1.818287037037037E-2</v>
      </c>
      <c r="U71" s="22">
        <f>IF(T71&gt;0,(COUNT($T$9:$T$86)-(RANK(T71,$T$9:$T$86)+COUNTIF($T$9:$T$86,T71))+2),"X")</f>
        <v>15</v>
      </c>
    </row>
    <row r="72" spans="1:21">
      <c r="A72" s="4"/>
      <c r="C72" s="2"/>
      <c r="D72" s="2"/>
      <c r="E72" s="2"/>
      <c r="F72" s="7"/>
      <c r="G72" s="7"/>
      <c r="H72" s="7"/>
      <c r="I72" s="7"/>
      <c r="J72" s="7"/>
      <c r="K72" s="7"/>
      <c r="L72" s="7"/>
      <c r="M72" s="16"/>
      <c r="N72" s="19"/>
      <c r="O72" s="23"/>
      <c r="P72" s="8"/>
      <c r="Q72" s="14" t="str">
        <f>IF((COUNT(B72:M72))&gt;5,(SUM(SMALL(B72:M72,{1,2,3,4,5}))/5),IF(COUNT(B72:M72)=0,"",(SUM(B72:M72)/COUNT(B72:M72))))</f>
        <v/>
      </c>
      <c r="S72" s="18"/>
      <c r="T72" s="21"/>
      <c r="U72" s="22"/>
    </row>
    <row r="73" spans="1:21">
      <c r="A73" s="4" t="s">
        <v>39</v>
      </c>
      <c r="C73" s="2"/>
      <c r="D73" s="2"/>
      <c r="E73" s="2"/>
      <c r="F73" s="7"/>
      <c r="G73" s="7"/>
      <c r="H73" s="7"/>
      <c r="I73" s="7"/>
      <c r="J73" s="7"/>
      <c r="K73" s="7"/>
      <c r="L73" s="7"/>
      <c r="M73" s="16"/>
      <c r="N73" s="19"/>
      <c r="O73" s="23"/>
      <c r="P73" s="8"/>
      <c r="Q73" s="14" t="str">
        <f>IF((COUNT(B73:M73))&gt;5,(SUM(SMALL(B73:M73,{1,2,3,4,5}))/5),IF(COUNT(B73:M73)=0,"",(SUM(B73:M73)/COUNT(B73:M73))))</f>
        <v/>
      </c>
      <c r="S73" s="18"/>
      <c r="T73" s="21"/>
      <c r="U73" s="22"/>
    </row>
    <row r="74" spans="1:21">
      <c r="A74" t="s">
        <v>40</v>
      </c>
      <c r="C74" s="2"/>
      <c r="D74" s="2"/>
      <c r="E74" s="2">
        <v>2.2789351851851852E-2</v>
      </c>
      <c r="F74" s="2"/>
      <c r="G74" s="2"/>
      <c r="H74" s="2"/>
      <c r="I74" s="2"/>
      <c r="J74" s="2"/>
      <c r="K74" s="2"/>
      <c r="L74" s="2"/>
      <c r="M74" s="15"/>
      <c r="N74" s="19">
        <f t="shared" si="26"/>
        <v>1</v>
      </c>
      <c r="O74" s="23">
        <f t="shared" si="27"/>
        <v>2.2789351851851852E-2</v>
      </c>
      <c r="P74" s="8">
        <f>O74/N74</f>
        <v>2.2789351851851852E-2</v>
      </c>
      <c r="Q74" s="14">
        <f>IF((COUNT(B74:M74))&gt;5,(SUM(SMALL(B74:M74,{1,2,3,4,5}))/5),IF(COUNT(B74:M74)=0,"",(SUM(B74:M74)/COUNT(B74:M74))))</f>
        <v>2.2789351851851852E-2</v>
      </c>
      <c r="S74" s="18"/>
      <c r="T74" s="21">
        <f>IF(N74=0,"0",SMALL(B74:M74,1))</f>
        <v>2.2789351851851852E-2</v>
      </c>
      <c r="U74" s="22">
        <f>IF(T74&gt;0,(COUNT($T$9:$T$86)-(RANK(T74,$T$9:$T$86)+COUNTIF($T$9:$T$86,T74))+2),"X")</f>
        <v>58</v>
      </c>
    </row>
    <row r="75" spans="1:21"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15"/>
      <c r="N75" s="19"/>
      <c r="O75" s="23"/>
      <c r="P75" s="8"/>
      <c r="Q75" s="14" t="str">
        <f>IF((COUNT(B75:M75))&gt;5,(SUM(SMALL(B75:M75,{1,2,3,4,5}))/5),IF(COUNT(B75:M75)=0,"",(SUM(B75:M75)/COUNT(B75:M75))))</f>
        <v/>
      </c>
      <c r="S75" s="18"/>
      <c r="T75" s="21"/>
      <c r="U75" s="22"/>
    </row>
    <row r="76" spans="1:21">
      <c r="A76" s="3" t="s">
        <v>14</v>
      </c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15"/>
      <c r="N76" s="19"/>
      <c r="O76" s="23"/>
      <c r="P76" s="8"/>
      <c r="Q76" s="14" t="str">
        <f>IF((COUNT(B76:M76))&gt;5,(SUM(SMALL(B76:M76,{1,2,3,4,5}))/5),IF(COUNT(B76:M76)=0,"",(SUM(B76:M76)/COUNT(B76:M76))))</f>
        <v/>
      </c>
      <c r="S76" s="18"/>
      <c r="T76" s="21"/>
      <c r="U76" s="22"/>
    </row>
    <row r="77" spans="1:21">
      <c r="A77" t="s">
        <v>52</v>
      </c>
      <c r="B77" s="1"/>
      <c r="C77" s="1"/>
      <c r="D77" s="1"/>
      <c r="E77" s="1"/>
      <c r="F77" s="1"/>
      <c r="G77" s="1"/>
      <c r="H77" s="1">
        <v>1.4201388888888888E-2</v>
      </c>
      <c r="I77" s="1"/>
      <c r="J77" s="1"/>
      <c r="K77" s="2"/>
      <c r="L77" s="2"/>
      <c r="M77" s="15"/>
      <c r="N77" s="19">
        <f t="shared" ref="N77:N83" si="28">COUNT(B77:M77)</f>
        <v>1</v>
      </c>
      <c r="O77" s="23">
        <f t="shared" ref="O77:O83" si="29">SUM(B77:M77)</f>
        <v>1.4201388888888888E-2</v>
      </c>
      <c r="P77" s="8">
        <f t="shared" ref="P77:P83" si="30">O77/N77</f>
        <v>1.4201388888888888E-2</v>
      </c>
      <c r="Q77" s="14">
        <f>IF((COUNT(B77:M77))&gt;5,(SUM(SMALL(B77:M77,{1,2,3,4,5}))/5),IF(COUNT(B77:M77)=0,"",(SUM(B77:M77)/COUNT(B77:M77))))</f>
        <v>1.4201388888888888E-2</v>
      </c>
      <c r="S77" s="18"/>
      <c r="T77" s="21">
        <f t="shared" ref="T77:T83" si="31">IF(N77=0,"0",SMALL(B77:M77,1))</f>
        <v>1.4201388888888888E-2</v>
      </c>
      <c r="U77" s="22">
        <f t="shared" ref="U77:U83" si="32">IF(T77&gt;0,(COUNT($T$9:$T$86)-(RANK(T77,$T$9:$T$86)+COUNTIF($T$9:$T$86,T77))+2),"X")</f>
        <v>1</v>
      </c>
    </row>
    <row r="78" spans="1:21">
      <c r="A78" t="s">
        <v>60</v>
      </c>
      <c r="B78" s="1"/>
      <c r="C78" s="1"/>
      <c r="D78" s="1"/>
      <c r="E78" s="1"/>
      <c r="F78" s="1"/>
      <c r="G78" s="1"/>
      <c r="H78" s="1"/>
      <c r="I78" s="1">
        <v>1.5104166666666667E-2</v>
      </c>
      <c r="J78" s="1">
        <v>1.5057870370370369E-2</v>
      </c>
      <c r="K78" s="2"/>
      <c r="L78" s="2"/>
      <c r="M78" s="15"/>
      <c r="N78" s="19">
        <f t="shared" si="28"/>
        <v>2</v>
      </c>
      <c r="O78" s="23">
        <f t="shared" si="29"/>
        <v>3.0162037037037036E-2</v>
      </c>
      <c r="P78" s="8">
        <f t="shared" si="30"/>
        <v>1.5081018518518518E-2</v>
      </c>
      <c r="Q78" s="14">
        <f>IF((COUNT(B78:M78))&gt;5,(SUM(SMALL(B78:M78,{1,2,3,4,5}))/5),IF(COUNT(B78:M78)=0,"",(SUM(B78:M78)/COUNT(B78:M78))))</f>
        <v>1.5081018518518518E-2</v>
      </c>
      <c r="S78" s="18"/>
      <c r="T78" s="21">
        <f t="shared" si="31"/>
        <v>1.5057870370370369E-2</v>
      </c>
      <c r="U78" s="22">
        <f t="shared" si="32"/>
        <v>2</v>
      </c>
    </row>
    <row r="79" spans="1:21">
      <c r="A79" t="s">
        <v>26</v>
      </c>
      <c r="B79" s="2"/>
      <c r="C79" s="2"/>
      <c r="D79" s="2">
        <v>1.7106481481481483E-2</v>
      </c>
      <c r="E79" s="2"/>
      <c r="F79" s="2"/>
      <c r="G79" s="2"/>
      <c r="H79" s="2"/>
      <c r="I79" s="2"/>
      <c r="J79" s="2"/>
      <c r="K79" s="2"/>
      <c r="L79" s="2"/>
      <c r="M79" s="15"/>
      <c r="N79" s="19">
        <f t="shared" si="28"/>
        <v>1</v>
      </c>
      <c r="O79" s="23">
        <f t="shared" si="29"/>
        <v>1.7106481481481483E-2</v>
      </c>
      <c r="P79" s="8">
        <f t="shared" si="30"/>
        <v>1.7106481481481483E-2</v>
      </c>
      <c r="Q79" s="14">
        <f>IF((COUNT(B79:M79))&gt;5,(SUM(SMALL(B79:M79,{1,2,3,4,5}))/5),IF(COUNT(B79:M79)=0,"",(SUM(B79:M79)/COUNT(B79:M79))))</f>
        <v>1.7106481481481483E-2</v>
      </c>
      <c r="S79" s="18"/>
      <c r="T79" s="21">
        <f t="shared" si="31"/>
        <v>1.7106481481481483E-2</v>
      </c>
      <c r="U79" s="22">
        <f t="shared" si="32"/>
        <v>7</v>
      </c>
    </row>
    <row r="80" spans="1:21">
      <c r="A80" t="s">
        <v>55</v>
      </c>
      <c r="B80" s="1"/>
      <c r="C80" s="1"/>
      <c r="D80" s="1"/>
      <c r="E80" s="1"/>
      <c r="F80" s="1"/>
      <c r="G80" s="1"/>
      <c r="H80" s="2">
        <v>1.7951388888888888E-2</v>
      </c>
      <c r="I80" s="2"/>
      <c r="J80" s="2"/>
      <c r="K80" s="2"/>
      <c r="L80" s="2"/>
      <c r="M80" s="15"/>
      <c r="N80" s="19">
        <f t="shared" si="28"/>
        <v>1</v>
      </c>
      <c r="O80" s="23">
        <f t="shared" si="29"/>
        <v>1.7951388888888888E-2</v>
      </c>
      <c r="P80" s="8">
        <f t="shared" si="30"/>
        <v>1.7951388888888888E-2</v>
      </c>
      <c r="Q80" s="14">
        <f>IF((COUNT(B80:M80))&gt;5,(SUM(SMALL(B80:M80,{1,2,3,4,5}))/5),IF(COUNT(B80:M80)=0,"",(SUM(B80:M80)/COUNT(B80:M80))))</f>
        <v>1.7951388888888888E-2</v>
      </c>
      <c r="S80" s="18"/>
      <c r="T80" s="21">
        <f t="shared" si="31"/>
        <v>1.7951388888888888E-2</v>
      </c>
      <c r="U80" s="22">
        <f t="shared" si="32"/>
        <v>13</v>
      </c>
    </row>
    <row r="81" spans="1:21">
      <c r="A81" t="s">
        <v>53</v>
      </c>
      <c r="B81" s="2"/>
      <c r="C81" s="2"/>
      <c r="D81" s="2"/>
      <c r="E81" s="2"/>
      <c r="F81" s="2">
        <v>1.8912037037037036E-2</v>
      </c>
      <c r="G81" s="2">
        <v>1.861111111111111E-2</v>
      </c>
      <c r="H81" s="2"/>
      <c r="I81" s="2"/>
      <c r="J81" s="2"/>
      <c r="K81" s="2"/>
      <c r="L81" s="2"/>
      <c r="M81" s="15"/>
      <c r="N81" s="19">
        <f t="shared" si="28"/>
        <v>2</v>
      </c>
      <c r="O81" s="23">
        <f t="shared" si="29"/>
        <v>3.7523148148148146E-2</v>
      </c>
      <c r="P81" s="8">
        <f t="shared" si="30"/>
        <v>1.8761574074074073E-2</v>
      </c>
      <c r="Q81" s="14">
        <f>IF((COUNT(B81:M81))&gt;5,(SUM(SMALL(B81:M81,{1,2,3,4,5}))/5),IF(COUNT(B81:M81)=0,"",(SUM(B81:M81)/COUNT(B81:M81))))</f>
        <v>1.8761574074074073E-2</v>
      </c>
      <c r="S81" s="18"/>
      <c r="T81" s="21">
        <f t="shared" si="31"/>
        <v>1.861111111111111E-2</v>
      </c>
      <c r="U81" s="22">
        <f t="shared" si="32"/>
        <v>25</v>
      </c>
    </row>
    <row r="82" spans="1:21">
      <c r="A82" t="s">
        <v>54</v>
      </c>
      <c r="B82" s="2">
        <v>1.8993055555555558E-2</v>
      </c>
      <c r="C82" s="2"/>
      <c r="D82" s="2"/>
      <c r="E82" s="2"/>
      <c r="F82" s="2">
        <v>1.9050925925925926E-2</v>
      </c>
      <c r="G82" s="2">
        <v>1.909722222222222E-2</v>
      </c>
      <c r="H82" s="2"/>
      <c r="I82" s="2"/>
      <c r="J82" s="2"/>
      <c r="K82" s="2"/>
      <c r="L82" s="2"/>
      <c r="M82" s="15"/>
      <c r="N82" s="19">
        <f t="shared" si="28"/>
        <v>3</v>
      </c>
      <c r="O82" s="23">
        <f t="shared" si="29"/>
        <v>5.7141203703703708E-2</v>
      </c>
      <c r="P82" s="8">
        <f t="shared" si="30"/>
        <v>1.904706790123457E-2</v>
      </c>
      <c r="Q82" s="14">
        <f>IF((COUNT(B82:M82))&gt;5,(SUM(SMALL(B82:M82,{1,2,3,4,5}))/5),IF(COUNT(B82:M82)=0,"",(SUM(B82:M82)/COUNT(B82:M82))))</f>
        <v>1.904706790123457E-2</v>
      </c>
      <c r="S82" s="18"/>
      <c r="T82" s="21">
        <f t="shared" si="31"/>
        <v>1.8993055555555558E-2</v>
      </c>
      <c r="U82" s="22">
        <f t="shared" si="32"/>
        <v>27</v>
      </c>
    </row>
    <row r="83" spans="1:21">
      <c r="A83" t="s">
        <v>75</v>
      </c>
      <c r="B83" s="1"/>
      <c r="C83" s="1"/>
      <c r="D83" s="1"/>
      <c r="E83" s="1"/>
      <c r="F83" s="1"/>
      <c r="G83" s="1"/>
      <c r="H83" s="1"/>
      <c r="I83" s="1"/>
      <c r="J83" s="1"/>
      <c r="K83" s="2"/>
      <c r="L83" s="2">
        <v>2.1168981481481483E-2</v>
      </c>
      <c r="M83" s="15"/>
      <c r="N83" s="19">
        <f t="shared" si="28"/>
        <v>1</v>
      </c>
      <c r="O83" s="23">
        <f t="shared" si="29"/>
        <v>2.1168981481481483E-2</v>
      </c>
      <c r="P83" s="8">
        <f t="shared" si="30"/>
        <v>2.1168981481481483E-2</v>
      </c>
      <c r="Q83" s="14"/>
      <c r="T83" s="21">
        <f t="shared" si="31"/>
        <v>2.1168981481481483E-2</v>
      </c>
      <c r="U83" s="22">
        <f t="shared" si="32"/>
        <v>47</v>
      </c>
    </row>
    <row r="84" spans="1:21">
      <c r="B84" s="1"/>
      <c r="C84" s="1"/>
      <c r="D84" s="1"/>
      <c r="E84" s="1"/>
      <c r="F84" s="1"/>
      <c r="G84" s="1"/>
      <c r="H84" s="1"/>
      <c r="I84" s="1"/>
      <c r="J84" s="1"/>
      <c r="K84" s="15"/>
      <c r="L84" s="15"/>
      <c r="M84" s="15"/>
      <c r="N84" s="19"/>
      <c r="O84" s="1"/>
      <c r="P84" s="8"/>
      <c r="Q84" s="14"/>
      <c r="T84" s="14"/>
    </row>
    <row r="85" spans="1:21">
      <c r="B85" s="1"/>
      <c r="C85" s="1"/>
      <c r="D85" s="1"/>
      <c r="E85" s="1"/>
      <c r="F85" s="1"/>
      <c r="G85" s="1"/>
      <c r="H85" s="1"/>
      <c r="I85" s="1"/>
      <c r="J85" s="1"/>
      <c r="K85" s="15"/>
      <c r="L85" s="15"/>
      <c r="M85" s="15"/>
      <c r="N85" s="19"/>
      <c r="O85" s="1"/>
      <c r="P85" s="8"/>
      <c r="Q85" s="14"/>
      <c r="T85" s="14"/>
    </row>
    <row r="86" spans="1:2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9"/>
      <c r="O86" s="1"/>
      <c r="P86" s="8"/>
      <c r="Q86" s="14"/>
    </row>
    <row r="87" spans="1:2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0"/>
    </row>
    <row r="88" spans="1:2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0"/>
    </row>
    <row r="89" spans="1:2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0"/>
    </row>
    <row r="90" spans="1:2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0"/>
    </row>
    <row r="91" spans="1:2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0"/>
    </row>
    <row r="92" spans="1:2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0"/>
    </row>
  </sheetData>
  <sortState ref="A77:U83">
    <sortCondition ref="P77:P83"/>
  </sortState>
  <phoneticPr fontId="3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honeticPr fontId="3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 Results sheet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 T</dc:creator>
  <cp:lastModifiedBy>Mark Jennings</cp:lastModifiedBy>
  <dcterms:created xsi:type="dcterms:W3CDTF">2012-06-22T21:14:25Z</dcterms:created>
  <dcterms:modified xsi:type="dcterms:W3CDTF">2012-09-01T18:25:14Z</dcterms:modified>
</cp:coreProperties>
</file>