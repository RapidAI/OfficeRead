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Default Extension="xml" ContentType="application/xml"/>
  <Default Extension="jpeg" ContentType="image/jpeg"/>
  <Override PartName="/xl/theme/theme1.xml" ContentType="application/vnd.openxmlformats-officedocument.theme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5740" yWindow="-20" windowWidth="20620" windowHeight="16320"/>
  </bookViews>
  <sheets>
    <sheet name="sample data" sheetId="1" r:id="rId1"/>
    <sheet name="Readme" sheetId="2" r:id="rId2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F42" i="1"/>
  <c r="F19"/>
  <c r="F34"/>
  <c r="F53"/>
  <c r="F7"/>
  <c r="F6"/>
  <c r="F18"/>
  <c r="F17"/>
  <c r="F5"/>
  <c r="F4"/>
  <c r="F15"/>
  <c r="F32"/>
  <c r="F31"/>
  <c r="F50"/>
  <c r="F30"/>
  <c r="F29"/>
  <c r="F40"/>
  <c r="F28"/>
  <c r="F39"/>
  <c r="F38"/>
  <c r="F48"/>
  <c r="F27"/>
  <c r="F47"/>
  <c r="F14"/>
  <c r="F24"/>
  <c r="F46"/>
  <c r="F35"/>
  <c r="F37"/>
  <c r="F23"/>
  <c r="F22"/>
  <c r="F21"/>
  <c r="F20"/>
</calcChain>
</file>

<file path=xl/sharedStrings.xml><?xml version="1.0" encoding="utf-8"?>
<sst xmlns="http://schemas.openxmlformats.org/spreadsheetml/2006/main" count="103" uniqueCount="59">
  <si>
    <t>Chin, J.L., Woodrow, D.L., McGann, Mary, Wong, F.L., Fregoso, Theresa, and Jaffe, B.E., 2010, Estuarine sedimentation, sediment character, and foraminiferal distribution in central San Francisco Bay, California:  U.S. Geological Survey Open-File Report 2010-1130, [http://pubs.usgs.gov/of/2010/1130/]</t>
  </si>
  <si>
    <t>Deep        Western                  Bay                       Estuarine</t>
  </si>
  <si>
    <t>Deep Western Bay Estuarine Outlier</t>
  </si>
  <si>
    <t>Deep        Western                  Bay                       Marine</t>
  </si>
  <si>
    <t>Coarse Sand (with shells)</t>
  </si>
  <si>
    <t>Very Coarse Sand (with shells)</t>
  </si>
  <si>
    <t>Faunal Diversity         (benthic species/sample)</t>
  </si>
  <si>
    <t>10a</t>
  </si>
  <si>
    <t>17a</t>
  </si>
  <si>
    <t>91.60</t>
  </si>
  <si>
    <t>141.20</t>
  </si>
  <si>
    <t>74.72</t>
  </si>
  <si>
    <t>24.62</t>
  </si>
  <si>
    <t>111.82</t>
  </si>
  <si>
    <t>105.04</t>
  </si>
  <si>
    <t>116.31</t>
  </si>
  <si>
    <t>139.54</t>
  </si>
  <si>
    <t>26.17</t>
  </si>
  <si>
    <t>137.18</t>
  </si>
  <si>
    <t>127.97</t>
  </si>
  <si>
    <t>153.94</t>
  </si>
  <si>
    <t>166.81</t>
  </si>
  <si>
    <t>140.04</t>
  </si>
  <si>
    <t>155.21</t>
  </si>
  <si>
    <t>126.66</t>
  </si>
  <si>
    <t>216.87</t>
  </si>
  <si>
    <t>220.87</t>
  </si>
  <si>
    <t>137.02</t>
  </si>
  <si>
    <t>108.45</t>
  </si>
  <si>
    <t>127.84</t>
  </si>
  <si>
    <t>58.60</t>
  </si>
  <si>
    <t>Fine Silt</t>
  </si>
  <si>
    <t>Coarse Silt</t>
  </si>
  <si>
    <t>Medium Silt</t>
  </si>
  <si>
    <t>Very Fine Sand</t>
  </si>
  <si>
    <t>Fine Sand</t>
  </si>
  <si>
    <t>Medium Sand</t>
  </si>
  <si>
    <t>Coarse Sand</t>
  </si>
  <si>
    <t xml:space="preserve">Very Coarse Sand </t>
  </si>
  <si>
    <t>Very Fine Silt</t>
  </si>
  <si>
    <t>(not used in the cluster analysis)</t>
  </si>
  <si>
    <t>1.83 (0.65 without the three silt samples)</t>
  </si>
  <si>
    <t>Shallow      Eastern Bay</t>
  </si>
  <si>
    <t>Intermediate Eastern Bay Outlier</t>
  </si>
  <si>
    <t>Intermediate      Eastern Bay</t>
  </si>
  <si>
    <t>Sample number</t>
  </si>
  <si>
    <t>Average water             depth in meters</t>
  </si>
  <si>
    <t>Water depth in meters</t>
  </si>
  <si>
    <t>Sample weight                     in grams dry sediment</t>
  </si>
  <si>
    <t>Total foraminifera counted</t>
  </si>
  <si>
    <t>Average benthic            foraminiferal number               (specimens/g dry sediment)</t>
  </si>
  <si>
    <t>Benthic             foraminiferal number               (specimens/g dry sediment)</t>
  </si>
  <si>
    <t>Average faunal diversity (benthic species/sample)</t>
  </si>
  <si>
    <t>Cluster assemblage</t>
  </si>
  <si>
    <t>Sediment size class</t>
  </si>
  <si>
    <t>Sediment grain size in phi units</t>
  </si>
  <si>
    <t>Average sediment                     grain size in phi units</t>
  </si>
  <si>
    <t>Table 3-5.  Water depth (m), sample weight, total foraminifera counted, benthic foraminiferal number, faunal diversity, cluster assemblage, sediment grain size and sediment size class of the 1998 central San Francisco Bay samples.</t>
  </si>
  <si>
    <t>From</t>
  </si>
</sst>
</file>

<file path=xl/styles.xml><?xml version="1.0" encoding="utf-8"?>
<styleSheet xmlns="http://schemas.openxmlformats.org/spreadsheetml/2006/main">
  <numFmts count="9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_);[Red]\(&quot;$&quot;#,##0\)"/>
    <numFmt numFmtId="165" formatCode="&quot;$&quot;#,##0.00_);[Red]\(&quot;$&quot;#,##0.00\)"/>
    <numFmt numFmtId="174" formatCode="0.0"/>
  </numFmts>
  <fonts count="22">
    <font>
      <sz val="10"/>
      <name val="Geneva"/>
    </font>
    <font>
      <sz val="8"/>
      <name val="Verdana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7"/>
      <name val="Calibri"/>
      <family val="2"/>
    </font>
    <font>
      <sz val="11"/>
      <color indexed="14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13"/>
      <name val="Calibri"/>
      <family val="2"/>
    </font>
    <font>
      <sz val="11"/>
      <color indexed="13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Geneva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Univers 57 Condensed"/>
      <family val="2"/>
    </font>
    <font>
      <sz val="1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3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</borders>
  <cellStyleXfs count="43">
    <xf numFmtId="0" fontId="0" fillId="0" borderId="0"/>
    <xf numFmtId="0" fontId="19" fillId="2" borderId="0" applyNumberFormat="0" applyBorder="0" applyAlignment="0" applyProtection="0"/>
    <xf numFmtId="0" fontId="19" fillId="3" borderId="0" applyNumberFormat="0" applyBorder="0" applyAlignment="0" applyProtection="0"/>
    <xf numFmtId="0" fontId="19" fillId="4" borderId="0" applyNumberFormat="0" applyBorder="0" applyAlignment="0" applyProtection="0"/>
    <xf numFmtId="0" fontId="19" fillId="5" borderId="0" applyNumberFormat="0" applyBorder="0" applyAlignment="0" applyProtection="0"/>
    <xf numFmtId="0" fontId="19" fillId="6" borderId="0" applyNumberFormat="0" applyBorder="0" applyAlignment="0" applyProtection="0"/>
    <xf numFmtId="0" fontId="19" fillId="4" borderId="0" applyNumberFormat="0" applyBorder="0" applyAlignment="0" applyProtection="0"/>
    <xf numFmtId="0" fontId="19" fillId="6" borderId="0" applyNumberFormat="0" applyBorder="0" applyAlignment="0" applyProtection="0"/>
    <xf numFmtId="0" fontId="19" fillId="3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6" borderId="0" applyNumberFormat="0" applyBorder="0" applyAlignment="0" applyProtection="0"/>
    <xf numFmtId="0" fontId="19" fillId="4" borderId="0" applyNumberFormat="0" applyBorder="0" applyAlignment="0" applyProtection="0"/>
    <xf numFmtId="0" fontId="18" fillId="6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8" borderId="0" applyNumberFormat="0" applyBorder="0" applyAlignment="0" applyProtection="0"/>
    <xf numFmtId="0" fontId="18" fillId="6" borderId="0" applyNumberFormat="0" applyBorder="0" applyAlignment="0" applyProtection="0"/>
    <xf numFmtId="0" fontId="18" fillId="3" borderId="0" applyNumberFormat="0" applyBorder="0" applyAlignment="0" applyProtection="0"/>
    <xf numFmtId="0" fontId="18" fillId="11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7" fillId="15" borderId="0" applyNumberFormat="0" applyBorder="0" applyAlignment="0" applyProtection="0"/>
    <xf numFmtId="0" fontId="11" fillId="16" borderId="23" applyNumberFormat="0" applyAlignment="0" applyProtection="0"/>
    <xf numFmtId="0" fontId="13" fillId="17" borderId="24" applyNumberFormat="0" applyAlignment="0" applyProtection="0"/>
    <xf numFmtId="0" fontId="16" fillId="0" borderId="0" applyNumberFormat="0" applyFill="0" applyBorder="0" applyAlignment="0" applyProtection="0"/>
    <xf numFmtId="0" fontId="6" fillId="6" borderId="0" applyNumberFormat="0" applyBorder="0" applyAlignment="0" applyProtection="0"/>
    <xf numFmtId="0" fontId="3" fillId="0" borderId="25" applyNumberFormat="0" applyFill="0" applyAlignment="0" applyProtection="0"/>
    <xf numFmtId="0" fontId="4" fillId="0" borderId="26" applyNumberFormat="0" applyFill="0" applyAlignment="0" applyProtection="0"/>
    <xf numFmtId="0" fontId="5" fillId="0" borderId="27" applyNumberFormat="0" applyFill="0" applyAlignment="0" applyProtection="0"/>
    <xf numFmtId="0" fontId="5" fillId="0" borderId="0" applyNumberFormat="0" applyFill="0" applyBorder="0" applyAlignment="0" applyProtection="0"/>
    <xf numFmtId="0" fontId="9" fillId="7" borderId="23" applyNumberFormat="0" applyAlignment="0" applyProtection="0"/>
    <xf numFmtId="0" fontId="12" fillId="0" borderId="28" applyNumberFormat="0" applyFill="0" applyAlignment="0" applyProtection="0"/>
    <xf numFmtId="0" fontId="8" fillId="7" borderId="0" applyNumberFormat="0" applyBorder="0" applyAlignment="0" applyProtection="0"/>
    <xf numFmtId="0" fontId="19" fillId="0" borderId="0"/>
    <xf numFmtId="0" fontId="15" fillId="4" borderId="29" applyNumberFormat="0" applyFont="0" applyAlignment="0" applyProtection="0"/>
    <xf numFmtId="0" fontId="10" fillId="16" borderId="30" applyNumberFormat="0" applyAlignment="0" applyProtection="0"/>
    <xf numFmtId="0" fontId="2" fillId="0" borderId="0" applyNumberFormat="0" applyFill="0" applyBorder="0" applyAlignment="0" applyProtection="0"/>
    <xf numFmtId="0" fontId="17" fillId="0" borderId="31" applyNumberFormat="0" applyFill="0" applyAlignment="0" applyProtection="0"/>
    <xf numFmtId="0" fontId="14" fillId="0" borderId="0" applyNumberFormat="0" applyFill="0" applyBorder="0" applyAlignment="0" applyProtection="0"/>
  </cellStyleXfs>
  <cellXfs count="57">
    <xf numFmtId="0" fontId="0" fillId="0" borderId="0" xfId="0"/>
    <xf numFmtId="0" fontId="20" fillId="0" borderId="0" xfId="0" applyFont="1"/>
    <xf numFmtId="0" fontId="20" fillId="0" borderId="0" xfId="0" applyFont="1" applyBorder="1"/>
    <xf numFmtId="0" fontId="20" fillId="0" borderId="2" xfId="0" applyFont="1" applyBorder="1" applyAlignment="1">
      <alignment horizontal="center" textRotation="90" wrapText="1"/>
    </xf>
    <xf numFmtId="0" fontId="20" fillId="0" borderId="3" xfId="0" applyFont="1" applyBorder="1" applyAlignment="1">
      <alignment horizontal="center" textRotation="90" wrapText="1"/>
    </xf>
    <xf numFmtId="0" fontId="20" fillId="0" borderId="4" xfId="0" applyFont="1" applyBorder="1" applyAlignment="1">
      <alignment horizontal="center" textRotation="90" wrapText="1"/>
    </xf>
    <xf numFmtId="1" fontId="20" fillId="0" borderId="4" xfId="0" applyNumberFormat="1" applyFont="1" applyBorder="1" applyAlignment="1">
      <alignment horizontal="center" textRotation="90" wrapText="1"/>
    </xf>
    <xf numFmtId="0" fontId="20" fillId="0" borderId="4" xfId="0" applyFont="1" applyBorder="1" applyAlignment="1">
      <alignment horizontal="center" textRotation="90"/>
    </xf>
    <xf numFmtId="0" fontId="20" fillId="0" borderId="5" xfId="0" applyFont="1" applyBorder="1" applyAlignment="1">
      <alignment horizontal="center" textRotation="90" wrapText="1"/>
    </xf>
    <xf numFmtId="0" fontId="20" fillId="0" borderId="0" xfId="0" applyFont="1" applyBorder="1" applyAlignment="1">
      <alignment vertical="center"/>
    </xf>
    <xf numFmtId="0" fontId="20" fillId="0" borderId="6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49" fontId="20" fillId="0" borderId="0" xfId="0" applyNumberFormat="1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174" fontId="20" fillId="0" borderId="8" xfId="0" applyNumberFormat="1" applyFont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0" fillId="0" borderId="8" xfId="0" applyFont="1" applyFill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49" fontId="20" fillId="0" borderId="13" xfId="0" applyNumberFormat="1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174" fontId="20" fillId="0" borderId="12" xfId="0" applyNumberFormat="1" applyFont="1" applyBorder="1" applyAlignment="1">
      <alignment horizontal="center"/>
    </xf>
    <xf numFmtId="0" fontId="20" fillId="0" borderId="14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49" fontId="20" fillId="0" borderId="16" xfId="0" applyNumberFormat="1" applyFont="1" applyBorder="1" applyAlignment="1">
      <alignment horizontal="center" vertical="center"/>
    </xf>
    <xf numFmtId="174" fontId="20" fillId="0" borderId="16" xfId="0" applyNumberFormat="1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 wrapText="1"/>
    </xf>
    <xf numFmtId="0" fontId="20" fillId="0" borderId="16" xfId="0" applyFont="1" applyFill="1" applyBorder="1" applyAlignment="1">
      <alignment horizontal="center" vertical="center"/>
    </xf>
    <xf numFmtId="2" fontId="20" fillId="0" borderId="16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49" fontId="20" fillId="0" borderId="20" xfId="0" applyNumberFormat="1" applyFont="1" applyBorder="1" applyAlignment="1">
      <alignment horizontal="center"/>
    </xf>
    <xf numFmtId="49" fontId="20" fillId="0" borderId="19" xfId="0" applyNumberFormat="1" applyFont="1" applyBorder="1" applyAlignment="1">
      <alignment horizontal="center"/>
    </xf>
    <xf numFmtId="174" fontId="20" fillId="0" borderId="19" xfId="0" applyNumberFormat="1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49" fontId="20" fillId="0" borderId="8" xfId="0" applyNumberFormat="1" applyFont="1" applyBorder="1" applyAlignment="1">
      <alignment horizontal="center"/>
    </xf>
    <xf numFmtId="49" fontId="20" fillId="0" borderId="0" xfId="0" applyNumberFormat="1" applyFont="1" applyBorder="1"/>
    <xf numFmtId="49" fontId="20" fillId="0" borderId="21" xfId="0" applyNumberFormat="1" applyFont="1" applyBorder="1" applyAlignment="1">
      <alignment horizontal="center" vertical="center"/>
    </xf>
    <xf numFmtId="49" fontId="20" fillId="0" borderId="16" xfId="0" applyNumberFormat="1" applyFont="1" applyBorder="1" applyAlignment="1">
      <alignment horizontal="center" vertical="center" wrapText="1"/>
    </xf>
    <xf numFmtId="2" fontId="20" fillId="0" borderId="8" xfId="0" applyNumberFormat="1" applyFont="1" applyBorder="1" applyAlignment="1">
      <alignment horizontal="center"/>
    </xf>
    <xf numFmtId="0" fontId="20" fillId="0" borderId="22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21" fillId="0" borderId="0" xfId="37" applyFont="1" applyAlignment="1">
      <alignment vertical="top" wrapText="1"/>
    </xf>
    <xf numFmtId="0" fontId="19" fillId="0" borderId="0" xfId="37"/>
    <xf numFmtId="0" fontId="20" fillId="0" borderId="19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49" fontId="20" fillId="0" borderId="19" xfId="0" applyNumberFormat="1" applyFont="1" applyBorder="1" applyAlignment="1">
      <alignment horizontal="center" vertical="center" wrapText="1"/>
    </xf>
    <xf numFmtId="49" fontId="20" fillId="0" borderId="8" xfId="0" applyNumberFormat="1" applyFont="1" applyBorder="1" applyAlignment="1">
      <alignment horizontal="center" vertical="center" wrapText="1"/>
    </xf>
    <xf numFmtId="49" fontId="20" fillId="0" borderId="12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wrapText="1"/>
    </xf>
    <xf numFmtId="0" fontId="21" fillId="0" borderId="0" xfId="37" applyFont="1" applyAlignment="1">
      <alignment wrapText="1"/>
    </xf>
    <xf numFmtId="0" fontId="19" fillId="0" borderId="0" xfId="37" applyAlignment="1">
      <alignment wrapText="1"/>
    </xf>
  </cellXfs>
  <cellStyles count="43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heck Cell" xfId="27"/>
    <cellStyle name="Explanatory Text" xfId="28"/>
    <cellStyle name="Good" xfId="29"/>
    <cellStyle name="Heading 1" xfId="30"/>
    <cellStyle name="Heading 2" xfId="31"/>
    <cellStyle name="Heading 3" xfId="32"/>
    <cellStyle name="Heading 4" xfId="33"/>
    <cellStyle name="Input" xfId="34"/>
    <cellStyle name="Linked Cell" xfId="35"/>
    <cellStyle name="Neutral" xfId="36"/>
    <cellStyle name="Normal" xfId="0" builtinId="0"/>
    <cellStyle name="Normal 2" xfId="37"/>
    <cellStyle name="Note" xfId="38"/>
    <cellStyle name="Output" xfId="39"/>
    <cellStyle name="Title" xfId="40"/>
    <cellStyle name="Total" xfId="41"/>
    <cellStyle name="Warning Text" xfId="42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calcChain" Target="calcChain.xml"/><Relationship Id="rId4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BL57"/>
  <sheetViews>
    <sheetView tabSelected="1" zoomScale="125" workbookViewId="0">
      <selection sqref="A1:M1"/>
    </sheetView>
  </sheetViews>
  <sheetFormatPr baseColWidth="10" defaultColWidth="10.7109375" defaultRowHeight="12" outlineLevelCol="1"/>
  <cols>
    <col min="1" max="1" width="4.7109375" style="42" customWidth="1"/>
    <col min="2" max="2" width="5.5703125" style="42" customWidth="1"/>
    <col min="3" max="3" width="5.7109375" style="42" customWidth="1"/>
    <col min="4" max="4" width="6.85546875" style="42" customWidth="1"/>
    <col min="5" max="5" width="6.85546875" style="42" customWidth="1" outlineLevel="1"/>
    <col min="6" max="6" width="7.42578125" style="42" customWidth="1" outlineLevel="1"/>
    <col min="7" max="7" width="9.5703125" style="42" customWidth="1"/>
    <col min="8" max="8" width="6.85546875" style="2" customWidth="1" outlineLevel="1"/>
    <col min="9" max="9" width="6.42578125" style="42" customWidth="1"/>
    <col min="10" max="10" width="12.140625" style="2" customWidth="1" outlineLevel="1"/>
    <col min="11" max="11" width="20.85546875" style="2" customWidth="1" outlineLevel="1"/>
    <col min="12" max="12" width="5.85546875" style="2" customWidth="1" outlineLevel="1"/>
    <col min="13" max="13" width="6.5703125" style="2" customWidth="1" outlineLevel="1"/>
    <col min="14" max="14" width="10.7109375" style="1" outlineLevel="1"/>
    <col min="15" max="64" width="10.7109375" style="2" outlineLevel="1"/>
    <col min="65" max="16384" width="10.7109375" style="2"/>
  </cols>
  <sheetData>
    <row r="1" spans="1:14" ht="26" customHeight="1" thickBot="1">
      <c r="A1" s="54" t="s">
        <v>57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</row>
    <row r="2" spans="1:14" s="9" customFormat="1" ht="105" customHeight="1" thickBot="1">
      <c r="A2" s="3" t="s">
        <v>45</v>
      </c>
      <c r="B2" s="4" t="s">
        <v>47</v>
      </c>
      <c r="C2" s="5" t="s">
        <v>46</v>
      </c>
      <c r="D2" s="5" t="s">
        <v>48</v>
      </c>
      <c r="E2" s="5" t="s">
        <v>49</v>
      </c>
      <c r="F2" s="5" t="s">
        <v>51</v>
      </c>
      <c r="G2" s="5" t="s">
        <v>50</v>
      </c>
      <c r="H2" s="6" t="s">
        <v>6</v>
      </c>
      <c r="I2" s="5" t="s">
        <v>52</v>
      </c>
      <c r="J2" s="5" t="s">
        <v>53</v>
      </c>
      <c r="K2" s="7" t="s">
        <v>54</v>
      </c>
      <c r="L2" s="5" t="s">
        <v>55</v>
      </c>
      <c r="M2" s="8" t="s">
        <v>56</v>
      </c>
      <c r="N2" s="1"/>
    </row>
    <row r="3" spans="1:14">
      <c r="A3" s="10">
        <v>35</v>
      </c>
      <c r="B3" s="11">
        <v>6</v>
      </c>
      <c r="C3" s="48">
        <v>9</v>
      </c>
      <c r="D3" s="12"/>
      <c r="E3" s="13">
        <v>389</v>
      </c>
      <c r="F3" s="14"/>
      <c r="G3" s="48">
        <v>4.3</v>
      </c>
      <c r="H3" s="13">
        <v>3</v>
      </c>
      <c r="I3" s="48">
        <v>6</v>
      </c>
      <c r="J3" s="46" t="s">
        <v>42</v>
      </c>
      <c r="K3" s="13" t="s">
        <v>31</v>
      </c>
      <c r="L3" s="13">
        <v>6.32</v>
      </c>
      <c r="M3" s="48">
        <v>5.59</v>
      </c>
    </row>
    <row r="4" spans="1:14">
      <c r="A4" s="15">
        <v>37</v>
      </c>
      <c r="B4" s="11">
        <v>8</v>
      </c>
      <c r="C4" s="48"/>
      <c r="D4" s="12">
        <v>39.729999999999997</v>
      </c>
      <c r="E4" s="13">
        <v>213</v>
      </c>
      <c r="F4" s="14">
        <f>SUM(E4/D4)</f>
        <v>5.3611880191291217</v>
      </c>
      <c r="G4" s="48"/>
      <c r="H4" s="13">
        <v>6</v>
      </c>
      <c r="I4" s="48"/>
      <c r="J4" s="46"/>
      <c r="K4" s="13" t="s">
        <v>32</v>
      </c>
      <c r="L4" s="13">
        <v>4.57</v>
      </c>
      <c r="M4" s="48"/>
    </row>
    <row r="5" spans="1:14">
      <c r="A5" s="15">
        <v>38</v>
      </c>
      <c r="B5" s="11">
        <v>10</v>
      </c>
      <c r="C5" s="48"/>
      <c r="D5" s="12">
        <v>28.85</v>
      </c>
      <c r="E5" s="13">
        <v>136</v>
      </c>
      <c r="F5" s="14">
        <f>SUM(E5/D5)</f>
        <v>4.7140381282495669</v>
      </c>
      <c r="G5" s="48"/>
      <c r="H5" s="13">
        <v>7</v>
      </c>
      <c r="I5" s="48"/>
      <c r="J5" s="46"/>
      <c r="K5" s="13" t="s">
        <v>33</v>
      </c>
      <c r="L5" s="13">
        <v>5.65</v>
      </c>
      <c r="M5" s="48"/>
    </row>
    <row r="6" spans="1:14">
      <c r="A6" s="15">
        <v>43</v>
      </c>
      <c r="B6" s="11">
        <v>7</v>
      </c>
      <c r="C6" s="48"/>
      <c r="D6" s="12" t="s">
        <v>30</v>
      </c>
      <c r="E6" s="13">
        <v>67</v>
      </c>
      <c r="F6" s="14">
        <f>SUM(E6/D6)</f>
        <v>1.1433447098976108</v>
      </c>
      <c r="G6" s="48"/>
      <c r="H6" s="13">
        <v>4</v>
      </c>
      <c r="I6" s="48"/>
      <c r="J6" s="46"/>
      <c r="K6" s="13" t="s">
        <v>32</v>
      </c>
      <c r="L6" s="13">
        <v>4.9800000000000004</v>
      </c>
      <c r="M6" s="48"/>
    </row>
    <row r="7" spans="1:14">
      <c r="A7" s="15">
        <v>44</v>
      </c>
      <c r="B7" s="11">
        <v>14</v>
      </c>
      <c r="C7" s="48"/>
      <c r="D7" s="12">
        <v>36.93</v>
      </c>
      <c r="E7" s="13">
        <v>226</v>
      </c>
      <c r="F7" s="14">
        <f>SUM(E7/D7)</f>
        <v>6.1196858922285404</v>
      </c>
      <c r="G7" s="48"/>
      <c r="H7" s="13">
        <v>13</v>
      </c>
      <c r="I7" s="48"/>
      <c r="J7" s="46"/>
      <c r="K7" s="16" t="s">
        <v>33</v>
      </c>
      <c r="L7" s="13">
        <v>5.61</v>
      </c>
      <c r="M7" s="48"/>
    </row>
    <row r="8" spans="1:14">
      <c r="A8" s="15">
        <v>49</v>
      </c>
      <c r="B8" s="11">
        <v>14</v>
      </c>
      <c r="C8" s="48"/>
      <c r="D8" s="12"/>
      <c r="E8" s="13">
        <v>75</v>
      </c>
      <c r="F8" s="14"/>
      <c r="G8" s="48"/>
      <c r="H8" s="13">
        <v>4</v>
      </c>
      <c r="I8" s="48"/>
      <c r="J8" s="46"/>
      <c r="K8" s="13" t="s">
        <v>33</v>
      </c>
      <c r="L8" s="13">
        <v>5.17</v>
      </c>
      <c r="M8" s="48"/>
    </row>
    <row r="9" spans="1:14">
      <c r="A9" s="15">
        <v>50</v>
      </c>
      <c r="B9" s="11">
        <v>7</v>
      </c>
      <c r="C9" s="48"/>
      <c r="D9" s="12"/>
      <c r="E9" s="13">
        <v>122</v>
      </c>
      <c r="F9" s="14"/>
      <c r="G9" s="48"/>
      <c r="H9" s="13">
        <v>6</v>
      </c>
      <c r="I9" s="48"/>
      <c r="J9" s="46"/>
      <c r="K9" s="13" t="s">
        <v>31</v>
      </c>
      <c r="L9" s="13">
        <v>6.52</v>
      </c>
      <c r="M9" s="48"/>
    </row>
    <row r="10" spans="1:14">
      <c r="A10" s="17">
        <v>51</v>
      </c>
      <c r="B10" s="18">
        <v>9</v>
      </c>
      <c r="C10" s="49"/>
      <c r="D10" s="19"/>
      <c r="E10" s="20">
        <v>194</v>
      </c>
      <c r="F10" s="21"/>
      <c r="G10" s="49"/>
      <c r="H10" s="20">
        <v>6</v>
      </c>
      <c r="I10" s="49"/>
      <c r="J10" s="47"/>
      <c r="K10" s="20" t="s">
        <v>33</v>
      </c>
      <c r="L10" s="20">
        <v>5.9</v>
      </c>
      <c r="M10" s="49"/>
    </row>
    <row r="11" spans="1:14" ht="24">
      <c r="A11" s="22">
        <v>53</v>
      </c>
      <c r="B11" s="23">
        <v>16</v>
      </c>
      <c r="C11" s="24">
        <v>16</v>
      </c>
      <c r="D11" s="25"/>
      <c r="E11" s="24">
        <v>57</v>
      </c>
      <c r="F11" s="26"/>
      <c r="G11" s="24"/>
      <c r="H11" s="24">
        <v>9</v>
      </c>
      <c r="I11" s="24">
        <v>9</v>
      </c>
      <c r="J11" s="27" t="s">
        <v>43</v>
      </c>
      <c r="K11" s="28" t="s">
        <v>34</v>
      </c>
      <c r="L11" s="24">
        <v>3.2</v>
      </c>
      <c r="M11" s="29">
        <v>3.2</v>
      </c>
    </row>
    <row r="12" spans="1:14">
      <c r="A12" s="30">
        <v>15</v>
      </c>
      <c r="B12" s="31">
        <v>17</v>
      </c>
      <c r="C12" s="50">
        <v>18</v>
      </c>
      <c r="D12" s="32"/>
      <c r="E12" s="33">
        <v>268</v>
      </c>
      <c r="F12" s="34"/>
      <c r="G12" s="50">
        <v>8.5</v>
      </c>
      <c r="H12" s="35">
        <v>14</v>
      </c>
      <c r="I12" s="50">
        <v>11</v>
      </c>
      <c r="J12" s="45" t="s">
        <v>44</v>
      </c>
      <c r="K12" s="35" t="s">
        <v>31</v>
      </c>
      <c r="L12" s="35">
        <v>6.26</v>
      </c>
      <c r="M12" s="50">
        <v>4.7699999999999996</v>
      </c>
    </row>
    <row r="13" spans="1:14">
      <c r="A13" s="15">
        <v>16</v>
      </c>
      <c r="B13" s="11">
        <v>13.2</v>
      </c>
      <c r="C13" s="48"/>
      <c r="D13" s="12"/>
      <c r="E13" s="36">
        <v>217</v>
      </c>
      <c r="F13" s="14"/>
      <c r="G13" s="48"/>
      <c r="H13" s="13">
        <v>13</v>
      </c>
      <c r="I13" s="48"/>
      <c r="J13" s="46"/>
      <c r="K13" s="13" t="s">
        <v>31</v>
      </c>
      <c r="L13" s="13">
        <v>6.05</v>
      </c>
      <c r="M13" s="48"/>
    </row>
    <row r="14" spans="1:14">
      <c r="A14" s="15" t="s">
        <v>8</v>
      </c>
      <c r="B14" s="11">
        <v>15</v>
      </c>
      <c r="C14" s="48"/>
      <c r="D14" s="12" t="s">
        <v>17</v>
      </c>
      <c r="E14" s="36">
        <v>458</v>
      </c>
      <c r="F14" s="14">
        <f>SUM(E14/D14)</f>
        <v>17.50095529231945</v>
      </c>
      <c r="G14" s="48"/>
      <c r="H14" s="13">
        <v>7</v>
      </c>
      <c r="I14" s="48"/>
      <c r="J14" s="46"/>
      <c r="K14" s="13" t="s">
        <v>35</v>
      </c>
      <c r="L14" s="13">
        <v>2.57</v>
      </c>
      <c r="M14" s="48"/>
    </row>
    <row r="15" spans="1:14">
      <c r="A15" s="15">
        <v>34</v>
      </c>
      <c r="B15" s="11">
        <v>35</v>
      </c>
      <c r="C15" s="48"/>
      <c r="D15" s="12">
        <v>19.04</v>
      </c>
      <c r="E15" s="13">
        <v>286</v>
      </c>
      <c r="F15" s="14">
        <f>SUM(E15/D15)</f>
        <v>15.021008403361344</v>
      </c>
      <c r="G15" s="48"/>
      <c r="H15" s="13">
        <v>13</v>
      </c>
      <c r="I15" s="48"/>
      <c r="J15" s="46"/>
      <c r="K15" s="13" t="s">
        <v>33</v>
      </c>
      <c r="L15" s="13">
        <v>5.8</v>
      </c>
      <c r="M15" s="48"/>
    </row>
    <row r="16" spans="1:14">
      <c r="A16" s="15">
        <v>36</v>
      </c>
      <c r="B16" s="11">
        <v>13</v>
      </c>
      <c r="C16" s="48"/>
      <c r="D16" s="12"/>
      <c r="E16" s="13">
        <v>375</v>
      </c>
      <c r="F16" s="14"/>
      <c r="G16" s="48"/>
      <c r="H16" s="13">
        <v>12</v>
      </c>
      <c r="I16" s="48"/>
      <c r="J16" s="46"/>
      <c r="K16" s="13" t="s">
        <v>31</v>
      </c>
      <c r="L16" s="13">
        <v>6.86</v>
      </c>
      <c r="M16" s="48"/>
    </row>
    <row r="17" spans="1:13">
      <c r="A17" s="15">
        <v>39</v>
      </c>
      <c r="B17" s="11">
        <v>20</v>
      </c>
      <c r="C17" s="48"/>
      <c r="D17" s="12">
        <v>38.950000000000003</v>
      </c>
      <c r="E17" s="13">
        <v>199</v>
      </c>
      <c r="F17" s="14">
        <f t="shared" ref="F17:F24" si="0">SUM(E17/D17)</f>
        <v>5.1091142490372272</v>
      </c>
      <c r="G17" s="48"/>
      <c r="H17" s="13">
        <v>12</v>
      </c>
      <c r="I17" s="48"/>
      <c r="J17" s="46"/>
      <c r="K17" s="13" t="s">
        <v>33</v>
      </c>
      <c r="L17" s="13">
        <v>5.46</v>
      </c>
      <c r="M17" s="48"/>
    </row>
    <row r="18" spans="1:13">
      <c r="A18" s="15">
        <v>41</v>
      </c>
      <c r="B18" s="11">
        <v>15</v>
      </c>
      <c r="C18" s="48"/>
      <c r="D18" s="12">
        <v>47.43</v>
      </c>
      <c r="E18" s="13">
        <v>146</v>
      </c>
      <c r="F18" s="14">
        <f t="shared" si="0"/>
        <v>3.0782205355260386</v>
      </c>
      <c r="G18" s="48"/>
      <c r="H18" s="13">
        <v>10</v>
      </c>
      <c r="I18" s="48"/>
      <c r="J18" s="46"/>
      <c r="K18" s="16" t="s">
        <v>32</v>
      </c>
      <c r="L18" s="13">
        <v>4.34</v>
      </c>
      <c r="M18" s="48"/>
    </row>
    <row r="19" spans="1:13">
      <c r="A19" s="17">
        <v>47</v>
      </c>
      <c r="B19" s="18">
        <v>13</v>
      </c>
      <c r="C19" s="49"/>
      <c r="D19" s="19">
        <v>101.28</v>
      </c>
      <c r="E19" s="20">
        <v>162</v>
      </c>
      <c r="F19" s="21">
        <f t="shared" si="0"/>
        <v>1.5995260663507109</v>
      </c>
      <c r="G19" s="49"/>
      <c r="H19" s="20">
        <v>10</v>
      </c>
      <c r="I19" s="49"/>
      <c r="J19" s="47"/>
      <c r="K19" s="20" t="s">
        <v>4</v>
      </c>
      <c r="L19" s="20">
        <v>0.8</v>
      </c>
      <c r="M19" s="49"/>
    </row>
    <row r="20" spans="1:13">
      <c r="A20" s="30">
        <v>2</v>
      </c>
      <c r="B20" s="31">
        <v>22.5</v>
      </c>
      <c r="C20" s="50">
        <v>23</v>
      </c>
      <c r="D20" s="32" t="s">
        <v>9</v>
      </c>
      <c r="E20" s="33">
        <v>132</v>
      </c>
      <c r="F20" s="34">
        <f t="shared" si="0"/>
        <v>1.4410480349344978</v>
      </c>
      <c r="G20" s="50">
        <v>3.7</v>
      </c>
      <c r="H20" s="35">
        <v>10</v>
      </c>
      <c r="I20" s="50">
        <v>13</v>
      </c>
      <c r="J20" s="45" t="s">
        <v>1</v>
      </c>
      <c r="K20" s="35" t="s">
        <v>36</v>
      </c>
      <c r="L20" s="35">
        <v>1.64</v>
      </c>
      <c r="M20" s="50">
        <v>1.51</v>
      </c>
    </row>
    <row r="21" spans="1:13">
      <c r="A21" s="15">
        <v>3</v>
      </c>
      <c r="B21" s="11">
        <v>18.5</v>
      </c>
      <c r="C21" s="48"/>
      <c r="D21" s="12" t="s">
        <v>10</v>
      </c>
      <c r="E21" s="36">
        <v>1413</v>
      </c>
      <c r="F21" s="14">
        <f t="shared" si="0"/>
        <v>10.007082152974505</v>
      </c>
      <c r="G21" s="48"/>
      <c r="H21" s="13">
        <v>20</v>
      </c>
      <c r="I21" s="48"/>
      <c r="J21" s="46"/>
      <c r="K21" s="13" t="s">
        <v>35</v>
      </c>
      <c r="L21" s="13">
        <v>2.16</v>
      </c>
      <c r="M21" s="48"/>
    </row>
    <row r="22" spans="1:13">
      <c r="A22" s="15">
        <v>5</v>
      </c>
      <c r="B22" s="11">
        <v>21.6</v>
      </c>
      <c r="C22" s="48"/>
      <c r="D22" s="12" t="s">
        <v>11</v>
      </c>
      <c r="E22" s="36">
        <v>549</v>
      </c>
      <c r="F22" s="14">
        <f t="shared" si="0"/>
        <v>7.3474304068522489</v>
      </c>
      <c r="G22" s="48"/>
      <c r="H22" s="13">
        <v>14</v>
      </c>
      <c r="I22" s="48"/>
      <c r="J22" s="46"/>
      <c r="K22" s="13" t="s">
        <v>32</v>
      </c>
      <c r="L22" s="13">
        <v>4.71</v>
      </c>
      <c r="M22" s="48"/>
    </row>
    <row r="23" spans="1:13">
      <c r="A23" s="15">
        <v>8</v>
      </c>
      <c r="B23" s="11">
        <v>48.6</v>
      </c>
      <c r="C23" s="48"/>
      <c r="D23" s="12" t="s">
        <v>12</v>
      </c>
      <c r="E23" s="36">
        <v>213</v>
      </c>
      <c r="F23" s="14">
        <f t="shared" si="0"/>
        <v>8.6515028432168961</v>
      </c>
      <c r="G23" s="48"/>
      <c r="H23" s="13">
        <v>12</v>
      </c>
      <c r="I23" s="48"/>
      <c r="J23" s="46"/>
      <c r="K23" s="13" t="s">
        <v>35</v>
      </c>
      <c r="L23" s="13">
        <v>2.2599999999999998</v>
      </c>
      <c r="M23" s="48"/>
    </row>
    <row r="24" spans="1:13">
      <c r="A24" s="15">
        <v>13</v>
      </c>
      <c r="B24" s="11">
        <v>23.4</v>
      </c>
      <c r="C24" s="48"/>
      <c r="D24" s="12" t="s">
        <v>16</v>
      </c>
      <c r="E24" s="36">
        <v>446</v>
      </c>
      <c r="F24" s="14">
        <f t="shared" si="0"/>
        <v>3.1962161387415797</v>
      </c>
      <c r="G24" s="48"/>
      <c r="H24" s="13">
        <v>18</v>
      </c>
      <c r="I24" s="48"/>
      <c r="J24" s="46"/>
      <c r="K24" s="13" t="s">
        <v>36</v>
      </c>
      <c r="L24" s="13">
        <v>1.97</v>
      </c>
      <c r="M24" s="48"/>
    </row>
    <row r="25" spans="1:13">
      <c r="A25" s="15">
        <v>14</v>
      </c>
      <c r="B25" s="11">
        <v>24</v>
      </c>
      <c r="C25" s="48"/>
      <c r="D25" s="12"/>
      <c r="E25" s="36">
        <v>87</v>
      </c>
      <c r="F25" s="14"/>
      <c r="G25" s="48"/>
      <c r="H25" s="13">
        <v>5</v>
      </c>
      <c r="I25" s="48"/>
      <c r="J25" s="46"/>
      <c r="K25" s="13" t="s">
        <v>36</v>
      </c>
      <c r="L25" s="13">
        <v>1.71</v>
      </c>
      <c r="M25" s="48"/>
    </row>
    <row r="26" spans="1:13">
      <c r="A26" s="15">
        <v>18</v>
      </c>
      <c r="B26" s="11">
        <v>31</v>
      </c>
      <c r="C26" s="48"/>
      <c r="D26" s="12" t="s">
        <v>18</v>
      </c>
      <c r="E26" s="36">
        <v>319</v>
      </c>
      <c r="F26" s="14">
        <v>7.4</v>
      </c>
      <c r="G26" s="48"/>
      <c r="H26" s="13">
        <v>17</v>
      </c>
      <c r="I26" s="48"/>
      <c r="J26" s="46"/>
      <c r="K26" s="13" t="s">
        <v>36</v>
      </c>
      <c r="L26" s="13">
        <v>1.08</v>
      </c>
      <c r="M26" s="48"/>
    </row>
    <row r="27" spans="1:13">
      <c r="A27" s="15">
        <v>20</v>
      </c>
      <c r="B27" s="11">
        <v>20</v>
      </c>
      <c r="C27" s="48"/>
      <c r="D27" s="12" t="s">
        <v>20</v>
      </c>
      <c r="E27" s="36">
        <v>148</v>
      </c>
      <c r="F27" s="14">
        <f t="shared" ref="F27:F32" si="1">SUM(E27/D27)</f>
        <v>0.96141353774197735</v>
      </c>
      <c r="G27" s="48"/>
      <c r="H27" s="13">
        <v>18</v>
      </c>
      <c r="I27" s="48"/>
      <c r="J27" s="46"/>
      <c r="K27" s="13" t="s">
        <v>37</v>
      </c>
      <c r="L27" s="13">
        <v>0.28999999999999998</v>
      </c>
      <c r="M27" s="48"/>
    </row>
    <row r="28" spans="1:13">
      <c r="A28" s="15">
        <v>24</v>
      </c>
      <c r="B28" s="11">
        <v>14</v>
      </c>
      <c r="C28" s="48"/>
      <c r="D28" s="12" t="s">
        <v>24</v>
      </c>
      <c r="E28" s="36">
        <v>169</v>
      </c>
      <c r="F28" s="14">
        <f t="shared" si="1"/>
        <v>1.3342807516185062</v>
      </c>
      <c r="G28" s="48"/>
      <c r="H28" s="13">
        <v>12</v>
      </c>
      <c r="I28" s="48"/>
      <c r="J28" s="46"/>
      <c r="K28" s="16" t="s">
        <v>36</v>
      </c>
      <c r="L28" s="13">
        <v>1.05</v>
      </c>
      <c r="M28" s="48"/>
    </row>
    <row r="29" spans="1:13">
      <c r="A29" s="15">
        <v>27</v>
      </c>
      <c r="B29" s="11">
        <v>23</v>
      </c>
      <c r="C29" s="48"/>
      <c r="D29" s="12" t="s">
        <v>26</v>
      </c>
      <c r="E29" s="36">
        <v>70</v>
      </c>
      <c r="F29" s="14">
        <f t="shared" si="1"/>
        <v>0.31692850998324806</v>
      </c>
      <c r="G29" s="48"/>
      <c r="H29" s="13">
        <v>12</v>
      </c>
      <c r="I29" s="48"/>
      <c r="J29" s="46"/>
      <c r="K29" s="13" t="s">
        <v>38</v>
      </c>
      <c r="L29" s="13">
        <v>-0.15</v>
      </c>
      <c r="M29" s="48"/>
    </row>
    <row r="30" spans="1:13">
      <c r="A30" s="15">
        <v>28</v>
      </c>
      <c r="B30" s="11">
        <v>18</v>
      </c>
      <c r="C30" s="48"/>
      <c r="D30" s="12" t="s">
        <v>27</v>
      </c>
      <c r="E30" s="36">
        <v>517</v>
      </c>
      <c r="F30" s="14">
        <f t="shared" si="1"/>
        <v>3.7731717997372645</v>
      </c>
      <c r="G30" s="48"/>
      <c r="H30" s="13">
        <v>15</v>
      </c>
      <c r="I30" s="48"/>
      <c r="J30" s="46"/>
      <c r="K30" s="13" t="s">
        <v>36</v>
      </c>
      <c r="L30" s="13">
        <v>1.9</v>
      </c>
      <c r="M30" s="48"/>
    </row>
    <row r="31" spans="1:13">
      <c r="A31" s="15">
        <v>30</v>
      </c>
      <c r="B31" s="11">
        <v>20</v>
      </c>
      <c r="C31" s="48"/>
      <c r="D31" s="12" t="s">
        <v>29</v>
      </c>
      <c r="E31" s="36">
        <v>73</v>
      </c>
      <c r="F31" s="14">
        <f t="shared" si="1"/>
        <v>0.57102628285356694</v>
      </c>
      <c r="G31" s="48"/>
      <c r="H31" s="13">
        <v>6</v>
      </c>
      <c r="I31" s="48"/>
      <c r="J31" s="46"/>
      <c r="K31" s="13" t="s">
        <v>37</v>
      </c>
      <c r="L31" s="13">
        <v>0.6</v>
      </c>
      <c r="M31" s="48"/>
    </row>
    <row r="32" spans="1:13">
      <c r="A32" s="15">
        <v>31</v>
      </c>
      <c r="B32" s="11">
        <v>21</v>
      </c>
      <c r="C32" s="48"/>
      <c r="D32" s="12">
        <v>206.83</v>
      </c>
      <c r="E32" s="13">
        <v>172</v>
      </c>
      <c r="F32" s="14">
        <f t="shared" si="1"/>
        <v>0.83160083160083154</v>
      </c>
      <c r="G32" s="48"/>
      <c r="H32" s="13">
        <v>12</v>
      </c>
      <c r="I32" s="48"/>
      <c r="J32" s="46"/>
      <c r="K32" s="13" t="s">
        <v>36</v>
      </c>
      <c r="L32" s="13">
        <v>1.83</v>
      </c>
      <c r="M32" s="48"/>
    </row>
    <row r="33" spans="1:13">
      <c r="A33" s="15">
        <v>32</v>
      </c>
      <c r="B33" s="11">
        <v>22</v>
      </c>
      <c r="C33" s="48"/>
      <c r="D33" s="37"/>
      <c r="E33" s="13">
        <v>221</v>
      </c>
      <c r="F33" s="14"/>
      <c r="G33" s="48"/>
      <c r="H33" s="13">
        <v>17</v>
      </c>
      <c r="I33" s="48"/>
      <c r="J33" s="46"/>
      <c r="K33" s="13" t="s">
        <v>4</v>
      </c>
      <c r="L33" s="13">
        <v>0.39</v>
      </c>
      <c r="M33" s="48"/>
    </row>
    <row r="34" spans="1:13">
      <c r="A34" s="17">
        <v>46</v>
      </c>
      <c r="B34" s="18">
        <v>23</v>
      </c>
      <c r="C34" s="49"/>
      <c r="D34" s="19">
        <v>25.36</v>
      </c>
      <c r="E34" s="20">
        <v>50</v>
      </c>
      <c r="F34" s="21">
        <f>SUM(E34/D34)</f>
        <v>1.9716088328075709</v>
      </c>
      <c r="G34" s="49"/>
      <c r="H34" s="20">
        <v>7</v>
      </c>
      <c r="I34" s="49"/>
      <c r="J34" s="47"/>
      <c r="K34" s="20" t="s">
        <v>36</v>
      </c>
      <c r="L34" s="20">
        <v>1.26</v>
      </c>
      <c r="M34" s="49"/>
    </row>
    <row r="35" spans="1:13" ht="24">
      <c r="A35" s="22">
        <v>11</v>
      </c>
      <c r="B35" s="23">
        <v>27</v>
      </c>
      <c r="C35" s="24">
        <v>27</v>
      </c>
      <c r="D35" s="38" t="s">
        <v>14</v>
      </c>
      <c r="E35" s="25">
        <v>143</v>
      </c>
      <c r="F35" s="26">
        <f>SUM(E35/D35)</f>
        <v>1.3613861386138613</v>
      </c>
      <c r="G35" s="24">
        <v>1.4</v>
      </c>
      <c r="H35" s="24">
        <v>14</v>
      </c>
      <c r="I35" s="24">
        <v>14</v>
      </c>
      <c r="J35" s="39" t="s">
        <v>2</v>
      </c>
      <c r="K35" s="28" t="s">
        <v>37</v>
      </c>
      <c r="L35" s="24">
        <v>0.1</v>
      </c>
      <c r="M35" s="24">
        <v>0.1</v>
      </c>
    </row>
    <row r="36" spans="1:13" ht="12" customHeight="1">
      <c r="A36" s="15">
        <v>6</v>
      </c>
      <c r="B36" s="11">
        <v>60</v>
      </c>
      <c r="C36" s="48">
        <v>29</v>
      </c>
      <c r="D36" s="12"/>
      <c r="E36" s="36">
        <v>96</v>
      </c>
      <c r="F36" s="14"/>
      <c r="G36" s="48">
        <v>0.9</v>
      </c>
      <c r="H36" s="13">
        <v>8</v>
      </c>
      <c r="I36" s="48">
        <v>11</v>
      </c>
      <c r="J36" s="52" t="s">
        <v>3</v>
      </c>
      <c r="K36" s="13" t="s">
        <v>36</v>
      </c>
      <c r="L36" s="13">
        <v>1.4</v>
      </c>
      <c r="M36" s="48">
        <v>1.34</v>
      </c>
    </row>
    <row r="37" spans="1:13">
      <c r="A37" s="15" t="s">
        <v>7</v>
      </c>
      <c r="B37" s="11">
        <v>25</v>
      </c>
      <c r="C37" s="48"/>
      <c r="D37" s="12" t="s">
        <v>13</v>
      </c>
      <c r="E37" s="36">
        <v>108</v>
      </c>
      <c r="F37" s="14">
        <f>SUM(E37/D37)</f>
        <v>0.96583795385440896</v>
      </c>
      <c r="G37" s="48"/>
      <c r="H37" s="13">
        <v>10</v>
      </c>
      <c r="I37" s="48"/>
      <c r="J37" s="52"/>
      <c r="K37" s="13" t="s">
        <v>36</v>
      </c>
      <c r="L37" s="13">
        <v>1.5</v>
      </c>
      <c r="M37" s="48"/>
    </row>
    <row r="38" spans="1:13">
      <c r="A38" s="15">
        <v>22</v>
      </c>
      <c r="B38" s="11">
        <v>24</v>
      </c>
      <c r="C38" s="48"/>
      <c r="D38" s="12" t="s">
        <v>22</v>
      </c>
      <c r="E38" s="36">
        <v>111</v>
      </c>
      <c r="F38" s="14">
        <f>SUM(E38/D38)</f>
        <v>0.79263067694944311</v>
      </c>
      <c r="G38" s="48"/>
      <c r="H38" s="13">
        <v>10</v>
      </c>
      <c r="I38" s="48"/>
      <c r="J38" s="52"/>
      <c r="K38" s="13" t="s">
        <v>37</v>
      </c>
      <c r="L38" s="13">
        <v>0.27</v>
      </c>
      <c r="M38" s="48"/>
    </row>
    <row r="39" spans="1:13">
      <c r="A39" s="15">
        <v>23</v>
      </c>
      <c r="B39" s="11">
        <v>23</v>
      </c>
      <c r="C39" s="48"/>
      <c r="D39" s="12" t="s">
        <v>23</v>
      </c>
      <c r="E39" s="36">
        <v>147</v>
      </c>
      <c r="F39" s="14">
        <f>SUM(E39/D39)</f>
        <v>0.9471039237162554</v>
      </c>
      <c r="G39" s="48"/>
      <c r="H39" s="13">
        <v>10</v>
      </c>
      <c r="I39" s="48"/>
      <c r="J39" s="52"/>
      <c r="K39" s="16" t="s">
        <v>36</v>
      </c>
      <c r="L39" s="13">
        <v>1.38</v>
      </c>
      <c r="M39" s="48"/>
    </row>
    <row r="40" spans="1:13">
      <c r="A40" s="15">
        <v>26</v>
      </c>
      <c r="B40" s="11">
        <v>20</v>
      </c>
      <c r="C40" s="48"/>
      <c r="D40" s="12" t="s">
        <v>25</v>
      </c>
      <c r="E40" s="36">
        <v>95</v>
      </c>
      <c r="F40" s="14">
        <f>SUM(E40/D40)</f>
        <v>0.43805044496703094</v>
      </c>
      <c r="G40" s="48"/>
      <c r="H40" s="13">
        <v>12</v>
      </c>
      <c r="I40" s="48"/>
      <c r="J40" s="52"/>
      <c r="K40" s="13" t="s">
        <v>4</v>
      </c>
      <c r="L40" s="13">
        <v>0.42</v>
      </c>
      <c r="M40" s="48"/>
    </row>
    <row r="41" spans="1:13">
      <c r="A41" s="15">
        <v>40</v>
      </c>
      <c r="B41" s="11">
        <v>30</v>
      </c>
      <c r="C41" s="48"/>
      <c r="D41" s="12"/>
      <c r="E41" s="13">
        <v>343</v>
      </c>
      <c r="F41" s="14"/>
      <c r="G41" s="48"/>
      <c r="H41" s="13">
        <v>10</v>
      </c>
      <c r="I41" s="48"/>
      <c r="J41" s="52"/>
      <c r="K41" s="13" t="s">
        <v>34</v>
      </c>
      <c r="L41" s="13">
        <v>3.08</v>
      </c>
      <c r="M41" s="48"/>
    </row>
    <row r="42" spans="1:13">
      <c r="A42" s="17">
        <v>56</v>
      </c>
      <c r="B42" s="18">
        <v>21</v>
      </c>
      <c r="C42" s="49"/>
      <c r="D42" s="19">
        <v>197.12</v>
      </c>
      <c r="E42" s="20">
        <v>255</v>
      </c>
      <c r="F42" s="21">
        <f>SUM(E42/D42)</f>
        <v>1.2936282467532467</v>
      </c>
      <c r="G42" s="49"/>
      <c r="H42" s="20">
        <v>17</v>
      </c>
      <c r="I42" s="49"/>
      <c r="J42" s="53"/>
      <c r="K42" s="20" t="s">
        <v>36</v>
      </c>
      <c r="L42" s="20">
        <v>1.36</v>
      </c>
      <c r="M42" s="49"/>
    </row>
    <row r="43" spans="1:13">
      <c r="A43" s="30">
        <v>1</v>
      </c>
      <c r="B43" s="31">
        <v>16.100000000000001</v>
      </c>
      <c r="C43" s="50"/>
      <c r="D43" s="32"/>
      <c r="E43" s="33">
        <v>24</v>
      </c>
      <c r="F43" s="34"/>
      <c r="G43" s="50">
        <v>0.1</v>
      </c>
      <c r="H43" s="35">
        <v>7</v>
      </c>
      <c r="I43" s="50">
        <v>5</v>
      </c>
      <c r="J43" s="51" t="s">
        <v>40</v>
      </c>
      <c r="K43" s="35" t="s">
        <v>5</v>
      </c>
      <c r="L43" s="35">
        <v>-0.26</v>
      </c>
      <c r="M43" s="45" t="s">
        <v>41</v>
      </c>
    </row>
    <row r="44" spans="1:13">
      <c r="A44" s="15">
        <v>4</v>
      </c>
      <c r="B44" s="11">
        <v>24.6</v>
      </c>
      <c r="C44" s="48"/>
      <c r="D44" s="12"/>
      <c r="E44" s="36">
        <v>45</v>
      </c>
      <c r="F44" s="14"/>
      <c r="G44" s="48"/>
      <c r="H44" s="13">
        <v>6</v>
      </c>
      <c r="I44" s="48"/>
      <c r="J44" s="52"/>
      <c r="K44" s="13" t="s">
        <v>36</v>
      </c>
      <c r="L44" s="13">
        <v>1.78</v>
      </c>
      <c r="M44" s="46"/>
    </row>
    <row r="45" spans="1:13">
      <c r="A45" s="15">
        <v>7</v>
      </c>
      <c r="B45" s="11">
        <v>58</v>
      </c>
      <c r="C45" s="48"/>
      <c r="D45" s="12"/>
      <c r="E45" s="36">
        <v>5</v>
      </c>
      <c r="F45" s="14"/>
      <c r="G45" s="48"/>
      <c r="H45" s="13">
        <v>3</v>
      </c>
      <c r="I45" s="48"/>
      <c r="J45" s="52"/>
      <c r="K45" s="13" t="s">
        <v>38</v>
      </c>
      <c r="L45" s="13">
        <v>-0.49</v>
      </c>
      <c r="M45" s="46"/>
    </row>
    <row r="46" spans="1:13">
      <c r="A46" s="15">
        <v>12</v>
      </c>
      <c r="B46" s="11">
        <v>20</v>
      </c>
      <c r="C46" s="48"/>
      <c r="D46" s="12" t="s">
        <v>15</v>
      </c>
      <c r="E46" s="36">
        <v>13</v>
      </c>
      <c r="F46" s="14">
        <f>SUM(E46/D46)</f>
        <v>0.11177026910841716</v>
      </c>
      <c r="G46" s="48"/>
      <c r="H46" s="13">
        <v>4</v>
      </c>
      <c r="I46" s="48"/>
      <c r="J46" s="52"/>
      <c r="K46" s="16" t="s">
        <v>36</v>
      </c>
      <c r="L46" s="13">
        <v>1.08</v>
      </c>
      <c r="M46" s="46"/>
    </row>
    <row r="47" spans="1:13">
      <c r="A47" s="15">
        <v>19</v>
      </c>
      <c r="B47" s="11">
        <v>22</v>
      </c>
      <c r="C47" s="48"/>
      <c r="D47" s="12" t="s">
        <v>19</v>
      </c>
      <c r="E47" s="36">
        <v>17</v>
      </c>
      <c r="F47" s="14">
        <f>SUM(E47/D47)</f>
        <v>0.13284363522700632</v>
      </c>
      <c r="G47" s="48"/>
      <c r="H47" s="13">
        <v>3</v>
      </c>
      <c r="I47" s="48"/>
      <c r="J47" s="52"/>
      <c r="K47" s="13" t="s">
        <v>37</v>
      </c>
      <c r="L47" s="13">
        <v>0.24</v>
      </c>
      <c r="M47" s="46"/>
    </row>
    <row r="48" spans="1:13">
      <c r="A48" s="15">
        <v>21</v>
      </c>
      <c r="B48" s="11">
        <v>26</v>
      </c>
      <c r="C48" s="48"/>
      <c r="D48" s="12" t="s">
        <v>21</v>
      </c>
      <c r="E48" s="36">
        <v>22</v>
      </c>
      <c r="F48" s="14">
        <f>SUM(E48/D48)</f>
        <v>0.13188657754331276</v>
      </c>
      <c r="G48" s="48"/>
      <c r="H48" s="13">
        <v>4</v>
      </c>
      <c r="I48" s="48"/>
      <c r="J48" s="52"/>
      <c r="K48" s="13" t="s">
        <v>37</v>
      </c>
      <c r="L48" s="13">
        <v>0.63</v>
      </c>
      <c r="M48" s="46"/>
    </row>
    <row r="49" spans="1:13">
      <c r="A49" s="15">
        <v>25</v>
      </c>
      <c r="B49" s="11">
        <v>24</v>
      </c>
      <c r="C49" s="48"/>
      <c r="D49" s="12"/>
      <c r="E49" s="36">
        <v>31</v>
      </c>
      <c r="F49" s="14"/>
      <c r="G49" s="48"/>
      <c r="H49" s="13">
        <v>6</v>
      </c>
      <c r="I49" s="48"/>
      <c r="J49" s="52"/>
      <c r="K49" s="13" t="s">
        <v>4</v>
      </c>
      <c r="L49" s="13">
        <v>0.23</v>
      </c>
      <c r="M49" s="46"/>
    </row>
    <row r="50" spans="1:13">
      <c r="A50" s="15">
        <v>29</v>
      </c>
      <c r="B50" s="11">
        <v>32</v>
      </c>
      <c r="C50" s="48"/>
      <c r="D50" s="12" t="s">
        <v>28</v>
      </c>
      <c r="E50" s="36">
        <v>23</v>
      </c>
      <c r="F50" s="14">
        <f>SUM(E50/D50)</f>
        <v>0.21207929921622867</v>
      </c>
      <c r="G50" s="48"/>
      <c r="H50" s="13">
        <v>6</v>
      </c>
      <c r="I50" s="48"/>
      <c r="J50" s="52"/>
      <c r="K50" s="13" t="s">
        <v>37</v>
      </c>
      <c r="L50" s="13">
        <v>0.44</v>
      </c>
      <c r="M50" s="46"/>
    </row>
    <row r="51" spans="1:13">
      <c r="A51" s="15">
        <v>33</v>
      </c>
      <c r="B51" s="11">
        <v>16</v>
      </c>
      <c r="C51" s="48"/>
      <c r="D51" s="12"/>
      <c r="E51" s="13">
        <v>27</v>
      </c>
      <c r="F51" s="14"/>
      <c r="G51" s="48"/>
      <c r="H51" s="13">
        <v>4</v>
      </c>
      <c r="I51" s="48"/>
      <c r="J51" s="52"/>
      <c r="K51" s="13" t="s">
        <v>39</v>
      </c>
      <c r="L51" s="16">
        <v>7.08</v>
      </c>
      <c r="M51" s="46"/>
    </row>
    <row r="52" spans="1:13">
      <c r="A52" s="15">
        <v>42</v>
      </c>
      <c r="B52" s="11">
        <v>7</v>
      </c>
      <c r="C52" s="48"/>
      <c r="D52" s="12"/>
      <c r="E52" s="13">
        <v>49</v>
      </c>
      <c r="F52" s="14"/>
      <c r="G52" s="48"/>
      <c r="H52" s="13">
        <v>5</v>
      </c>
      <c r="I52" s="48"/>
      <c r="J52" s="52"/>
      <c r="K52" s="13" t="s">
        <v>31</v>
      </c>
      <c r="L52" s="16">
        <v>6.17</v>
      </c>
      <c r="M52" s="46"/>
    </row>
    <row r="53" spans="1:13">
      <c r="A53" s="15">
        <v>45</v>
      </c>
      <c r="B53" s="11">
        <v>23</v>
      </c>
      <c r="C53" s="48"/>
      <c r="D53" s="12">
        <v>151.97999999999999</v>
      </c>
      <c r="E53" s="13">
        <v>5</v>
      </c>
      <c r="F53" s="40">
        <f>SUM(E53/D53)</f>
        <v>3.2899065666535075E-2</v>
      </c>
      <c r="G53" s="48"/>
      <c r="H53" s="13">
        <v>3</v>
      </c>
      <c r="I53" s="48"/>
      <c r="J53" s="52"/>
      <c r="K53" s="13" t="s">
        <v>37</v>
      </c>
      <c r="L53" s="16">
        <v>0.15</v>
      </c>
      <c r="M53" s="46"/>
    </row>
    <row r="54" spans="1:13">
      <c r="A54" s="15">
        <v>48</v>
      </c>
      <c r="B54" s="11">
        <v>9</v>
      </c>
      <c r="C54" s="48"/>
      <c r="D54" s="12"/>
      <c r="E54" s="13">
        <v>42</v>
      </c>
      <c r="F54" s="14"/>
      <c r="G54" s="48"/>
      <c r="H54" s="13">
        <v>4</v>
      </c>
      <c r="I54" s="48"/>
      <c r="J54" s="52"/>
      <c r="K54" s="13" t="s">
        <v>31</v>
      </c>
      <c r="L54" s="16">
        <v>6.41</v>
      </c>
      <c r="M54" s="46"/>
    </row>
    <row r="55" spans="1:13">
      <c r="A55" s="15">
        <v>52</v>
      </c>
      <c r="B55" s="11">
        <v>13</v>
      </c>
      <c r="C55" s="48"/>
      <c r="D55" s="12"/>
      <c r="E55" s="13">
        <v>34</v>
      </c>
      <c r="F55" s="14"/>
      <c r="G55" s="48"/>
      <c r="H55" s="13">
        <v>6</v>
      </c>
      <c r="I55" s="48"/>
      <c r="J55" s="52"/>
      <c r="K55" s="13" t="s">
        <v>36</v>
      </c>
      <c r="L55" s="13">
        <v>1.0900000000000001</v>
      </c>
      <c r="M55" s="46"/>
    </row>
    <row r="56" spans="1:13">
      <c r="A56" s="15">
        <v>54</v>
      </c>
      <c r="B56" s="11">
        <v>32</v>
      </c>
      <c r="C56" s="48"/>
      <c r="D56" s="12"/>
      <c r="E56" s="13">
        <v>14</v>
      </c>
      <c r="F56" s="14"/>
      <c r="G56" s="48"/>
      <c r="H56" s="13">
        <v>4</v>
      </c>
      <c r="I56" s="48"/>
      <c r="J56" s="52"/>
      <c r="K56" s="13" t="s">
        <v>36</v>
      </c>
      <c r="L56" s="13">
        <v>1.57</v>
      </c>
      <c r="M56" s="46"/>
    </row>
    <row r="57" spans="1:13" ht="13" thickBot="1">
      <c r="A57" s="41">
        <v>55</v>
      </c>
      <c r="B57" s="18">
        <v>17</v>
      </c>
      <c r="C57" s="49"/>
      <c r="D57" s="19"/>
      <c r="E57" s="20">
        <v>43</v>
      </c>
      <c r="F57" s="21"/>
      <c r="G57" s="49"/>
      <c r="H57" s="20">
        <v>7</v>
      </c>
      <c r="I57" s="49"/>
      <c r="J57" s="53"/>
      <c r="K57" s="20" t="s">
        <v>36</v>
      </c>
      <c r="L57" s="20">
        <v>1.33</v>
      </c>
      <c r="M57" s="47"/>
    </row>
  </sheetData>
  <mergeCells count="26">
    <mergeCell ref="A1:M1"/>
    <mergeCell ref="I43:I57"/>
    <mergeCell ref="C20:C34"/>
    <mergeCell ref="C36:C42"/>
    <mergeCell ref="C43:C57"/>
    <mergeCell ref="I20:I34"/>
    <mergeCell ref="I36:I42"/>
    <mergeCell ref="G20:G34"/>
    <mergeCell ref="G36:G42"/>
    <mergeCell ref="G43:G57"/>
    <mergeCell ref="C3:C10"/>
    <mergeCell ref="C12:C19"/>
    <mergeCell ref="I3:I10"/>
    <mergeCell ref="I12:I19"/>
    <mergeCell ref="G3:G10"/>
    <mergeCell ref="G12:G19"/>
    <mergeCell ref="M43:M57"/>
    <mergeCell ref="M3:M10"/>
    <mergeCell ref="M12:M19"/>
    <mergeCell ref="M20:M34"/>
    <mergeCell ref="M36:M42"/>
    <mergeCell ref="J43:J57"/>
    <mergeCell ref="J20:J34"/>
    <mergeCell ref="J12:J19"/>
    <mergeCell ref="J3:J10"/>
    <mergeCell ref="J36:J42"/>
  </mergeCells>
  <phoneticPr fontId="1"/>
  <printOptions horizontalCentered="1" verticalCentered="1"/>
  <pageMargins left="0.54" right="0.75" top="1" bottom="0.68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G1"/>
  <sheetViews>
    <sheetView workbookViewId="0"/>
  </sheetViews>
  <sheetFormatPr baseColWidth="10" defaultColWidth="9.140625" defaultRowHeight="14"/>
  <cols>
    <col min="1" max="16384" width="9.140625" style="44"/>
  </cols>
  <sheetData>
    <row r="1" spans="1:7" ht="68.25" customHeight="1">
      <c r="A1" s="43" t="s">
        <v>58</v>
      </c>
      <c r="B1" s="55" t="s">
        <v>0</v>
      </c>
      <c r="C1" s="56"/>
      <c r="D1" s="56"/>
      <c r="E1" s="56"/>
      <c r="F1" s="56"/>
      <c r="G1" s="56"/>
    </row>
  </sheetData>
  <mergeCells count="1">
    <mergeCell ref="B1:G1"/>
  </mergeCells>
  <phoneticPr fontId="1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data</vt:lpstr>
      <vt:lpstr>Readme</vt:lpstr>
    </vt:vector>
  </TitlesOfParts>
  <Manager/>
  <Company>U.S. Geological Survey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USGS Open-File 2010-1130, table 3-5</dc:title>
  <dc:subject>Estuarine Sedimentation, Sediment Character, and Foraminiferal Distribution in Central San Francisco Bay, California</dc:subject>
  <dc:creator>John L. Chin, Donald L. Woodrow, Mary McGann, Florence L. Wong, Theresa Fregoso, and Bruce E. Jaffe</dc:creator>
  <cp:keywords/>
  <dc:description/>
  <cp:lastModifiedBy>Michael Diggles</cp:lastModifiedBy>
  <cp:lastPrinted>2009-06-12T17:47:00Z</cp:lastPrinted>
  <dcterms:created xsi:type="dcterms:W3CDTF">2010-08-11T23:12:26Z</dcterms:created>
  <dcterms:modified xsi:type="dcterms:W3CDTF">2010-08-11T23:12:26Z</dcterms:modified>
  <cp:category/>
</cp:coreProperties>
</file>