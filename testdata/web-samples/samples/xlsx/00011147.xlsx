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heckCompatibility="1" defaultThemeVersion="124226"/>
  <bookViews>
    <workbookView xWindow="240" yWindow="105" windowWidth="24240" windowHeight="12240" activeTab="3"/>
  </bookViews>
  <sheets>
    <sheet name="Summary" sheetId="1" r:id="rId1"/>
    <sheet name="Definitely will vote" sheetId="4" r:id="rId2"/>
    <sheet name="Potential Voters" sheetId="3" r:id="rId3"/>
    <sheet name="18+" sheetId="5" r:id="rId4"/>
  </sheets>
  <calcPr calcId="145621"/>
</workbook>
</file>

<file path=xl/calcChain.xml><?xml version="1.0" encoding="utf-8"?>
<calcChain xmlns="http://schemas.openxmlformats.org/spreadsheetml/2006/main">
  <c r="I31" i="5" l="1"/>
  <c r="F21" i="5"/>
  <c r="C14" i="5"/>
  <c r="C42" i="4"/>
  <c r="D25" i="1"/>
  <c r="J54" i="4"/>
  <c r="H54" i="4"/>
  <c r="F54" i="4"/>
  <c r="D54" i="4"/>
  <c r="C51" i="4"/>
  <c r="C50" i="4"/>
  <c r="C49" i="4"/>
  <c r="C48" i="4"/>
  <c r="C47" i="4"/>
  <c r="C46" i="4"/>
  <c r="C45" i="4"/>
  <c r="C44" i="4"/>
  <c r="C43" i="4"/>
  <c r="C80" i="3"/>
  <c r="C81" i="3"/>
  <c r="C79" i="3"/>
  <c r="C76" i="3"/>
  <c r="C77" i="3"/>
  <c r="C78" i="3"/>
  <c r="C75" i="3"/>
  <c r="C73" i="3"/>
  <c r="C74" i="3"/>
  <c r="C72" i="3"/>
  <c r="J84" i="3"/>
  <c r="H84" i="3"/>
  <c r="F84" i="3"/>
  <c r="D84" i="3"/>
  <c r="M60" i="3"/>
  <c r="C25" i="1"/>
</calcChain>
</file>

<file path=xl/sharedStrings.xml><?xml version="1.0" encoding="utf-8"?>
<sst xmlns="http://schemas.openxmlformats.org/spreadsheetml/2006/main" count="294" uniqueCount="84">
  <si>
    <r>
      <t xml:space="preserve">POTENTIAL VOTERS    </t>
    </r>
    <r>
      <rPr>
        <b/>
        <sz val="14"/>
        <color indexed="53"/>
        <rFont val="Wingdings"/>
        <charset val="2"/>
      </rPr>
      <t>ü</t>
    </r>
  </si>
  <si>
    <t>If a New Zealand general election were held tomorrow, which party would you vote for, or which do you have a preference towards at the moment?</t>
  </si>
  <si>
    <t>Combined Results - Definitely will vote</t>
  </si>
  <si>
    <t>Which party did you vote for at New Zealand’s last general election in 2008?</t>
  </si>
  <si>
    <t>Total</t>
  </si>
  <si>
    <t>ACT New Zealand</t>
  </si>
  <si>
    <t>Green Party</t>
  </si>
  <si>
    <t>Jim Anderton's Progressive Party</t>
  </si>
  <si>
    <t>Labour Party</t>
  </si>
  <si>
    <t>Maori Party</t>
  </si>
  <si>
    <t>National Party</t>
  </si>
  <si>
    <t>New Zealand First Party</t>
  </si>
  <si>
    <t>United Future</t>
  </si>
  <si>
    <t>Other Party</t>
  </si>
  <si>
    <t>Chose not to vote</t>
  </si>
  <si>
    <t>Not Eligible to Vote</t>
  </si>
  <si>
    <t>Don't know or can't remember</t>
  </si>
  <si>
    <t>Conservative Party of New Zealand</t>
  </si>
  <si>
    <t>Mana Party</t>
  </si>
  <si>
    <t>Other party</t>
  </si>
  <si>
    <t>Choose not to vote</t>
  </si>
  <si>
    <t>Don't Know</t>
  </si>
  <si>
    <t>*Totals may not sum exactly owing to rounding</t>
  </si>
  <si>
    <t>Base</t>
  </si>
  <si>
    <t>Margin of error</t>
  </si>
  <si>
    <t>Note: This result is based on respondents who did not rule out voting and who were eligible to vote.  It combines the results for those who have already decided how they will vote, with the results from those who are not sure, but have a preference for one party or another.</t>
  </si>
  <si>
    <t>Comparisons</t>
  </si>
  <si>
    <t>Combined Results</t>
  </si>
  <si>
    <t>November 2010</t>
  </si>
  <si>
    <t>December 2010</t>
  </si>
  <si>
    <t>January 2011</t>
  </si>
  <si>
    <t>February 2011</t>
  </si>
  <si>
    <t>March 2011</t>
  </si>
  <si>
    <t>April  2011</t>
  </si>
  <si>
    <t>May    2011 Pre-budget</t>
  </si>
  <si>
    <t>May    2011 Post-budget</t>
  </si>
  <si>
    <t>July  2011</t>
  </si>
  <si>
    <t>22 September  2011</t>
  </si>
  <si>
    <t>18 October 2011</t>
  </si>
  <si>
    <t>21 October 2011</t>
  </si>
  <si>
    <t>22 October 2011</t>
  </si>
  <si>
    <t>29 October 2011</t>
  </si>
  <si>
    <t>01 November 2011</t>
  </si>
  <si>
    <t>13 November 2011</t>
  </si>
  <si>
    <t>Party would vote for or have preference towards</t>
  </si>
  <si>
    <t>N/M**</t>
  </si>
  <si>
    <t>New Citizens' Party</t>
  </si>
  <si>
    <t>Don't know</t>
  </si>
  <si>
    <t>Base - All Interviews</t>
  </si>
  <si>
    <t>** N/M = "Not Measured"</t>
  </si>
  <si>
    <t>Scenario 1</t>
  </si>
  <si>
    <t>Scenario 2</t>
  </si>
  <si>
    <t>Scenario 3</t>
  </si>
  <si>
    <t>Scenario 4</t>
  </si>
  <si>
    <t>% Excluding Don't Knows</t>
  </si>
  <si>
    <t>Seats in Parliament from www.elections.org.nz calculator</t>
  </si>
  <si>
    <t>Assumptions</t>
  </si>
  <si>
    <t>Wins 1 seat</t>
  </si>
  <si>
    <t>Wins 0 seats</t>
  </si>
  <si>
    <t>Wins 4 seats</t>
  </si>
  <si>
    <t>Total Seats</t>
  </si>
  <si>
    <t>Note: This result is based on respondents who said that they were registered to vote,  were eligible to vote and would DEFINITELY vote.  It combines the results for those who have already decided how they will vote, with the results from those who are not sure, but have a preference for one party or another.</t>
  </si>
  <si>
    <r>
      <t xml:space="preserve">DEFINITELY WILL VOTE    </t>
    </r>
    <r>
      <rPr>
        <b/>
        <sz val="14"/>
        <color indexed="53"/>
        <rFont val="Wingdings"/>
        <charset val="2"/>
      </rPr>
      <t>ü</t>
    </r>
  </si>
  <si>
    <t>HorizonPoll November 2011</t>
  </si>
  <si>
    <r>
      <t xml:space="preserve">DEFINITE v POTENTIAL VOTERS    </t>
    </r>
    <r>
      <rPr>
        <b/>
        <sz val="14"/>
        <color theme="0"/>
        <rFont val="Wingdings"/>
        <charset val="2"/>
      </rPr>
      <t>ü</t>
    </r>
  </si>
  <si>
    <t>Definitely will vote</t>
  </si>
  <si>
    <t>Note: This result is based on respondents who said that they were registered to vote and were eligible to vote.  It combines the results for those who have already decided how they will vote, with the results from those who are not sure, but have a preference for one party or another.</t>
  </si>
  <si>
    <t>"Potential Vote":  Definitely will vote, Probably will vote and May vote</t>
  </si>
  <si>
    <t>Population 18+</t>
  </si>
  <si>
    <t>Registered to vote</t>
  </si>
  <si>
    <t>Not registered and do not intend to register</t>
  </si>
  <si>
    <t>Not registered but intend to register</t>
  </si>
  <si>
    <t>Don't know whether registered to vote</t>
  </si>
  <si>
    <t>I definitely won't vote</t>
  </si>
  <si>
    <t>I probably won't vote</t>
  </si>
  <si>
    <t>I may or may not vote</t>
  </si>
  <si>
    <t>I probably will vote</t>
  </si>
  <si>
    <t>I definitely will vote</t>
  </si>
  <si>
    <t>I will not be eligible to vote</t>
  </si>
  <si>
    <t>I really don't know</t>
  </si>
  <si>
    <t>I really don't know whether I will vote</t>
  </si>
  <si>
    <t>19 November 2011</t>
  </si>
  <si>
    <t>SNAPSHOT:  19 November 2011</t>
  </si>
  <si>
    <t>Combined result for those who have already decided how they will vote, with the results from those who are not sure, but have a preference for one party or another.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</si>
</sst>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1409]d\ mmmm\ yyyy;@"/>
  </numFmts>
  <fonts count="15" x14ac:knownFonts="1">
    <font>
      <sz val="11"/>
      <color theme="1"/>
      <name val="Calibri"/>
      <family val="2"/>
      <scheme val="minor"/>
    </font>
    <font>
      <b/>
      <sz val="11"/>
      <color theme="1"/>
      <name val="Calibri"/>
      <family val="2"/>
      <scheme val="minor"/>
    </font>
    <font>
      <u/>
      <sz val="18"/>
      <color theme="1"/>
      <name val="Calibri"/>
      <family val="2"/>
      <scheme val="minor"/>
    </font>
    <font>
      <b/>
      <sz val="14"/>
      <name val="Calibri"/>
      <family val="2"/>
      <scheme val="minor"/>
    </font>
    <font>
      <b/>
      <sz val="14"/>
      <color indexed="53"/>
      <name val="Wingdings"/>
      <charset val="2"/>
    </font>
    <font>
      <b/>
      <u/>
      <sz val="11"/>
      <color theme="1"/>
      <name val="Calibri"/>
      <family val="2"/>
      <scheme val="minor"/>
    </font>
    <font>
      <sz val="10"/>
      <color theme="1"/>
      <name val="Calibri"/>
      <family val="2"/>
      <scheme val="minor"/>
    </font>
    <font>
      <sz val="8"/>
      <color theme="1"/>
      <name val="Calibri"/>
      <family val="2"/>
      <scheme val="minor"/>
    </font>
    <font>
      <i/>
      <sz val="8"/>
      <color theme="1"/>
      <name val="Calibri"/>
      <family val="2"/>
      <scheme val="minor"/>
    </font>
    <font>
      <i/>
      <sz val="10"/>
      <color theme="1"/>
      <name val="Calibri"/>
      <family val="2"/>
      <scheme val="minor"/>
    </font>
    <font>
      <b/>
      <sz val="16"/>
      <color theme="1"/>
      <name val="Calibri"/>
      <family val="2"/>
      <scheme val="minor"/>
    </font>
    <font>
      <sz val="8"/>
      <color rgb="FF000000"/>
      <name val="Verdana"/>
      <family val="2"/>
    </font>
    <font>
      <b/>
      <sz val="11"/>
      <name val="Calibri"/>
      <family val="2"/>
      <scheme val="minor"/>
    </font>
    <font>
      <b/>
      <sz val="14"/>
      <color theme="0"/>
      <name val="Calibri"/>
      <family val="2"/>
      <scheme val="minor"/>
    </font>
    <font>
      <b/>
      <sz val="14"/>
      <color theme="0"/>
      <name val="Wingdings"/>
      <charset val="2"/>
    </font>
  </fonts>
  <fills count="8">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6" tint="0.79998168889431442"/>
        <bgColor indexed="64"/>
      </patternFill>
    </fill>
  </fills>
  <borders count="30">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162">
    <xf numFmtId="0" fontId="0" fillId="0" borderId="0" xfId="0"/>
    <xf numFmtId="0" fontId="2" fillId="0" borderId="0" xfId="0" applyFont="1"/>
    <xf numFmtId="0" fontId="3" fillId="2" borderId="1" xfId="0" applyFont="1" applyFill="1" applyBorder="1" applyAlignment="1">
      <alignment horizontal="center"/>
    </xf>
    <xf numFmtId="0" fontId="5" fillId="0" borderId="0" xfId="0" applyFont="1"/>
    <xf numFmtId="0" fontId="0" fillId="0" borderId="2" xfId="0" applyBorder="1"/>
    <xf numFmtId="0" fontId="6" fillId="0" borderId="6" xfId="0" applyFont="1" applyBorder="1" applyAlignment="1">
      <alignment vertical="center" wrapText="1"/>
    </xf>
    <xf numFmtId="0" fontId="6" fillId="0" borderId="7" xfId="0" applyFont="1" applyBorder="1" applyAlignment="1">
      <alignment horizontal="center" vertical="center"/>
    </xf>
    <xf numFmtId="0" fontId="7" fillId="0" borderId="7" xfId="0" applyFont="1" applyBorder="1" applyAlignment="1">
      <alignment horizontal="center" vertical="center" wrapText="1"/>
    </xf>
    <xf numFmtId="0" fontId="0" fillId="0" borderId="8" xfId="0" applyBorder="1"/>
    <xf numFmtId="0" fontId="0" fillId="0" borderId="9" xfId="0" applyBorder="1"/>
    <xf numFmtId="0" fontId="0" fillId="0" borderId="10" xfId="0" applyBorder="1"/>
    <xf numFmtId="164" fontId="0" fillId="0" borderId="0" xfId="0" applyNumberFormat="1"/>
    <xf numFmtId="0" fontId="6" fillId="0" borderId="11" xfId="0" applyFont="1" applyBorder="1"/>
    <xf numFmtId="164" fontId="6" fillId="0" borderId="7" xfId="0" applyNumberFormat="1" applyFont="1" applyBorder="1"/>
    <xf numFmtId="164" fontId="6" fillId="0" borderId="0" xfId="0" applyNumberFormat="1" applyFont="1" applyBorder="1"/>
    <xf numFmtId="164" fontId="6" fillId="0" borderId="12" xfId="0" applyNumberFormat="1" applyFont="1" applyBorder="1"/>
    <xf numFmtId="0" fontId="6" fillId="0" borderId="13" xfId="0" applyFont="1" applyBorder="1"/>
    <xf numFmtId="164" fontId="6" fillId="0" borderId="6" xfId="0" applyNumberFormat="1" applyFont="1" applyBorder="1"/>
    <xf numFmtId="164" fontId="6" fillId="0" borderId="14" xfId="0" applyNumberFormat="1" applyFont="1" applyBorder="1"/>
    <xf numFmtId="164" fontId="6" fillId="0" borderId="15" xfId="0" applyNumberFormat="1" applyFont="1" applyBorder="1"/>
    <xf numFmtId="0" fontId="6" fillId="0" borderId="0" xfId="0" applyFont="1" applyBorder="1"/>
    <xf numFmtId="0" fontId="6" fillId="0" borderId="3" xfId="0" applyFont="1" applyBorder="1"/>
    <xf numFmtId="164" fontId="6" fillId="0" borderId="16" xfId="0" applyNumberFormat="1" applyFont="1" applyBorder="1"/>
    <xf numFmtId="164" fontId="6" fillId="0" borderId="4" xfId="0" applyNumberFormat="1" applyFont="1" applyBorder="1"/>
    <xf numFmtId="164" fontId="6" fillId="0" borderId="5" xfId="0" applyNumberFormat="1" applyFont="1" applyBorder="1"/>
    <xf numFmtId="0" fontId="8" fillId="0" borderId="0" xfId="0" applyFont="1" applyBorder="1"/>
    <xf numFmtId="1" fontId="6" fillId="0" borderId="0" xfId="0" applyNumberFormat="1" applyFont="1" applyBorder="1"/>
    <xf numFmtId="0" fontId="0" fillId="0" borderId="3" xfId="0" applyBorder="1"/>
    <xf numFmtId="1" fontId="6" fillId="0" borderId="16" xfId="0" applyNumberFormat="1" applyFont="1" applyBorder="1"/>
    <xf numFmtId="1" fontId="6" fillId="0" borderId="4" xfId="0" applyNumberFormat="1" applyFont="1" applyBorder="1"/>
    <xf numFmtId="1" fontId="6" fillId="0" borderId="5" xfId="0" applyNumberFormat="1" applyFont="1" applyBorder="1"/>
    <xf numFmtId="0" fontId="9" fillId="0" borderId="0" xfId="0" applyFont="1" applyBorder="1"/>
    <xf numFmtId="164" fontId="9" fillId="0" borderId="0" xfId="0" applyNumberFormat="1" applyFont="1" applyBorder="1"/>
    <xf numFmtId="1" fontId="9" fillId="0" borderId="0" xfId="0" applyNumberFormat="1" applyFont="1" applyBorder="1"/>
    <xf numFmtId="0" fontId="0" fillId="0" borderId="0" xfId="0" applyBorder="1"/>
    <xf numFmtId="0" fontId="8" fillId="0" borderId="0" xfId="0" applyFont="1" applyFill="1" applyBorder="1"/>
    <xf numFmtId="164" fontId="8" fillId="0" borderId="0" xfId="0" applyNumberFormat="1" applyFont="1" applyBorder="1"/>
    <xf numFmtId="10" fontId="8" fillId="0" borderId="0" xfId="0" applyNumberFormat="1" applyFont="1" applyBorder="1"/>
    <xf numFmtId="0" fontId="10" fillId="0" borderId="0" xfId="0" applyFont="1" applyAlignment="1">
      <alignment horizontal="center" wrapText="1"/>
    </xf>
    <xf numFmtId="0" fontId="10" fillId="0" borderId="0" xfId="0" applyFont="1" applyBorder="1" applyAlignment="1">
      <alignment horizontal="center" vertical="center" wrapText="1"/>
    </xf>
    <xf numFmtId="0" fontId="6" fillId="0" borderId="7" xfId="0" applyFont="1" applyBorder="1"/>
    <xf numFmtId="164" fontId="6" fillId="0" borderId="11" xfId="0" applyNumberFormat="1" applyFont="1" applyBorder="1"/>
    <xf numFmtId="164" fontId="6" fillId="0" borderId="7" xfId="0" applyNumberFormat="1" applyFont="1" applyBorder="1" applyAlignment="1">
      <alignment horizontal="center"/>
    </xf>
    <xf numFmtId="0" fontId="6" fillId="0" borderId="7" xfId="0" applyFont="1" applyFill="1" applyBorder="1"/>
    <xf numFmtId="0" fontId="6" fillId="0" borderId="6" xfId="0" applyFont="1" applyBorder="1"/>
    <xf numFmtId="0" fontId="6" fillId="0" borderId="0" xfId="0" applyFont="1"/>
    <xf numFmtId="0" fontId="11" fillId="0" borderId="0" xfId="0" applyFont="1" applyAlignment="1">
      <alignment vertical="top" wrapText="1"/>
    </xf>
    <xf numFmtId="0" fontId="6" fillId="0" borderId="16" xfId="0" applyFont="1" applyBorder="1"/>
    <xf numFmtId="164" fontId="6" fillId="0" borderId="16" xfId="0" applyNumberFormat="1" applyFont="1" applyBorder="1" applyAlignment="1"/>
    <xf numFmtId="0" fontId="9" fillId="0" borderId="16" xfId="0" applyFont="1" applyBorder="1"/>
    <xf numFmtId="1" fontId="9" fillId="0" borderId="16" xfId="0" applyNumberFormat="1" applyFont="1" applyBorder="1"/>
    <xf numFmtId="1" fontId="9" fillId="0" borderId="16" xfId="0" applyNumberFormat="1" applyFont="1" applyFill="1" applyBorder="1"/>
    <xf numFmtId="164" fontId="8" fillId="0" borderId="0" xfId="0" applyNumberFormat="1" applyFont="1" applyFill="1" applyBorder="1"/>
    <xf numFmtId="0" fontId="8" fillId="0" borderId="0" xfId="0" applyFont="1"/>
    <xf numFmtId="0" fontId="6" fillId="0" borderId="16" xfId="0" applyFont="1" applyBorder="1" applyAlignment="1">
      <alignment vertical="center" wrapText="1"/>
    </xf>
    <xf numFmtId="0" fontId="7" fillId="0" borderId="3" xfId="0" applyFont="1" applyBorder="1" applyAlignment="1">
      <alignment horizontal="center" vertical="center" wrapText="1"/>
    </xf>
    <xf numFmtId="0" fontId="7" fillId="3" borderId="22" xfId="0" applyFont="1" applyFill="1" applyBorder="1" applyAlignment="1">
      <alignment horizontal="center" vertical="center" wrapText="1"/>
    </xf>
    <xf numFmtId="0" fontId="7" fillId="3" borderId="23" xfId="0" applyFont="1" applyFill="1" applyBorder="1" applyAlignment="1">
      <alignment vertical="center"/>
    </xf>
    <xf numFmtId="0" fontId="7" fillId="0" borderId="22" xfId="0" applyFont="1" applyBorder="1" applyAlignment="1">
      <alignment horizontal="center" vertical="center" wrapText="1"/>
    </xf>
    <xf numFmtId="0" fontId="7" fillId="0" borderId="23" xfId="0" applyFont="1" applyBorder="1" applyAlignment="1">
      <alignment vertical="center"/>
    </xf>
    <xf numFmtId="0" fontId="0" fillId="3" borderId="24" xfId="0" applyFill="1" applyBorder="1"/>
    <xf numFmtId="0" fontId="7" fillId="3" borderId="25" xfId="0" applyFont="1" applyFill="1" applyBorder="1"/>
    <xf numFmtId="0" fontId="0" fillId="0" borderId="24" xfId="0" applyBorder="1"/>
    <xf numFmtId="0" fontId="7" fillId="0" borderId="25" xfId="0" applyFont="1" applyBorder="1"/>
    <xf numFmtId="10" fontId="6" fillId="0" borderId="11" xfId="0" applyNumberFormat="1" applyFont="1" applyBorder="1"/>
    <xf numFmtId="0" fontId="6" fillId="3" borderId="26" xfId="0" applyFont="1" applyFill="1" applyBorder="1" applyAlignment="1">
      <alignment horizontal="right" indent="1"/>
    </xf>
    <xf numFmtId="0" fontId="7" fillId="3" borderId="27" xfId="0" applyFont="1" applyFill="1" applyBorder="1"/>
    <xf numFmtId="0" fontId="6" fillId="0" borderId="26" xfId="0" applyFont="1" applyBorder="1" applyAlignment="1">
      <alignment horizontal="right" indent="1"/>
    </xf>
    <xf numFmtId="0" fontId="7" fillId="0" borderId="27" xfId="0" applyFont="1" applyBorder="1"/>
    <xf numFmtId="0" fontId="0" fillId="0" borderId="6" xfId="0" applyBorder="1"/>
    <xf numFmtId="0" fontId="6" fillId="3" borderId="28" xfId="0" applyFont="1" applyFill="1" applyBorder="1"/>
    <xf numFmtId="0" fontId="7" fillId="3" borderId="29" xfId="0" applyFont="1" applyFill="1" applyBorder="1"/>
    <xf numFmtId="0" fontId="6" fillId="0" borderId="28" xfId="0" applyFont="1" applyBorder="1"/>
    <xf numFmtId="0" fontId="7" fillId="0" borderId="29" xfId="0" applyFont="1" applyBorder="1"/>
    <xf numFmtId="0" fontId="0" fillId="0" borderId="0" xfId="0" applyFill="1"/>
    <xf numFmtId="0" fontId="6" fillId="0" borderId="3" xfId="0" applyFont="1" applyFill="1" applyBorder="1"/>
    <xf numFmtId="0" fontId="0" fillId="0" borderId="5" xfId="0" applyBorder="1"/>
    <xf numFmtId="0" fontId="0" fillId="3" borderId="16" xfId="0" applyFill="1" applyBorder="1"/>
    <xf numFmtId="0" fontId="0" fillId="0" borderId="16" xfId="0" applyBorder="1"/>
    <xf numFmtId="0" fontId="3" fillId="4" borderId="1" xfId="0" applyFont="1" applyFill="1" applyBorder="1" applyAlignment="1">
      <alignment horizontal="center"/>
    </xf>
    <xf numFmtId="0" fontId="2" fillId="0" borderId="0" xfId="0" applyFont="1" applyAlignment="1">
      <alignment horizontal="center"/>
    </xf>
    <xf numFmtId="0" fontId="0" fillId="0" borderId="0" xfId="0" applyAlignment="1">
      <alignment horizontal="center"/>
    </xf>
    <xf numFmtId="0" fontId="13" fillId="5" borderId="1" xfId="0" applyFont="1" applyFill="1" applyBorder="1" applyAlignment="1">
      <alignment horizontal="center"/>
    </xf>
    <xf numFmtId="0" fontId="7" fillId="0" borderId="0" xfId="0" applyFont="1" applyBorder="1" applyAlignment="1">
      <alignment horizontal="center" vertical="center" wrapText="1"/>
    </xf>
    <xf numFmtId="0" fontId="7" fillId="0" borderId="16" xfId="0" applyFont="1" applyBorder="1" applyAlignment="1">
      <alignment horizontal="center" vertical="center" wrapText="1"/>
    </xf>
    <xf numFmtId="164" fontId="6" fillId="0" borderId="0" xfId="0" applyNumberFormat="1" applyFont="1" applyBorder="1" applyAlignment="1">
      <alignment vertical="top"/>
    </xf>
    <xf numFmtId="10" fontId="0" fillId="0" borderId="0" xfId="0" applyNumberFormat="1"/>
    <xf numFmtId="0" fontId="6" fillId="6" borderId="8" xfId="0" applyFont="1" applyFill="1" applyBorder="1"/>
    <xf numFmtId="0" fontId="6" fillId="6" borderId="11" xfId="0" applyFont="1" applyFill="1" applyBorder="1"/>
    <xf numFmtId="0" fontId="6" fillId="6" borderId="13" xfId="0" applyFont="1" applyFill="1" applyBorder="1"/>
    <xf numFmtId="0" fontId="11" fillId="3" borderId="8" xfId="0" applyFont="1" applyFill="1" applyBorder="1" applyAlignment="1">
      <alignment vertical="top" wrapText="1"/>
    </xf>
    <xf numFmtId="0" fontId="11" fillId="3" borderId="11" xfId="0" applyFont="1" applyFill="1" applyBorder="1" applyAlignment="1">
      <alignment vertical="top" wrapText="1"/>
    </xf>
    <xf numFmtId="0" fontId="11" fillId="3" borderId="13" xfId="0" applyFont="1" applyFill="1" applyBorder="1" applyAlignment="1">
      <alignment vertical="top" wrapText="1"/>
    </xf>
    <xf numFmtId="164" fontId="6" fillId="6" borderId="2" xfId="0" applyNumberFormat="1" applyFont="1" applyFill="1" applyBorder="1"/>
    <xf numFmtId="164" fontId="6" fillId="6" borderId="7" xfId="0" applyNumberFormat="1" applyFont="1" applyFill="1" applyBorder="1"/>
    <xf numFmtId="164" fontId="6" fillId="6" borderId="6" xfId="0" applyNumberFormat="1" applyFont="1" applyFill="1" applyBorder="1"/>
    <xf numFmtId="10" fontId="11" fillId="3" borderId="2" xfId="0" applyNumberFormat="1" applyFont="1" applyFill="1" applyBorder="1" applyAlignment="1">
      <alignment vertical="top" wrapText="1"/>
    </xf>
    <xf numFmtId="10" fontId="11" fillId="3" borderId="7" xfId="0" applyNumberFormat="1" applyFont="1" applyFill="1" applyBorder="1" applyAlignment="1">
      <alignment vertical="top" wrapText="1"/>
    </xf>
    <xf numFmtId="10" fontId="11" fillId="3" borderId="6" xfId="0" applyNumberFormat="1" applyFont="1" applyFill="1" applyBorder="1" applyAlignment="1">
      <alignment vertical="top" wrapText="1"/>
    </xf>
    <xf numFmtId="0" fontId="11" fillId="0" borderId="16" xfId="0" applyFont="1" applyFill="1" applyBorder="1" applyAlignment="1">
      <alignment vertical="top" wrapText="1"/>
    </xf>
    <xf numFmtId="164" fontId="6" fillId="0" borderId="16" xfId="0" applyNumberFormat="1" applyFont="1" applyFill="1" applyBorder="1"/>
    <xf numFmtId="0" fontId="11" fillId="0" borderId="16" xfId="0" applyFont="1" applyBorder="1" applyAlignment="1">
      <alignment vertical="top" wrapText="1"/>
    </xf>
    <xf numFmtId="10" fontId="11" fillId="0" borderId="16" xfId="0" applyNumberFormat="1" applyFont="1" applyBorder="1" applyAlignment="1">
      <alignment vertical="top" wrapText="1"/>
    </xf>
    <xf numFmtId="0" fontId="11" fillId="3" borderId="2" xfId="0" applyFont="1" applyFill="1" applyBorder="1" applyAlignment="1">
      <alignment vertical="top" wrapText="1"/>
    </xf>
    <xf numFmtId="0" fontId="11" fillId="3" borderId="7" xfId="0" applyFont="1" applyFill="1" applyBorder="1" applyAlignment="1">
      <alignment vertical="top" wrapText="1"/>
    </xf>
    <xf numFmtId="0" fontId="11" fillId="3" borderId="6" xfId="0" applyFont="1" applyFill="1" applyBorder="1" applyAlignment="1">
      <alignment vertical="top" wrapText="1"/>
    </xf>
    <xf numFmtId="0" fontId="6" fillId="0" borderId="16" xfId="0" applyFont="1" applyBorder="1" applyAlignment="1">
      <alignment horizontal="center" vertical="center" wrapText="1"/>
    </xf>
    <xf numFmtId="0" fontId="6" fillId="7" borderId="8" xfId="0" applyFont="1" applyFill="1" applyBorder="1"/>
    <xf numFmtId="164" fontId="6" fillId="7" borderId="2" xfId="0" applyNumberFormat="1" applyFont="1" applyFill="1" applyBorder="1"/>
    <xf numFmtId="0" fontId="6" fillId="7" borderId="11" xfId="0" applyFont="1" applyFill="1" applyBorder="1"/>
    <xf numFmtId="164" fontId="6" fillId="7" borderId="7" xfId="0" applyNumberFormat="1" applyFont="1" applyFill="1" applyBorder="1"/>
    <xf numFmtId="0" fontId="6" fillId="7" borderId="13" xfId="0" applyFont="1" applyFill="1" applyBorder="1"/>
    <xf numFmtId="164" fontId="6" fillId="7" borderId="6" xfId="0" applyNumberFormat="1" applyFont="1" applyFill="1" applyBorder="1"/>
    <xf numFmtId="0" fontId="11" fillId="7" borderId="16" xfId="0" applyFont="1" applyFill="1" applyBorder="1" applyAlignment="1">
      <alignment vertical="top" wrapText="1"/>
    </xf>
    <xf numFmtId="10" fontId="11" fillId="7" borderId="16" xfId="0" applyNumberFormat="1" applyFont="1" applyFill="1" applyBorder="1" applyAlignment="1">
      <alignment vertical="top" wrapText="1"/>
    </xf>
    <xf numFmtId="0" fontId="0" fillId="0" borderId="0" xfId="0" applyFont="1" applyFill="1" applyBorder="1" applyAlignment="1">
      <alignment vertical="center" wrapText="1"/>
    </xf>
    <xf numFmtId="0" fontId="12" fillId="5" borderId="8"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0" xfId="0" applyFont="1" applyFill="1" applyBorder="1" applyAlignment="1">
      <alignment horizontal="center" vertical="center" wrapText="1"/>
    </xf>
    <xf numFmtId="0" fontId="12" fillId="5" borderId="12" xfId="0" applyFont="1" applyFill="1" applyBorder="1" applyAlignment="1">
      <alignment horizontal="center" vertical="center" wrapText="1"/>
    </xf>
    <xf numFmtId="0" fontId="12" fillId="5" borderId="13" xfId="0" applyFont="1" applyFill="1" applyBorder="1" applyAlignment="1">
      <alignment horizontal="center" vertical="center" wrapText="1"/>
    </xf>
    <xf numFmtId="0" fontId="12" fillId="5" borderId="14"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2" fillId="4" borderId="8"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2" fillId="4" borderId="10" xfId="0" applyFont="1" applyFill="1" applyBorder="1" applyAlignment="1">
      <alignment horizontal="center" vertical="center" wrapText="1"/>
    </xf>
    <xf numFmtId="0" fontId="12" fillId="4" borderId="11" xfId="0" applyFont="1" applyFill="1" applyBorder="1" applyAlignment="1">
      <alignment horizontal="center" vertical="center" wrapText="1"/>
    </xf>
    <xf numFmtId="0" fontId="12" fillId="4" borderId="0"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13"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0" fillId="0" borderId="20" xfId="0" applyBorder="1" applyAlignment="1">
      <alignment horizontal="center"/>
    </xf>
    <xf numFmtId="0" fontId="0" fillId="0" borderId="21" xfId="0" applyBorder="1" applyAlignment="1">
      <alignment horizontal="center"/>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xf numFmtId="0" fontId="10" fillId="2" borderId="19" xfId="0" applyFont="1" applyFill="1" applyBorder="1" applyAlignment="1">
      <alignment horizontal="center" vertical="center" wrapText="1"/>
    </xf>
    <xf numFmtId="49" fontId="6" fillId="0" borderId="2" xfId="0" applyNumberFormat="1" applyFont="1" applyBorder="1" applyAlignment="1">
      <alignment horizontal="center" vertical="center" wrapText="1"/>
    </xf>
    <xf numFmtId="49" fontId="6" fillId="0" borderId="6" xfId="0" applyNumberFormat="1" applyFont="1" applyBorder="1" applyAlignment="1">
      <alignment horizontal="center" vertical="center" wrapText="1"/>
    </xf>
    <xf numFmtId="165" fontId="6" fillId="0" borderId="2" xfId="0" quotePrefix="1" applyNumberFormat="1" applyFont="1" applyBorder="1" applyAlignment="1">
      <alignment horizontal="center" vertical="center" wrapText="1"/>
    </xf>
    <xf numFmtId="165" fontId="6" fillId="0" borderId="6" xfId="0" applyNumberFormat="1" applyFont="1" applyBorder="1" applyAlignment="1">
      <alignment horizontal="center" vertical="center" wrapText="1"/>
    </xf>
    <xf numFmtId="0" fontId="0" fillId="7" borderId="8" xfId="0" applyFont="1" applyFill="1" applyBorder="1" applyAlignment="1">
      <alignment horizontal="center" vertical="center" wrapText="1"/>
    </xf>
    <xf numFmtId="0" fontId="0" fillId="7" borderId="10" xfId="0" applyFont="1" applyFill="1" applyBorder="1" applyAlignment="1">
      <alignment horizontal="center" vertical="center" wrapText="1"/>
    </xf>
    <xf numFmtId="0" fontId="0" fillId="7" borderId="11" xfId="0" applyFont="1" applyFill="1" applyBorder="1" applyAlignment="1">
      <alignment horizontal="center" vertical="center" wrapText="1"/>
    </xf>
    <xf numFmtId="0" fontId="0" fillId="7" borderId="12" xfId="0" applyFont="1" applyFill="1" applyBorder="1" applyAlignment="1">
      <alignment horizontal="center" vertical="center" wrapText="1"/>
    </xf>
    <xf numFmtId="0" fontId="0" fillId="7" borderId="13" xfId="0" applyFont="1" applyFill="1" applyBorder="1" applyAlignment="1">
      <alignment horizontal="center" vertical="center" wrapText="1"/>
    </xf>
    <xf numFmtId="0" fontId="0" fillId="7" borderId="15" xfId="0" applyFont="1" applyFill="1" applyBorder="1" applyAlignment="1">
      <alignment horizontal="center" vertical="center" wrapText="1"/>
    </xf>
    <xf numFmtId="164" fontId="6" fillId="0" borderId="7"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304800</xdr:colOff>
      <xdr:row>1</xdr:row>
      <xdr:rowOff>19050</xdr:rowOff>
    </xdr:to>
    <xdr:pic>
      <xdr:nvPicPr>
        <xdr:cNvPr id="2" name="Picture 2" descr="HorizonPoll.jpg"/>
        <xdr:cNvPicPr>
          <a:picLocks noChangeAspect="1"/>
        </xdr:cNvPicPr>
      </xdr:nvPicPr>
      <xdr:blipFill>
        <a:blip xmlns:r="http://schemas.openxmlformats.org/officeDocument/2006/relationships" r:embed="rId1"/>
        <a:srcRect/>
        <a:stretch>
          <a:fillRect/>
        </a:stretch>
      </xdr:blipFill>
      <xdr:spPr bwMode="auto">
        <a:xfrm>
          <a:off x="0" y="0"/>
          <a:ext cx="4257675" cy="723900"/>
        </a:xfrm>
        <a:prstGeom prst="rect">
          <a:avLst/>
        </a:prstGeom>
        <a:noFill/>
        <a:ln w="9525">
          <a:noFill/>
          <a:miter lim="800000"/>
          <a:headEnd/>
          <a:tailEnd/>
        </a:ln>
      </xdr:spPr>
    </xdr:pic>
    <xdr:clientData/>
  </xdr:twoCellAnchor>
  <xdr:twoCellAnchor>
    <xdr:from>
      <xdr:col>5</xdr:col>
      <xdr:colOff>19050</xdr:colOff>
      <xdr:row>9</xdr:row>
      <xdr:rowOff>1133475</xdr:rowOff>
    </xdr:from>
    <xdr:to>
      <xdr:col>10</xdr:col>
      <xdr:colOff>142875</xdr:colOff>
      <xdr:row>22</xdr:row>
      <xdr:rowOff>171450</xdr:rowOff>
    </xdr:to>
    <xdr:sp macro="" textlink="">
      <xdr:nvSpPr>
        <xdr:cNvPr id="3" name="TextBox 2"/>
        <xdr:cNvSpPr txBox="1"/>
      </xdr:nvSpPr>
      <xdr:spPr>
        <a:xfrm>
          <a:off x="5191125" y="3533775"/>
          <a:ext cx="3171825" cy="2466975"/>
        </a:xfrm>
        <a:prstGeom prst="rect">
          <a:avLst/>
        </a:prstGeom>
        <a:solidFill>
          <a:schemeClr val="lt1"/>
        </a:solidFill>
        <a:ln w="254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NZ" sz="1100"/>
            <a:t>Notes:</a:t>
          </a:r>
        </a:p>
        <a:p>
          <a:endParaRPr lang="en-NZ" sz="1100"/>
        </a:p>
        <a:p>
          <a:r>
            <a:rPr lang="en-NZ" sz="1100"/>
            <a:t>Those</a:t>
          </a:r>
          <a:r>
            <a:rPr lang="en-NZ" sz="1100" baseline="0"/>
            <a:t> who say that they "Definitely will vote" are currently 75.3% of the population 18+.  The turnout in the 2008 general election was 75.1% of those who were age eligible, or 79.5% of those enrolled (source Electoral Commission).</a:t>
          </a:r>
        </a:p>
        <a:p>
          <a:endParaRPr lang="en-NZ" sz="1100" baseline="0"/>
        </a:p>
        <a:p>
          <a:r>
            <a:rPr lang="en-NZ" sz="1100" baseline="0"/>
            <a:t>The "Potential Vote" column shows  what could be the situation if all who have not excluded voting actually did vote.</a:t>
          </a:r>
        </a:p>
        <a:p>
          <a:endParaRPr lang="en-NZ" sz="1100" baseline="0"/>
        </a:p>
        <a:p>
          <a:r>
            <a:rPr lang="en-NZ" sz="1100" baseline="0"/>
            <a:t>Details are shown on following pages of this worksheet.</a:t>
          </a:r>
          <a:endParaRPr lang="en-NZ"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581025</xdr:colOff>
      <xdr:row>1</xdr:row>
      <xdr:rowOff>19050</xdr:rowOff>
    </xdr:to>
    <xdr:pic>
      <xdr:nvPicPr>
        <xdr:cNvPr id="2" name="Picture 2" descr="HorizonPoll.jpg"/>
        <xdr:cNvPicPr>
          <a:picLocks noChangeAspect="1"/>
        </xdr:cNvPicPr>
      </xdr:nvPicPr>
      <xdr:blipFill>
        <a:blip xmlns:r="http://schemas.openxmlformats.org/officeDocument/2006/relationships" r:embed="rId1"/>
        <a:srcRect/>
        <a:stretch>
          <a:fillRect/>
        </a:stretch>
      </xdr:blipFill>
      <xdr:spPr bwMode="auto">
        <a:xfrm>
          <a:off x="0" y="0"/>
          <a:ext cx="4257675" cy="7239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581025</xdr:colOff>
      <xdr:row>1</xdr:row>
      <xdr:rowOff>19050</xdr:rowOff>
    </xdr:to>
    <xdr:pic>
      <xdr:nvPicPr>
        <xdr:cNvPr id="2" name="Picture 2" descr="HorizonPoll.jpg"/>
        <xdr:cNvPicPr>
          <a:picLocks noChangeAspect="1"/>
        </xdr:cNvPicPr>
      </xdr:nvPicPr>
      <xdr:blipFill>
        <a:blip xmlns:r="http://schemas.openxmlformats.org/officeDocument/2006/relationships" r:embed="rId1"/>
        <a:srcRect/>
        <a:stretch>
          <a:fillRect/>
        </a:stretch>
      </xdr:blipFill>
      <xdr:spPr bwMode="auto">
        <a:xfrm>
          <a:off x="0" y="0"/>
          <a:ext cx="4257675" cy="7239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B1:V35"/>
  <sheetViews>
    <sheetView workbookViewId="0">
      <selection activeCell="B32" sqref="B32:M34"/>
    </sheetView>
  </sheetViews>
  <sheetFormatPr defaultRowHeight="15" x14ac:dyDescent="0.25"/>
  <cols>
    <col min="2" max="2" width="41" customWidth="1"/>
  </cols>
  <sheetData>
    <row r="1" spans="2:22" ht="55.5" customHeight="1" x14ac:dyDescent="0.25"/>
    <row r="2" spans="2:22" ht="23.25" x14ac:dyDescent="0.35">
      <c r="B2" s="80" t="s">
        <v>63</v>
      </c>
    </row>
    <row r="3" spans="2:22" x14ac:dyDescent="0.25">
      <c r="B3" s="81" t="s">
        <v>82</v>
      </c>
    </row>
    <row r="4" spans="2:22" ht="15.75" thickBot="1" x14ac:dyDescent="0.3"/>
    <row r="5" spans="2:22" ht="19.5" thickBot="1" x14ac:dyDescent="0.35">
      <c r="B5" s="82" t="s">
        <v>64</v>
      </c>
    </row>
    <row r="7" spans="2:22" x14ac:dyDescent="0.25">
      <c r="B7" s="3" t="s">
        <v>1</v>
      </c>
    </row>
    <row r="8" spans="2:22" x14ac:dyDescent="0.25">
      <c r="B8" t="s">
        <v>27</v>
      </c>
    </row>
    <row r="10" spans="2:22" ht="90" x14ac:dyDescent="0.25">
      <c r="B10" s="54"/>
      <c r="C10" s="84" t="s">
        <v>65</v>
      </c>
      <c r="D10" s="84" t="s">
        <v>67</v>
      </c>
      <c r="E10" s="83"/>
      <c r="F10" s="83"/>
      <c r="G10" s="83"/>
      <c r="H10" s="83"/>
      <c r="I10" s="83"/>
      <c r="J10" s="83"/>
      <c r="K10" s="83"/>
      <c r="L10" s="83"/>
      <c r="M10" s="83"/>
      <c r="N10" s="83"/>
      <c r="O10" s="83"/>
    </row>
    <row r="11" spans="2:22" x14ac:dyDescent="0.25">
      <c r="B11" s="8"/>
      <c r="C11" s="4"/>
      <c r="D11" s="4"/>
      <c r="E11" s="34"/>
      <c r="F11" s="34"/>
      <c r="G11" s="85"/>
      <c r="H11" s="85"/>
      <c r="I11" s="85"/>
      <c r="J11" s="85"/>
      <c r="K11" s="85"/>
      <c r="L11" s="34"/>
      <c r="M11" s="34"/>
      <c r="N11" s="34"/>
      <c r="O11" s="34"/>
      <c r="Q11" s="11"/>
      <c r="R11" s="11"/>
    </row>
    <row r="12" spans="2:22" x14ac:dyDescent="0.25">
      <c r="B12" s="12" t="s">
        <v>5</v>
      </c>
      <c r="C12" s="13">
        <v>3.4471465117926724E-2</v>
      </c>
      <c r="D12" s="13">
        <v>3.1885393430564339E-2</v>
      </c>
      <c r="E12" s="14"/>
      <c r="F12" s="14"/>
      <c r="G12" s="85"/>
      <c r="H12" s="85"/>
      <c r="I12" s="85"/>
      <c r="J12" s="85"/>
      <c r="K12" s="85"/>
      <c r="L12" s="14"/>
      <c r="M12" s="14"/>
      <c r="N12" s="14"/>
      <c r="O12" s="14"/>
      <c r="Q12" s="11"/>
      <c r="R12" s="11"/>
      <c r="S12" s="11"/>
      <c r="T12" s="11"/>
      <c r="U12" s="11"/>
      <c r="V12" s="11"/>
    </row>
    <row r="13" spans="2:22" x14ac:dyDescent="0.25">
      <c r="B13" s="12" t="s">
        <v>17</v>
      </c>
      <c r="C13" s="13">
        <v>4.7388017638597929E-2</v>
      </c>
      <c r="D13" s="13">
        <v>4.8273365381843153E-2</v>
      </c>
      <c r="E13" s="14"/>
      <c r="F13" s="14"/>
      <c r="G13" s="85"/>
      <c r="H13" s="85"/>
      <c r="I13" s="85"/>
      <c r="J13" s="85"/>
      <c r="K13" s="85"/>
      <c r="L13" s="14"/>
      <c r="M13" s="14"/>
      <c r="N13" s="14"/>
      <c r="O13" s="14"/>
      <c r="Q13" s="11"/>
      <c r="R13" s="11"/>
      <c r="S13" s="11"/>
      <c r="T13" s="11"/>
      <c r="U13" s="11"/>
      <c r="V13" s="11"/>
    </row>
    <row r="14" spans="2:22" x14ac:dyDescent="0.25">
      <c r="B14" s="12" t="s">
        <v>6</v>
      </c>
      <c r="C14" s="13">
        <v>0.12099096748101708</v>
      </c>
      <c r="D14" s="13">
        <v>0.12420132977189603</v>
      </c>
      <c r="E14" s="14"/>
      <c r="F14" s="14"/>
      <c r="G14" s="85"/>
      <c r="H14" s="85"/>
      <c r="I14" s="85"/>
      <c r="J14" s="85"/>
      <c r="K14" s="85"/>
      <c r="L14" s="14"/>
      <c r="M14" s="14"/>
      <c r="N14" s="14"/>
      <c r="O14" s="14"/>
      <c r="Q14" s="11"/>
      <c r="R14" s="11"/>
      <c r="S14" s="11"/>
      <c r="T14" s="11"/>
      <c r="U14" s="11"/>
      <c r="V14" s="11"/>
    </row>
    <row r="15" spans="2:22" x14ac:dyDescent="0.25">
      <c r="B15" s="12" t="s">
        <v>8</v>
      </c>
      <c r="C15" s="13">
        <v>0.26761524023566552</v>
      </c>
      <c r="D15" s="13">
        <v>0.27581360143806016</v>
      </c>
      <c r="E15" s="14"/>
      <c r="F15" s="14"/>
      <c r="G15" s="85"/>
      <c r="H15" s="85"/>
      <c r="I15" s="85"/>
      <c r="J15" s="85"/>
      <c r="K15" s="85"/>
      <c r="L15" s="14"/>
      <c r="M15" s="14"/>
      <c r="N15" s="14"/>
      <c r="O15" s="14"/>
      <c r="Q15" s="11"/>
      <c r="R15" s="11"/>
      <c r="S15" s="11"/>
      <c r="T15" s="11"/>
      <c r="U15" s="11"/>
      <c r="V15" s="11"/>
    </row>
    <row r="16" spans="2:22" x14ac:dyDescent="0.25">
      <c r="B16" s="12" t="s">
        <v>18</v>
      </c>
      <c r="C16" s="13">
        <v>2.363520201675182E-2</v>
      </c>
      <c r="D16" s="13">
        <v>2.1450809150140172E-2</v>
      </c>
      <c r="E16" s="14"/>
      <c r="F16" s="14"/>
      <c r="G16" s="85"/>
      <c r="H16" s="85"/>
      <c r="I16" s="85"/>
      <c r="J16" s="85"/>
      <c r="K16" s="85"/>
      <c r="L16" s="14"/>
      <c r="M16" s="14"/>
      <c r="N16" s="14"/>
      <c r="O16" s="14"/>
      <c r="Q16" s="11"/>
      <c r="R16" s="11"/>
      <c r="S16" s="11"/>
      <c r="T16" s="11"/>
      <c r="U16" s="11"/>
      <c r="V16" s="11"/>
    </row>
    <row r="17" spans="2:22" x14ac:dyDescent="0.25">
      <c r="B17" s="12" t="s">
        <v>9</v>
      </c>
      <c r="C17" s="13">
        <v>1.2958815383722351E-2</v>
      </c>
      <c r="D17" s="13">
        <v>1.2363333390937504E-2</v>
      </c>
      <c r="E17" s="14"/>
      <c r="F17" s="14"/>
      <c r="G17" s="85"/>
      <c r="H17" s="85"/>
      <c r="I17" s="85"/>
      <c r="J17" s="85"/>
      <c r="K17" s="85"/>
      <c r="L17" s="14"/>
      <c r="M17" s="14"/>
      <c r="N17" s="14"/>
      <c r="O17" s="14"/>
      <c r="Q17" s="11"/>
      <c r="R17" s="11"/>
      <c r="S17" s="11"/>
      <c r="T17" s="11"/>
      <c r="U17" s="11"/>
      <c r="V17" s="11"/>
    </row>
    <row r="18" spans="2:22" x14ac:dyDescent="0.25">
      <c r="B18" s="12" t="s">
        <v>10</v>
      </c>
      <c r="C18" s="13">
        <v>0.35372153280077961</v>
      </c>
      <c r="D18" s="13">
        <v>0.32590715715200658</v>
      </c>
      <c r="E18" s="14"/>
      <c r="F18" s="14"/>
      <c r="G18" s="85"/>
      <c r="H18" s="85"/>
      <c r="I18" s="85"/>
      <c r="J18" s="85"/>
      <c r="K18" s="85"/>
      <c r="L18" s="14"/>
      <c r="M18" s="14"/>
      <c r="N18" s="14"/>
      <c r="O18" s="14"/>
      <c r="Q18" s="11"/>
      <c r="R18" s="11"/>
      <c r="S18" s="11"/>
      <c r="T18" s="11"/>
      <c r="U18" s="11"/>
      <c r="V18" s="11"/>
    </row>
    <row r="19" spans="2:22" x14ac:dyDescent="0.25">
      <c r="B19" s="12" t="s">
        <v>11</v>
      </c>
      <c r="C19" s="13">
        <v>0.10533015879416574</v>
      </c>
      <c r="D19" s="13">
        <v>0.10067219183505352</v>
      </c>
      <c r="E19" s="14"/>
      <c r="F19" s="14"/>
      <c r="G19" s="85"/>
      <c r="H19" s="85"/>
      <c r="I19" s="85"/>
      <c r="J19" s="85"/>
      <c r="K19" s="85"/>
      <c r="L19" s="14"/>
      <c r="M19" s="14"/>
      <c r="N19" s="14"/>
      <c r="O19" s="14"/>
      <c r="Q19" s="11"/>
      <c r="R19" s="11"/>
      <c r="S19" s="11"/>
      <c r="T19" s="11"/>
      <c r="U19" s="11"/>
      <c r="V19" s="11"/>
    </row>
    <row r="20" spans="2:22" x14ac:dyDescent="0.25">
      <c r="B20" s="12" t="s">
        <v>12</v>
      </c>
      <c r="C20" s="13">
        <v>8.558705420357712E-3</v>
      </c>
      <c r="D20" s="13">
        <v>8.5088214210925165E-3</v>
      </c>
      <c r="E20" s="14"/>
      <c r="F20" s="14"/>
      <c r="G20" s="85"/>
      <c r="H20" s="85"/>
      <c r="I20" s="85"/>
      <c r="J20" s="85"/>
      <c r="K20" s="85"/>
      <c r="L20" s="14"/>
      <c r="M20" s="14"/>
      <c r="N20" s="14"/>
      <c r="O20" s="14"/>
      <c r="Q20" s="11"/>
      <c r="R20" s="11"/>
      <c r="S20" s="11"/>
      <c r="T20" s="11"/>
      <c r="U20" s="11"/>
      <c r="V20" s="11"/>
    </row>
    <row r="21" spans="2:22" x14ac:dyDescent="0.25">
      <c r="B21" s="12" t="s">
        <v>19</v>
      </c>
      <c r="C21" s="13">
        <v>4.7289486574194706E-3</v>
      </c>
      <c r="D21" s="13">
        <v>8.4031521946304217E-3</v>
      </c>
      <c r="E21" s="14"/>
      <c r="F21" s="14"/>
      <c r="G21" s="85"/>
      <c r="H21" s="85"/>
      <c r="I21" s="85"/>
      <c r="J21" s="85"/>
      <c r="K21" s="85"/>
      <c r="L21" s="14"/>
      <c r="M21" s="14"/>
      <c r="N21" s="14"/>
      <c r="O21" s="14"/>
      <c r="Q21" s="11"/>
      <c r="R21" s="11"/>
      <c r="S21" s="11"/>
      <c r="T21" s="11"/>
      <c r="U21" s="11"/>
      <c r="V21" s="11"/>
    </row>
    <row r="22" spans="2:22" x14ac:dyDescent="0.25">
      <c r="B22" s="12" t="s">
        <v>20</v>
      </c>
      <c r="C22" s="13">
        <v>0</v>
      </c>
      <c r="D22" s="13">
        <v>2.2840679721612498E-3</v>
      </c>
      <c r="E22" s="14"/>
      <c r="F22" s="14"/>
      <c r="G22" s="85"/>
      <c r="H22" s="85"/>
      <c r="I22" s="85"/>
      <c r="J22" s="85"/>
      <c r="K22" s="85"/>
      <c r="L22" s="14"/>
      <c r="M22" s="14"/>
      <c r="N22" s="14"/>
      <c r="O22" s="14"/>
      <c r="Q22" s="11"/>
      <c r="R22" s="11"/>
      <c r="S22" s="11"/>
      <c r="T22" s="11"/>
      <c r="U22" s="11"/>
      <c r="V22" s="11"/>
    </row>
    <row r="23" spans="2:22" x14ac:dyDescent="0.25">
      <c r="B23" s="16" t="s">
        <v>21</v>
      </c>
      <c r="C23" s="17">
        <v>2.0600946453594449E-2</v>
      </c>
      <c r="D23" s="17">
        <v>4.0236776861613692E-2</v>
      </c>
      <c r="E23" s="14"/>
      <c r="F23" s="14"/>
      <c r="G23" s="85"/>
      <c r="H23" s="85"/>
      <c r="I23" s="85"/>
      <c r="J23" s="85"/>
      <c r="K23" s="85"/>
      <c r="L23" s="14"/>
      <c r="M23" s="14"/>
      <c r="N23" s="14"/>
      <c r="O23" s="14"/>
      <c r="Q23" s="11"/>
      <c r="R23" s="11"/>
      <c r="S23" s="11"/>
      <c r="T23" s="11"/>
      <c r="U23" s="11"/>
      <c r="V23" s="11"/>
    </row>
    <row r="24" spans="2:22" x14ac:dyDescent="0.25">
      <c r="B24" s="20"/>
      <c r="C24" s="14"/>
      <c r="D24" s="14"/>
      <c r="E24" s="14"/>
      <c r="F24" s="14"/>
      <c r="G24" s="14"/>
      <c r="H24" s="14"/>
      <c r="I24" s="14"/>
      <c r="J24" s="14"/>
      <c r="K24" s="14"/>
      <c r="L24" s="14"/>
      <c r="M24" s="14"/>
      <c r="N24" s="14"/>
      <c r="O24" s="14"/>
      <c r="Q24" s="11"/>
      <c r="R24" s="11"/>
      <c r="S24" s="11"/>
      <c r="T24" s="11"/>
      <c r="U24" s="11"/>
      <c r="V24" s="11"/>
    </row>
    <row r="25" spans="2:22" x14ac:dyDescent="0.25">
      <c r="B25" s="21" t="s">
        <v>4</v>
      </c>
      <c r="C25" s="22">
        <f>SUM(C12:C23)</f>
        <v>0.99999999999999845</v>
      </c>
      <c r="D25" s="22">
        <f>SUM(D12:D23)</f>
        <v>0.99999999999999933</v>
      </c>
      <c r="E25" s="14"/>
      <c r="F25" s="14"/>
      <c r="G25" s="14"/>
      <c r="H25" s="14"/>
      <c r="I25" s="14"/>
      <c r="J25" s="14"/>
      <c r="K25" s="14"/>
      <c r="L25" s="14"/>
      <c r="M25" s="14"/>
      <c r="N25" s="14"/>
      <c r="O25" s="14"/>
    </row>
    <row r="26" spans="2:22" x14ac:dyDescent="0.25">
      <c r="B26" s="25" t="s">
        <v>22</v>
      </c>
      <c r="C26" s="26"/>
      <c r="D26" s="26"/>
      <c r="E26" s="26"/>
      <c r="F26" s="26"/>
      <c r="G26" s="26"/>
      <c r="H26" s="26"/>
      <c r="I26" s="26"/>
      <c r="J26" s="26"/>
      <c r="K26" s="26"/>
      <c r="L26" s="26"/>
      <c r="M26" s="26"/>
      <c r="N26" s="26"/>
      <c r="O26" s="26"/>
    </row>
    <row r="27" spans="2:22" x14ac:dyDescent="0.25">
      <c r="B27" s="27" t="s">
        <v>23</v>
      </c>
      <c r="C27" s="28">
        <v>2479</v>
      </c>
      <c r="D27" s="28">
        <v>2708</v>
      </c>
      <c r="E27" s="26"/>
      <c r="F27" s="26"/>
      <c r="G27" s="26"/>
      <c r="H27" s="26"/>
      <c r="I27" s="26"/>
      <c r="J27" s="26"/>
      <c r="K27" s="26"/>
      <c r="L27" s="26"/>
      <c r="M27" s="26"/>
      <c r="N27" s="26"/>
      <c r="O27" s="26"/>
    </row>
    <row r="28" spans="2:22" x14ac:dyDescent="0.25">
      <c r="B28" s="31" t="s">
        <v>24</v>
      </c>
      <c r="C28" s="32">
        <v>1.9682480596352411E-2</v>
      </c>
      <c r="D28" s="32">
        <v>1.8831883782947742E-2</v>
      </c>
      <c r="E28" s="33"/>
      <c r="F28" s="33"/>
      <c r="G28" s="33"/>
      <c r="H28" s="33"/>
      <c r="I28" s="33"/>
      <c r="J28" s="33"/>
      <c r="K28" s="33"/>
      <c r="L28" s="33"/>
      <c r="M28" s="33"/>
      <c r="N28" s="33"/>
      <c r="O28" s="33"/>
      <c r="P28" s="34"/>
    </row>
    <row r="29" spans="2:22" x14ac:dyDescent="0.25">
      <c r="B29" s="35"/>
      <c r="C29" s="36"/>
      <c r="D29" s="34"/>
      <c r="E29" s="34"/>
      <c r="F29" s="34"/>
      <c r="G29" s="34"/>
      <c r="H29" s="34"/>
      <c r="I29" s="34"/>
      <c r="J29" s="34"/>
      <c r="K29" s="34"/>
      <c r="L29" s="34"/>
      <c r="M29" s="34"/>
      <c r="N29" s="34"/>
      <c r="O29" s="34"/>
      <c r="P29" s="34"/>
    </row>
    <row r="30" spans="2:22" x14ac:dyDescent="0.25">
      <c r="C30" s="11"/>
    </row>
    <row r="31" spans="2:22" x14ac:dyDescent="0.25">
      <c r="B31" s="35"/>
      <c r="C31" s="36"/>
      <c r="G31" s="11"/>
      <c r="H31" s="11"/>
      <c r="I31" s="11"/>
      <c r="J31" s="11"/>
      <c r="K31" s="11"/>
      <c r="L31" s="11"/>
      <c r="M31" s="11"/>
      <c r="N31" s="11"/>
      <c r="O31" s="11"/>
    </row>
    <row r="32" spans="2:22" x14ac:dyDescent="0.25">
      <c r="B32" s="116" t="s">
        <v>66</v>
      </c>
      <c r="C32" s="117"/>
      <c r="D32" s="117"/>
      <c r="E32" s="117"/>
      <c r="F32" s="117"/>
      <c r="G32" s="117"/>
      <c r="H32" s="117"/>
      <c r="I32" s="117"/>
      <c r="J32" s="117"/>
      <c r="K32" s="117"/>
      <c r="L32" s="117"/>
      <c r="M32" s="118"/>
    </row>
    <row r="33" spans="2:13" x14ac:dyDescent="0.25">
      <c r="B33" s="119"/>
      <c r="C33" s="120"/>
      <c r="D33" s="120"/>
      <c r="E33" s="120"/>
      <c r="F33" s="120"/>
      <c r="G33" s="120"/>
      <c r="H33" s="120"/>
      <c r="I33" s="120"/>
      <c r="J33" s="120"/>
      <c r="K33" s="120"/>
      <c r="L33" s="120"/>
      <c r="M33" s="121"/>
    </row>
    <row r="34" spans="2:13" x14ac:dyDescent="0.25">
      <c r="B34" s="122"/>
      <c r="C34" s="123"/>
      <c r="D34" s="123"/>
      <c r="E34" s="123"/>
      <c r="F34" s="123"/>
      <c r="G34" s="123"/>
      <c r="H34" s="123"/>
      <c r="I34" s="123"/>
      <c r="J34" s="123"/>
      <c r="K34" s="123"/>
      <c r="L34" s="123"/>
      <c r="M34" s="124"/>
    </row>
    <row r="35" spans="2:13" x14ac:dyDescent="0.25">
      <c r="B35" s="35"/>
      <c r="C35" s="37"/>
    </row>
  </sheetData>
  <mergeCells count="1">
    <mergeCell ref="B32:M3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B1:V54"/>
  <sheetViews>
    <sheetView topLeftCell="A34" workbookViewId="0">
      <selection activeCell="A2" sqref="A2"/>
    </sheetView>
  </sheetViews>
  <sheetFormatPr defaultRowHeight="15" x14ac:dyDescent="0.25"/>
  <cols>
    <col min="2" max="2" width="36.85546875" customWidth="1"/>
  </cols>
  <sheetData>
    <row r="1" spans="2:22" ht="55.5" customHeight="1" x14ac:dyDescent="0.25"/>
    <row r="2" spans="2:22" ht="23.25" x14ac:dyDescent="0.35">
      <c r="B2" s="80" t="s">
        <v>63</v>
      </c>
    </row>
    <row r="3" spans="2:22" x14ac:dyDescent="0.25">
      <c r="B3" s="81" t="s">
        <v>82</v>
      </c>
    </row>
    <row r="4" spans="2:22" ht="15.75" thickBot="1" x14ac:dyDescent="0.3"/>
    <row r="5" spans="2:22" ht="19.5" thickBot="1" x14ac:dyDescent="0.35">
      <c r="B5" s="79" t="s">
        <v>62</v>
      </c>
    </row>
    <row r="7" spans="2:22" x14ac:dyDescent="0.25">
      <c r="B7" s="3" t="s">
        <v>1</v>
      </c>
    </row>
    <row r="8" spans="2:22" x14ac:dyDescent="0.25">
      <c r="B8" t="s">
        <v>2</v>
      </c>
    </row>
    <row r="10" spans="2:22" x14ac:dyDescent="0.25">
      <c r="B10" s="4"/>
      <c r="C10" s="125" t="s">
        <v>3</v>
      </c>
      <c r="D10" s="126"/>
      <c r="E10" s="126"/>
      <c r="F10" s="126"/>
      <c r="G10" s="126"/>
      <c r="H10" s="126"/>
      <c r="I10" s="126"/>
      <c r="J10" s="126"/>
      <c r="K10" s="126"/>
      <c r="L10" s="126"/>
      <c r="M10" s="126"/>
      <c r="N10" s="126"/>
      <c r="O10" s="127"/>
    </row>
    <row r="11" spans="2:22" ht="45" x14ac:dyDescent="0.25">
      <c r="B11" s="5"/>
      <c r="C11" s="6" t="s">
        <v>4</v>
      </c>
      <c r="D11" s="7" t="s">
        <v>5</v>
      </c>
      <c r="E11" s="7" t="s">
        <v>6</v>
      </c>
      <c r="F11" s="7" t="s">
        <v>7</v>
      </c>
      <c r="G11" s="7" t="s">
        <v>8</v>
      </c>
      <c r="H11" s="7" t="s">
        <v>9</v>
      </c>
      <c r="I11" s="7" t="s">
        <v>10</v>
      </c>
      <c r="J11" s="7" t="s">
        <v>11</v>
      </c>
      <c r="K11" s="7" t="s">
        <v>12</v>
      </c>
      <c r="L11" s="7" t="s">
        <v>13</v>
      </c>
      <c r="M11" s="7" t="s">
        <v>14</v>
      </c>
      <c r="N11" s="7" t="s">
        <v>15</v>
      </c>
      <c r="O11" s="7" t="s">
        <v>16</v>
      </c>
    </row>
    <row r="12" spans="2:22" x14ac:dyDescent="0.25">
      <c r="B12" s="8"/>
      <c r="C12" s="4"/>
      <c r="D12" s="9"/>
      <c r="E12" s="9"/>
      <c r="F12" s="9"/>
      <c r="G12" s="9"/>
      <c r="H12" s="9"/>
      <c r="I12" s="9"/>
      <c r="J12" s="9"/>
      <c r="K12" s="9"/>
      <c r="L12" s="9"/>
      <c r="M12" s="9"/>
      <c r="N12" s="9"/>
      <c r="O12" s="10"/>
      <c r="Q12" s="11"/>
      <c r="R12" s="11"/>
    </row>
    <row r="13" spans="2:22" x14ac:dyDescent="0.25">
      <c r="B13" s="12" t="s">
        <v>5</v>
      </c>
      <c r="C13" s="13">
        <v>3.4471465117926724E-2</v>
      </c>
      <c r="D13" s="14">
        <v>0.54608557149845172</v>
      </c>
      <c r="E13" s="14">
        <v>0</v>
      </c>
      <c r="F13" s="14">
        <v>0</v>
      </c>
      <c r="G13" s="14">
        <v>1.048608142679068E-2</v>
      </c>
      <c r="H13" s="14">
        <v>1.4081177439518438E-2</v>
      </c>
      <c r="I13" s="14">
        <v>1.5952772889357616E-2</v>
      </c>
      <c r="J13" s="14">
        <v>4.8329066218734786E-3</v>
      </c>
      <c r="K13" s="14">
        <v>0</v>
      </c>
      <c r="L13" s="14">
        <v>4.5000294750884878E-2</v>
      </c>
      <c r="M13" s="14">
        <v>4.4346665773208963E-2</v>
      </c>
      <c r="N13" s="14">
        <v>0</v>
      </c>
      <c r="O13" s="15">
        <v>1.1673443722270013E-2</v>
      </c>
      <c r="Q13" s="11"/>
      <c r="R13" s="11"/>
      <c r="S13" s="11"/>
      <c r="T13" s="11"/>
      <c r="U13" s="11"/>
      <c r="V13" s="11"/>
    </row>
    <row r="14" spans="2:22" x14ac:dyDescent="0.25">
      <c r="B14" s="12" t="s">
        <v>17</v>
      </c>
      <c r="C14" s="13">
        <v>4.7388017638597929E-2</v>
      </c>
      <c r="D14" s="14">
        <v>6.7819908635939577E-2</v>
      </c>
      <c r="E14" s="14">
        <v>5.0935544250886216E-3</v>
      </c>
      <c r="F14" s="14">
        <v>9.256099526597103E-2</v>
      </c>
      <c r="G14" s="14">
        <v>3.0953668635624664E-2</v>
      </c>
      <c r="H14" s="14">
        <v>1.6154925090327683E-2</v>
      </c>
      <c r="I14" s="14">
        <v>5.4896428236838074E-2</v>
      </c>
      <c r="J14" s="14">
        <v>1.3950344094350054E-2</v>
      </c>
      <c r="K14" s="14">
        <v>0.12806194965758638</v>
      </c>
      <c r="L14" s="14">
        <v>0.22797352510858651</v>
      </c>
      <c r="M14" s="14">
        <v>5.6379319785954979E-2</v>
      </c>
      <c r="N14" s="14">
        <v>0</v>
      </c>
      <c r="O14" s="15">
        <v>5.756784173275007E-2</v>
      </c>
      <c r="Q14" s="11"/>
      <c r="R14" s="11"/>
      <c r="S14" s="11"/>
      <c r="T14" s="11"/>
      <c r="U14" s="11"/>
      <c r="V14" s="11"/>
    </row>
    <row r="15" spans="2:22" x14ac:dyDescent="0.25">
      <c r="B15" s="12" t="s">
        <v>6</v>
      </c>
      <c r="C15" s="13">
        <v>0.12099096748101708</v>
      </c>
      <c r="D15" s="14">
        <v>0</v>
      </c>
      <c r="E15" s="14">
        <v>0.67073548613485567</v>
      </c>
      <c r="F15" s="14">
        <v>0.19213247900571728</v>
      </c>
      <c r="G15" s="14">
        <v>0.12291406787928814</v>
      </c>
      <c r="H15" s="14">
        <v>0.13534871270613225</v>
      </c>
      <c r="I15" s="14">
        <v>4.5802389027073495E-2</v>
      </c>
      <c r="J15" s="14">
        <v>2.4788056513235655E-2</v>
      </c>
      <c r="K15" s="14">
        <v>5.3166996241281933E-2</v>
      </c>
      <c r="L15" s="14">
        <v>0.12730552655118024</v>
      </c>
      <c r="M15" s="14">
        <v>0.16747363692967657</v>
      </c>
      <c r="N15" s="14">
        <v>0</v>
      </c>
      <c r="O15" s="15">
        <v>0.14367702541649935</v>
      </c>
      <c r="Q15" s="11"/>
      <c r="R15" s="11"/>
      <c r="S15" s="11"/>
      <c r="T15" s="11"/>
      <c r="U15" s="11"/>
      <c r="V15" s="11"/>
    </row>
    <row r="16" spans="2:22" x14ac:dyDescent="0.25">
      <c r="B16" s="12" t="s">
        <v>8</v>
      </c>
      <c r="C16" s="13">
        <v>0.26761524023566552</v>
      </c>
      <c r="D16" s="14">
        <v>1.9121372431805679E-2</v>
      </c>
      <c r="E16" s="14">
        <v>0.16064316540268289</v>
      </c>
      <c r="F16" s="14">
        <v>0.4293547474209522</v>
      </c>
      <c r="G16" s="14">
        <v>0.62673673427353749</v>
      </c>
      <c r="H16" s="14">
        <v>0.15507005809868571</v>
      </c>
      <c r="I16" s="14">
        <v>5.8918598812831784E-2</v>
      </c>
      <c r="J16" s="14">
        <v>1.7624078788939828E-2</v>
      </c>
      <c r="K16" s="14">
        <v>0.16459656793860061</v>
      </c>
      <c r="L16" s="14">
        <v>5.8936145153560625E-2</v>
      </c>
      <c r="M16" s="14">
        <v>0.37937322171661425</v>
      </c>
      <c r="N16" s="14">
        <v>0</v>
      </c>
      <c r="O16" s="15">
        <v>0.30918377505438793</v>
      </c>
      <c r="Q16" s="11"/>
      <c r="R16" s="11"/>
      <c r="S16" s="11"/>
      <c r="T16" s="11"/>
      <c r="U16" s="11"/>
      <c r="V16" s="11"/>
    </row>
    <row r="17" spans="2:22" x14ac:dyDescent="0.25">
      <c r="B17" s="12" t="s">
        <v>18</v>
      </c>
      <c r="C17" s="13">
        <v>2.363520201675182E-2</v>
      </c>
      <c r="D17" s="14">
        <v>0</v>
      </c>
      <c r="E17" s="14">
        <v>6.4953648139690817E-2</v>
      </c>
      <c r="F17" s="14">
        <v>0</v>
      </c>
      <c r="G17" s="14">
        <v>1.7671255025247457E-2</v>
      </c>
      <c r="H17" s="14">
        <v>0.37382226686204706</v>
      </c>
      <c r="I17" s="14">
        <v>2.54410367059649E-4</v>
      </c>
      <c r="J17" s="14">
        <v>1.5378914457026052E-3</v>
      </c>
      <c r="K17" s="14">
        <v>0.30004935261225996</v>
      </c>
      <c r="L17" s="14">
        <v>4.6631565778005979E-2</v>
      </c>
      <c r="M17" s="14">
        <v>3.526838205117247E-2</v>
      </c>
      <c r="N17" s="14">
        <v>0</v>
      </c>
      <c r="O17" s="15">
        <v>0</v>
      </c>
      <c r="Q17" s="11"/>
      <c r="R17" s="11"/>
      <c r="S17" s="11"/>
      <c r="T17" s="11"/>
      <c r="U17" s="11"/>
      <c r="V17" s="11"/>
    </row>
    <row r="18" spans="2:22" x14ac:dyDescent="0.25">
      <c r="B18" s="12" t="s">
        <v>9</v>
      </c>
      <c r="C18" s="13">
        <v>1.2958815383722351E-2</v>
      </c>
      <c r="D18" s="14">
        <v>0</v>
      </c>
      <c r="E18" s="14">
        <v>0</v>
      </c>
      <c r="F18" s="14">
        <v>0</v>
      </c>
      <c r="G18" s="14">
        <v>1.7657542496206199E-2</v>
      </c>
      <c r="H18" s="14">
        <v>0.19970451320350141</v>
      </c>
      <c r="I18" s="14">
        <v>7.7907539896241136E-3</v>
      </c>
      <c r="J18" s="14">
        <v>0</v>
      </c>
      <c r="K18" s="14">
        <v>0</v>
      </c>
      <c r="L18" s="14">
        <v>5.2806632020197955E-3</v>
      </c>
      <c r="M18" s="14">
        <v>4.9382366533702602E-3</v>
      </c>
      <c r="N18" s="14">
        <v>0</v>
      </c>
      <c r="O18" s="15">
        <v>0</v>
      </c>
      <c r="Q18" s="11"/>
      <c r="R18" s="11"/>
      <c r="S18" s="11"/>
      <c r="T18" s="11"/>
      <c r="U18" s="11"/>
      <c r="V18" s="11"/>
    </row>
    <row r="19" spans="2:22" x14ac:dyDescent="0.25">
      <c r="B19" s="12" t="s">
        <v>10</v>
      </c>
      <c r="C19" s="13">
        <v>0.35372153280077961</v>
      </c>
      <c r="D19" s="14">
        <v>0.2343252895603975</v>
      </c>
      <c r="E19" s="14">
        <v>5.0668473184037673E-2</v>
      </c>
      <c r="F19" s="14">
        <v>0.17039844204573423</v>
      </c>
      <c r="G19" s="14">
        <v>6.7465896260284541E-2</v>
      </c>
      <c r="H19" s="14">
        <v>0</v>
      </c>
      <c r="I19" s="14">
        <v>0.73677232059771214</v>
      </c>
      <c r="J19" s="14">
        <v>4.2705729794835237E-2</v>
      </c>
      <c r="K19" s="14">
        <v>4.0789757794903035E-2</v>
      </c>
      <c r="L19" s="14">
        <v>0.16341786836672925</v>
      </c>
      <c r="M19" s="14">
        <v>0.22602432823053725</v>
      </c>
      <c r="N19" s="14">
        <v>0</v>
      </c>
      <c r="O19" s="15">
        <v>0.1528779807806584</v>
      </c>
      <c r="Q19" s="11"/>
      <c r="R19" s="11"/>
      <c r="S19" s="11"/>
      <c r="T19" s="11"/>
      <c r="U19" s="11"/>
      <c r="V19" s="11"/>
    </row>
    <row r="20" spans="2:22" x14ac:dyDescent="0.25">
      <c r="B20" s="12" t="s">
        <v>11</v>
      </c>
      <c r="C20" s="13">
        <v>0.10533015879416574</v>
      </c>
      <c r="D20" s="14">
        <v>8.3929335857921492E-2</v>
      </c>
      <c r="E20" s="14">
        <v>4.5403153324065901E-2</v>
      </c>
      <c r="F20" s="14">
        <v>0.11555333626162528</v>
      </c>
      <c r="G20" s="14">
        <v>9.4135212319826356E-2</v>
      </c>
      <c r="H20" s="14">
        <v>7.9861126536891841E-2</v>
      </c>
      <c r="I20" s="14">
        <v>6.5568865418909883E-2</v>
      </c>
      <c r="J20" s="14">
        <v>0.87263408481745619</v>
      </c>
      <c r="K20" s="14">
        <v>4.7961295808486737E-2</v>
      </c>
      <c r="L20" s="14">
        <v>5.3097548124165339E-2</v>
      </c>
      <c r="M20" s="14">
        <v>7.4031739443828029E-2</v>
      </c>
      <c r="N20" s="14">
        <v>0</v>
      </c>
      <c r="O20" s="15">
        <v>9.2776654535977887E-2</v>
      </c>
      <c r="Q20" s="11"/>
      <c r="R20" s="11"/>
      <c r="S20" s="11"/>
      <c r="T20" s="11"/>
      <c r="U20" s="11"/>
      <c r="V20" s="11"/>
    </row>
    <row r="21" spans="2:22" x14ac:dyDescent="0.25">
      <c r="B21" s="12" t="s">
        <v>12</v>
      </c>
      <c r="C21" s="13">
        <v>8.558705420357712E-3</v>
      </c>
      <c r="D21" s="14">
        <v>3.4117478908032524E-2</v>
      </c>
      <c r="E21" s="14">
        <v>0</v>
      </c>
      <c r="F21" s="14">
        <v>0</v>
      </c>
      <c r="G21" s="14">
        <v>8.1857971217520319E-4</v>
      </c>
      <c r="H21" s="14">
        <v>2.5957220062895529E-2</v>
      </c>
      <c r="I21" s="14">
        <v>6.0409094305036489E-3</v>
      </c>
      <c r="J21" s="14">
        <v>3.9442272863918501E-3</v>
      </c>
      <c r="K21" s="14">
        <v>0.26537407994688128</v>
      </c>
      <c r="L21" s="14">
        <v>0</v>
      </c>
      <c r="M21" s="14">
        <v>8.3022326156892146E-3</v>
      </c>
      <c r="N21" s="14">
        <v>0</v>
      </c>
      <c r="O21" s="15">
        <v>1.0939355812507457E-2</v>
      </c>
      <c r="Q21" s="11"/>
      <c r="R21" s="11"/>
      <c r="S21" s="11"/>
      <c r="T21" s="11"/>
      <c r="U21" s="11"/>
      <c r="V21" s="11"/>
    </row>
    <row r="22" spans="2:22" x14ac:dyDescent="0.25">
      <c r="B22" s="12" t="s">
        <v>19</v>
      </c>
      <c r="C22" s="13">
        <v>4.7289486574194706E-3</v>
      </c>
      <c r="D22" s="14">
        <v>1.4601043107451634E-2</v>
      </c>
      <c r="E22" s="14">
        <v>0</v>
      </c>
      <c r="F22" s="14">
        <v>0</v>
      </c>
      <c r="G22" s="14">
        <v>0</v>
      </c>
      <c r="H22" s="14">
        <v>0</v>
      </c>
      <c r="I22" s="14">
        <v>6.6009933681791539E-4</v>
      </c>
      <c r="J22" s="14">
        <v>0</v>
      </c>
      <c r="K22" s="14">
        <v>0</v>
      </c>
      <c r="L22" s="14">
        <v>0.26493151526784636</v>
      </c>
      <c r="M22" s="14">
        <v>0</v>
      </c>
      <c r="N22" s="14">
        <v>0</v>
      </c>
      <c r="O22" s="15">
        <v>0</v>
      </c>
      <c r="Q22" s="11"/>
      <c r="R22" s="11"/>
      <c r="S22" s="11"/>
      <c r="T22" s="11"/>
      <c r="U22" s="11"/>
      <c r="V22" s="11"/>
    </row>
    <row r="23" spans="2:22" x14ac:dyDescent="0.25">
      <c r="B23" s="12" t="s">
        <v>20</v>
      </c>
      <c r="C23" s="13">
        <v>0</v>
      </c>
      <c r="D23" s="14">
        <v>0</v>
      </c>
      <c r="E23" s="14">
        <v>0</v>
      </c>
      <c r="F23" s="14">
        <v>0</v>
      </c>
      <c r="G23" s="14">
        <v>0</v>
      </c>
      <c r="H23" s="14">
        <v>0</v>
      </c>
      <c r="I23" s="14">
        <v>0</v>
      </c>
      <c r="J23" s="14">
        <v>0</v>
      </c>
      <c r="K23" s="14">
        <v>0</v>
      </c>
      <c r="L23" s="14">
        <v>0</v>
      </c>
      <c r="M23" s="14">
        <v>0</v>
      </c>
      <c r="N23" s="14">
        <v>0</v>
      </c>
      <c r="O23" s="15">
        <v>0</v>
      </c>
      <c r="Q23" s="11"/>
      <c r="R23" s="11"/>
      <c r="S23" s="11"/>
      <c r="T23" s="11"/>
      <c r="U23" s="11"/>
      <c r="V23" s="11"/>
    </row>
    <row r="24" spans="2:22" x14ac:dyDescent="0.25">
      <c r="B24" s="16" t="s">
        <v>21</v>
      </c>
      <c r="C24" s="17">
        <v>2.0600946453594449E-2</v>
      </c>
      <c r="D24" s="18">
        <v>0</v>
      </c>
      <c r="E24" s="18">
        <v>2.5025193895790118E-3</v>
      </c>
      <c r="F24" s="18">
        <v>0</v>
      </c>
      <c r="G24" s="18">
        <v>1.1160961971020631E-2</v>
      </c>
      <c r="H24" s="18">
        <v>0</v>
      </c>
      <c r="I24" s="18">
        <v>7.3424518932714046E-3</v>
      </c>
      <c r="J24" s="18">
        <v>1.7982680637214039E-2</v>
      </c>
      <c r="K24" s="18">
        <v>0</v>
      </c>
      <c r="L24" s="18">
        <v>7.4253476970210421E-3</v>
      </c>
      <c r="M24" s="18">
        <v>3.8622367999482069E-3</v>
      </c>
      <c r="N24" s="18">
        <v>0</v>
      </c>
      <c r="O24" s="19">
        <v>0.22130392294494913</v>
      </c>
      <c r="Q24" s="11"/>
      <c r="R24" s="11"/>
      <c r="S24" s="11"/>
      <c r="T24" s="11"/>
      <c r="U24" s="11"/>
      <c r="V24" s="11"/>
    </row>
    <row r="25" spans="2:22" x14ac:dyDescent="0.25">
      <c r="B25" s="20"/>
      <c r="C25" s="14"/>
      <c r="D25" s="14"/>
      <c r="E25" s="14"/>
      <c r="F25" s="14"/>
      <c r="G25" s="14"/>
      <c r="H25" s="14"/>
      <c r="I25" s="14"/>
      <c r="J25" s="14"/>
      <c r="K25" s="14"/>
      <c r="L25" s="14"/>
      <c r="M25" s="14"/>
      <c r="N25" s="14"/>
      <c r="O25" s="14"/>
      <c r="Q25" s="11"/>
      <c r="R25" s="11"/>
      <c r="S25" s="11"/>
      <c r="T25" s="11"/>
      <c r="U25" s="11"/>
      <c r="V25" s="11"/>
    </row>
    <row r="26" spans="2:22" x14ac:dyDescent="0.25">
      <c r="B26" s="21" t="s">
        <v>4</v>
      </c>
      <c r="C26" s="22">
        <v>0.99999999999999845</v>
      </c>
      <c r="D26" s="23">
        <v>1</v>
      </c>
      <c r="E26" s="23">
        <v>1.0000000000000004</v>
      </c>
      <c r="F26" s="23">
        <v>1</v>
      </c>
      <c r="G26" s="23">
        <v>1.0000000000000013</v>
      </c>
      <c r="H26" s="23">
        <v>0.99999999999999989</v>
      </c>
      <c r="I26" s="23">
        <v>0.99999999999999967</v>
      </c>
      <c r="J26" s="23">
        <v>0.999999999999999</v>
      </c>
      <c r="K26" s="23">
        <v>1</v>
      </c>
      <c r="L26" s="23">
        <v>1</v>
      </c>
      <c r="M26" s="23">
        <v>1</v>
      </c>
      <c r="N26" s="23">
        <v>0</v>
      </c>
      <c r="O26" s="24">
        <v>1.0000000000000002</v>
      </c>
    </row>
    <row r="27" spans="2:22" x14ac:dyDescent="0.25">
      <c r="B27" s="25" t="s">
        <v>22</v>
      </c>
      <c r="C27" s="26"/>
      <c r="D27" s="26"/>
      <c r="E27" s="26"/>
      <c r="F27" s="26"/>
      <c r="G27" s="26"/>
      <c r="H27" s="26"/>
      <c r="I27" s="26"/>
      <c r="J27" s="26"/>
      <c r="K27" s="26"/>
      <c r="L27" s="26"/>
      <c r="M27" s="26"/>
      <c r="N27" s="26"/>
      <c r="O27" s="26"/>
    </row>
    <row r="28" spans="2:22" x14ac:dyDescent="0.25">
      <c r="B28" s="27" t="s">
        <v>23</v>
      </c>
      <c r="C28" s="28">
        <v>2580</v>
      </c>
      <c r="D28" s="29">
        <v>77</v>
      </c>
      <c r="E28" s="29">
        <v>276</v>
      </c>
      <c r="F28" s="29">
        <v>26</v>
      </c>
      <c r="G28" s="29">
        <v>787</v>
      </c>
      <c r="H28" s="29">
        <v>60</v>
      </c>
      <c r="I28" s="29">
        <v>985</v>
      </c>
      <c r="J28" s="29">
        <v>161</v>
      </c>
      <c r="K28" s="29">
        <v>34</v>
      </c>
      <c r="L28" s="29">
        <v>42</v>
      </c>
      <c r="M28" s="29">
        <v>66</v>
      </c>
      <c r="N28" s="29"/>
      <c r="O28" s="30">
        <v>66</v>
      </c>
    </row>
    <row r="29" spans="2:22" x14ac:dyDescent="0.25">
      <c r="B29" s="31" t="s">
        <v>24</v>
      </c>
      <c r="C29" s="32">
        <v>1.929337663163724E-2</v>
      </c>
      <c r="D29" s="32"/>
      <c r="E29" s="33"/>
      <c r="F29" s="33"/>
      <c r="G29" s="33"/>
      <c r="H29" s="33"/>
      <c r="I29" s="33"/>
      <c r="J29" s="33"/>
      <c r="K29" s="33"/>
      <c r="L29" s="33"/>
      <c r="M29" s="33"/>
      <c r="N29" s="33"/>
      <c r="O29" s="33"/>
      <c r="P29" s="34"/>
    </row>
    <row r="30" spans="2:22" x14ac:dyDescent="0.25">
      <c r="B30" s="35"/>
      <c r="C30" s="36"/>
      <c r="D30" s="34"/>
      <c r="E30" s="34"/>
      <c r="F30" s="34"/>
      <c r="G30" s="34"/>
      <c r="H30" s="34"/>
      <c r="I30" s="34"/>
      <c r="J30" s="34"/>
      <c r="K30" s="34"/>
      <c r="L30" s="34"/>
      <c r="M30" s="34"/>
      <c r="N30" s="34"/>
      <c r="O30" s="34"/>
      <c r="P30" s="34"/>
    </row>
    <row r="31" spans="2:22" x14ac:dyDescent="0.25">
      <c r="C31" s="11"/>
    </row>
    <row r="32" spans="2:22" x14ac:dyDescent="0.25">
      <c r="B32" s="35"/>
      <c r="C32" s="36"/>
      <c r="G32" s="11"/>
      <c r="H32" s="11"/>
      <c r="I32" s="11"/>
      <c r="J32" s="11"/>
      <c r="K32" s="11"/>
      <c r="L32" s="11"/>
      <c r="M32" s="11"/>
      <c r="N32" s="11"/>
      <c r="O32" s="11"/>
    </row>
    <row r="33" spans="2:13" x14ac:dyDescent="0.25">
      <c r="B33" s="128" t="s">
        <v>61</v>
      </c>
      <c r="C33" s="129"/>
      <c r="D33" s="129"/>
      <c r="E33" s="129"/>
      <c r="F33" s="129"/>
      <c r="G33" s="129"/>
      <c r="H33" s="129"/>
      <c r="I33" s="129"/>
      <c r="J33" s="129"/>
      <c r="K33" s="129"/>
      <c r="L33" s="129"/>
      <c r="M33" s="130"/>
    </row>
    <row r="34" spans="2:13" x14ac:dyDescent="0.25">
      <c r="B34" s="131"/>
      <c r="C34" s="132"/>
      <c r="D34" s="132"/>
      <c r="E34" s="132"/>
      <c r="F34" s="132"/>
      <c r="G34" s="132"/>
      <c r="H34" s="132"/>
      <c r="I34" s="132"/>
      <c r="J34" s="132"/>
      <c r="K34" s="132"/>
      <c r="L34" s="132"/>
      <c r="M34" s="133"/>
    </row>
    <row r="35" spans="2:13" x14ac:dyDescent="0.25">
      <c r="B35" s="134"/>
      <c r="C35" s="135"/>
      <c r="D35" s="135"/>
      <c r="E35" s="135"/>
      <c r="F35" s="135"/>
      <c r="G35" s="135"/>
      <c r="H35" s="135"/>
      <c r="I35" s="135"/>
      <c r="J35" s="135"/>
      <c r="K35" s="135"/>
      <c r="L35" s="135"/>
      <c r="M35" s="136"/>
    </row>
    <row r="36" spans="2:13" x14ac:dyDescent="0.25">
      <c r="B36" s="35"/>
      <c r="C36" s="37"/>
    </row>
    <row r="38" spans="2:13" ht="15.75" thickBot="1" x14ac:dyDescent="0.3"/>
    <row r="39" spans="2:13" x14ac:dyDescent="0.25">
      <c r="D39" s="137" t="s">
        <v>50</v>
      </c>
      <c r="E39" s="138"/>
      <c r="F39" s="137" t="s">
        <v>51</v>
      </c>
      <c r="G39" s="138"/>
      <c r="H39" s="137" t="s">
        <v>52</v>
      </c>
      <c r="I39" s="138"/>
      <c r="J39" s="137" t="s">
        <v>53</v>
      </c>
      <c r="K39" s="138"/>
    </row>
    <row r="40" spans="2:13" ht="67.5" x14ac:dyDescent="0.25">
      <c r="B40" s="54" t="s">
        <v>44</v>
      </c>
      <c r="C40" s="55" t="s">
        <v>54</v>
      </c>
      <c r="D40" s="56" t="s">
        <v>55</v>
      </c>
      <c r="E40" s="57" t="s">
        <v>56</v>
      </c>
      <c r="F40" s="58" t="s">
        <v>55</v>
      </c>
      <c r="G40" s="59" t="s">
        <v>56</v>
      </c>
      <c r="H40" s="56" t="s">
        <v>55</v>
      </c>
      <c r="I40" s="57" t="s">
        <v>56</v>
      </c>
      <c r="J40" s="58" t="s">
        <v>55</v>
      </c>
      <c r="K40" s="59" t="s">
        <v>56</v>
      </c>
    </row>
    <row r="41" spans="2:13" x14ac:dyDescent="0.25">
      <c r="B41" s="4"/>
      <c r="C41" s="8"/>
      <c r="D41" s="60"/>
      <c r="E41" s="61"/>
      <c r="F41" s="62"/>
      <c r="G41" s="63"/>
      <c r="H41" s="60"/>
      <c r="I41" s="61"/>
      <c r="J41" s="62"/>
      <c r="K41" s="63"/>
    </row>
    <row r="42" spans="2:13" x14ac:dyDescent="0.25">
      <c r="B42" s="40" t="s">
        <v>5</v>
      </c>
      <c r="C42" s="64">
        <f>C13/SUM(C$13:C$22)</f>
        <v>3.5196547304293939E-2</v>
      </c>
      <c r="D42" s="65">
        <v>4</v>
      </c>
      <c r="E42" s="66" t="s">
        <v>57</v>
      </c>
      <c r="F42" s="67">
        <v>0</v>
      </c>
      <c r="G42" s="68" t="s">
        <v>58</v>
      </c>
      <c r="H42" s="65">
        <v>0</v>
      </c>
      <c r="I42" s="66" t="s">
        <v>58</v>
      </c>
      <c r="J42" s="67">
        <v>4</v>
      </c>
      <c r="K42" s="68" t="s">
        <v>57</v>
      </c>
    </row>
    <row r="43" spans="2:13" x14ac:dyDescent="0.25">
      <c r="B43" s="40" t="s">
        <v>17</v>
      </c>
      <c r="C43" s="64">
        <f t="shared" ref="C43:C51" si="0">C14/SUM(C$13:C$22)</f>
        <v>4.8384790108797752E-2</v>
      </c>
      <c r="D43" s="65">
        <v>0</v>
      </c>
      <c r="E43" s="66"/>
      <c r="F43" s="67">
        <v>0</v>
      </c>
      <c r="G43" s="68"/>
      <c r="H43" s="65">
        <v>6</v>
      </c>
      <c r="I43" s="66" t="s">
        <v>57</v>
      </c>
      <c r="J43" s="67">
        <v>6</v>
      </c>
      <c r="K43" s="68" t="s">
        <v>57</v>
      </c>
    </row>
    <row r="44" spans="2:13" x14ac:dyDescent="0.25">
      <c r="B44" s="40" t="s">
        <v>6</v>
      </c>
      <c r="C44" s="64">
        <f t="shared" si="0"/>
        <v>0.12353592444561672</v>
      </c>
      <c r="D44" s="65">
        <v>16</v>
      </c>
      <c r="E44" s="66"/>
      <c r="F44" s="67">
        <v>16</v>
      </c>
      <c r="G44" s="68"/>
      <c r="H44" s="65">
        <v>16</v>
      </c>
      <c r="I44" s="66"/>
      <c r="J44" s="67">
        <v>15</v>
      </c>
      <c r="K44" s="68"/>
    </row>
    <row r="45" spans="2:13" x14ac:dyDescent="0.25">
      <c r="B45" s="40" t="s">
        <v>8</v>
      </c>
      <c r="C45" s="64">
        <f t="shared" si="0"/>
        <v>0.27324433208979604</v>
      </c>
      <c r="D45" s="65">
        <v>34</v>
      </c>
      <c r="E45" s="66"/>
      <c r="F45" s="67">
        <v>36</v>
      </c>
      <c r="G45" s="68"/>
      <c r="H45" s="65">
        <v>34</v>
      </c>
      <c r="I45" s="66"/>
      <c r="J45" s="67">
        <v>33</v>
      </c>
      <c r="K45" s="68"/>
    </row>
    <row r="46" spans="2:13" x14ac:dyDescent="0.25">
      <c r="B46" s="40" t="s">
        <v>18</v>
      </c>
      <c r="C46" s="64">
        <f t="shared" si="0"/>
        <v>2.4132351293549605E-2</v>
      </c>
      <c r="D46" s="65">
        <v>3</v>
      </c>
      <c r="E46" s="66" t="s">
        <v>57</v>
      </c>
      <c r="F46" s="67">
        <v>3</v>
      </c>
      <c r="G46" s="68" t="s">
        <v>57</v>
      </c>
      <c r="H46" s="65">
        <v>3</v>
      </c>
      <c r="I46" s="66" t="s">
        <v>57</v>
      </c>
      <c r="J46" s="67">
        <v>3</v>
      </c>
      <c r="K46" s="68" t="s">
        <v>57</v>
      </c>
    </row>
    <row r="47" spans="2:13" x14ac:dyDescent="0.25">
      <c r="B47" s="40" t="s">
        <v>9</v>
      </c>
      <c r="C47" s="64">
        <f t="shared" si="0"/>
        <v>1.3231394636127613E-2</v>
      </c>
      <c r="D47" s="65">
        <v>4</v>
      </c>
      <c r="E47" s="66" t="s">
        <v>59</v>
      </c>
      <c r="F47" s="67">
        <v>4</v>
      </c>
      <c r="G47" s="68" t="s">
        <v>59</v>
      </c>
      <c r="H47" s="65">
        <v>4</v>
      </c>
      <c r="I47" s="66" t="s">
        <v>59</v>
      </c>
      <c r="J47" s="67">
        <v>4</v>
      </c>
      <c r="K47" s="68" t="s">
        <v>59</v>
      </c>
    </row>
    <row r="48" spans="2:13" x14ac:dyDescent="0.25">
      <c r="B48" s="40" t="s">
        <v>10</v>
      </c>
      <c r="C48" s="64">
        <f t="shared" si="0"/>
        <v>0.36116180786570495</v>
      </c>
      <c r="D48" s="65">
        <v>46</v>
      </c>
      <c r="E48" s="66"/>
      <c r="F48" s="67">
        <v>48</v>
      </c>
      <c r="G48" s="68"/>
      <c r="H48" s="65">
        <v>45</v>
      </c>
      <c r="I48" s="66"/>
      <c r="J48" s="67">
        <v>43</v>
      </c>
      <c r="K48" s="68"/>
    </row>
    <row r="49" spans="2:11" x14ac:dyDescent="0.25">
      <c r="B49" s="40" t="s">
        <v>11</v>
      </c>
      <c r="C49" s="64">
        <f t="shared" si="0"/>
        <v>0.10754570204327361</v>
      </c>
      <c r="D49" s="65">
        <v>14</v>
      </c>
      <c r="E49" s="66"/>
      <c r="F49" s="67">
        <v>14</v>
      </c>
      <c r="G49" s="68"/>
      <c r="H49" s="65">
        <v>13</v>
      </c>
      <c r="I49" s="66"/>
      <c r="J49" s="67">
        <v>13</v>
      </c>
      <c r="K49" s="68"/>
    </row>
    <row r="50" spans="2:11" x14ac:dyDescent="0.25">
      <c r="B50" s="40" t="s">
        <v>12</v>
      </c>
      <c r="C50" s="64">
        <f t="shared" si="0"/>
        <v>8.7387315613249167E-3</v>
      </c>
      <c r="D50" s="65">
        <v>1</v>
      </c>
      <c r="E50" s="66" t="s">
        <v>57</v>
      </c>
      <c r="F50" s="67">
        <v>1</v>
      </c>
      <c r="G50" s="68" t="s">
        <v>57</v>
      </c>
      <c r="H50" s="65">
        <v>1</v>
      </c>
      <c r="I50" s="66" t="s">
        <v>57</v>
      </c>
      <c r="J50" s="67">
        <v>1</v>
      </c>
      <c r="K50" s="68" t="s">
        <v>57</v>
      </c>
    </row>
    <row r="51" spans="2:11" x14ac:dyDescent="0.25">
      <c r="B51" s="40" t="s">
        <v>19</v>
      </c>
      <c r="C51" s="64">
        <f t="shared" si="0"/>
        <v>4.8284186515148726E-3</v>
      </c>
      <c r="D51" s="65">
        <v>0</v>
      </c>
      <c r="E51" s="66"/>
      <c r="F51" s="67">
        <v>0</v>
      </c>
      <c r="G51" s="68"/>
      <c r="H51" s="65">
        <v>0</v>
      </c>
      <c r="I51" s="66"/>
      <c r="J51" s="67">
        <v>0</v>
      </c>
      <c r="K51" s="68"/>
    </row>
    <row r="52" spans="2:11" ht="15.75" thickBot="1" x14ac:dyDescent="0.3">
      <c r="B52" s="69"/>
      <c r="C52" s="16"/>
      <c r="D52" s="70"/>
      <c r="E52" s="71"/>
      <c r="F52" s="72"/>
      <c r="G52" s="73"/>
      <c r="H52" s="70"/>
      <c r="I52" s="71"/>
      <c r="J52" s="72"/>
      <c r="K52" s="73"/>
    </row>
    <row r="53" spans="2:11" x14ac:dyDescent="0.25">
      <c r="D53" s="74"/>
      <c r="E53" s="74"/>
      <c r="H53" s="74"/>
      <c r="I53" s="74"/>
    </row>
    <row r="54" spans="2:11" x14ac:dyDescent="0.25">
      <c r="B54" s="75" t="s">
        <v>60</v>
      </c>
      <c r="C54" s="76"/>
      <c r="D54" s="77">
        <f>SUM(D42:D53)</f>
        <v>122</v>
      </c>
      <c r="E54" s="74"/>
      <c r="F54" s="78">
        <f>SUM(F42:F53)</f>
        <v>122</v>
      </c>
      <c r="H54" s="77">
        <f>SUM(H42:H53)</f>
        <v>122</v>
      </c>
      <c r="I54" s="74"/>
      <c r="J54" s="78">
        <f>SUM(J42:J53)</f>
        <v>122</v>
      </c>
    </row>
  </sheetData>
  <mergeCells count="6">
    <mergeCell ref="C10:O10"/>
    <mergeCell ref="B33:M35"/>
    <mergeCell ref="D39:E39"/>
    <mergeCell ref="F39:G39"/>
    <mergeCell ref="H39:I39"/>
    <mergeCell ref="J39:K3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V84"/>
  <sheetViews>
    <sheetView topLeftCell="A58" workbookViewId="0">
      <selection activeCell="I19" sqref="I19"/>
    </sheetView>
  </sheetViews>
  <sheetFormatPr defaultRowHeight="15" x14ac:dyDescent="0.25"/>
  <cols>
    <col min="2" max="2" width="36.85546875" customWidth="1"/>
  </cols>
  <sheetData>
    <row r="1" spans="1:22" ht="55.5" customHeight="1" x14ac:dyDescent="0.25"/>
    <row r="2" spans="1:22" ht="23.25" x14ac:dyDescent="0.35">
      <c r="A2" s="1"/>
      <c r="B2" s="80" t="s">
        <v>63</v>
      </c>
    </row>
    <row r="3" spans="1:22" x14ac:dyDescent="0.25">
      <c r="B3" s="81" t="s">
        <v>82</v>
      </c>
    </row>
    <row r="4" spans="1:22" ht="15.75" thickBot="1" x14ac:dyDescent="0.3"/>
    <row r="5" spans="1:22" ht="19.5" thickBot="1" x14ac:dyDescent="0.35">
      <c r="B5" s="2" t="s">
        <v>0</v>
      </c>
    </row>
    <row r="7" spans="1:22" x14ac:dyDescent="0.25">
      <c r="B7" s="3" t="s">
        <v>1</v>
      </c>
    </row>
    <row r="8" spans="1:22" x14ac:dyDescent="0.25">
      <c r="B8" t="s">
        <v>27</v>
      </c>
    </row>
    <row r="10" spans="1:22" x14ac:dyDescent="0.25">
      <c r="B10" s="4"/>
      <c r="C10" s="125" t="s">
        <v>3</v>
      </c>
      <c r="D10" s="126"/>
      <c r="E10" s="126"/>
      <c r="F10" s="126"/>
      <c r="G10" s="126"/>
      <c r="H10" s="126"/>
      <c r="I10" s="126"/>
      <c r="J10" s="126"/>
      <c r="K10" s="126"/>
      <c r="L10" s="126"/>
      <c r="M10" s="126"/>
      <c r="N10" s="126"/>
      <c r="O10" s="127"/>
    </row>
    <row r="11" spans="1:22" ht="45" x14ac:dyDescent="0.25">
      <c r="B11" s="5"/>
      <c r="C11" s="6" t="s">
        <v>4</v>
      </c>
      <c r="D11" s="7" t="s">
        <v>5</v>
      </c>
      <c r="E11" s="7" t="s">
        <v>6</v>
      </c>
      <c r="F11" s="7" t="s">
        <v>7</v>
      </c>
      <c r="G11" s="7" t="s">
        <v>8</v>
      </c>
      <c r="H11" s="7" t="s">
        <v>9</v>
      </c>
      <c r="I11" s="7" t="s">
        <v>10</v>
      </c>
      <c r="J11" s="7" t="s">
        <v>11</v>
      </c>
      <c r="K11" s="7" t="s">
        <v>12</v>
      </c>
      <c r="L11" s="7" t="s">
        <v>13</v>
      </c>
      <c r="M11" s="7" t="s">
        <v>14</v>
      </c>
      <c r="N11" s="7" t="s">
        <v>15</v>
      </c>
      <c r="O11" s="7" t="s">
        <v>16</v>
      </c>
    </row>
    <row r="12" spans="1:22" x14ac:dyDescent="0.25">
      <c r="B12" s="8"/>
      <c r="C12" s="4"/>
      <c r="D12" s="9"/>
      <c r="E12" s="9"/>
      <c r="F12" s="9"/>
      <c r="G12" s="9"/>
      <c r="H12" s="9"/>
      <c r="I12" s="9"/>
      <c r="J12" s="9"/>
      <c r="K12" s="9"/>
      <c r="L12" s="9"/>
      <c r="M12" s="9"/>
      <c r="N12" s="9"/>
      <c r="O12" s="10"/>
      <c r="Q12" s="11"/>
      <c r="R12" s="11"/>
    </row>
    <row r="13" spans="1:22" x14ac:dyDescent="0.25">
      <c r="B13" s="12" t="s">
        <v>5</v>
      </c>
      <c r="C13" s="13">
        <v>3.1885393430564339E-2</v>
      </c>
      <c r="D13" s="14">
        <v>0.55840725398309676</v>
      </c>
      <c r="E13" s="14">
        <v>0</v>
      </c>
      <c r="F13" s="14">
        <v>0</v>
      </c>
      <c r="G13" s="14">
        <v>1.2794447062268035E-2</v>
      </c>
      <c r="H13" s="14">
        <v>1.344890223194025E-2</v>
      </c>
      <c r="I13" s="14">
        <v>1.5659173728975469E-2</v>
      </c>
      <c r="J13" s="14">
        <v>6.9155398802491601E-3</v>
      </c>
      <c r="K13" s="14">
        <v>0</v>
      </c>
      <c r="L13" s="14">
        <v>4.1406238645454591E-2</v>
      </c>
      <c r="M13" s="14">
        <v>3.6853846148269663E-2</v>
      </c>
      <c r="N13" s="14">
        <v>0</v>
      </c>
      <c r="O13" s="15">
        <v>5.8630136513805687E-3</v>
      </c>
      <c r="Q13" s="11"/>
      <c r="R13" s="11"/>
      <c r="S13" s="11"/>
      <c r="T13" s="11"/>
      <c r="U13" s="11"/>
      <c r="V13" s="11"/>
    </row>
    <row r="14" spans="1:22" x14ac:dyDescent="0.25">
      <c r="B14" s="12" t="s">
        <v>17</v>
      </c>
      <c r="C14" s="13">
        <v>4.8273365381843153E-2</v>
      </c>
      <c r="D14" s="14">
        <v>6.5978911020798045E-2</v>
      </c>
      <c r="E14" s="14">
        <v>4.5430530750166388E-3</v>
      </c>
      <c r="F14" s="14">
        <v>9.256099526597103E-2</v>
      </c>
      <c r="G14" s="14">
        <v>2.7032500138294922E-2</v>
      </c>
      <c r="H14" s="14">
        <v>1.5429534144949018E-2</v>
      </c>
      <c r="I14" s="14">
        <v>5.2681209961977372E-2</v>
      </c>
      <c r="J14" s="14">
        <v>1.2636157063025882E-2</v>
      </c>
      <c r="K14" s="14">
        <v>0.12307230904072035</v>
      </c>
      <c r="L14" s="14">
        <v>0.20976587459587809</v>
      </c>
      <c r="M14" s="14">
        <v>9.981580555335165E-2</v>
      </c>
      <c r="N14" s="14">
        <v>0</v>
      </c>
      <c r="O14" s="15">
        <v>3.7585682368291858E-2</v>
      </c>
      <c r="Q14" s="11"/>
      <c r="R14" s="11"/>
      <c r="S14" s="11"/>
      <c r="T14" s="11"/>
      <c r="U14" s="11"/>
      <c r="V14" s="11"/>
    </row>
    <row r="15" spans="1:22" x14ac:dyDescent="0.25">
      <c r="B15" s="12" t="s">
        <v>6</v>
      </c>
      <c r="C15" s="13">
        <v>0.12420132977189603</v>
      </c>
      <c r="D15" s="14">
        <v>0</v>
      </c>
      <c r="E15" s="14">
        <v>0.68626110561994857</v>
      </c>
      <c r="F15" s="14">
        <v>0.19213247900571728</v>
      </c>
      <c r="G15" s="14">
        <v>0.1293143109024025</v>
      </c>
      <c r="H15" s="14">
        <v>0.12927126387138219</v>
      </c>
      <c r="I15" s="14">
        <v>4.8098547988912478E-2</v>
      </c>
      <c r="J15" s="14">
        <v>2.2452906772046227E-2</v>
      </c>
      <c r="K15" s="14">
        <v>5.1095465980876054E-2</v>
      </c>
      <c r="L15" s="14">
        <v>0.11713796637209298</v>
      </c>
      <c r="M15" s="14">
        <v>0.18986363942490506</v>
      </c>
      <c r="N15" s="14">
        <v>0</v>
      </c>
      <c r="O15" s="15">
        <v>9.1635684017746841E-2</v>
      </c>
      <c r="Q15" s="11"/>
      <c r="R15" s="11"/>
      <c r="S15" s="11"/>
      <c r="T15" s="11"/>
      <c r="U15" s="11"/>
      <c r="V15" s="11"/>
    </row>
    <row r="16" spans="1:22" x14ac:dyDescent="0.25">
      <c r="B16" s="12" t="s">
        <v>8</v>
      </c>
      <c r="C16" s="13">
        <v>0.27581360143806016</v>
      </c>
      <c r="D16" s="14">
        <v>1.8602315391576453E-2</v>
      </c>
      <c r="E16" s="14">
        <v>0.16146762709522994</v>
      </c>
      <c r="F16" s="14">
        <v>0.4293547474209522</v>
      </c>
      <c r="G16" s="14">
        <v>0.61109043882544756</v>
      </c>
      <c r="H16" s="14">
        <v>0.14810707836246409</v>
      </c>
      <c r="I16" s="14">
        <v>6.7864458677141665E-2</v>
      </c>
      <c r="J16" s="14">
        <v>3.9142355922773223E-2</v>
      </c>
      <c r="K16" s="14">
        <v>0.15818343958174569</v>
      </c>
      <c r="L16" s="14">
        <v>5.4229069044564364E-2</v>
      </c>
      <c r="M16" s="14">
        <v>0.32728143130450138</v>
      </c>
      <c r="N16" s="14">
        <v>0</v>
      </c>
      <c r="O16" s="15">
        <v>0.3644996200612991</v>
      </c>
      <c r="Q16" s="11"/>
      <c r="R16" s="11"/>
      <c r="S16" s="11"/>
      <c r="T16" s="11"/>
      <c r="U16" s="11"/>
      <c r="V16" s="11"/>
    </row>
    <row r="17" spans="2:22" x14ac:dyDescent="0.25">
      <c r="B17" s="12" t="s">
        <v>18</v>
      </c>
      <c r="C17" s="13">
        <v>2.1450809150140172E-2</v>
      </c>
      <c r="D17" s="14">
        <v>0</v>
      </c>
      <c r="E17" s="14">
        <v>5.7933585525482438E-2</v>
      </c>
      <c r="F17" s="14">
        <v>0</v>
      </c>
      <c r="G17" s="14">
        <v>2.3170768554553987E-2</v>
      </c>
      <c r="H17" s="14">
        <v>0.35703684160959515</v>
      </c>
      <c r="I17" s="14">
        <v>2.2638963613481807E-4</v>
      </c>
      <c r="J17" s="14">
        <v>1.3930149480436485E-3</v>
      </c>
      <c r="K17" s="14">
        <v>0.28835861667655416</v>
      </c>
      <c r="L17" s="14">
        <v>4.2907224312733229E-2</v>
      </c>
      <c r="M17" s="14">
        <v>2.0620298509845942E-2</v>
      </c>
      <c r="N17" s="14">
        <v>0</v>
      </c>
      <c r="O17" s="15">
        <v>0</v>
      </c>
      <c r="Q17" s="11"/>
      <c r="R17" s="11"/>
      <c r="S17" s="11"/>
      <c r="T17" s="11"/>
      <c r="U17" s="11"/>
      <c r="V17" s="11"/>
    </row>
    <row r="18" spans="2:22" x14ac:dyDescent="0.25">
      <c r="B18" s="12" t="s">
        <v>9</v>
      </c>
      <c r="C18" s="13">
        <v>1.2363333390937504E-2</v>
      </c>
      <c r="D18" s="14">
        <v>0</v>
      </c>
      <c r="E18" s="14">
        <v>1.8741827120951574E-3</v>
      </c>
      <c r="F18" s="14">
        <v>0</v>
      </c>
      <c r="G18" s="14">
        <v>2.1126272718539459E-2</v>
      </c>
      <c r="H18" s="14">
        <v>0.19678730034452643</v>
      </c>
      <c r="I18" s="14">
        <v>6.9326811690553379E-3</v>
      </c>
      <c r="J18" s="14">
        <v>0</v>
      </c>
      <c r="K18" s="14">
        <v>0</v>
      </c>
      <c r="L18" s="14">
        <v>4.8589104129101853E-3</v>
      </c>
      <c r="M18" s="14">
        <v>2.887229523515162E-3</v>
      </c>
      <c r="N18" s="14">
        <v>0</v>
      </c>
      <c r="O18" s="15">
        <v>0</v>
      </c>
      <c r="Q18" s="11"/>
      <c r="R18" s="11"/>
      <c r="S18" s="11"/>
      <c r="T18" s="11"/>
      <c r="U18" s="11"/>
      <c r="V18" s="11"/>
    </row>
    <row r="19" spans="2:22" x14ac:dyDescent="0.25">
      <c r="B19" s="12" t="s">
        <v>10</v>
      </c>
      <c r="C19" s="13">
        <v>0.32590715715200658</v>
      </c>
      <c r="D19" s="14">
        <v>0.22796443906790015</v>
      </c>
      <c r="E19" s="14">
        <v>4.5192324199252169E-2</v>
      </c>
      <c r="F19" s="14">
        <v>0.17039844204573423</v>
      </c>
      <c r="G19" s="14">
        <v>6.5562012774266445E-2</v>
      </c>
      <c r="H19" s="14">
        <v>1.9624188352564471E-2</v>
      </c>
      <c r="I19" s="14">
        <v>0.71236111735008256</v>
      </c>
      <c r="J19" s="14">
        <v>4.0997278838546078E-2</v>
      </c>
      <c r="K19" s="14">
        <v>4.6636687304163052E-2</v>
      </c>
      <c r="L19" s="14">
        <v>0.16700841319709414</v>
      </c>
      <c r="M19" s="14">
        <v>0.19207353047810458</v>
      </c>
      <c r="N19" s="14">
        <v>0</v>
      </c>
      <c r="O19" s="15">
        <v>0.13661299028969676</v>
      </c>
      <c r="Q19" s="11"/>
      <c r="R19" s="11"/>
      <c r="S19" s="11"/>
      <c r="T19" s="11"/>
      <c r="U19" s="11"/>
      <c r="V19" s="11"/>
    </row>
    <row r="20" spans="2:22" x14ac:dyDescent="0.25">
      <c r="B20" s="12" t="s">
        <v>11</v>
      </c>
      <c r="C20" s="13">
        <v>0.10067219183505352</v>
      </c>
      <c r="D20" s="14">
        <v>8.1651041618625436E-2</v>
      </c>
      <c r="E20" s="14">
        <v>4.049606975992226E-2</v>
      </c>
      <c r="F20" s="14">
        <v>0.11555333626162528</v>
      </c>
      <c r="G20" s="14">
        <v>9.0430342733617511E-2</v>
      </c>
      <c r="H20" s="14">
        <v>9.5503206130217164E-2</v>
      </c>
      <c r="I20" s="14">
        <v>7.2289300549698524E-2</v>
      </c>
      <c r="J20" s="14">
        <v>0.85660145494298856</v>
      </c>
      <c r="K20" s="14">
        <v>4.6092593744810353E-2</v>
      </c>
      <c r="L20" s="14">
        <v>4.8856785523042991E-2</v>
      </c>
      <c r="M20" s="14">
        <v>8.4371521833134372E-2</v>
      </c>
      <c r="N20" s="14">
        <v>0</v>
      </c>
      <c r="O20" s="15">
        <v>4.6597285686668037E-2</v>
      </c>
      <c r="Q20" s="11"/>
      <c r="R20" s="11"/>
      <c r="S20" s="11"/>
      <c r="T20" s="11"/>
      <c r="U20" s="11"/>
      <c r="V20" s="11"/>
    </row>
    <row r="21" spans="2:22" x14ac:dyDescent="0.25">
      <c r="B21" s="12" t="s">
        <v>12</v>
      </c>
      <c r="C21" s="13">
        <v>8.5088214210925165E-3</v>
      </c>
      <c r="D21" s="14">
        <v>3.3191346765308806E-2</v>
      </c>
      <c r="E21" s="14">
        <v>0</v>
      </c>
      <c r="F21" s="14">
        <v>0</v>
      </c>
      <c r="G21" s="14">
        <v>7.1488315143084934E-4</v>
      </c>
      <c r="H21" s="14">
        <v>2.4791684952361389E-2</v>
      </c>
      <c r="I21" s="14">
        <v>6.839001863330408E-3</v>
      </c>
      <c r="J21" s="14">
        <v>3.5726628064540094E-3</v>
      </c>
      <c r="K21" s="14">
        <v>0.28656088767113047</v>
      </c>
      <c r="L21" s="14">
        <v>0</v>
      </c>
      <c r="M21" s="14">
        <v>1.1208255548486278E-2</v>
      </c>
      <c r="N21" s="14">
        <v>0</v>
      </c>
      <c r="O21" s="15">
        <v>5.4943163296090674E-3</v>
      </c>
      <c r="Q21" s="11"/>
      <c r="R21" s="11"/>
      <c r="S21" s="11"/>
      <c r="T21" s="11"/>
      <c r="U21" s="11"/>
      <c r="V21" s="11"/>
    </row>
    <row r="22" spans="2:22" x14ac:dyDescent="0.25">
      <c r="B22" s="12" t="s">
        <v>19</v>
      </c>
      <c r="C22" s="13">
        <v>8.4031521946304217E-3</v>
      </c>
      <c r="D22" s="14">
        <v>1.4204692152694485E-2</v>
      </c>
      <c r="E22" s="14">
        <v>0</v>
      </c>
      <c r="F22" s="14">
        <v>0</v>
      </c>
      <c r="G22" s="14">
        <v>4.6327170597306108E-3</v>
      </c>
      <c r="H22" s="14">
        <v>0</v>
      </c>
      <c r="I22" s="14">
        <v>2.6169092462342116E-3</v>
      </c>
      <c r="J22" s="14">
        <v>0</v>
      </c>
      <c r="K22" s="14">
        <v>0</v>
      </c>
      <c r="L22" s="14">
        <v>0.30699721334199559</v>
      </c>
      <c r="M22" s="14">
        <v>0</v>
      </c>
      <c r="N22" s="14">
        <v>0</v>
      </c>
      <c r="O22" s="15">
        <v>1.7420631756983697E-2</v>
      </c>
      <c r="Q22" s="11"/>
      <c r="R22" s="11"/>
      <c r="S22" s="11"/>
      <c r="T22" s="11"/>
      <c r="U22" s="11"/>
      <c r="V22" s="11"/>
    </row>
    <row r="23" spans="2:22" x14ac:dyDescent="0.25">
      <c r="B23" s="12" t="s">
        <v>20</v>
      </c>
      <c r="C23" s="13">
        <v>2.2840679721612498E-3</v>
      </c>
      <c r="D23" s="14">
        <v>0</v>
      </c>
      <c r="E23" s="14">
        <v>0</v>
      </c>
      <c r="F23" s="14">
        <v>0</v>
      </c>
      <c r="G23" s="14">
        <v>7.3055269832527443E-4</v>
      </c>
      <c r="H23" s="14">
        <v>0</v>
      </c>
      <c r="I23" s="14">
        <v>0</v>
      </c>
      <c r="J23" s="14">
        <v>0</v>
      </c>
      <c r="K23" s="14">
        <v>0</v>
      </c>
      <c r="L23" s="14">
        <v>0</v>
      </c>
      <c r="M23" s="14">
        <v>1.9671639208131756E-2</v>
      </c>
      <c r="N23" s="14">
        <v>0</v>
      </c>
      <c r="O23" s="15">
        <v>0</v>
      </c>
      <c r="Q23" s="11"/>
      <c r="R23" s="11"/>
      <c r="S23" s="11"/>
      <c r="T23" s="11"/>
      <c r="U23" s="11"/>
      <c r="V23" s="11"/>
    </row>
    <row r="24" spans="2:22" x14ac:dyDescent="0.25">
      <c r="B24" s="16" t="s">
        <v>21</v>
      </c>
      <c r="C24" s="17">
        <v>4.0236776861613692E-2</v>
      </c>
      <c r="D24" s="18">
        <v>0</v>
      </c>
      <c r="E24" s="18">
        <v>2.2320520130533175E-3</v>
      </c>
      <c r="F24" s="18">
        <v>0</v>
      </c>
      <c r="G24" s="18">
        <v>1.3400753381123901E-2</v>
      </c>
      <c r="H24" s="18">
        <v>0</v>
      </c>
      <c r="I24" s="18">
        <v>1.4431209828456951E-2</v>
      </c>
      <c r="J24" s="18">
        <v>1.6288628825872533E-2</v>
      </c>
      <c r="K24" s="18">
        <v>0</v>
      </c>
      <c r="L24" s="18">
        <v>6.8323045542337075E-3</v>
      </c>
      <c r="M24" s="18">
        <v>1.5352802467753985E-2</v>
      </c>
      <c r="N24" s="18">
        <v>0</v>
      </c>
      <c r="O24" s="19">
        <v>0.29429077583832453</v>
      </c>
      <c r="Q24" s="11"/>
      <c r="R24" s="11"/>
      <c r="S24" s="11"/>
      <c r="T24" s="11"/>
      <c r="U24" s="11"/>
      <c r="V24" s="11"/>
    </row>
    <row r="25" spans="2:22" x14ac:dyDescent="0.25">
      <c r="B25" s="20"/>
      <c r="C25" s="14"/>
      <c r="D25" s="14"/>
      <c r="E25" s="14"/>
      <c r="F25" s="14"/>
      <c r="G25" s="14"/>
      <c r="H25" s="14"/>
      <c r="I25" s="14"/>
      <c r="J25" s="14"/>
      <c r="K25" s="14"/>
      <c r="L25" s="14"/>
      <c r="M25" s="14"/>
      <c r="N25" s="14"/>
      <c r="O25" s="14"/>
      <c r="Q25" s="11"/>
      <c r="R25" s="11"/>
      <c r="S25" s="11"/>
      <c r="T25" s="11"/>
      <c r="U25" s="11"/>
      <c r="V25" s="11"/>
    </row>
    <row r="26" spans="2:22" x14ac:dyDescent="0.25">
      <c r="B26" s="21" t="s">
        <v>4</v>
      </c>
      <c r="C26" s="22">
        <v>0.99999999999999933</v>
      </c>
      <c r="D26" s="23">
        <v>1</v>
      </c>
      <c r="E26" s="23">
        <v>1.0000000000000004</v>
      </c>
      <c r="F26" s="23">
        <v>1</v>
      </c>
      <c r="G26" s="23">
        <v>1.0000000000000011</v>
      </c>
      <c r="H26" s="23">
        <v>1</v>
      </c>
      <c r="I26" s="23">
        <v>0.99999999999999978</v>
      </c>
      <c r="J26" s="23">
        <v>0.99999999999999933</v>
      </c>
      <c r="K26" s="23">
        <v>1</v>
      </c>
      <c r="L26" s="23">
        <v>0.99999999999999978</v>
      </c>
      <c r="M26" s="23">
        <v>0.99999999999999978</v>
      </c>
      <c r="N26" s="23">
        <v>0</v>
      </c>
      <c r="O26" s="24">
        <v>1.0000000000000004</v>
      </c>
    </row>
    <row r="27" spans="2:22" x14ac:dyDescent="0.25">
      <c r="B27" s="25" t="s">
        <v>22</v>
      </c>
      <c r="C27" s="26"/>
      <c r="D27" s="26"/>
      <c r="E27" s="26"/>
      <c r="F27" s="26"/>
      <c r="G27" s="26"/>
      <c r="H27" s="26"/>
      <c r="I27" s="26"/>
      <c r="J27" s="26"/>
      <c r="K27" s="26"/>
      <c r="L27" s="26"/>
      <c r="M27" s="26"/>
      <c r="N27" s="26"/>
      <c r="O27" s="26"/>
    </row>
    <row r="28" spans="2:22" x14ac:dyDescent="0.25">
      <c r="B28" s="27" t="s">
        <v>23</v>
      </c>
      <c r="C28" s="28">
        <v>2842</v>
      </c>
      <c r="D28" s="29">
        <v>78</v>
      </c>
      <c r="E28" s="29">
        <v>297</v>
      </c>
      <c r="F28" s="29">
        <v>26</v>
      </c>
      <c r="G28" s="29">
        <v>857</v>
      </c>
      <c r="H28" s="29">
        <v>63</v>
      </c>
      <c r="I28" s="29">
        <v>1068</v>
      </c>
      <c r="J28" s="29">
        <v>171</v>
      </c>
      <c r="K28" s="29">
        <v>37</v>
      </c>
      <c r="L28" s="29">
        <v>44</v>
      </c>
      <c r="M28" s="29">
        <v>100</v>
      </c>
      <c r="N28" s="29"/>
      <c r="O28" s="30">
        <v>101</v>
      </c>
    </row>
    <row r="29" spans="2:22" x14ac:dyDescent="0.25">
      <c r="B29" s="31" t="s">
        <v>24</v>
      </c>
      <c r="C29" s="32">
        <v>1.8382562810248779E-2</v>
      </c>
      <c r="D29" s="32"/>
      <c r="E29" s="33"/>
      <c r="F29" s="33"/>
      <c r="G29" s="33"/>
      <c r="H29" s="33"/>
      <c r="I29" s="33"/>
      <c r="J29" s="33"/>
      <c r="K29" s="33"/>
      <c r="L29" s="33"/>
      <c r="M29" s="33"/>
      <c r="N29" s="33"/>
      <c r="O29" s="33"/>
      <c r="P29" s="34"/>
    </row>
    <row r="30" spans="2:22" x14ac:dyDescent="0.25">
      <c r="B30" s="35"/>
      <c r="C30" s="36"/>
      <c r="D30" s="34"/>
      <c r="E30" s="34"/>
      <c r="F30" s="34"/>
      <c r="G30" s="34"/>
      <c r="H30" s="34"/>
      <c r="I30" s="34"/>
      <c r="J30" s="34"/>
      <c r="K30" s="34"/>
      <c r="L30" s="34"/>
      <c r="M30" s="34"/>
      <c r="N30" s="34"/>
      <c r="O30" s="34"/>
      <c r="P30" s="34"/>
    </row>
    <row r="31" spans="2:22" x14ac:dyDescent="0.25">
      <c r="C31" s="11"/>
    </row>
    <row r="32" spans="2:22" x14ac:dyDescent="0.25">
      <c r="B32" s="35"/>
      <c r="C32" s="36"/>
      <c r="G32" s="11"/>
      <c r="H32" s="11"/>
      <c r="I32" s="11"/>
      <c r="J32" s="11"/>
      <c r="K32" s="11"/>
      <c r="L32" s="11"/>
      <c r="M32" s="11"/>
      <c r="N32" s="11"/>
      <c r="O32" s="11"/>
    </row>
    <row r="33" spans="2:20" x14ac:dyDescent="0.25">
      <c r="B33" s="139" t="s">
        <v>25</v>
      </c>
      <c r="C33" s="140"/>
      <c r="D33" s="140"/>
      <c r="E33" s="140"/>
      <c r="F33" s="140"/>
      <c r="G33" s="140"/>
      <c r="H33" s="140"/>
      <c r="I33" s="140"/>
      <c r="J33" s="140"/>
      <c r="K33" s="140"/>
      <c r="L33" s="140"/>
      <c r="M33" s="141"/>
    </row>
    <row r="34" spans="2:20" x14ac:dyDescent="0.25">
      <c r="B34" s="142"/>
      <c r="C34" s="143"/>
      <c r="D34" s="143"/>
      <c r="E34" s="143"/>
      <c r="F34" s="143"/>
      <c r="G34" s="143"/>
      <c r="H34" s="143"/>
      <c r="I34" s="143"/>
      <c r="J34" s="143"/>
      <c r="K34" s="143"/>
      <c r="L34" s="143"/>
      <c r="M34" s="144"/>
    </row>
    <row r="35" spans="2:20" x14ac:dyDescent="0.25">
      <c r="B35" s="145"/>
      <c r="C35" s="146"/>
      <c r="D35" s="146"/>
      <c r="E35" s="146"/>
      <c r="F35" s="146"/>
      <c r="G35" s="146"/>
      <c r="H35" s="146"/>
      <c r="I35" s="146"/>
      <c r="J35" s="146"/>
      <c r="K35" s="146"/>
      <c r="L35" s="146"/>
      <c r="M35" s="147"/>
    </row>
    <row r="36" spans="2:20" x14ac:dyDescent="0.25">
      <c r="B36" s="35"/>
      <c r="C36" s="37"/>
    </row>
    <row r="37" spans="2:20" ht="15.75" thickBot="1" x14ac:dyDescent="0.3"/>
    <row r="38" spans="2:20" ht="21.75" thickBot="1" x14ac:dyDescent="0.4">
      <c r="B38" s="148" t="s">
        <v>26</v>
      </c>
      <c r="C38" s="149"/>
      <c r="D38" s="149"/>
      <c r="E38" s="149"/>
      <c r="F38" s="150"/>
      <c r="G38" s="38"/>
      <c r="H38" s="38"/>
      <c r="I38" s="38"/>
      <c r="J38" s="38"/>
      <c r="K38" s="38"/>
      <c r="L38" s="38"/>
      <c r="M38" s="38"/>
      <c r="N38" s="38"/>
    </row>
    <row r="39" spans="2:20" ht="21" x14ac:dyDescent="0.35">
      <c r="B39" s="39"/>
      <c r="C39" s="39"/>
      <c r="D39" s="39"/>
      <c r="E39" s="39"/>
      <c r="F39" s="39"/>
      <c r="G39" s="38"/>
      <c r="H39" s="38"/>
      <c r="I39" s="38"/>
      <c r="J39" s="38"/>
      <c r="K39" s="38"/>
      <c r="L39" s="38"/>
      <c r="M39" s="38"/>
      <c r="N39" s="38"/>
    </row>
    <row r="40" spans="2:20" x14ac:dyDescent="0.25">
      <c r="B40" s="3" t="s">
        <v>1</v>
      </c>
    </row>
    <row r="41" spans="2:20" x14ac:dyDescent="0.25">
      <c r="B41" t="s">
        <v>27</v>
      </c>
    </row>
    <row r="43" spans="2:20" x14ac:dyDescent="0.25">
      <c r="B43" s="4"/>
      <c r="C43" s="151" t="s">
        <v>28</v>
      </c>
      <c r="D43" s="151" t="s">
        <v>29</v>
      </c>
      <c r="E43" s="151" t="s">
        <v>30</v>
      </c>
      <c r="F43" s="151" t="s">
        <v>31</v>
      </c>
      <c r="G43" s="151" t="s">
        <v>32</v>
      </c>
      <c r="H43" s="151" t="s">
        <v>33</v>
      </c>
      <c r="I43" s="151" t="s">
        <v>34</v>
      </c>
      <c r="J43" s="151" t="s">
        <v>35</v>
      </c>
      <c r="K43" s="151" t="s">
        <v>36</v>
      </c>
      <c r="L43" s="151" t="s">
        <v>37</v>
      </c>
      <c r="M43" s="153" t="s">
        <v>38</v>
      </c>
      <c r="N43" s="153" t="s">
        <v>39</v>
      </c>
      <c r="O43" s="153" t="s">
        <v>40</v>
      </c>
      <c r="P43" s="153" t="s">
        <v>41</v>
      </c>
      <c r="Q43" s="153" t="s">
        <v>42</v>
      </c>
      <c r="R43" s="153" t="s">
        <v>43</v>
      </c>
      <c r="S43" s="153" t="s">
        <v>81</v>
      </c>
    </row>
    <row r="44" spans="2:20" ht="25.5" x14ac:dyDescent="0.25">
      <c r="B44" s="5" t="s">
        <v>44</v>
      </c>
      <c r="C44" s="152"/>
      <c r="D44" s="152"/>
      <c r="E44" s="152"/>
      <c r="F44" s="152"/>
      <c r="G44" s="152"/>
      <c r="H44" s="152"/>
      <c r="I44" s="152"/>
      <c r="J44" s="152"/>
      <c r="K44" s="152"/>
      <c r="L44" s="152"/>
      <c r="M44" s="154"/>
      <c r="N44" s="154"/>
      <c r="O44" s="154"/>
      <c r="P44" s="154"/>
      <c r="Q44" s="154"/>
      <c r="R44" s="154"/>
      <c r="S44" s="154"/>
    </row>
    <row r="45" spans="2:20" x14ac:dyDescent="0.25">
      <c r="B45" s="4"/>
      <c r="C45" s="4"/>
      <c r="D45" s="4"/>
      <c r="E45" s="4"/>
      <c r="F45" s="4"/>
      <c r="G45" s="4"/>
      <c r="H45" s="4"/>
      <c r="I45" s="8"/>
      <c r="J45" s="4"/>
      <c r="K45" s="4"/>
      <c r="L45" s="4"/>
      <c r="M45" s="4"/>
      <c r="N45" s="4"/>
      <c r="O45" s="4"/>
      <c r="P45" s="4"/>
      <c r="Q45" s="4"/>
      <c r="R45" s="4"/>
      <c r="S45" s="4"/>
    </row>
    <row r="46" spans="2:20" x14ac:dyDescent="0.25">
      <c r="B46" s="40" t="s">
        <v>5</v>
      </c>
      <c r="C46" s="13">
        <v>2.6334517632238381E-2</v>
      </c>
      <c r="D46" s="13">
        <v>2.0138863888340634E-2</v>
      </c>
      <c r="E46" s="13">
        <v>1.8860895469938826E-2</v>
      </c>
      <c r="F46" s="13">
        <v>1.6087909861181773E-2</v>
      </c>
      <c r="G46" s="13">
        <v>3.1412616629137052E-2</v>
      </c>
      <c r="H46" s="13">
        <v>3.7395515392355569E-2</v>
      </c>
      <c r="I46" s="41">
        <v>5.2765450761847951E-2</v>
      </c>
      <c r="J46" s="13">
        <v>5.0868107290489413E-2</v>
      </c>
      <c r="K46" s="13">
        <v>4.784048927045443E-2</v>
      </c>
      <c r="L46" s="13">
        <v>4.8187978811891741E-2</v>
      </c>
      <c r="M46" s="13">
        <v>3.5694449927149367E-2</v>
      </c>
      <c r="N46" s="13">
        <v>3.4395540604005882E-2</v>
      </c>
      <c r="O46" s="13">
        <v>3.402924916613994E-2</v>
      </c>
      <c r="P46" s="13">
        <v>1.9206251898130029E-2</v>
      </c>
      <c r="Q46" s="13">
        <v>2.6753040820249544E-2</v>
      </c>
      <c r="R46" s="13">
        <v>2.580091920066669E-2</v>
      </c>
      <c r="S46" s="13">
        <v>3.1885393430564339E-2</v>
      </c>
      <c r="T46" s="161"/>
    </row>
    <row r="47" spans="2:20" x14ac:dyDescent="0.25">
      <c r="B47" s="12" t="s">
        <v>17</v>
      </c>
      <c r="C47" s="42" t="s">
        <v>45</v>
      </c>
      <c r="D47" s="42" t="s">
        <v>45</v>
      </c>
      <c r="E47" s="42" t="s">
        <v>45</v>
      </c>
      <c r="F47" s="42" t="s">
        <v>45</v>
      </c>
      <c r="G47" s="42" t="s">
        <v>45</v>
      </c>
      <c r="H47" s="42" t="s">
        <v>45</v>
      </c>
      <c r="I47" s="42" t="s">
        <v>45</v>
      </c>
      <c r="J47" s="42" t="s">
        <v>45</v>
      </c>
      <c r="K47" s="42" t="s">
        <v>45</v>
      </c>
      <c r="L47" s="42" t="s">
        <v>45</v>
      </c>
      <c r="M47" s="13">
        <v>2.1011969732399435E-2</v>
      </c>
      <c r="N47" s="13">
        <v>2.0803677885908266E-2</v>
      </c>
      <c r="O47" s="13">
        <v>2.0514648044686699E-2</v>
      </c>
      <c r="P47" s="13">
        <v>3.3687589935205015E-2</v>
      </c>
      <c r="Q47" s="13">
        <v>4.110975356524886E-2</v>
      </c>
      <c r="R47" s="13">
        <v>4.8370985344931956E-2</v>
      </c>
      <c r="S47" s="13">
        <v>4.8273365381843153E-2</v>
      </c>
    </row>
    <row r="48" spans="2:20" x14ac:dyDescent="0.25">
      <c r="B48" s="40" t="s">
        <v>6</v>
      </c>
      <c r="C48" s="13">
        <v>7.8752696029644742E-2</v>
      </c>
      <c r="D48" s="13">
        <v>8.8748728564228621E-2</v>
      </c>
      <c r="E48" s="13">
        <v>9.5037674579133619E-2</v>
      </c>
      <c r="F48" s="13">
        <v>8.3075280937732601E-2</v>
      </c>
      <c r="G48" s="13">
        <v>7.18367978577438E-2</v>
      </c>
      <c r="H48" s="13">
        <v>9.9050117462831738E-2</v>
      </c>
      <c r="I48" s="41">
        <v>9.8129913882002831E-2</v>
      </c>
      <c r="J48" s="13">
        <v>9.1357465322524894E-2</v>
      </c>
      <c r="K48" s="13">
        <v>0.10239065982359134</v>
      </c>
      <c r="L48" s="13">
        <v>0.10719787455133659</v>
      </c>
      <c r="M48" s="13">
        <v>0.11734605721114015</v>
      </c>
      <c r="N48" s="13">
        <v>0.11629445743454569</v>
      </c>
      <c r="O48" s="13">
        <v>0.1168352191262792</v>
      </c>
      <c r="P48" s="13">
        <v>0.10798982363425912</v>
      </c>
      <c r="Q48" s="13">
        <v>0.13706658924982543</v>
      </c>
      <c r="R48" s="13">
        <v>0.15369079092593557</v>
      </c>
      <c r="S48" s="13">
        <v>0.12420132977189603</v>
      </c>
    </row>
    <row r="49" spans="2:19" x14ac:dyDescent="0.25">
      <c r="B49" s="40" t="s">
        <v>7</v>
      </c>
      <c r="C49" s="13">
        <v>1.1583043166468071E-2</v>
      </c>
      <c r="D49" s="13">
        <v>1.273166389391496E-2</v>
      </c>
      <c r="E49" s="13">
        <v>1.04039061160587E-2</v>
      </c>
      <c r="F49" s="13">
        <v>9.1838700579534478E-3</v>
      </c>
      <c r="G49" s="13">
        <v>7.7457919857290003E-3</v>
      </c>
      <c r="H49" s="13">
        <v>9.7449021860802707E-3</v>
      </c>
      <c r="I49" s="41">
        <v>6.2545158848108517E-3</v>
      </c>
      <c r="J49" s="13">
        <v>7.8534016895744005E-3</v>
      </c>
      <c r="K49" s="13">
        <v>5.8425278353103583E-3</v>
      </c>
      <c r="L49" s="13">
        <v>6.146514162832557E-3</v>
      </c>
      <c r="M49" s="13">
        <v>4.6157983867026568E-3</v>
      </c>
      <c r="N49" s="13">
        <v>5.0387742963934317E-3</v>
      </c>
      <c r="O49" s="13">
        <v>4.7549053280827964E-3</v>
      </c>
      <c r="P49" s="42" t="s">
        <v>45</v>
      </c>
      <c r="Q49" s="42" t="s">
        <v>45</v>
      </c>
      <c r="R49" s="42" t="s">
        <v>45</v>
      </c>
      <c r="S49" s="42" t="s">
        <v>45</v>
      </c>
    </row>
    <row r="50" spans="2:19" x14ac:dyDescent="0.25">
      <c r="B50" s="40" t="s">
        <v>8</v>
      </c>
      <c r="C50" s="13">
        <v>0.28337718783998606</v>
      </c>
      <c r="D50" s="13">
        <v>0.28308312641317801</v>
      </c>
      <c r="E50" s="13">
        <v>0.25709156222798252</v>
      </c>
      <c r="F50" s="13">
        <v>0.27853373834978135</v>
      </c>
      <c r="G50" s="13">
        <v>0.26975138769422075</v>
      </c>
      <c r="H50" s="13">
        <v>0.23909021886086276</v>
      </c>
      <c r="I50" s="41">
        <v>0.26942775453653794</v>
      </c>
      <c r="J50" s="13">
        <v>0.26636782030201001</v>
      </c>
      <c r="K50" s="13">
        <v>0.27537038986412243</v>
      </c>
      <c r="L50" s="13">
        <v>0.2704020038048297</v>
      </c>
      <c r="M50" s="13">
        <v>0.25930211317270868</v>
      </c>
      <c r="N50" s="13">
        <v>0.25669200046861873</v>
      </c>
      <c r="O50" s="13">
        <v>0.25567288231934998</v>
      </c>
      <c r="P50" s="13">
        <v>0.26269866715840856</v>
      </c>
      <c r="Q50" s="13">
        <v>0.30384187344168168</v>
      </c>
      <c r="R50" s="13">
        <v>0.27788491808725824</v>
      </c>
      <c r="S50" s="13">
        <v>0.27581360143806016</v>
      </c>
    </row>
    <row r="51" spans="2:19" x14ac:dyDescent="0.25">
      <c r="B51" s="40" t="s">
        <v>18</v>
      </c>
      <c r="C51" s="13">
        <v>0</v>
      </c>
      <c r="D51" s="13">
        <v>0</v>
      </c>
      <c r="E51" s="13">
        <v>0</v>
      </c>
      <c r="F51" s="13">
        <v>0</v>
      </c>
      <c r="G51" s="13">
        <v>0</v>
      </c>
      <c r="H51" s="13">
        <v>0</v>
      </c>
      <c r="I51" s="41">
        <v>2.3394883143095051E-2</v>
      </c>
      <c r="J51" s="13">
        <v>2.8750128568695441E-2</v>
      </c>
      <c r="K51" s="13">
        <v>1.9278486711027377E-2</v>
      </c>
      <c r="L51" s="13">
        <v>2.1592008009798352E-2</v>
      </c>
      <c r="M51" s="13">
        <v>1.9781860943503315E-2</v>
      </c>
      <c r="N51" s="13">
        <v>2.3405770845734176E-2</v>
      </c>
      <c r="O51" s="13">
        <v>2.2796193817771E-2</v>
      </c>
      <c r="P51" s="13">
        <v>1.3011779140789896E-2</v>
      </c>
      <c r="Q51" s="13">
        <v>1.8299495306776815E-2</v>
      </c>
      <c r="R51" s="13">
        <v>1.400806929058766E-2</v>
      </c>
      <c r="S51" s="13">
        <v>2.1450809150140172E-2</v>
      </c>
    </row>
    <row r="52" spans="2:19" x14ac:dyDescent="0.25">
      <c r="B52" s="40" t="s">
        <v>9</v>
      </c>
      <c r="C52" s="13">
        <v>1.235742740829409E-2</v>
      </c>
      <c r="D52" s="13">
        <v>1.7408063876796467E-2</v>
      </c>
      <c r="E52" s="13">
        <v>2.4285627358907314E-2</v>
      </c>
      <c r="F52" s="13">
        <v>1.1647500534216858E-2</v>
      </c>
      <c r="G52" s="13">
        <v>1.0919716829310012E-2</v>
      </c>
      <c r="H52" s="13">
        <v>2.4309885134516637E-2</v>
      </c>
      <c r="I52" s="41">
        <v>2.0878058456255091E-2</v>
      </c>
      <c r="J52" s="13">
        <v>1.2007493385260392E-2</v>
      </c>
      <c r="K52" s="13">
        <v>7.4539117134517687E-3</v>
      </c>
      <c r="L52" s="13">
        <v>1.136584956660118E-2</v>
      </c>
      <c r="M52" s="13">
        <v>1.7371341873124752E-2</v>
      </c>
      <c r="N52" s="13">
        <v>1.6748664468844432E-2</v>
      </c>
      <c r="O52" s="13">
        <v>1.7022054407974382E-2</v>
      </c>
      <c r="P52" s="13">
        <v>1.8561928182301339E-2</v>
      </c>
      <c r="Q52" s="13">
        <v>1.2325932384110849E-2</v>
      </c>
      <c r="R52" s="13">
        <v>5.8966216997840956E-3</v>
      </c>
      <c r="S52" s="13">
        <v>1.2363333390937504E-2</v>
      </c>
    </row>
    <row r="53" spans="2:19" x14ac:dyDescent="0.25">
      <c r="B53" s="40" t="s">
        <v>10</v>
      </c>
      <c r="C53" s="13">
        <v>0.34663020153077229</v>
      </c>
      <c r="D53" s="13">
        <v>0.40448691112016544</v>
      </c>
      <c r="E53" s="13">
        <v>0.38836129472437725</v>
      </c>
      <c r="F53" s="13">
        <v>0.38582311151183146</v>
      </c>
      <c r="G53" s="13">
        <v>0.41215982781083244</v>
      </c>
      <c r="H53" s="13">
        <v>0.37688360958808648</v>
      </c>
      <c r="I53" s="41">
        <v>0.36641224247858861</v>
      </c>
      <c r="J53" s="13">
        <v>0.35453507765831571</v>
      </c>
      <c r="K53" s="13">
        <v>0.37687953153982218</v>
      </c>
      <c r="L53" s="13">
        <v>0.39548562205974386</v>
      </c>
      <c r="M53" s="13">
        <v>0.36842548949747522</v>
      </c>
      <c r="N53" s="13">
        <v>0.36839301587046441</v>
      </c>
      <c r="O53" s="13">
        <v>0.36960384180863931</v>
      </c>
      <c r="P53" s="13">
        <v>0.39312598530428267</v>
      </c>
      <c r="Q53" s="13">
        <v>0.35741886921507598</v>
      </c>
      <c r="R53" s="13">
        <v>0.35522586605821904</v>
      </c>
      <c r="S53" s="13">
        <v>0.32590715715200658</v>
      </c>
    </row>
    <row r="54" spans="2:19" x14ac:dyDescent="0.25">
      <c r="B54" s="43" t="s">
        <v>46</v>
      </c>
      <c r="C54" s="42" t="s">
        <v>45</v>
      </c>
      <c r="D54" s="42" t="s">
        <v>45</v>
      </c>
      <c r="E54" s="42" t="s">
        <v>45</v>
      </c>
      <c r="F54" s="42" t="s">
        <v>45</v>
      </c>
      <c r="G54" s="42" t="s">
        <v>45</v>
      </c>
      <c r="H54" s="42" t="s">
        <v>45</v>
      </c>
      <c r="I54" s="42" t="s">
        <v>45</v>
      </c>
      <c r="J54" s="42" t="s">
        <v>45</v>
      </c>
      <c r="K54" s="42" t="s">
        <v>45</v>
      </c>
      <c r="L54" s="13">
        <v>3.1658171375449533E-3</v>
      </c>
      <c r="M54" s="13">
        <v>3.801254212337801E-4</v>
      </c>
      <c r="N54" s="13">
        <v>3.5811967389412692E-4</v>
      </c>
      <c r="O54" s="13">
        <v>3.5238084544544798E-4</v>
      </c>
      <c r="P54" s="13">
        <v>4.2794596442371066E-3</v>
      </c>
      <c r="Q54" s="42" t="s">
        <v>45</v>
      </c>
      <c r="R54" s="42" t="s">
        <v>45</v>
      </c>
      <c r="S54" s="42" t="s">
        <v>45</v>
      </c>
    </row>
    <row r="55" spans="2:19" x14ac:dyDescent="0.25">
      <c r="B55" s="40" t="s">
        <v>11</v>
      </c>
      <c r="C55" s="13">
        <v>6.0467411784274012E-2</v>
      </c>
      <c r="D55" s="13">
        <v>8.9370460163810644E-2</v>
      </c>
      <c r="E55" s="13">
        <v>7.6400172904387095E-2</v>
      </c>
      <c r="F55" s="13">
        <v>6.732343106427173E-2</v>
      </c>
      <c r="G55" s="13">
        <v>6.4279159629495694E-2</v>
      </c>
      <c r="H55" s="13">
        <v>7.4368172589533113E-2</v>
      </c>
      <c r="I55" s="41">
        <v>6.825055550414548E-2</v>
      </c>
      <c r="J55" s="13">
        <v>7.1458728233576352E-2</v>
      </c>
      <c r="K55" s="13">
        <v>6.0394665300623838E-2</v>
      </c>
      <c r="L55" s="13">
        <v>7.2558187618977296E-2</v>
      </c>
      <c r="M55" s="13">
        <v>6.0065135060378159E-2</v>
      </c>
      <c r="N55" s="13">
        <v>6.2317538538613174E-2</v>
      </c>
      <c r="O55" s="13">
        <v>6.2602942065268827E-2</v>
      </c>
      <c r="P55" s="13">
        <v>7.8481895533724436E-2</v>
      </c>
      <c r="Q55" s="13">
        <v>6.5387858190847262E-2</v>
      </c>
      <c r="R55" s="13">
        <v>5.6554608237432642E-2</v>
      </c>
      <c r="S55" s="13">
        <v>0.10067219183505352</v>
      </c>
    </row>
    <row r="56" spans="2:19" x14ac:dyDescent="0.25">
      <c r="B56" s="40" t="s">
        <v>12</v>
      </c>
      <c r="C56" s="13">
        <v>1.7832651202613274E-3</v>
      </c>
      <c r="D56" s="13">
        <v>1.1788519922310871E-2</v>
      </c>
      <c r="E56" s="13">
        <v>9.2783120730910752E-3</v>
      </c>
      <c r="F56" s="13">
        <v>1.0241124412014357E-2</v>
      </c>
      <c r="G56" s="13">
        <v>7.5665720025051061E-3</v>
      </c>
      <c r="H56" s="13">
        <v>1.1214239348564921E-2</v>
      </c>
      <c r="I56" s="41">
        <v>9.0040905188366101E-3</v>
      </c>
      <c r="J56" s="13">
        <v>8.8277906736957644E-3</v>
      </c>
      <c r="K56" s="13">
        <v>1.1408579814828864E-2</v>
      </c>
      <c r="L56" s="13">
        <v>7.8916562140877913E-3</v>
      </c>
      <c r="M56" s="13">
        <v>5.8023881089374696E-3</v>
      </c>
      <c r="N56" s="13">
        <v>5.5228425822912994E-3</v>
      </c>
      <c r="O56" s="13">
        <v>5.789192773908775E-3</v>
      </c>
      <c r="P56" s="13">
        <v>8.1800413516248498E-3</v>
      </c>
      <c r="Q56" s="13">
        <v>6.2485862131461027E-3</v>
      </c>
      <c r="R56" s="13">
        <v>7.8018679216021406E-3</v>
      </c>
      <c r="S56" s="13">
        <v>8.5088214210925165E-3</v>
      </c>
    </row>
    <row r="57" spans="2:19" x14ac:dyDescent="0.25">
      <c r="B57" s="40" t="s">
        <v>19</v>
      </c>
      <c r="C57" s="13">
        <v>1.5607659859901892E-2</v>
      </c>
      <c r="D57" s="13">
        <v>1.9131528768260433E-2</v>
      </c>
      <c r="E57" s="13">
        <v>1.5520234633881819E-2</v>
      </c>
      <c r="F57" s="13">
        <v>2.13386085584964E-2</v>
      </c>
      <c r="G57" s="13">
        <v>2.8299495439576744E-2</v>
      </c>
      <c r="H57" s="13">
        <v>3.0776570391821564E-2</v>
      </c>
      <c r="I57" s="41">
        <v>1.9093559705934231E-2</v>
      </c>
      <c r="J57" s="13">
        <v>1.1987692186508149E-2</v>
      </c>
      <c r="K57" s="13">
        <v>1.0035906526627173E-2</v>
      </c>
      <c r="L57" s="13">
        <v>1.940433837409896E-2</v>
      </c>
      <c r="M57" s="13">
        <v>1.0280789890053798E-2</v>
      </c>
      <c r="N57" s="13">
        <v>1.153465978924929E-2</v>
      </c>
      <c r="O57" s="13">
        <v>1.1356504552891732E-2</v>
      </c>
      <c r="P57" s="13">
        <v>2.7051487752228409E-3</v>
      </c>
      <c r="Q57" s="13">
        <v>7.9606857225159502E-3</v>
      </c>
      <c r="R57" s="13">
        <v>8.6481711363447719E-3</v>
      </c>
      <c r="S57" s="13">
        <v>8.4031521946304217E-3</v>
      </c>
    </row>
    <row r="58" spans="2:19" x14ac:dyDescent="0.25">
      <c r="B58" s="44" t="s">
        <v>47</v>
      </c>
      <c r="C58" s="17">
        <v>8.0724649141224236E-2</v>
      </c>
      <c r="D58" s="17">
        <v>5.2698202727117123E-2</v>
      </c>
      <c r="E58" s="17">
        <v>9.0809892199315886E-2</v>
      </c>
      <c r="F58" s="17">
        <v>9.7686955691033292E-2</v>
      </c>
      <c r="G58" s="17">
        <v>8.2332408344428912E-2</v>
      </c>
      <c r="H58" s="17">
        <v>8.3809608062945365E-2</v>
      </c>
      <c r="I58" s="17">
        <v>1.7154268995915489E-2</v>
      </c>
      <c r="J58" s="17">
        <v>7.5999999999999998E-2</v>
      </c>
      <c r="K58" s="17">
        <v>7.5842984683654649E-2</v>
      </c>
      <c r="L58" s="17">
        <v>3.4000000000000002E-2</v>
      </c>
      <c r="M58" s="17">
        <v>7.0000000000000007E-2</v>
      </c>
      <c r="N58" s="17">
        <v>6.9453113766765745E-2</v>
      </c>
      <c r="O58" s="17">
        <v>6.8480890108722839E-2</v>
      </c>
      <c r="P58" s="17">
        <v>5.2545125332933512E-2</v>
      </c>
      <c r="Q58" s="17">
        <v>2.0939245382406116E-2</v>
      </c>
      <c r="R58" s="17">
        <v>0.04</v>
      </c>
      <c r="S58" s="17">
        <v>4.0236776861613692E-2</v>
      </c>
    </row>
    <row r="59" spans="2:19" x14ac:dyDescent="0.25">
      <c r="B59" s="45"/>
      <c r="C59" s="45"/>
      <c r="D59" s="45"/>
      <c r="E59" s="45"/>
      <c r="F59" s="45"/>
      <c r="G59" s="45"/>
      <c r="H59" s="45"/>
      <c r="I59" s="46"/>
    </row>
    <row r="60" spans="2:19" x14ac:dyDescent="0.25">
      <c r="B60" s="47" t="s">
        <v>4</v>
      </c>
      <c r="C60" s="48">
        <v>1</v>
      </c>
      <c r="D60" s="48">
        <v>1</v>
      </c>
      <c r="E60" s="48">
        <v>1</v>
      </c>
      <c r="F60" s="48">
        <v>1</v>
      </c>
      <c r="G60" s="48">
        <v>1</v>
      </c>
      <c r="H60" s="48">
        <v>1</v>
      </c>
      <c r="I60" s="48">
        <v>1</v>
      </c>
      <c r="J60" s="48">
        <v>0.997</v>
      </c>
      <c r="K60" s="48">
        <v>0.99999999999999911</v>
      </c>
      <c r="L60" s="48">
        <v>0.99999999999999911</v>
      </c>
      <c r="M60" s="22">
        <f>SUM(M45:M58)</f>
        <v>0.9900775192248068</v>
      </c>
      <c r="N60" s="22">
        <v>0.999</v>
      </c>
      <c r="O60" s="22">
        <v>0.99848890970174065</v>
      </c>
      <c r="P60" s="22">
        <v>1</v>
      </c>
      <c r="Q60" s="22">
        <v>1</v>
      </c>
      <c r="R60" s="22">
        <v>1</v>
      </c>
      <c r="S60" s="22">
        <v>1</v>
      </c>
    </row>
    <row r="61" spans="2:19" x14ac:dyDescent="0.25">
      <c r="B61" s="35" t="s">
        <v>22</v>
      </c>
      <c r="M61" s="11"/>
    </row>
    <row r="62" spans="2:19" x14ac:dyDescent="0.25">
      <c r="B62" s="49" t="s">
        <v>48</v>
      </c>
      <c r="C62" s="49">
        <v>1833</v>
      </c>
      <c r="D62" s="49">
        <v>1718</v>
      </c>
      <c r="E62" s="49">
        <v>1955</v>
      </c>
      <c r="F62" s="49">
        <v>1498</v>
      </c>
      <c r="G62" s="49">
        <v>1685</v>
      </c>
      <c r="H62" s="49">
        <v>1831</v>
      </c>
      <c r="I62" s="49">
        <v>1744</v>
      </c>
      <c r="J62" s="49">
        <v>1758</v>
      </c>
      <c r="K62" s="49">
        <v>1111</v>
      </c>
      <c r="L62" s="49">
        <v>2295</v>
      </c>
      <c r="M62" s="50">
        <v>1961</v>
      </c>
      <c r="N62" s="50">
        <v>2055</v>
      </c>
      <c r="O62" s="50">
        <v>2115</v>
      </c>
      <c r="P62" s="50">
        <v>933</v>
      </c>
      <c r="Q62" s="50">
        <v>1147</v>
      </c>
      <c r="R62" s="51">
        <v>1013</v>
      </c>
      <c r="S62" s="28">
        <v>2842</v>
      </c>
    </row>
    <row r="63" spans="2:19" x14ac:dyDescent="0.25">
      <c r="B63" s="35" t="s">
        <v>24</v>
      </c>
      <c r="C63" s="36">
        <v>2.3E-2</v>
      </c>
      <c r="D63" s="36">
        <v>2.4E-2</v>
      </c>
      <c r="E63" s="36">
        <v>2.1999999999999999E-2</v>
      </c>
      <c r="F63" s="36">
        <v>2.5000000000000001E-2</v>
      </c>
      <c r="G63" s="36">
        <v>2.3873612628275271E-2</v>
      </c>
      <c r="H63" s="36">
        <v>2.2902027045737159E-2</v>
      </c>
      <c r="I63" s="36">
        <v>2.3466312780990577E-2</v>
      </c>
      <c r="J63" s="52">
        <v>2.3E-2</v>
      </c>
      <c r="K63" s="52">
        <v>2.9400929851346375E-2</v>
      </c>
      <c r="L63" s="52">
        <v>0.02</v>
      </c>
      <c r="M63" s="36">
        <v>2.1999999999999999E-2</v>
      </c>
      <c r="N63" s="36">
        <v>2.1999999999999999E-2</v>
      </c>
      <c r="O63" s="36">
        <v>2.1000000000000001E-2</v>
      </c>
      <c r="P63" s="36">
        <v>3.2000000000000001E-2</v>
      </c>
      <c r="Q63" s="36">
        <v>2.9000000000000001E-2</v>
      </c>
      <c r="R63" s="36">
        <v>3.1E-2</v>
      </c>
      <c r="S63" s="32">
        <v>1.8382562810248779E-2</v>
      </c>
    </row>
    <row r="64" spans="2:19" x14ac:dyDescent="0.25">
      <c r="C64" s="11"/>
      <c r="D64" s="11"/>
    </row>
    <row r="65" spans="2:11" x14ac:dyDescent="0.25">
      <c r="B65" s="53" t="s">
        <v>49</v>
      </c>
      <c r="J65" s="11"/>
    </row>
    <row r="66" spans="2:11" x14ac:dyDescent="0.25">
      <c r="C66" s="11"/>
      <c r="D66" s="11"/>
      <c r="J66" s="11"/>
    </row>
    <row r="68" spans="2:11" ht="15.75" thickBot="1" x14ac:dyDescent="0.3"/>
    <row r="69" spans="2:11" x14ac:dyDescent="0.25">
      <c r="D69" s="137" t="s">
        <v>50</v>
      </c>
      <c r="E69" s="138"/>
      <c r="F69" s="137" t="s">
        <v>51</v>
      </c>
      <c r="G69" s="138"/>
      <c r="H69" s="137" t="s">
        <v>52</v>
      </c>
      <c r="I69" s="138"/>
      <c r="J69" s="137" t="s">
        <v>53</v>
      </c>
      <c r="K69" s="138"/>
    </row>
    <row r="70" spans="2:11" ht="67.5" x14ac:dyDescent="0.25">
      <c r="B70" s="54" t="s">
        <v>44</v>
      </c>
      <c r="C70" s="55" t="s">
        <v>54</v>
      </c>
      <c r="D70" s="56" t="s">
        <v>55</v>
      </c>
      <c r="E70" s="57" t="s">
        <v>56</v>
      </c>
      <c r="F70" s="58" t="s">
        <v>55</v>
      </c>
      <c r="G70" s="59" t="s">
        <v>56</v>
      </c>
      <c r="H70" s="56" t="s">
        <v>55</v>
      </c>
      <c r="I70" s="57" t="s">
        <v>56</v>
      </c>
      <c r="J70" s="58" t="s">
        <v>55</v>
      </c>
      <c r="K70" s="59" t="s">
        <v>56</v>
      </c>
    </row>
    <row r="71" spans="2:11" x14ac:dyDescent="0.25">
      <c r="B71" s="4"/>
      <c r="C71" s="8"/>
      <c r="D71" s="60"/>
      <c r="E71" s="61"/>
      <c r="F71" s="62"/>
      <c r="G71" s="63"/>
      <c r="H71" s="60"/>
      <c r="I71" s="61"/>
      <c r="J71" s="62"/>
      <c r="K71" s="63"/>
    </row>
    <row r="72" spans="2:11" x14ac:dyDescent="0.25">
      <c r="B72" s="40" t="s">
        <v>5</v>
      </c>
      <c r="C72" s="64">
        <f>S46/SUM($S$46:$S$57)</f>
        <v>3.3301396963601612E-2</v>
      </c>
      <c r="D72" s="65">
        <v>4</v>
      </c>
      <c r="E72" s="66" t="s">
        <v>57</v>
      </c>
      <c r="F72" s="67">
        <v>0</v>
      </c>
      <c r="G72" s="68" t="s">
        <v>58</v>
      </c>
      <c r="H72" s="65">
        <v>0</v>
      </c>
      <c r="I72" s="66" t="s">
        <v>58</v>
      </c>
      <c r="J72" s="67">
        <v>4</v>
      </c>
      <c r="K72" s="68" t="s">
        <v>57</v>
      </c>
    </row>
    <row r="73" spans="2:11" x14ac:dyDescent="0.25">
      <c r="B73" s="40" t="s">
        <v>17</v>
      </c>
      <c r="C73" s="64">
        <f t="shared" ref="C73:C74" si="0">S47/SUM($S$46:$S$57)</f>
        <v>5.041714498052189E-2</v>
      </c>
      <c r="D73" s="65">
        <v>6</v>
      </c>
      <c r="E73" s="66"/>
      <c r="F73" s="67">
        <v>6</v>
      </c>
      <c r="G73" s="68"/>
      <c r="H73" s="65">
        <v>6</v>
      </c>
      <c r="I73" s="66" t="s">
        <v>57</v>
      </c>
      <c r="J73" s="67">
        <v>6</v>
      </c>
      <c r="K73" s="68" t="s">
        <v>57</v>
      </c>
    </row>
    <row r="74" spans="2:11" x14ac:dyDescent="0.25">
      <c r="B74" s="40" t="s">
        <v>6</v>
      </c>
      <c r="C74" s="64">
        <f t="shared" si="0"/>
        <v>0.12971700647658893</v>
      </c>
      <c r="D74" s="65">
        <v>16</v>
      </c>
      <c r="E74" s="66"/>
      <c r="F74" s="67">
        <v>16</v>
      </c>
      <c r="G74" s="68"/>
      <c r="H74" s="65">
        <v>16</v>
      </c>
      <c r="I74" s="66"/>
      <c r="J74" s="67">
        <v>16</v>
      </c>
      <c r="K74" s="68"/>
    </row>
    <row r="75" spans="2:11" x14ac:dyDescent="0.25">
      <c r="B75" s="40" t="s">
        <v>8</v>
      </c>
      <c r="C75" s="64">
        <f>S50/SUM($S$46:$S$57)</f>
        <v>0.28806225174706512</v>
      </c>
      <c r="D75" s="65">
        <v>34</v>
      </c>
      <c r="E75" s="66"/>
      <c r="F75" s="67">
        <v>36</v>
      </c>
      <c r="G75" s="68"/>
      <c r="H75" s="65">
        <v>36</v>
      </c>
      <c r="I75" s="66"/>
      <c r="J75" s="67">
        <v>34</v>
      </c>
      <c r="K75" s="68"/>
    </row>
    <row r="76" spans="2:11" x14ac:dyDescent="0.25">
      <c r="B76" s="40" t="s">
        <v>18</v>
      </c>
      <c r="C76" s="64">
        <f t="shared" ref="C76:C78" si="1">S51/SUM($S$46:$S$57)</f>
        <v>2.2403421562129128E-2</v>
      </c>
      <c r="D76" s="65">
        <v>3</v>
      </c>
      <c r="E76" s="66" t="s">
        <v>57</v>
      </c>
      <c r="F76" s="67">
        <v>3</v>
      </c>
      <c r="G76" s="68" t="s">
        <v>57</v>
      </c>
      <c r="H76" s="65">
        <v>3</v>
      </c>
      <c r="I76" s="66" t="s">
        <v>57</v>
      </c>
      <c r="J76" s="67">
        <v>3</v>
      </c>
      <c r="K76" s="68" t="s">
        <v>57</v>
      </c>
    </row>
    <row r="77" spans="2:11" x14ac:dyDescent="0.25">
      <c r="B77" s="40" t="s">
        <v>9</v>
      </c>
      <c r="C77" s="64">
        <f t="shared" si="1"/>
        <v>1.2912378639502758E-2</v>
      </c>
      <c r="D77" s="65">
        <v>4</v>
      </c>
      <c r="E77" s="66" t="s">
        <v>59</v>
      </c>
      <c r="F77" s="67">
        <v>4</v>
      </c>
      <c r="G77" s="68" t="s">
        <v>59</v>
      </c>
      <c r="H77" s="65">
        <v>4</v>
      </c>
      <c r="I77" s="66" t="s">
        <v>59</v>
      </c>
      <c r="J77" s="67">
        <v>4</v>
      </c>
      <c r="K77" s="68" t="s">
        <v>59</v>
      </c>
    </row>
    <row r="78" spans="2:11" x14ac:dyDescent="0.25">
      <c r="B78" s="40" t="s">
        <v>10</v>
      </c>
      <c r="C78" s="64">
        <f t="shared" si="1"/>
        <v>0.34038042018306608</v>
      </c>
      <c r="D78" s="65">
        <v>41</v>
      </c>
      <c r="E78" s="66"/>
      <c r="F78" s="67">
        <v>43</v>
      </c>
      <c r="G78" s="68"/>
      <c r="H78" s="65">
        <v>43</v>
      </c>
      <c r="I78" s="66"/>
      <c r="J78" s="67">
        <v>41</v>
      </c>
      <c r="K78" s="68"/>
    </row>
    <row r="79" spans="2:11" x14ac:dyDescent="0.25">
      <c r="B79" s="40" t="s">
        <v>11</v>
      </c>
      <c r="C79" s="64">
        <f>S55/SUM($S$46:$S$57)</f>
        <v>0.10514295929249362</v>
      </c>
      <c r="D79" s="65">
        <v>13</v>
      </c>
      <c r="E79" s="66"/>
      <c r="F79" s="67">
        <v>13</v>
      </c>
      <c r="G79" s="68"/>
      <c r="H79" s="65">
        <v>13</v>
      </c>
      <c r="I79" s="66"/>
      <c r="J79" s="67">
        <v>13</v>
      </c>
      <c r="K79" s="68"/>
    </row>
    <row r="80" spans="2:11" x14ac:dyDescent="0.25">
      <c r="B80" s="40" t="s">
        <v>12</v>
      </c>
      <c r="C80" s="64">
        <f t="shared" ref="C80:C81" si="2">S56/SUM($S$46:$S$57)</f>
        <v>8.8866910315299041E-3</v>
      </c>
      <c r="D80" s="65">
        <v>1</v>
      </c>
      <c r="E80" s="66" t="s">
        <v>57</v>
      </c>
      <c r="F80" s="67">
        <v>1</v>
      </c>
      <c r="G80" s="68" t="s">
        <v>57</v>
      </c>
      <c r="H80" s="65">
        <v>1</v>
      </c>
      <c r="I80" s="66" t="s">
        <v>57</v>
      </c>
      <c r="J80" s="67">
        <v>1</v>
      </c>
      <c r="K80" s="68" t="s">
        <v>57</v>
      </c>
    </row>
    <row r="81" spans="2:11" x14ac:dyDescent="0.25">
      <c r="B81" s="40" t="s">
        <v>19</v>
      </c>
      <c r="C81" s="64">
        <f t="shared" si="2"/>
        <v>8.7763291235009519E-3</v>
      </c>
      <c r="D81" s="65">
        <v>0</v>
      </c>
      <c r="E81" s="66"/>
      <c r="F81" s="67">
        <v>0</v>
      </c>
      <c r="G81" s="68"/>
      <c r="H81" s="65">
        <v>0</v>
      </c>
      <c r="I81" s="66"/>
      <c r="J81" s="67">
        <v>0</v>
      </c>
      <c r="K81" s="68"/>
    </row>
    <row r="82" spans="2:11" ht="15.75" thickBot="1" x14ac:dyDescent="0.3">
      <c r="B82" s="69"/>
      <c r="C82" s="16"/>
      <c r="D82" s="70"/>
      <c r="E82" s="71"/>
      <c r="F82" s="72"/>
      <c r="G82" s="73"/>
      <c r="H82" s="70"/>
      <c r="I82" s="71"/>
      <c r="J82" s="72"/>
      <c r="K82" s="73"/>
    </row>
    <row r="83" spans="2:11" x14ac:dyDescent="0.25">
      <c r="D83" s="74"/>
      <c r="E83" s="74"/>
      <c r="H83" s="74"/>
      <c r="I83" s="74"/>
    </row>
    <row r="84" spans="2:11" x14ac:dyDescent="0.25">
      <c r="B84" s="75" t="s">
        <v>60</v>
      </c>
      <c r="C84" s="76"/>
      <c r="D84" s="77">
        <f>SUM(D72:D83)</f>
        <v>122</v>
      </c>
      <c r="E84" s="74"/>
      <c r="F84" s="78">
        <f>SUM(F72:F83)</f>
        <v>122</v>
      </c>
      <c r="H84" s="77">
        <f>SUM(H72:H83)</f>
        <v>122</v>
      </c>
      <c r="I84" s="74"/>
      <c r="J84" s="78">
        <f>SUM(J72:J83)</f>
        <v>122</v>
      </c>
    </row>
  </sheetData>
  <mergeCells count="24">
    <mergeCell ref="S43:S44"/>
    <mergeCell ref="P43:P44"/>
    <mergeCell ref="Q43:Q44"/>
    <mergeCell ref="R43:R44"/>
    <mergeCell ref="D69:E69"/>
    <mergeCell ref="F69:G69"/>
    <mergeCell ref="H69:I69"/>
    <mergeCell ref="J69:K69"/>
    <mergeCell ref="J43:J44"/>
    <mergeCell ref="K43:K44"/>
    <mergeCell ref="L43:L44"/>
    <mergeCell ref="M43:M44"/>
    <mergeCell ref="N43:N44"/>
    <mergeCell ref="O43:O44"/>
    <mergeCell ref="C10:O10"/>
    <mergeCell ref="B33:M35"/>
    <mergeCell ref="B38:F38"/>
    <mergeCell ref="C43:C44"/>
    <mergeCell ref="D43:D44"/>
    <mergeCell ref="E43:E44"/>
    <mergeCell ref="F43:F44"/>
    <mergeCell ref="G43:G44"/>
    <mergeCell ref="H43:H44"/>
    <mergeCell ref="I43:I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L34"/>
  <sheetViews>
    <sheetView tabSelected="1" workbookViewId="0"/>
  </sheetViews>
  <sheetFormatPr defaultRowHeight="15" x14ac:dyDescent="0.25"/>
  <cols>
    <col min="2" max="2" width="38.7109375" customWidth="1"/>
    <col min="3" max="3" width="10.5703125" customWidth="1"/>
    <col min="5" max="5" width="38.85546875" customWidth="1"/>
    <col min="6" max="6" width="10.7109375" customWidth="1"/>
    <col min="8" max="8" width="38.7109375" customWidth="1"/>
    <col min="9" max="9" width="10.7109375" customWidth="1"/>
  </cols>
  <sheetData>
    <row r="6" spans="2:12" ht="25.5" x14ac:dyDescent="0.25">
      <c r="C6" s="106" t="s">
        <v>68</v>
      </c>
      <c r="D6" s="45"/>
      <c r="E6" s="45"/>
      <c r="F6" s="106" t="s">
        <v>68</v>
      </c>
      <c r="G6" s="45"/>
      <c r="H6" s="45"/>
      <c r="I6" s="106" t="s">
        <v>68</v>
      </c>
    </row>
    <row r="8" spans="2:12" ht="15" customHeight="1" x14ac:dyDescent="0.25">
      <c r="B8" s="101" t="s">
        <v>69</v>
      </c>
      <c r="C8" s="102">
        <v>0.94499999999999995</v>
      </c>
      <c r="E8" s="113" t="s">
        <v>77</v>
      </c>
      <c r="F8" s="114">
        <v>0.75304162665168095</v>
      </c>
      <c r="H8" s="107" t="s">
        <v>5</v>
      </c>
      <c r="I8" s="108">
        <v>2.5958448165470219E-2</v>
      </c>
      <c r="K8" s="155" t="s">
        <v>83</v>
      </c>
      <c r="L8" s="156"/>
    </row>
    <row r="9" spans="2:12" x14ac:dyDescent="0.25">
      <c r="H9" s="109" t="s">
        <v>17</v>
      </c>
      <c r="I9" s="110">
        <v>3.5685149886368332E-2</v>
      </c>
      <c r="K9" s="157"/>
      <c r="L9" s="158"/>
    </row>
    <row r="10" spans="2:12" x14ac:dyDescent="0.25">
      <c r="B10" s="103" t="s">
        <v>70</v>
      </c>
      <c r="C10" s="96">
        <v>2.1999999999999999E-2</v>
      </c>
      <c r="E10" s="87" t="s">
        <v>76</v>
      </c>
      <c r="F10" s="93">
        <v>0.12119855314417946</v>
      </c>
      <c r="H10" s="109" t="s">
        <v>6</v>
      </c>
      <c r="I10" s="110">
        <v>9.1111234962065732E-2</v>
      </c>
      <c r="K10" s="157"/>
      <c r="L10" s="158"/>
    </row>
    <row r="11" spans="2:12" x14ac:dyDescent="0.25">
      <c r="B11" s="104" t="s">
        <v>71</v>
      </c>
      <c r="C11" s="97">
        <v>2.3E-2</v>
      </c>
      <c r="E11" s="88" t="s">
        <v>74</v>
      </c>
      <c r="F11" s="94">
        <v>1.7098813883476931E-2</v>
      </c>
      <c r="H11" s="109" t="s">
        <v>8</v>
      </c>
      <c r="I11" s="110">
        <v>0.20152541582384595</v>
      </c>
      <c r="K11" s="157"/>
      <c r="L11" s="158"/>
    </row>
    <row r="12" spans="2:12" x14ac:dyDescent="0.25">
      <c r="B12" s="105" t="s">
        <v>72</v>
      </c>
      <c r="C12" s="98">
        <v>1.0999999999999999E-2</v>
      </c>
      <c r="E12" s="88" t="s">
        <v>75</v>
      </c>
      <c r="F12" s="94">
        <v>3.0017843424377463E-2</v>
      </c>
      <c r="H12" s="109" t="s">
        <v>18</v>
      </c>
      <c r="I12" s="110">
        <v>1.7798290972935879E-2</v>
      </c>
      <c r="K12" s="157"/>
      <c r="L12" s="158"/>
    </row>
    <row r="13" spans="2:12" x14ac:dyDescent="0.25">
      <c r="E13" s="88" t="s">
        <v>73</v>
      </c>
      <c r="F13" s="94">
        <v>9.7346965489474892E-3</v>
      </c>
      <c r="H13" s="109" t="s">
        <v>9</v>
      </c>
      <c r="I13" s="110">
        <v>9.758527416037107E-3</v>
      </c>
      <c r="K13" s="157"/>
      <c r="L13" s="158"/>
    </row>
    <row r="14" spans="2:12" x14ac:dyDescent="0.25">
      <c r="B14" s="99" t="s">
        <v>4</v>
      </c>
      <c r="C14" s="100">
        <f>SUM(C8:C12)</f>
        <v>1.0009999999999999</v>
      </c>
      <c r="E14" s="88" t="s">
        <v>78</v>
      </c>
      <c r="F14" s="94">
        <v>6.9358531324120634E-4</v>
      </c>
      <c r="H14" s="109" t="s">
        <v>10</v>
      </c>
      <c r="I14" s="110">
        <v>0.26636703844202497</v>
      </c>
      <c r="K14" s="157"/>
      <c r="L14" s="158"/>
    </row>
    <row r="15" spans="2:12" x14ac:dyDescent="0.25">
      <c r="E15" s="89" t="s">
        <v>80</v>
      </c>
      <c r="F15" s="95">
        <v>1.2755393417798551E-2</v>
      </c>
      <c r="H15" s="109" t="s">
        <v>11</v>
      </c>
      <c r="I15" s="110">
        <v>7.9317994113838428E-2</v>
      </c>
      <c r="K15" s="157"/>
      <c r="L15" s="158"/>
    </row>
    <row r="16" spans="2:12" x14ac:dyDescent="0.25">
      <c r="B16" s="49" t="s">
        <v>48</v>
      </c>
      <c r="C16" s="49">
        <v>2955</v>
      </c>
      <c r="H16" s="109" t="s">
        <v>12</v>
      </c>
      <c r="I16" s="110">
        <v>6.4450614517787301E-3</v>
      </c>
      <c r="K16" s="157"/>
      <c r="L16" s="158"/>
    </row>
    <row r="17" spans="2:12" x14ac:dyDescent="0.25">
      <c r="B17" s="35" t="s">
        <v>24</v>
      </c>
      <c r="C17" s="36">
        <v>1.7999999999999999E-2</v>
      </c>
      <c r="E17" s="90" t="s">
        <v>70</v>
      </c>
      <c r="F17" s="96">
        <v>2.1999999999999999E-2</v>
      </c>
      <c r="H17" s="109" t="s">
        <v>19</v>
      </c>
      <c r="I17" s="110">
        <v>3.5610951893354408E-3</v>
      </c>
      <c r="K17" s="157"/>
      <c r="L17" s="158"/>
    </row>
    <row r="18" spans="2:12" x14ac:dyDescent="0.25">
      <c r="E18" s="91" t="s">
        <v>71</v>
      </c>
      <c r="F18" s="97">
        <v>2.3E-2</v>
      </c>
      <c r="H18" s="111" t="s">
        <v>21</v>
      </c>
      <c r="I18" s="112">
        <v>1.5513370227978942E-2</v>
      </c>
      <c r="K18" s="159"/>
      <c r="L18" s="160"/>
    </row>
    <row r="19" spans="2:12" x14ac:dyDescent="0.25">
      <c r="E19" s="92" t="s">
        <v>72</v>
      </c>
      <c r="F19" s="98">
        <v>1.0999999999999999E-2</v>
      </c>
      <c r="K19" s="115"/>
      <c r="L19" s="115"/>
    </row>
    <row r="20" spans="2:12" x14ac:dyDescent="0.25">
      <c r="H20" s="87" t="s">
        <v>76</v>
      </c>
      <c r="I20" s="93">
        <v>0.12119855314417946</v>
      </c>
      <c r="K20" s="115"/>
      <c r="L20" s="115"/>
    </row>
    <row r="21" spans="2:12" x14ac:dyDescent="0.25">
      <c r="E21" s="99" t="s">
        <v>4</v>
      </c>
      <c r="F21" s="100">
        <f>SUM(F8:F19)</f>
        <v>1.0005405123837019</v>
      </c>
      <c r="H21" s="88" t="s">
        <v>74</v>
      </c>
      <c r="I21" s="94">
        <v>1.7098813883476931E-2</v>
      </c>
    </row>
    <row r="22" spans="2:12" x14ac:dyDescent="0.25">
      <c r="H22" s="88" t="s">
        <v>75</v>
      </c>
      <c r="I22" s="94">
        <v>3.0017843424377463E-2</v>
      </c>
    </row>
    <row r="23" spans="2:12" x14ac:dyDescent="0.25">
      <c r="E23" s="49" t="s">
        <v>48</v>
      </c>
      <c r="F23" s="49">
        <v>2955</v>
      </c>
      <c r="H23" s="88" t="s">
        <v>73</v>
      </c>
      <c r="I23" s="94">
        <v>9.7346965489474892E-3</v>
      </c>
    </row>
    <row r="24" spans="2:12" x14ac:dyDescent="0.25">
      <c r="E24" s="35" t="s">
        <v>24</v>
      </c>
      <c r="F24" s="36">
        <v>1.7999999999999999E-2</v>
      </c>
      <c r="H24" s="88" t="s">
        <v>78</v>
      </c>
      <c r="I24" s="94">
        <v>6.9358531324120634E-4</v>
      </c>
    </row>
    <row r="25" spans="2:12" x14ac:dyDescent="0.25">
      <c r="H25" s="89" t="s">
        <v>79</v>
      </c>
      <c r="I25" s="95">
        <v>1.2755393417798551E-2</v>
      </c>
    </row>
    <row r="26" spans="2:12" x14ac:dyDescent="0.25">
      <c r="F26" s="86"/>
    </row>
    <row r="27" spans="2:12" x14ac:dyDescent="0.25">
      <c r="H27" s="90" t="s">
        <v>70</v>
      </c>
      <c r="I27" s="96">
        <v>2.1999999999999999E-2</v>
      </c>
    </row>
    <row r="28" spans="2:12" x14ac:dyDescent="0.25">
      <c r="H28" s="91" t="s">
        <v>71</v>
      </c>
      <c r="I28" s="97">
        <v>2.3E-2</v>
      </c>
    </row>
    <row r="29" spans="2:12" x14ac:dyDescent="0.25">
      <c r="H29" s="92" t="s">
        <v>72</v>
      </c>
      <c r="I29" s="98">
        <v>1.0999999999999999E-2</v>
      </c>
    </row>
    <row r="31" spans="2:12" x14ac:dyDescent="0.25">
      <c r="H31" s="99" t="s">
        <v>4</v>
      </c>
      <c r="I31" s="100">
        <f>SUM(I8:I29)</f>
        <v>1.0005405123837008</v>
      </c>
    </row>
    <row r="33" spans="8:9" x14ac:dyDescent="0.25">
      <c r="H33" s="49" t="s">
        <v>48</v>
      </c>
      <c r="I33" s="49">
        <v>2955</v>
      </c>
    </row>
    <row r="34" spans="8:9" x14ac:dyDescent="0.25">
      <c r="H34" s="35" t="s">
        <v>24</v>
      </c>
      <c r="I34" s="36">
        <v>1.7999999999999999E-2</v>
      </c>
    </row>
  </sheetData>
  <mergeCells count="1">
    <mergeCell ref="K8:L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Definitely will vote</vt:lpstr>
      <vt:lpstr>Potential Voters</vt:lpstr>
      <vt:lpstr>18+</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McInman</dc:creator>
  <cp:lastModifiedBy>GC</cp:lastModifiedBy>
  <dcterms:created xsi:type="dcterms:W3CDTF">2011-11-17T19:15:46Z</dcterms:created>
  <dcterms:modified xsi:type="dcterms:W3CDTF">2011-11-18T23:36:14Z</dcterms:modified>
</cp:coreProperties>
</file>