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17955" windowHeight="11640"/>
  </bookViews>
  <sheets>
    <sheet name="Info" sheetId="11" r:id="rId1"/>
    <sheet name="Scatterplots" sheetId="10" r:id="rId2"/>
    <sheet name="BACE results" sheetId="1" r:id="rId3"/>
    <sheet name="FE short sample" sheetId="2" r:id="rId4"/>
    <sheet name="OLS_short" sheetId="3" r:id="rId5"/>
    <sheet name="FE long sample" sheetId="6" r:id="rId6"/>
    <sheet name="OLS long sample" sheetId="7" r:id="rId7"/>
    <sheet name="DATA_short" sheetId="4" r:id="rId8"/>
    <sheet name="Data_long" sheetId="5" r:id="rId9"/>
    <sheet name="Desc.short" sheetId="8" r:id="rId10"/>
    <sheet name="Desc_long" sheetId="9" r:id="rId11"/>
  </sheets>
  <externalReferences>
    <externalReference r:id="rId12"/>
  </externalReferences>
  <calcPr calcId="144525"/>
</workbook>
</file>

<file path=xl/calcChain.xml><?xml version="1.0" encoding="utf-8"?>
<calcChain xmlns="http://schemas.openxmlformats.org/spreadsheetml/2006/main">
  <c r="BO13" i="5" l="1"/>
  <c r="BO14" i="5"/>
  <c r="BO15" i="5"/>
  <c r="BO16" i="5"/>
  <c r="BO17" i="5"/>
  <c r="BO18" i="5"/>
  <c r="BO19" i="5"/>
  <c r="BO20" i="5"/>
  <c r="BO21" i="5"/>
  <c r="BO22" i="5"/>
  <c r="BO23" i="5"/>
  <c r="BO24" i="5"/>
  <c r="BO25" i="5"/>
  <c r="BO26" i="5"/>
  <c r="BO27" i="5"/>
  <c r="BO28" i="5"/>
  <c r="BO29" i="5"/>
  <c r="BO30" i="5"/>
  <c r="BO31" i="5"/>
  <c r="BO32" i="5"/>
  <c r="BP32" i="5" s="1"/>
  <c r="BO33" i="5"/>
  <c r="BO34" i="5"/>
  <c r="BO35" i="5"/>
  <c r="BP35" i="5" s="1"/>
  <c r="BO36" i="5"/>
  <c r="BP36" i="5" s="1"/>
  <c r="BO37" i="5"/>
  <c r="BO38" i="5"/>
  <c r="BO39" i="5"/>
  <c r="BO40" i="5"/>
  <c r="BO41" i="5"/>
  <c r="BO42" i="5"/>
  <c r="BO43" i="5"/>
  <c r="BO44" i="5"/>
  <c r="BO45" i="5"/>
  <c r="BO46" i="5"/>
  <c r="BO47" i="5"/>
  <c r="BO48" i="5"/>
  <c r="BO49" i="5"/>
  <c r="BO50" i="5"/>
  <c r="BO51" i="5"/>
  <c r="BO52" i="5"/>
  <c r="BO53" i="5"/>
  <c r="BO54" i="5"/>
  <c r="BO55" i="5"/>
  <c r="BO56" i="5"/>
  <c r="BO57" i="5"/>
  <c r="BO58" i="5"/>
  <c r="BO59" i="5"/>
  <c r="BO60" i="5"/>
  <c r="BO61" i="5"/>
  <c r="BO62" i="5"/>
  <c r="BO63" i="5"/>
  <c r="BO64" i="5"/>
  <c r="BO65" i="5"/>
  <c r="BO66" i="5"/>
  <c r="BO67" i="5"/>
  <c r="BO68" i="5"/>
  <c r="BO69" i="5"/>
  <c r="BO70" i="5"/>
  <c r="BO71" i="5"/>
  <c r="BO72" i="5"/>
  <c r="BO73" i="5"/>
  <c r="BO74" i="5"/>
  <c r="BO75" i="5"/>
  <c r="BO76" i="5"/>
  <c r="BO77" i="5"/>
  <c r="BO78" i="5"/>
  <c r="BO79" i="5"/>
  <c r="BO80" i="5"/>
  <c r="BO81" i="5"/>
  <c r="BO82" i="5"/>
  <c r="BO83" i="5"/>
  <c r="BO84" i="5"/>
  <c r="BO85" i="5"/>
  <c r="BO86" i="5"/>
  <c r="BO87" i="5"/>
  <c r="BO88" i="5"/>
  <c r="BO89" i="5"/>
  <c r="BO90" i="5"/>
  <c r="BO91" i="5"/>
  <c r="BO92" i="5"/>
  <c r="BO93" i="5"/>
  <c r="BO94" i="5"/>
  <c r="BO95" i="5"/>
  <c r="BO96" i="5"/>
  <c r="BO97" i="5"/>
  <c r="BO98" i="5"/>
  <c r="BO99" i="5"/>
  <c r="BO100" i="5"/>
  <c r="BO101" i="5"/>
  <c r="BO102" i="5"/>
  <c r="BO103" i="5"/>
  <c r="BO104" i="5"/>
  <c r="BO105" i="5"/>
  <c r="BO106" i="5"/>
  <c r="BO107" i="5"/>
  <c r="BO108" i="5"/>
  <c r="BO109" i="5"/>
  <c r="BO110" i="5"/>
  <c r="BO111" i="5"/>
  <c r="BO112" i="5"/>
  <c r="BO113" i="5"/>
  <c r="BO114" i="5"/>
  <c r="BO115" i="5"/>
  <c r="BO116" i="5"/>
  <c r="BO117" i="5"/>
  <c r="BO118" i="5"/>
  <c r="BO119" i="5"/>
  <c r="BO120" i="5"/>
  <c r="BO121" i="5"/>
  <c r="BO122" i="5"/>
  <c r="BO123" i="5"/>
  <c r="BO124" i="5"/>
  <c r="BO125" i="5"/>
  <c r="BO126" i="5"/>
  <c r="BO127" i="5"/>
  <c r="BO128" i="5"/>
  <c r="BO129" i="5"/>
  <c r="BO130" i="5"/>
  <c r="BO131" i="5"/>
  <c r="BO132" i="5"/>
  <c r="BO133" i="5"/>
  <c r="BO134" i="5"/>
  <c r="BO135" i="5"/>
  <c r="BO136" i="5"/>
  <c r="BO137" i="5"/>
  <c r="BO138" i="5"/>
  <c r="BO139" i="5"/>
  <c r="BO140" i="5"/>
  <c r="BO141" i="5"/>
  <c r="BO142" i="5"/>
  <c r="BO143" i="5"/>
  <c r="BP143" i="5" s="1"/>
  <c r="BO144" i="5"/>
  <c r="BP144" i="5" s="1"/>
  <c r="BO145" i="5"/>
  <c r="BO146" i="5"/>
  <c r="BO147" i="5"/>
  <c r="BP147" i="5" s="1"/>
  <c r="BO148" i="5"/>
  <c r="BP148" i="5" s="1"/>
  <c r="BO149" i="5"/>
  <c r="BO150" i="5"/>
  <c r="BO151" i="5"/>
  <c r="BO152" i="5"/>
  <c r="BO153" i="5"/>
  <c r="BO154" i="5"/>
  <c r="BO155" i="5"/>
  <c r="BO156" i="5"/>
  <c r="BO157" i="5"/>
  <c r="BO158" i="5"/>
  <c r="BO159" i="5"/>
  <c r="BO160" i="5"/>
  <c r="BO161" i="5"/>
  <c r="BO162" i="5"/>
  <c r="BO163" i="5"/>
  <c r="BO164" i="5"/>
  <c r="BO165" i="5"/>
  <c r="BO166" i="5"/>
  <c r="BO167" i="5"/>
  <c r="BO168" i="5"/>
  <c r="BO169" i="5"/>
  <c r="BO170" i="5"/>
  <c r="BO171" i="5"/>
  <c r="BO172" i="5"/>
  <c r="BO173" i="5"/>
  <c r="BO174" i="5"/>
  <c r="BO175" i="5"/>
  <c r="BO176" i="5"/>
  <c r="BO177" i="5"/>
  <c r="BO178" i="5"/>
  <c r="BO179" i="5"/>
  <c r="BO180" i="5"/>
  <c r="BO181" i="5"/>
  <c r="BO182" i="5"/>
  <c r="BO183" i="5"/>
  <c r="BO184" i="5"/>
  <c r="BO185" i="5"/>
  <c r="BO186" i="5"/>
  <c r="BO187" i="5"/>
  <c r="BO188" i="5"/>
  <c r="BO189" i="5"/>
  <c r="BO190" i="5"/>
  <c r="BO191" i="5"/>
  <c r="BO192" i="5"/>
  <c r="BO193" i="5"/>
  <c r="BO194" i="5"/>
  <c r="BO195" i="5"/>
  <c r="BO196" i="5"/>
  <c r="BO197" i="5"/>
  <c r="BO198" i="5"/>
  <c r="BO199" i="5"/>
  <c r="BO200" i="5"/>
  <c r="BO201" i="5"/>
  <c r="BO202" i="5"/>
  <c r="BO203" i="5"/>
  <c r="BO204" i="5"/>
  <c r="BO3" i="5"/>
  <c r="BO4" i="5"/>
  <c r="BO5" i="5"/>
  <c r="BO6" i="5"/>
  <c r="BO7" i="5"/>
  <c r="BO8" i="5"/>
  <c r="BO9" i="5"/>
  <c r="BO10" i="5"/>
  <c r="BO11" i="5"/>
  <c r="BO12" i="5"/>
  <c r="BO2" i="5"/>
  <c r="BM23" i="5"/>
  <c r="BM24" i="5"/>
  <c r="BM25" i="5"/>
  <c r="BM26" i="5"/>
  <c r="BM27" i="5"/>
  <c r="BM28" i="5"/>
  <c r="BM29" i="5"/>
  <c r="BM30" i="5"/>
  <c r="BN30" i="5" s="1"/>
  <c r="BM31" i="5"/>
  <c r="BN31" i="5" s="1"/>
  <c r="BM32" i="5"/>
  <c r="BM33" i="5"/>
  <c r="BN33" i="5" s="1"/>
  <c r="BM34" i="5"/>
  <c r="BM35" i="5"/>
  <c r="BN35" i="5" s="1"/>
  <c r="BM36" i="5"/>
  <c r="BM37" i="5"/>
  <c r="BN37" i="5" s="1"/>
  <c r="BM38" i="5"/>
  <c r="BM39" i="5"/>
  <c r="BN39" i="5" s="1"/>
  <c r="BM40" i="5"/>
  <c r="BM41" i="5"/>
  <c r="BM42" i="5"/>
  <c r="BN42" i="5" s="1"/>
  <c r="BM43" i="5"/>
  <c r="BN43" i="5" s="1"/>
  <c r="BM44" i="5"/>
  <c r="BM45" i="5"/>
  <c r="BM46" i="5"/>
  <c r="BM47" i="5"/>
  <c r="BM48" i="5"/>
  <c r="BM49" i="5"/>
  <c r="BM50" i="5"/>
  <c r="BM51" i="5"/>
  <c r="BM52" i="5"/>
  <c r="BM53" i="5"/>
  <c r="BM54" i="5"/>
  <c r="BM55" i="5"/>
  <c r="BM56" i="5"/>
  <c r="BM57" i="5"/>
  <c r="BM58" i="5"/>
  <c r="BM59" i="5"/>
  <c r="BM60" i="5"/>
  <c r="BM61" i="5"/>
  <c r="BM62" i="5"/>
  <c r="BM63" i="5"/>
  <c r="BM64" i="5"/>
  <c r="BM65" i="5"/>
  <c r="BM66" i="5"/>
  <c r="BM67" i="5"/>
  <c r="BM68" i="5"/>
  <c r="BM69" i="5"/>
  <c r="BM70" i="5"/>
  <c r="BM71" i="5"/>
  <c r="BM72" i="5"/>
  <c r="BM73" i="5"/>
  <c r="BM74" i="5"/>
  <c r="BM75" i="5"/>
  <c r="BM76" i="5"/>
  <c r="BM77" i="5"/>
  <c r="BM78" i="5"/>
  <c r="BM79" i="5"/>
  <c r="BM80" i="5"/>
  <c r="BM81" i="5"/>
  <c r="BM82" i="5"/>
  <c r="BM83" i="5"/>
  <c r="BM84" i="5"/>
  <c r="BM85" i="5"/>
  <c r="BM86" i="5"/>
  <c r="BM87" i="5"/>
  <c r="BM88" i="5"/>
  <c r="BM89" i="5"/>
  <c r="BM90" i="5"/>
  <c r="BM91" i="5"/>
  <c r="BM92" i="5"/>
  <c r="BM93" i="5"/>
  <c r="BM94" i="5"/>
  <c r="BM95" i="5"/>
  <c r="BM96" i="5"/>
  <c r="BM97" i="5"/>
  <c r="BM98" i="5"/>
  <c r="BM99" i="5"/>
  <c r="BM100" i="5"/>
  <c r="BM101" i="5"/>
  <c r="BM102" i="5"/>
  <c r="BM103" i="5"/>
  <c r="BM104" i="5"/>
  <c r="BM105" i="5"/>
  <c r="BM106" i="5"/>
  <c r="BM107" i="5"/>
  <c r="BM108" i="5"/>
  <c r="BM109" i="5"/>
  <c r="BM110" i="5"/>
  <c r="BM111" i="5"/>
  <c r="BM112" i="5"/>
  <c r="BM113" i="5"/>
  <c r="BM114" i="5"/>
  <c r="BM115" i="5"/>
  <c r="BM116" i="5"/>
  <c r="BM117" i="5"/>
  <c r="BM118" i="5"/>
  <c r="BM119" i="5"/>
  <c r="BM120" i="5"/>
  <c r="BM121" i="5"/>
  <c r="BM122" i="5"/>
  <c r="BM123" i="5"/>
  <c r="BM124" i="5"/>
  <c r="BM125" i="5"/>
  <c r="BM126" i="5"/>
  <c r="BM127" i="5"/>
  <c r="BM128" i="5"/>
  <c r="BM129" i="5"/>
  <c r="BM130" i="5"/>
  <c r="BM131" i="5"/>
  <c r="BM132" i="5"/>
  <c r="BM133" i="5"/>
  <c r="BM134" i="5"/>
  <c r="BM135" i="5"/>
  <c r="BM136" i="5"/>
  <c r="BM137" i="5"/>
  <c r="BM138" i="5"/>
  <c r="BM139" i="5"/>
  <c r="BM140" i="5"/>
  <c r="BM141" i="5"/>
  <c r="BM142" i="5"/>
  <c r="BM143" i="5"/>
  <c r="BN143" i="5" s="1"/>
  <c r="BM144" i="5"/>
  <c r="BM145" i="5"/>
  <c r="BM146" i="5"/>
  <c r="BM147" i="5"/>
  <c r="BN147" i="5" s="1"/>
  <c r="BM148" i="5"/>
  <c r="BM149" i="5"/>
  <c r="BM150" i="5"/>
  <c r="BM151" i="5"/>
  <c r="BM152" i="5"/>
  <c r="BM153" i="5"/>
  <c r="BM154" i="5"/>
  <c r="BM155" i="5"/>
  <c r="BM156" i="5"/>
  <c r="BM157" i="5"/>
  <c r="BM158" i="5"/>
  <c r="BM159" i="5"/>
  <c r="BM160" i="5"/>
  <c r="BM161" i="5"/>
  <c r="BM162" i="5"/>
  <c r="BM163" i="5"/>
  <c r="BM164" i="5"/>
  <c r="BM165" i="5"/>
  <c r="BM166" i="5"/>
  <c r="BM167" i="5"/>
  <c r="BM168" i="5"/>
  <c r="BM169" i="5"/>
  <c r="BM170" i="5"/>
  <c r="BM171" i="5"/>
  <c r="BN171" i="5" s="1"/>
  <c r="BM172" i="5"/>
  <c r="BM173" i="5"/>
  <c r="BM174" i="5"/>
  <c r="BM175" i="5"/>
  <c r="BN175" i="5" s="1"/>
  <c r="BM176" i="5"/>
  <c r="BM177" i="5"/>
  <c r="BM178" i="5"/>
  <c r="BM179" i="5"/>
  <c r="BM180" i="5"/>
  <c r="BM181" i="5"/>
  <c r="BM182" i="5"/>
  <c r="BM183" i="5"/>
  <c r="BM184" i="5"/>
  <c r="BM185" i="5"/>
  <c r="BM186" i="5"/>
  <c r="BM187" i="5"/>
  <c r="BM188" i="5"/>
  <c r="BM189" i="5"/>
  <c r="BM190" i="5"/>
  <c r="BM191" i="5"/>
  <c r="BM192" i="5"/>
  <c r="BM193" i="5"/>
  <c r="BM194" i="5"/>
  <c r="BM195" i="5"/>
  <c r="BM196" i="5"/>
  <c r="BM197" i="5"/>
  <c r="BM198" i="5"/>
  <c r="BM199" i="5"/>
  <c r="BM200" i="5"/>
  <c r="BM201" i="5"/>
  <c r="BM202" i="5"/>
  <c r="BM203" i="5"/>
  <c r="BM204" i="5"/>
  <c r="BM3" i="5"/>
  <c r="BM4" i="5"/>
  <c r="BM5" i="5"/>
  <c r="BM6" i="5"/>
  <c r="BM7" i="5"/>
  <c r="BM8" i="5"/>
  <c r="BM9" i="5"/>
  <c r="BM10" i="5"/>
  <c r="BM11" i="5"/>
  <c r="BM12" i="5"/>
  <c r="BM13" i="5"/>
  <c r="BM14" i="5"/>
  <c r="BM15" i="5"/>
  <c r="BM16" i="5"/>
  <c r="BM17" i="5"/>
  <c r="BM18" i="5"/>
  <c r="BM19" i="5"/>
  <c r="BM20" i="5"/>
  <c r="BM21" i="5"/>
  <c r="BM22" i="5"/>
  <c r="BM2" i="5"/>
  <c r="BN41" i="5"/>
  <c r="BP177" i="5"/>
  <c r="BP178" i="5"/>
  <c r="BP179" i="5"/>
  <c r="BP180" i="5"/>
  <c r="BP181" i="5"/>
  <c r="BP182" i="5"/>
  <c r="BP183" i="5"/>
  <c r="BP184" i="5"/>
  <c r="BP185" i="5"/>
  <c r="BP186" i="5"/>
  <c r="BP187" i="5"/>
  <c r="BP188" i="5"/>
  <c r="BP189" i="5"/>
  <c r="BP190" i="5"/>
  <c r="BP191" i="5"/>
  <c r="BP192" i="5"/>
  <c r="BP193" i="5"/>
  <c r="BP194" i="5"/>
  <c r="BP195" i="5"/>
  <c r="BP196" i="5"/>
  <c r="BP197" i="5"/>
  <c r="BP198" i="5"/>
  <c r="BP199" i="5"/>
  <c r="BP200" i="5"/>
  <c r="BP201" i="5"/>
  <c r="BP202" i="5"/>
  <c r="BP203" i="5"/>
  <c r="BP204" i="5"/>
  <c r="BP155" i="5"/>
  <c r="BP156" i="5"/>
  <c r="BP157" i="5"/>
  <c r="BP158" i="5"/>
  <c r="BP159" i="5"/>
  <c r="BP160" i="5"/>
  <c r="BP161" i="5"/>
  <c r="BP162" i="5"/>
  <c r="BP163" i="5"/>
  <c r="BP164" i="5"/>
  <c r="BP165" i="5"/>
  <c r="BP166" i="5"/>
  <c r="BP167" i="5"/>
  <c r="BP168" i="5"/>
  <c r="BP169" i="5"/>
  <c r="BP170" i="5"/>
  <c r="BP171" i="5"/>
  <c r="BP172" i="5"/>
  <c r="BP173" i="5"/>
  <c r="BP174" i="5"/>
  <c r="BP175" i="5"/>
  <c r="BP176" i="5"/>
  <c r="BP79" i="5"/>
  <c r="BP80" i="5"/>
  <c r="BP81" i="5"/>
  <c r="BP82" i="5"/>
  <c r="BP83" i="5"/>
  <c r="BP84" i="5"/>
  <c r="BP85" i="5"/>
  <c r="BP86" i="5"/>
  <c r="BP87" i="5"/>
  <c r="BP88" i="5"/>
  <c r="BP89" i="5"/>
  <c r="BP90" i="5"/>
  <c r="BP91" i="5"/>
  <c r="BP92" i="5"/>
  <c r="BP93" i="5"/>
  <c r="BP94" i="5"/>
  <c r="BP95" i="5"/>
  <c r="BP96" i="5"/>
  <c r="BP97" i="5"/>
  <c r="BP98" i="5"/>
  <c r="BP99" i="5"/>
  <c r="BP100" i="5"/>
  <c r="BP101" i="5"/>
  <c r="BP102" i="5"/>
  <c r="BP103" i="5"/>
  <c r="BP104" i="5"/>
  <c r="BP105" i="5"/>
  <c r="BP106" i="5"/>
  <c r="BP107" i="5"/>
  <c r="BP108" i="5"/>
  <c r="BP109" i="5"/>
  <c r="BP110" i="5"/>
  <c r="BP111" i="5"/>
  <c r="BP112" i="5"/>
  <c r="BP113" i="5"/>
  <c r="BP114" i="5"/>
  <c r="BP115" i="5"/>
  <c r="BP116" i="5"/>
  <c r="BP117" i="5"/>
  <c r="BP118" i="5"/>
  <c r="BP119" i="5"/>
  <c r="BP120" i="5"/>
  <c r="BP121" i="5"/>
  <c r="BP122" i="5"/>
  <c r="BP123" i="5"/>
  <c r="BP124" i="5"/>
  <c r="BP125" i="5"/>
  <c r="BP126" i="5"/>
  <c r="BP127" i="5"/>
  <c r="BP128" i="5"/>
  <c r="BP129" i="5"/>
  <c r="BP130" i="5"/>
  <c r="BP131" i="5"/>
  <c r="BP132" i="5"/>
  <c r="BP133" i="5"/>
  <c r="BP134" i="5"/>
  <c r="BP135" i="5"/>
  <c r="BP136" i="5"/>
  <c r="BP137" i="5"/>
  <c r="BP138" i="5"/>
  <c r="BP139" i="5"/>
  <c r="BP140" i="5"/>
  <c r="BP141" i="5"/>
  <c r="BP142" i="5"/>
  <c r="BP145" i="5"/>
  <c r="BP146" i="5"/>
  <c r="BP149" i="5"/>
  <c r="BP150" i="5"/>
  <c r="BP151" i="5"/>
  <c r="BP152" i="5"/>
  <c r="BP153" i="5"/>
  <c r="BP154" i="5"/>
  <c r="BP58" i="5"/>
  <c r="BP59" i="5"/>
  <c r="BP60" i="5"/>
  <c r="BP61" i="5"/>
  <c r="BP62" i="5"/>
  <c r="BP63" i="5"/>
  <c r="BP64" i="5"/>
  <c r="BP65" i="5"/>
  <c r="BP66" i="5"/>
  <c r="BP67" i="5"/>
  <c r="BP68" i="5"/>
  <c r="BP69" i="5"/>
  <c r="BP70" i="5"/>
  <c r="BP71" i="5"/>
  <c r="BP72" i="5"/>
  <c r="BP73" i="5"/>
  <c r="BP74" i="5"/>
  <c r="BP75" i="5"/>
  <c r="BP76" i="5"/>
  <c r="BP77" i="5"/>
  <c r="BP78" i="5"/>
  <c r="BP46" i="5"/>
  <c r="BP47" i="5"/>
  <c r="BP48" i="5"/>
  <c r="BP49" i="5"/>
  <c r="BP50" i="5"/>
  <c r="BP51" i="5"/>
  <c r="BP52" i="5"/>
  <c r="BP53" i="5"/>
  <c r="BP54" i="5"/>
  <c r="BP55" i="5"/>
  <c r="BP56" i="5"/>
  <c r="BP57" i="5"/>
  <c r="BP38" i="5"/>
  <c r="BP39" i="5"/>
  <c r="BP40" i="5"/>
  <c r="BP41" i="5"/>
  <c r="BP42" i="5"/>
  <c r="BP43" i="5"/>
  <c r="BP44" i="5"/>
  <c r="BP45" i="5"/>
  <c r="BP33" i="5"/>
  <c r="BP34" i="5"/>
  <c r="BP37" i="5"/>
  <c r="BP3" i="5"/>
  <c r="BP4" i="5"/>
  <c r="BP5" i="5"/>
  <c r="BP6" i="5"/>
  <c r="BP7" i="5"/>
  <c r="BP8" i="5"/>
  <c r="BP9" i="5"/>
  <c r="BP10" i="5"/>
  <c r="BP11" i="5"/>
  <c r="BP12" i="5"/>
  <c r="BP13" i="5"/>
  <c r="BP14" i="5"/>
  <c r="BP15" i="5"/>
  <c r="BP16" i="5"/>
  <c r="BP17" i="5"/>
  <c r="BP18" i="5"/>
  <c r="BP19" i="5"/>
  <c r="BP20" i="5"/>
  <c r="BP21" i="5"/>
  <c r="BP22" i="5"/>
  <c r="BP23" i="5"/>
  <c r="BP24" i="5"/>
  <c r="BP25" i="5"/>
  <c r="BP26" i="5"/>
  <c r="BP27" i="5"/>
  <c r="BP28" i="5"/>
  <c r="BP29" i="5"/>
  <c r="BP30" i="5"/>
  <c r="BP31" i="5"/>
  <c r="BP2" i="5"/>
  <c r="BN44" i="5"/>
  <c r="BN45" i="5"/>
  <c r="BN46" i="5"/>
  <c r="BN47" i="5"/>
  <c r="BN48" i="5"/>
  <c r="BN49" i="5"/>
  <c r="BN50" i="5"/>
  <c r="BN51" i="5"/>
  <c r="BN52" i="5"/>
  <c r="BN53" i="5"/>
  <c r="BN54" i="5"/>
  <c r="BN55" i="5"/>
  <c r="BN56" i="5"/>
  <c r="BN57" i="5"/>
  <c r="BN58" i="5"/>
  <c r="BN59" i="5"/>
  <c r="BN60" i="5"/>
  <c r="BN61" i="5"/>
  <c r="BN62" i="5"/>
  <c r="BN63" i="5"/>
  <c r="BN64" i="5"/>
  <c r="BN65" i="5"/>
  <c r="BN66" i="5"/>
  <c r="BN67" i="5"/>
  <c r="BN68" i="5"/>
  <c r="BN69" i="5"/>
  <c r="BN70" i="5"/>
  <c r="BN71" i="5"/>
  <c r="BN72" i="5"/>
  <c r="BN73" i="5"/>
  <c r="BN74" i="5"/>
  <c r="BN75" i="5"/>
  <c r="BN76" i="5"/>
  <c r="BN77" i="5"/>
  <c r="BN78" i="5"/>
  <c r="BN79" i="5"/>
  <c r="BN80" i="5"/>
  <c r="BN81" i="5"/>
  <c r="BN82" i="5"/>
  <c r="BN83" i="5"/>
  <c r="BN84" i="5"/>
  <c r="BN85" i="5"/>
  <c r="BN86" i="5"/>
  <c r="BN87" i="5"/>
  <c r="BN88" i="5"/>
  <c r="BN89" i="5"/>
  <c r="BN90" i="5"/>
  <c r="BN91" i="5"/>
  <c r="BN92" i="5"/>
  <c r="BN93" i="5"/>
  <c r="BN94" i="5"/>
  <c r="BN95" i="5"/>
  <c r="BN96" i="5"/>
  <c r="BN97" i="5"/>
  <c r="BN98" i="5"/>
  <c r="BN99" i="5"/>
  <c r="BN100" i="5"/>
  <c r="BN101" i="5"/>
  <c r="BN102" i="5"/>
  <c r="BN103" i="5"/>
  <c r="BN104" i="5"/>
  <c r="BN105" i="5"/>
  <c r="BN106" i="5"/>
  <c r="BN107" i="5"/>
  <c r="BN108" i="5"/>
  <c r="BN109" i="5"/>
  <c r="BN110" i="5"/>
  <c r="BN111" i="5"/>
  <c r="BN112" i="5"/>
  <c r="BN113" i="5"/>
  <c r="BN114" i="5"/>
  <c r="BN115" i="5"/>
  <c r="BN116" i="5"/>
  <c r="BN117" i="5"/>
  <c r="BN118" i="5"/>
  <c r="BN119" i="5"/>
  <c r="BN120" i="5"/>
  <c r="BN121" i="5"/>
  <c r="BN122" i="5"/>
  <c r="BN123" i="5"/>
  <c r="BN124" i="5"/>
  <c r="BN125" i="5"/>
  <c r="BN126" i="5"/>
  <c r="BN127" i="5"/>
  <c r="BN128" i="5"/>
  <c r="BN129" i="5"/>
  <c r="BN130" i="5"/>
  <c r="BN131" i="5"/>
  <c r="BN132" i="5"/>
  <c r="BN133" i="5"/>
  <c r="BN134" i="5"/>
  <c r="BN135" i="5"/>
  <c r="BN136" i="5"/>
  <c r="BN137" i="5"/>
  <c r="BN138" i="5"/>
  <c r="BN139" i="5"/>
  <c r="BN140" i="5"/>
  <c r="BN141" i="5"/>
  <c r="BN142" i="5"/>
  <c r="BN144" i="5"/>
  <c r="BN145" i="5"/>
  <c r="BN146" i="5"/>
  <c r="BN148" i="5"/>
  <c r="BN149" i="5"/>
  <c r="BN150" i="5"/>
  <c r="BN151" i="5"/>
  <c r="BN152" i="5"/>
  <c r="BN153" i="5"/>
  <c r="BN154" i="5"/>
  <c r="BN155" i="5"/>
  <c r="BN156" i="5"/>
  <c r="BN157" i="5"/>
  <c r="BN158" i="5"/>
  <c r="BN159" i="5"/>
  <c r="BN160" i="5"/>
  <c r="BN161" i="5"/>
  <c r="BN162" i="5"/>
  <c r="BN163" i="5"/>
  <c r="BN164" i="5"/>
  <c r="BN165" i="5"/>
  <c r="BN166" i="5"/>
  <c r="BN167" i="5"/>
  <c r="BN168" i="5"/>
  <c r="BN169" i="5"/>
  <c r="BN170" i="5"/>
  <c r="BN172" i="5"/>
  <c r="BN173" i="5"/>
  <c r="BN174" i="5"/>
  <c r="BN176" i="5"/>
  <c r="BN177" i="5"/>
  <c r="BN178" i="5"/>
  <c r="BN179" i="5"/>
  <c r="BN180" i="5"/>
  <c r="BN181" i="5"/>
  <c r="BN182" i="5"/>
  <c r="BN183" i="5"/>
  <c r="BN184" i="5"/>
  <c r="BN185" i="5"/>
  <c r="BN186" i="5"/>
  <c r="BN187" i="5"/>
  <c r="BN188" i="5"/>
  <c r="BN189" i="5"/>
  <c r="BN190" i="5"/>
  <c r="BN191" i="5"/>
  <c r="BN192" i="5"/>
  <c r="BN193" i="5"/>
  <c r="BN194" i="5"/>
  <c r="BN195" i="5"/>
  <c r="BN196" i="5"/>
  <c r="BN197" i="5"/>
  <c r="BN198" i="5"/>
  <c r="BN199" i="5"/>
  <c r="BN200" i="5"/>
  <c r="BN201" i="5"/>
  <c r="BN202" i="5"/>
  <c r="BN203" i="5"/>
  <c r="BN204" i="5"/>
  <c r="BN38" i="5"/>
  <c r="BN40" i="5"/>
  <c r="BN3" i="5"/>
  <c r="BN4" i="5"/>
  <c r="BN5" i="5"/>
  <c r="BN6" i="5"/>
  <c r="BN7" i="5"/>
  <c r="BN8" i="5"/>
  <c r="BN9" i="5"/>
  <c r="BN10" i="5"/>
  <c r="BN11" i="5"/>
  <c r="BN12" i="5"/>
  <c r="BN13" i="5"/>
  <c r="BN14" i="5"/>
  <c r="BN15" i="5"/>
  <c r="BN16" i="5"/>
  <c r="BN17" i="5"/>
  <c r="BN18" i="5"/>
  <c r="BN19" i="5"/>
  <c r="BN20" i="5"/>
  <c r="BN21" i="5"/>
  <c r="BN22" i="5"/>
  <c r="BN23" i="5"/>
  <c r="BN24" i="5"/>
  <c r="BN25" i="5"/>
  <c r="BN26" i="5"/>
  <c r="BN27" i="5"/>
  <c r="BN28" i="5"/>
  <c r="BN29" i="5"/>
  <c r="BN32" i="5"/>
  <c r="BN34" i="5"/>
  <c r="BN36" i="5"/>
  <c r="BN2" i="5"/>
  <c r="BI146" i="4"/>
  <c r="BI145" i="4"/>
  <c r="BI144" i="4"/>
  <c r="BI143" i="4"/>
  <c r="BI142" i="4"/>
  <c r="BI141" i="4"/>
  <c r="BI140" i="4"/>
  <c r="BI139" i="4"/>
  <c r="BI138" i="4"/>
  <c r="BI137" i="4"/>
  <c r="BI136" i="4"/>
  <c r="BI135" i="4"/>
  <c r="BI134" i="4"/>
  <c r="BI133" i="4"/>
  <c r="BI132" i="4"/>
  <c r="BI131" i="4"/>
  <c r="BI130" i="4"/>
  <c r="BI129" i="4"/>
  <c r="BI128" i="4"/>
  <c r="BI127" i="4"/>
  <c r="BI126" i="4"/>
  <c r="BI125" i="4"/>
  <c r="BI124" i="4"/>
  <c r="BI123" i="4"/>
  <c r="BI122" i="4"/>
  <c r="BI121" i="4"/>
  <c r="BI120" i="4"/>
  <c r="BI119" i="4"/>
  <c r="BI118" i="4"/>
  <c r="BI117" i="4"/>
  <c r="BI116" i="4"/>
  <c r="BI115" i="4"/>
  <c r="BI114" i="4"/>
  <c r="BI113" i="4"/>
  <c r="BI112" i="4"/>
  <c r="BI111" i="4"/>
  <c r="BI110" i="4"/>
  <c r="BI109" i="4"/>
  <c r="BI108" i="4"/>
  <c r="BI107" i="4"/>
  <c r="BI106" i="4"/>
  <c r="BI105" i="4"/>
  <c r="BI104" i="4"/>
  <c r="BI103" i="4"/>
  <c r="BI102" i="4"/>
  <c r="BI101" i="4"/>
  <c r="BI100" i="4"/>
  <c r="BI99" i="4"/>
  <c r="BI98" i="4"/>
  <c r="BI97" i="4"/>
  <c r="BI96" i="4"/>
  <c r="BI95" i="4"/>
  <c r="BI94" i="4"/>
  <c r="BI93" i="4"/>
  <c r="BI92" i="4"/>
  <c r="BI91" i="4"/>
  <c r="BI90" i="4"/>
  <c r="BI89" i="4"/>
  <c r="BI88" i="4"/>
  <c r="BI87" i="4"/>
  <c r="BI86" i="4"/>
  <c r="BI85" i="4"/>
  <c r="BI84" i="4"/>
  <c r="BI83" i="4"/>
  <c r="BI82" i="4"/>
  <c r="BI81" i="4"/>
  <c r="BI80" i="4"/>
  <c r="BI79" i="4"/>
  <c r="BI78" i="4"/>
  <c r="BI77" i="4"/>
  <c r="BI76" i="4"/>
  <c r="BI75" i="4"/>
  <c r="BI74" i="4"/>
  <c r="BI73" i="4"/>
  <c r="BI72" i="4"/>
  <c r="BI71" i="4"/>
  <c r="BI70" i="4"/>
  <c r="BI69" i="4"/>
  <c r="BI68" i="4"/>
  <c r="BI67" i="4"/>
  <c r="BI66" i="4"/>
  <c r="BI65" i="4"/>
  <c r="BI64" i="4"/>
  <c r="BI63" i="4"/>
  <c r="BI62" i="4"/>
  <c r="BI61" i="4"/>
  <c r="BI60" i="4"/>
  <c r="BI59" i="4"/>
  <c r="BI58" i="4"/>
  <c r="BI57" i="4"/>
  <c r="BI56" i="4"/>
  <c r="BI55" i="4"/>
  <c r="BI54" i="4"/>
  <c r="BI53" i="4"/>
  <c r="BI52" i="4"/>
  <c r="BI51" i="4"/>
  <c r="BI50" i="4"/>
  <c r="BI49" i="4"/>
  <c r="BI48" i="4"/>
  <c r="BI47" i="4"/>
  <c r="BI46" i="4"/>
  <c r="BI45" i="4"/>
  <c r="BI44" i="4"/>
  <c r="BI43" i="4"/>
  <c r="BI42" i="4"/>
  <c r="BI41" i="4"/>
  <c r="BI40" i="4"/>
  <c r="BI39" i="4"/>
  <c r="BI38" i="4"/>
  <c r="BI37" i="4"/>
  <c r="BI36" i="4"/>
  <c r="BI35" i="4"/>
  <c r="BI34" i="4"/>
  <c r="BI33" i="4"/>
  <c r="BI32" i="4"/>
  <c r="BI31" i="4"/>
  <c r="BI30" i="4"/>
  <c r="BI29" i="4"/>
  <c r="BI28" i="4"/>
  <c r="BI27" i="4"/>
  <c r="BI26" i="4"/>
  <c r="BI25" i="4"/>
  <c r="BI24" i="4"/>
  <c r="BI23" i="4"/>
  <c r="BI22" i="4"/>
  <c r="BI21" i="4"/>
  <c r="BI20" i="4"/>
  <c r="BI19" i="4"/>
  <c r="BI18" i="4"/>
  <c r="BI17" i="4"/>
  <c r="BI16" i="4"/>
  <c r="BI15" i="4"/>
  <c r="BI14" i="4"/>
  <c r="BI13" i="4"/>
  <c r="BI12" i="4"/>
  <c r="BI11" i="4"/>
  <c r="BI10" i="4"/>
  <c r="BI9" i="4"/>
  <c r="BI8" i="4"/>
  <c r="BI7" i="4"/>
  <c r="BI6" i="4"/>
  <c r="BI5" i="4"/>
  <c r="BI4" i="4"/>
  <c r="BI3" i="4"/>
  <c r="BI2" i="4"/>
  <c r="BO205" i="5" l="1"/>
  <c r="BM205" i="5"/>
  <c r="BN205" i="5"/>
  <c r="BP205" i="5"/>
</calcChain>
</file>

<file path=xl/sharedStrings.xml><?xml version="1.0" encoding="utf-8"?>
<sst xmlns="http://schemas.openxmlformats.org/spreadsheetml/2006/main" count="1292" uniqueCount="489">
  <si>
    <t>Y0</t>
  </si>
  <si>
    <t xml:space="preserve">SAV      </t>
  </si>
  <si>
    <t xml:space="preserve">INFL     </t>
  </si>
  <si>
    <t xml:space="preserve">FERT     </t>
  </si>
  <si>
    <t xml:space="preserve">TAX      </t>
  </si>
  <si>
    <t xml:space="preserve">EFI2     </t>
  </si>
  <si>
    <t xml:space="preserve">EFI4     </t>
  </si>
  <si>
    <t xml:space="preserve">DEPPOP   </t>
  </si>
  <si>
    <t xml:space="preserve">INV      </t>
  </si>
  <si>
    <t xml:space="preserve">UNEMPL   </t>
  </si>
  <si>
    <t xml:space="preserve">DLAB     </t>
  </si>
  <si>
    <t xml:space="preserve">EFI5     </t>
  </si>
  <si>
    <t xml:space="preserve">EFI3     </t>
  </si>
  <si>
    <t xml:space="preserve">EXP      </t>
  </si>
  <si>
    <t xml:space="preserve">DHUM     </t>
  </si>
  <si>
    <t xml:space="preserve">IMP      </t>
  </si>
  <si>
    <t xml:space="preserve">URBAN    </t>
  </si>
  <si>
    <t xml:space="preserve">TYR      </t>
  </si>
  <si>
    <t>Variable</t>
  </si>
  <si>
    <t>Inclusion
probability</t>
  </si>
  <si>
    <t>Mean</t>
  </si>
  <si>
    <t>Standard
deviation</t>
  </si>
  <si>
    <t>Tax, k=5, sub-index, 1970-1995</t>
  </si>
  <si>
    <t>KOF</t>
  </si>
  <si>
    <t>POP</t>
  </si>
  <si>
    <t>GEXP</t>
  </si>
  <si>
    <t>Gexp, k=5, sub-index, 1970-1995</t>
  </si>
  <si>
    <t xml:space="preserve">Y0    </t>
  </si>
  <si>
    <t xml:space="preserve">INFL  </t>
  </si>
  <si>
    <t xml:space="preserve">SAV   </t>
  </si>
  <si>
    <t xml:space="preserve">DLAB  </t>
  </si>
  <si>
    <t xml:space="preserve">EXP   </t>
  </si>
  <si>
    <t>UNEMPL</t>
  </si>
  <si>
    <t xml:space="preserve">EFI4  </t>
  </si>
  <si>
    <t xml:space="preserve">URBAN </t>
  </si>
  <si>
    <t xml:space="preserve">IMP   </t>
  </si>
  <si>
    <t xml:space="preserve">FERT  </t>
  </si>
  <si>
    <t xml:space="preserve">POP   </t>
  </si>
  <si>
    <t xml:space="preserve">DHUM  </t>
  </si>
  <si>
    <t xml:space="preserve">EFI2  </t>
  </si>
  <si>
    <t xml:space="preserve">TYR   </t>
  </si>
  <si>
    <t xml:space="preserve">KOF   </t>
  </si>
  <si>
    <t xml:space="preserve">INV   </t>
  </si>
  <si>
    <t xml:space="preserve">EFI5  </t>
  </si>
  <si>
    <t xml:space="preserve">EFI3  </t>
  </si>
  <si>
    <t>DEPPOP</t>
  </si>
  <si>
    <t xml:space="preserve">TAX   </t>
  </si>
  <si>
    <t>Tax, k=5, sub-index, 1970-2005</t>
  </si>
  <si>
    <t>Gexp, k=5, sub-index, 1970-2005</t>
  </si>
  <si>
    <t/>
  </si>
  <si>
    <t>(1)</t>
  </si>
  <si>
    <t>(2)</t>
  </si>
  <si>
    <t>(3)</t>
  </si>
  <si>
    <t>(4)</t>
  </si>
  <si>
    <t>(5)</t>
  </si>
  <si>
    <t>(6)</t>
  </si>
  <si>
    <t>VARIABLES</t>
  </si>
  <si>
    <t>dgdp</t>
  </si>
  <si>
    <t>tax</t>
  </si>
  <si>
    <t>-0.105**</t>
  </si>
  <si>
    <t>-0.103**</t>
  </si>
  <si>
    <t>0.0417</t>
  </si>
  <si>
    <t>0.0416</t>
  </si>
  <si>
    <t>y0</t>
  </si>
  <si>
    <t>-0.0489***</t>
  </si>
  <si>
    <t>-0.0470***</t>
  </si>
  <si>
    <t>-0.0566***</t>
  </si>
  <si>
    <t>-0.0546***</t>
  </si>
  <si>
    <t>-0.0479***</t>
  </si>
  <si>
    <t>0.0162</t>
  </si>
  <si>
    <t>0.0163</t>
  </si>
  <si>
    <t>0.0165</t>
  </si>
  <si>
    <t>0.0158</t>
  </si>
  <si>
    <t>0.0159</t>
  </si>
  <si>
    <t>0.0161</t>
  </si>
  <si>
    <t>inv</t>
  </si>
  <si>
    <t>0.0526</t>
  </si>
  <si>
    <t>0.0471</t>
  </si>
  <si>
    <t>0.0299</t>
  </si>
  <si>
    <t>0.0249</t>
  </si>
  <si>
    <t>0.0592</t>
  </si>
  <si>
    <t>0.0371</t>
  </si>
  <si>
    <t>0.0374</t>
  </si>
  <si>
    <t>0.0346</t>
  </si>
  <si>
    <t>0.0348</t>
  </si>
  <si>
    <t>0.0352</t>
  </si>
  <si>
    <t>0.0373</t>
  </si>
  <si>
    <t>dhum</t>
  </si>
  <si>
    <t>0.0725</t>
  </si>
  <si>
    <t>0.0709</t>
  </si>
  <si>
    <t>0.0993</t>
  </si>
  <si>
    <t>0.0980</t>
  </si>
  <si>
    <t>0.0744</t>
  </si>
  <si>
    <t>0.0697</t>
  </si>
  <si>
    <t>0.0659</t>
  </si>
  <si>
    <t>0.0658</t>
  </si>
  <si>
    <t>0.0695</t>
  </si>
  <si>
    <t>dlab</t>
  </si>
  <si>
    <t>0.187</t>
  </si>
  <si>
    <t>0.200</t>
  </si>
  <si>
    <t>-0.00630</t>
  </si>
  <si>
    <t>0.00641</t>
  </si>
  <si>
    <t>0.175</t>
  </si>
  <si>
    <t>0.142</t>
  </si>
  <si>
    <t>0.138</t>
  </si>
  <si>
    <t>efi25</t>
  </si>
  <si>
    <t>0.00295</t>
  </si>
  <si>
    <t>0.00284</t>
  </si>
  <si>
    <t>0.00268</t>
  </si>
  <si>
    <t>0.00246</t>
  </si>
  <si>
    <t>y7680</t>
  </si>
  <si>
    <t>y8185</t>
  </si>
  <si>
    <t>y8690</t>
  </si>
  <si>
    <t>y9195</t>
  </si>
  <si>
    <t>gexp</t>
  </si>
  <si>
    <t>-0.0968***</t>
  </si>
  <si>
    <t>-0.0959***</t>
  </si>
  <si>
    <t>0.0229</t>
  </si>
  <si>
    <t>0.0127</t>
  </si>
  <si>
    <t>kof</t>
  </si>
  <si>
    <t>-0.000579</t>
  </si>
  <si>
    <t>0.000430</t>
  </si>
  <si>
    <t>Constant</t>
  </si>
  <si>
    <t>0.0889***</t>
  </si>
  <si>
    <t>0.0668**</t>
  </si>
  <si>
    <t>0.105***</t>
  </si>
  <si>
    <t>0.0841***</t>
  </si>
  <si>
    <t>0.119***</t>
  </si>
  <si>
    <t>0.0216</t>
  </si>
  <si>
    <t>0.0295</t>
  </si>
  <si>
    <t>0.0192</t>
  </si>
  <si>
    <t>0.0266</t>
  </si>
  <si>
    <t>0.0307</t>
  </si>
  <si>
    <t>Observations</t>
  </si>
  <si>
    <t>135</t>
  </si>
  <si>
    <t>129</t>
  </si>
  <si>
    <t>R-squared</t>
  </si>
  <si>
    <t>0.401</t>
  </si>
  <si>
    <t>0.409</t>
  </si>
  <si>
    <t>0.501</t>
  </si>
  <si>
    <t>0.508</t>
  </si>
  <si>
    <t>0.412</t>
  </si>
  <si>
    <t>Number of country</t>
  </si>
  <si>
    <t>27</t>
  </si>
  <si>
    <t>26</t>
  </si>
  <si>
    <t>Fixed effects, short sample</t>
  </si>
  <si>
    <t>-0.0951***</t>
  </si>
  <si>
    <t>0.0233</t>
  </si>
  <si>
    <t>-0.0556***</t>
  </si>
  <si>
    <t>0.0160</t>
  </si>
  <si>
    <t>0.0327</t>
  </si>
  <si>
    <t>0.100</t>
  </si>
  <si>
    <t>0.0662</t>
  </si>
  <si>
    <t>-0.00708</t>
  </si>
  <si>
    <t>-0.000221</t>
  </si>
  <si>
    <t>0.000422</t>
  </si>
  <si>
    <t>0.116***</t>
  </si>
  <si>
    <t>0.0275</t>
  </si>
  <si>
    <t>0.503</t>
  </si>
  <si>
    <t>-0.0224</t>
  </si>
  <si>
    <t>-0.0239</t>
  </si>
  <si>
    <t>-0.0336*</t>
  </si>
  <si>
    <t>0.0177</t>
  </si>
  <si>
    <t>-0.0202***</t>
  </si>
  <si>
    <t>-0.0197***</t>
  </si>
  <si>
    <t>-0.0203***</t>
  </si>
  <si>
    <t>-0.0201***</t>
  </si>
  <si>
    <t>-0.0237***</t>
  </si>
  <si>
    <t>-0.0257***</t>
  </si>
  <si>
    <t>0.00470</t>
  </si>
  <si>
    <t>0.00480</t>
  </si>
  <si>
    <t>0.00446</t>
  </si>
  <si>
    <t>0.00458</t>
  </si>
  <si>
    <t>0.00516</t>
  </si>
  <si>
    <t>0.00493</t>
  </si>
  <si>
    <t>0.112***</t>
  </si>
  <si>
    <t>0.111***</t>
  </si>
  <si>
    <t>0.0854***</t>
  </si>
  <si>
    <t>0.0850***</t>
  </si>
  <si>
    <t>0.109***</t>
  </si>
  <si>
    <t>0.0773***</t>
  </si>
  <si>
    <t>0.0265</t>
  </si>
  <si>
    <t>0.0267</t>
  </si>
  <si>
    <t>0.0264</t>
  </si>
  <si>
    <t>0.0263</t>
  </si>
  <si>
    <t>0.0301</t>
  </si>
  <si>
    <t>0.0271</t>
  </si>
  <si>
    <t>0.0150</t>
  </si>
  <si>
    <t>0.0360</t>
  </si>
  <si>
    <t>0.0205</t>
  </si>
  <si>
    <t>0.0745</t>
  </si>
  <si>
    <t>0.0748</t>
  </si>
  <si>
    <t>0.0731</t>
  </si>
  <si>
    <t>0.0735</t>
  </si>
  <si>
    <t>0.0741</t>
  </si>
  <si>
    <t>0.0718</t>
  </si>
  <si>
    <t>0.247*</t>
  </si>
  <si>
    <t>0.260**</t>
  </si>
  <si>
    <t>0.201*</t>
  </si>
  <si>
    <t>0.207*</t>
  </si>
  <si>
    <t>0.245*</t>
  </si>
  <si>
    <t>0.208*</t>
  </si>
  <si>
    <t>0.128</t>
  </si>
  <si>
    <t>0.130</t>
  </si>
  <si>
    <t>0.121</t>
  </si>
  <si>
    <t>0.123</t>
  </si>
  <si>
    <t>0.127</t>
  </si>
  <si>
    <t>0.118</t>
  </si>
  <si>
    <t>-0.000649</t>
  </si>
  <si>
    <t>-0.000312</t>
  </si>
  <si>
    <t>0.00102</t>
  </si>
  <si>
    <t>0.00100</t>
  </si>
  <si>
    <t>-0.0364***</t>
  </si>
  <si>
    <t>-0.0369***</t>
  </si>
  <si>
    <t>-0.0492***</t>
  </si>
  <si>
    <t>0.0120</t>
  </si>
  <si>
    <t>0.0122</t>
  </si>
  <si>
    <t>0.0130</t>
  </si>
  <si>
    <t>0.000190</t>
  </si>
  <si>
    <t>0.000276**</t>
  </si>
  <si>
    <t>0.000121</t>
  </si>
  <si>
    <t>0.000115</t>
  </si>
  <si>
    <t>0.0223**</t>
  </si>
  <si>
    <t>0.0270**</t>
  </si>
  <si>
    <t>0.0371***</t>
  </si>
  <si>
    <t>0.0392***</t>
  </si>
  <si>
    <t>0.0180*</t>
  </si>
  <si>
    <t>0.0318***</t>
  </si>
  <si>
    <t>0.0104</t>
  </si>
  <si>
    <t>0.0126</t>
  </si>
  <si>
    <t>0.0107</t>
  </si>
  <si>
    <t>0.0105</t>
  </si>
  <si>
    <t>0.479</t>
  </si>
  <si>
    <t>0.481</t>
  </si>
  <si>
    <t>0.525</t>
  </si>
  <si>
    <t>0.526</t>
  </si>
  <si>
    <t>0.489</t>
  </si>
  <si>
    <t>0.546</t>
  </si>
  <si>
    <t>country</t>
  </si>
  <si>
    <t>Label</t>
  </si>
  <si>
    <t>year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</si>
  <si>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</si>
  <si>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</si>
  <si>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</si>
  <si>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</si>
  <si>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</si>
  <si>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</si>
  <si>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</si>
  <si>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</si>
  <si>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</si>
  <si>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</si>
  <si>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</si>
  <si>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</si>
  <si>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</si>
  <si>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</si>
  <si>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</si>
  <si>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</si>
  <si>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</si>
  <si>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</si>
  <si>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</si>
  <si>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</si>
  <si>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</si>
  <si>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</si>
  <si>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</si>
  <si>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</si>
  <si>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</si>
  <si>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</si>
  <si>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</si>
  <si>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</si>
  <si>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</si>
  <si>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deppop</t>
  </si>
  <si>
    <t>exp</t>
  </si>
  <si>
    <t>fert</t>
  </si>
  <si>
    <t>imp</t>
  </si>
  <si>
    <t>infl</t>
  </si>
  <si>
    <t>pop</t>
  </si>
  <si>
    <t>sav</t>
  </si>
  <si>
    <t>tyr</t>
  </si>
  <si>
    <t>unempl</t>
  </si>
  <si>
    <t>urban</t>
  </si>
  <si>
    <t>EFI1</t>
  </si>
  <si>
    <t>EFI2</t>
  </si>
  <si>
    <t>EFI3</t>
  </si>
  <si>
    <t>EFI4</t>
  </si>
  <si>
    <t>EFI5</t>
  </si>
  <si>
    <t>EFI</t>
  </si>
  <si>
    <t>EFI25</t>
  </si>
  <si>
    <t>AUS</t>
  </si>
  <si>
    <t>AUT</t>
  </si>
  <si>
    <t>BEL</t>
  </si>
  <si>
    <t>CAN</t>
  </si>
  <si>
    <t>DEN</t>
  </si>
  <si>
    <t>FIN</t>
  </si>
  <si>
    <t>FRA</t>
  </si>
  <si>
    <t>GER</t>
  </si>
  <si>
    <t>GRE</t>
  </si>
  <si>
    <t>HNK</t>
  </si>
  <si>
    <t>ICE</t>
  </si>
  <si>
    <t>IRL</t>
  </si>
  <si>
    <t>ISR</t>
  </si>
  <si>
    <t>ITA</t>
  </si>
  <si>
    <t>JAP</t>
  </si>
  <si>
    <t>KOR</t>
  </si>
  <si>
    <t>LUX</t>
  </si>
  <si>
    <t>MAU</t>
  </si>
  <si>
    <t>NLD</t>
  </si>
  <si>
    <t>NZL</t>
  </si>
  <si>
    <t>NOR</t>
  </si>
  <si>
    <t>PRT</t>
  </si>
  <si>
    <t>SNG</t>
  </si>
  <si>
    <t>SPA</t>
  </si>
  <si>
    <t>SWE</t>
  </si>
  <si>
    <t>SWI</t>
  </si>
  <si>
    <t>TWN</t>
  </si>
  <si>
    <t>UK</t>
  </si>
  <si>
    <t>US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</si>
  <si>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</si>
  <si>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</si>
  <si>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</si>
  <si>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</si>
  <si>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</si>
  <si>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</si>
  <si>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</si>
  <si>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</si>
  <si>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</si>
  <si>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</si>
  <si>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</si>
  <si>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</si>
  <si>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</si>
  <si>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</si>
  <si>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</si>
  <si>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</si>
  <si>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</si>
  <si>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</si>
  <si>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</si>
  <si>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</si>
  <si>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</si>
  <si>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</si>
  <si>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</si>
  <si>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</si>
  <si>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</si>
  <si>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</si>
  <si>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</si>
  <si>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</si>
  <si>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</si>
  <si>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y9600</t>
  </si>
  <si>
    <t>y0105</t>
  </si>
  <si>
    <t>0.00445</t>
  </si>
  <si>
    <t>-0.0107</t>
  </si>
  <si>
    <t>0.0391</t>
  </si>
  <si>
    <t>0.0321</t>
  </si>
  <si>
    <t>0.0339</t>
  </si>
  <si>
    <t>0.0439</t>
  </si>
  <si>
    <t>0.00265</t>
  </si>
  <si>
    <t>0.00277</t>
  </si>
  <si>
    <t>0.00197</t>
  </si>
  <si>
    <t>0.00175</t>
  </si>
  <si>
    <t>-0.000217</t>
  </si>
  <si>
    <t>8.98e-05</t>
  </si>
  <si>
    <t>0.000187</t>
  </si>
  <si>
    <t>0.000149</t>
  </si>
  <si>
    <t>-0.0526**</t>
  </si>
  <si>
    <t>-0.0577**</t>
  </si>
  <si>
    <t>-0.0600**</t>
  </si>
  <si>
    <t>0.0255</t>
  </si>
  <si>
    <t>0.0256</t>
  </si>
  <si>
    <t>0.0284</t>
  </si>
  <si>
    <t>0.0375**</t>
  </si>
  <si>
    <t>0.0243</t>
  </si>
  <si>
    <t>0.0431**</t>
  </si>
  <si>
    <t>0.0862***</t>
  </si>
  <si>
    <t>0.0690***</t>
  </si>
  <si>
    <t>0.0825***</t>
  </si>
  <si>
    <t>0.0189</t>
  </si>
  <si>
    <t>0.0212</t>
  </si>
  <si>
    <t>0.0194</t>
  </si>
  <si>
    <t>0.0195</t>
  </si>
  <si>
    <t>0.0223</t>
  </si>
  <si>
    <t>166</t>
  </si>
  <si>
    <t>164</t>
  </si>
  <si>
    <t>0.354</t>
  </si>
  <si>
    <t>0.363</t>
  </si>
  <si>
    <t>0.361</t>
  </si>
  <si>
    <t>0.442</t>
  </si>
  <si>
    <t>0.452</t>
  </si>
  <si>
    <t>0.443</t>
  </si>
  <si>
    <t>24</t>
  </si>
  <si>
    <t>25</t>
  </si>
  <si>
    <t>0.0179</t>
  </si>
  <si>
    <t>0.0185</t>
  </si>
  <si>
    <t>0.0171</t>
  </si>
  <si>
    <t>0.0191</t>
  </si>
  <si>
    <t>-0.00143</t>
  </si>
  <si>
    <t>-0.000886</t>
  </si>
  <si>
    <t>0.000962</t>
  </si>
  <si>
    <t>0.00104</t>
  </si>
  <si>
    <t>-2.69e-05</t>
  </si>
  <si>
    <t>6.81e-06</t>
  </si>
  <si>
    <t>0.000112</t>
  </si>
  <si>
    <t>0.000104</t>
  </si>
  <si>
    <t>0.0221**</t>
  </si>
  <si>
    <t>0.0208**</t>
  </si>
  <si>
    <t>0.0220**</t>
  </si>
  <si>
    <t>0.00854</t>
  </si>
  <si>
    <t>0.00869</t>
  </si>
  <si>
    <t>0.00886</t>
  </si>
  <si>
    <t>0.0132</t>
  </si>
  <si>
    <t>0.0244*</t>
  </si>
  <si>
    <t>0.0146</t>
  </si>
  <si>
    <t>0.00318</t>
  </si>
  <si>
    <t>0.0117</t>
  </si>
  <si>
    <t>0.0147</t>
  </si>
  <si>
    <t>0.0140</t>
  </si>
  <si>
    <t>0.0102</t>
  </si>
  <si>
    <t>0.0143</t>
  </si>
  <si>
    <t>0.0131</t>
  </si>
  <si>
    <t>0.302</t>
  </si>
  <si>
    <t>0.312</t>
  </si>
  <si>
    <t>0.298</t>
  </si>
  <si>
    <t>0.301</t>
  </si>
  <si>
    <t>efi2</t>
  </si>
  <si>
    <t>efi3</t>
  </si>
  <si>
    <t>efi4</t>
  </si>
  <si>
    <t>efi5</t>
  </si>
  <si>
    <t>Obs</t>
  </si>
  <si>
    <t>Std. Dev.</t>
  </si>
  <si>
    <t>Min</t>
  </si>
  <si>
    <t>Max</t>
  </si>
  <si>
    <t>Description</t>
  </si>
  <si>
    <t>Average annual growth rate during the five year period</t>
  </si>
  <si>
    <t>Total tax revenue as a share of GDP</t>
  </si>
  <si>
    <t>Government Expenditure, share of GDP</t>
  </si>
  <si>
    <t>Investment, share of GDP, current prices.</t>
  </si>
  <si>
    <t>Annual growth rate of average years of schooling</t>
  </si>
  <si>
    <t>Average annual growth rate of the labor force.</t>
  </si>
  <si>
    <t>Globalization index, initial period value</t>
  </si>
  <si>
    <t>Economic freedom from the Fraser institute, excluding dimension 1 (government size). Initial period value.</t>
  </si>
  <si>
    <t>Population aged 0-15 and 65- as a share of total population.</t>
  </si>
  <si>
    <t>Export of goods and services as a fraction of GDP, current prices.</t>
  </si>
  <si>
    <t>Fertility rate (births per woman)</t>
  </si>
  <si>
    <t>Import of goods and services as a fraction of GDP, current prices.</t>
  </si>
  <si>
    <t xml:space="preserve">Annual percentage change in the consumer price index.  </t>
  </si>
  <si>
    <t>Total population (1000s).</t>
  </si>
  <si>
    <t xml:space="preserve">Gross national saving share of GDP, current prices. </t>
  </si>
  <si>
    <t>Average years of schooling in the total population.</t>
  </si>
  <si>
    <t>Unemployment as a share of the labor force.</t>
  </si>
  <si>
    <t>Urban population as a fraction of total population.</t>
  </si>
  <si>
    <t>Std</t>
  </si>
  <si>
    <t>Legal Structure and Security of Property Rights</t>
  </si>
  <si>
    <t>Access to Sound Money</t>
  </si>
  <si>
    <t>Freedom to Trade Internationally</t>
  </si>
  <si>
    <t>Regulation of Credit, Labor, and Business</t>
  </si>
  <si>
    <t>Relative initial period GDP per capita in PPPs. OECD = 1.</t>
  </si>
  <si>
    <t>hi</t>
  </si>
  <si>
    <t>AVG75</t>
  </si>
  <si>
    <t>Australia</t>
  </si>
  <si>
    <t>Austria</t>
  </si>
  <si>
    <t>Belgium</t>
  </si>
  <si>
    <t>Canada</t>
  </si>
  <si>
    <t>Denmark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</si>
  <si>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</si>
  <si>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</si>
  <si>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</si>
  <si>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</si>
  <si>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</si>
  <si>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</si>
  <si>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</si>
  <si>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</si>
  <si>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Japan</t>
  </si>
  <si>
    <t>Korea (tax72, gexp75)</t>
  </si>
  <si>
    <t>Luxembourg</t>
  </si>
  <si>
    <t>Mexico</t>
  </si>
  <si>
    <t>Netherlands</t>
  </si>
  <si>
    <t>New</t>
  </si>
  <si>
    <t>Zealand</t>
  </si>
  <si>
    <t>Norway</t>
  </si>
  <si>
    <t>Poland</t>
  </si>
  <si>
    <t>Portugal</t>
  </si>
  <si>
    <t>Slovak</t>
  </si>
  <si>
    <t>Republic</t>
  </si>
  <si>
    <t>Spain</t>
  </si>
  <si>
    <t>Sweden</t>
  </si>
  <si>
    <t>Switzerland</t>
  </si>
  <si>
    <t>Turkey</t>
  </si>
  <si>
    <t>USA</t>
  </si>
  <si>
    <t>TAX1970</t>
  </si>
  <si>
    <t>70-00</t>
  </si>
  <si>
    <t>EFIincrease</t>
  </si>
  <si>
    <t>KOFincrease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</si>
</sst>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9"/>
      <color theme="1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4" fontId="1" fillId="0" borderId="0" xfId="0" applyNumberFormat="1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0" fillId="0" borderId="2" xfId="0" applyBorder="1"/>
    <xf numFmtId="0" fontId="0" fillId="0" borderId="2" xfId="0" applyNumberFormat="1" applyBorder="1" applyAlignment="1">
      <alignment horizontal="center"/>
    </xf>
    <xf numFmtId="0" fontId="0" fillId="0" borderId="0" xfId="0" applyBorder="1"/>
    <xf numFmtId="0" fontId="0" fillId="0" borderId="0" xfId="0" applyNumberFormat="1" applyAlignment="1">
      <alignment horizontal="center"/>
    </xf>
    <xf numFmtId="0" fontId="0" fillId="0" borderId="3" xfId="0" applyBorder="1"/>
    <xf numFmtId="0" fontId="0" fillId="0" borderId="3" xfId="0" applyNumberFormat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2" fontId="5" fillId="0" borderId="0" xfId="0" applyNumberFormat="1" applyFont="1"/>
    <xf numFmtId="2" fontId="0" fillId="0" borderId="0" xfId="0" applyNumberFormat="1"/>
    <xf numFmtId="0" fontId="6" fillId="0" borderId="0" xfId="0" applyFont="1"/>
    <xf numFmtId="0" fontId="5" fillId="0" borderId="0" xfId="0" applyFont="1"/>
    <xf numFmtId="0" fontId="7" fillId="0" borderId="0" xfId="0" applyFont="1"/>
    <xf numFmtId="0" fontId="7" fillId="0" borderId="0" xfId="0" applyNumberFormat="1" applyFont="1" applyFill="1" applyBorder="1" applyAlignment="1" applyProtection="1">
      <alignment horizontal="center"/>
    </xf>
    <xf numFmtId="1" fontId="0" fillId="0" borderId="0" xfId="0" applyNumberFormat="1"/>
    <xf numFmtId="0" fontId="8" fillId="0" borderId="0" xfId="0" applyFont="1" applyBorder="1"/>
    <xf numFmtId="164" fontId="8" fillId="0" borderId="0" xfId="0" applyNumberFormat="1" applyFont="1" applyBorder="1"/>
    <xf numFmtId="1" fontId="8" fillId="0" borderId="0" xfId="0" applyNumberFormat="1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8" fillId="0" borderId="7" xfId="0" applyFont="1" applyBorder="1"/>
    <xf numFmtId="0" fontId="8" fillId="0" borderId="8" xfId="0" applyFont="1" applyBorder="1" applyAlignment="1">
      <alignment vertical="top" wrapText="1"/>
    </xf>
    <xf numFmtId="0" fontId="8" fillId="0" borderId="8" xfId="0" applyFont="1" applyBorder="1"/>
    <xf numFmtId="0" fontId="9" fillId="0" borderId="8" xfId="0" applyFont="1" applyBorder="1"/>
    <xf numFmtId="0" fontId="8" fillId="0" borderId="9" xfId="0" applyFont="1" applyBorder="1"/>
    <xf numFmtId="0" fontId="8" fillId="0" borderId="1" xfId="0" applyFont="1" applyBorder="1"/>
    <xf numFmtId="164" fontId="8" fillId="0" borderId="1" xfId="0" applyNumberFormat="1" applyFont="1" applyBorder="1"/>
    <xf numFmtId="0" fontId="9" fillId="0" borderId="1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0"/>
    <c:plotArea>
      <c:layout>
        <c:manualLayout>
          <c:layoutTarget val="inner"/>
          <c:xMode val="edge"/>
          <c:yMode val="edge"/>
          <c:x val="9.9919072615923005E-2"/>
          <c:y val="4.8804442922895513E-2"/>
          <c:w val="0.85402088072324289"/>
          <c:h val="0.81843774962912241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4"/>
          </c:marker>
          <c:trendline>
            <c:trendlineType val="linear"/>
            <c:dispRSqr val="0"/>
            <c:dispEq val="0"/>
          </c:trendline>
          <c:xVal>
            <c:numRef>
              <c:f>[1]Sheet1!$B$11:$B$43</c:f>
              <c:numCache>
                <c:formatCode>General</c:formatCode>
                <c:ptCount val="33"/>
                <c:pt idx="0">
                  <c:v>0.21467140000000001</c:v>
                </c:pt>
                <c:pt idx="1">
                  <c:v>0.33879140000000002</c:v>
                </c:pt>
                <c:pt idx="2">
                  <c:v>0.33878059999999999</c:v>
                </c:pt>
                <c:pt idx="3">
                  <c:v>0.3085328</c:v>
                </c:pt>
                <c:pt idx="6">
                  <c:v>0.38504070000000001</c:v>
                </c:pt>
                <c:pt idx="7">
                  <c:v>0.31704110000000002</c:v>
                </c:pt>
                <c:pt idx="8">
                  <c:v>0.33713929999999998</c:v>
                </c:pt>
                <c:pt idx="9">
                  <c:v>0.32299990000000001</c:v>
                </c:pt>
                <c:pt idx="10">
                  <c:v>0.2189498</c:v>
                </c:pt>
                <c:pt idx="12">
                  <c:v>0.2737446</c:v>
                </c:pt>
                <c:pt idx="13">
                  <c:v>0.28440500000000002</c:v>
                </c:pt>
                <c:pt idx="14">
                  <c:v>0.25700240000000002</c:v>
                </c:pt>
                <c:pt idx="15">
                  <c:v>0.19629479999999999</c:v>
                </c:pt>
                <c:pt idx="16">
                  <c:v>0.12534909999999999</c:v>
                </c:pt>
                <c:pt idx="17">
                  <c:v>0.2347736</c:v>
                </c:pt>
                <c:pt idx="19">
                  <c:v>0.34098499999999998</c:v>
                </c:pt>
                <c:pt idx="20">
                  <c:v>0.27712120000000001</c:v>
                </c:pt>
                <c:pt idx="22">
                  <c:v>0.3442152</c:v>
                </c:pt>
                <c:pt idx="24">
                  <c:v>0.18389259999999999</c:v>
                </c:pt>
                <c:pt idx="27">
                  <c:v>0.15921279999999999</c:v>
                </c:pt>
                <c:pt idx="28">
                  <c:v>0.38186219999999998</c:v>
                </c:pt>
                <c:pt idx="29">
                  <c:v>0.1978443</c:v>
                </c:pt>
                <c:pt idx="31">
                  <c:v>0.37037759999999997</c:v>
                </c:pt>
                <c:pt idx="32">
                  <c:v>0.26997759999999998</c:v>
                </c:pt>
              </c:numCache>
            </c:numRef>
          </c:xVal>
          <c:yVal>
            <c:numRef>
              <c:f>[1]Sheet1!$U$11:$U$43</c:f>
              <c:numCache>
                <c:formatCode>General</c:formatCode>
                <c:ptCount val="33"/>
                <c:pt idx="0">
                  <c:v>28.191590000000005</c:v>
                </c:pt>
                <c:pt idx="1">
                  <c:v>37.885439999999996</c:v>
                </c:pt>
                <c:pt idx="2">
                  <c:v>22.530169999999998</c:v>
                </c:pt>
                <c:pt idx="3">
                  <c:v>19.387190000000004</c:v>
                </c:pt>
                <c:pt idx="4">
                  <c:v>0</c:v>
                </c:pt>
                <c:pt idx="5">
                  <c:v>0</c:v>
                </c:pt>
                <c:pt idx="6">
                  <c:v>32.073659999999997</c:v>
                </c:pt>
                <c:pt idx="7">
                  <c:v>42.792400000000008</c:v>
                </c:pt>
                <c:pt idx="8">
                  <c:v>30.271630000000002</c:v>
                </c:pt>
                <c:pt idx="9">
                  <c:v>30.696640000000002</c:v>
                </c:pt>
                <c:pt idx="10">
                  <c:v>21.289149999999992</c:v>
                </c:pt>
                <c:pt idx="11">
                  <c:v>0</c:v>
                </c:pt>
                <c:pt idx="12">
                  <c:v>34.971990000000005</c:v>
                </c:pt>
                <c:pt idx="13">
                  <c:v>19.276629999999997</c:v>
                </c:pt>
                <c:pt idx="14">
                  <c:v>36.314389999999996</c:v>
                </c:pt>
                <c:pt idx="15">
                  <c:v>19.672329999999999</c:v>
                </c:pt>
                <c:pt idx="16">
                  <c:v>30.76238</c:v>
                </c:pt>
                <c:pt idx="17">
                  <c:v>4.2273800000000108</c:v>
                </c:pt>
                <c:pt idx="18">
                  <c:v>0</c:v>
                </c:pt>
                <c:pt idx="19">
                  <c:v>22.084040000000002</c:v>
                </c:pt>
                <c:pt idx="20">
                  <c:v>36.554770000000005</c:v>
                </c:pt>
                <c:pt idx="21">
                  <c:v>0</c:v>
                </c:pt>
                <c:pt idx="22">
                  <c:v>24.54876999999999</c:v>
                </c:pt>
                <c:pt idx="23">
                  <c:v>0</c:v>
                </c:pt>
                <c:pt idx="24">
                  <c:v>29.522760000000005</c:v>
                </c:pt>
                <c:pt idx="25">
                  <c:v>0</c:v>
                </c:pt>
                <c:pt idx="26">
                  <c:v>0</c:v>
                </c:pt>
                <c:pt idx="27">
                  <c:v>38.355679999999992</c:v>
                </c:pt>
                <c:pt idx="28">
                  <c:v>48.558009999999996</c:v>
                </c:pt>
                <c:pt idx="29">
                  <c:v>25.20711</c:v>
                </c:pt>
                <c:pt idx="30">
                  <c:v>0</c:v>
                </c:pt>
                <c:pt idx="31">
                  <c:v>29.918209999999995</c:v>
                </c:pt>
                <c:pt idx="32">
                  <c:v>18.448719999999994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46752"/>
        <c:axId val="49548288"/>
      </c:scatterChart>
      <c:valAx>
        <c:axId val="49546752"/>
        <c:scaling>
          <c:orientation val="minMax"/>
          <c:min val="0.1"/>
        </c:scaling>
        <c:delete val="0"/>
        <c:axPos val="b"/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lang="sv-SE"/>
            </a:pPr>
            <a:endParaRPr lang="sv-SE"/>
          </a:p>
        </c:txPr>
        <c:crossAx val="49548288"/>
        <c:crosses val="autoZero"/>
        <c:crossBetween val="midCat"/>
      </c:valAx>
      <c:valAx>
        <c:axId val="49548288"/>
        <c:scaling>
          <c:orientation val="minMax"/>
          <c:max val="50"/>
        </c:scaling>
        <c:delete val="0"/>
        <c:axPos val="l"/>
        <c:majorGridlines>
          <c:spPr>
            <a:ln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sv-SE"/>
            </a:pPr>
            <a:endParaRPr lang="sv-SE"/>
          </a:p>
        </c:txPr>
        <c:crossAx val="49546752"/>
        <c:crosses val="autoZero"/>
        <c:crossBetween val="midCat"/>
        <c:majorUnit val="10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0"/>
    <c:plotArea>
      <c:layout>
        <c:manualLayout>
          <c:layoutTarget val="inner"/>
          <c:xMode val="edge"/>
          <c:yMode val="edge"/>
          <c:x val="9.9919072615923005E-2"/>
          <c:y val="7.9178331875182334E-2"/>
          <c:w val="0.86031714785651758"/>
          <c:h val="0.8925692621755614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4"/>
          </c:marker>
          <c:trendline>
            <c:trendlineType val="linear"/>
            <c:dispRSqr val="0"/>
            <c:dispEq val="0"/>
          </c:trendline>
          <c:xVal>
            <c:numRef>
              <c:f>[1]Sheet1!$B$11:$B$43</c:f>
              <c:numCache>
                <c:formatCode>General</c:formatCode>
                <c:ptCount val="33"/>
                <c:pt idx="0">
                  <c:v>0.21467140000000001</c:v>
                </c:pt>
                <c:pt idx="1">
                  <c:v>0.33879140000000002</c:v>
                </c:pt>
                <c:pt idx="2">
                  <c:v>0.33878059999999999</c:v>
                </c:pt>
                <c:pt idx="3">
                  <c:v>0.3085328</c:v>
                </c:pt>
                <c:pt idx="6">
                  <c:v>0.38504070000000001</c:v>
                </c:pt>
                <c:pt idx="7">
                  <c:v>0.31704110000000002</c:v>
                </c:pt>
                <c:pt idx="8">
                  <c:v>0.33713929999999998</c:v>
                </c:pt>
                <c:pt idx="9">
                  <c:v>0.32299990000000001</c:v>
                </c:pt>
                <c:pt idx="10">
                  <c:v>0.2189498</c:v>
                </c:pt>
                <c:pt idx="12">
                  <c:v>0.2737446</c:v>
                </c:pt>
                <c:pt idx="13">
                  <c:v>0.28440500000000002</c:v>
                </c:pt>
                <c:pt idx="14">
                  <c:v>0.25700240000000002</c:v>
                </c:pt>
                <c:pt idx="15">
                  <c:v>0.19629479999999999</c:v>
                </c:pt>
                <c:pt idx="16">
                  <c:v>0.12534909999999999</c:v>
                </c:pt>
                <c:pt idx="17">
                  <c:v>0.2347736</c:v>
                </c:pt>
                <c:pt idx="19">
                  <c:v>0.34098499999999998</c:v>
                </c:pt>
                <c:pt idx="20">
                  <c:v>0.27712120000000001</c:v>
                </c:pt>
                <c:pt idx="22">
                  <c:v>0.3442152</c:v>
                </c:pt>
                <c:pt idx="24">
                  <c:v>0.18389259999999999</c:v>
                </c:pt>
                <c:pt idx="27">
                  <c:v>0.15921279999999999</c:v>
                </c:pt>
                <c:pt idx="28">
                  <c:v>0.38186219999999998</c:v>
                </c:pt>
                <c:pt idx="29">
                  <c:v>0.1978443</c:v>
                </c:pt>
                <c:pt idx="31">
                  <c:v>0.37037759999999997</c:v>
                </c:pt>
                <c:pt idx="32">
                  <c:v>0.26997759999999998</c:v>
                </c:pt>
              </c:numCache>
            </c:numRef>
          </c:xVal>
          <c:yVal>
            <c:numRef>
              <c:f>[1]Sheet1!$R$11:$R$43</c:f>
              <c:numCache>
                <c:formatCode>General</c:formatCode>
                <c:ptCount val="33"/>
                <c:pt idx="0">
                  <c:v>0.90000000000000036</c:v>
                </c:pt>
                <c:pt idx="1">
                  <c:v>1.2999999999999998</c:v>
                </c:pt>
                <c:pt idx="2">
                  <c:v>-0.20000000000000018</c:v>
                </c:pt>
                <c:pt idx="3">
                  <c:v>0.59999999999999964</c:v>
                </c:pt>
                <c:pt idx="4">
                  <c:v>0</c:v>
                </c:pt>
                <c:pt idx="5">
                  <c:v>0</c:v>
                </c:pt>
                <c:pt idx="6">
                  <c:v>1.1000000000000005</c:v>
                </c:pt>
                <c:pt idx="7">
                  <c:v>0.79999999999999982</c:v>
                </c:pt>
                <c:pt idx="8">
                  <c:v>0.59999999999999964</c:v>
                </c:pt>
                <c:pt idx="9">
                  <c:v>0.29999999999999982</c:v>
                </c:pt>
                <c:pt idx="10">
                  <c:v>0.5</c:v>
                </c:pt>
                <c:pt idx="11">
                  <c:v>0</c:v>
                </c:pt>
                <c:pt idx="12">
                  <c:v>1.4000000000000004</c:v>
                </c:pt>
                <c:pt idx="13">
                  <c:v>1.2999999999999998</c:v>
                </c:pt>
                <c:pt idx="14">
                  <c:v>1</c:v>
                </c:pt>
                <c:pt idx="15">
                  <c:v>9.9999999999999645E-2</c:v>
                </c:pt>
                <c:pt idx="16">
                  <c:v>0.5</c:v>
                </c:pt>
                <c:pt idx="17">
                  <c:v>-0.20000000000000018</c:v>
                </c:pt>
                <c:pt idx="18">
                  <c:v>0</c:v>
                </c:pt>
                <c:pt idx="19">
                  <c:v>0.90000000000000036</c:v>
                </c:pt>
                <c:pt idx="20">
                  <c:v>2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1.3999999999999995</c:v>
                </c:pt>
                <c:pt idx="25">
                  <c:v>0</c:v>
                </c:pt>
                <c:pt idx="26">
                  <c:v>0</c:v>
                </c:pt>
                <c:pt idx="27">
                  <c:v>0.90000000000000036</c:v>
                </c:pt>
                <c:pt idx="28">
                  <c:v>2.1000000000000005</c:v>
                </c:pt>
                <c:pt idx="29">
                  <c:v>0.70000000000000018</c:v>
                </c:pt>
                <c:pt idx="30">
                  <c:v>0</c:v>
                </c:pt>
                <c:pt idx="31">
                  <c:v>2.2999999999999989</c:v>
                </c:pt>
                <c:pt idx="32">
                  <c:v>1.5999999999999996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64672"/>
        <c:axId val="49574656"/>
      </c:scatterChart>
      <c:valAx>
        <c:axId val="49564672"/>
        <c:scaling>
          <c:orientation val="minMax"/>
          <c:min val="0.1"/>
        </c:scaling>
        <c:delete val="0"/>
        <c:axPos val="b"/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lang="sv-SE"/>
            </a:pPr>
            <a:endParaRPr lang="sv-SE"/>
          </a:p>
        </c:txPr>
        <c:crossAx val="49574656"/>
        <c:crosses val="autoZero"/>
        <c:crossBetween val="midCat"/>
      </c:valAx>
      <c:valAx>
        <c:axId val="49574656"/>
        <c:scaling>
          <c:orientation val="minMax"/>
        </c:scaling>
        <c:delete val="0"/>
        <c:axPos val="l"/>
        <c:majorGridlines>
          <c:spPr>
            <a:ln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sv-SE"/>
            </a:pPr>
            <a:endParaRPr lang="sv-SE"/>
          </a:p>
        </c:txPr>
        <c:crossAx val="49564672"/>
        <c:crosses val="autoZero"/>
        <c:crossBetween val="midCat"/>
        <c:majorUnit val="1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38101</xdr:colOff>
      <xdr:row>4</xdr:row>
      <xdr:rowOff>66675</xdr:rowOff>
    </xdr:from>
    <xdr:ext cx="6696074" cy="1986826"/>
    <xdr:sp macro="" textlink="">
      <xdr:nvSpPr>
        <xdr:cNvPr id="2" name="TextBox 1"/>
        <xdr:cNvSpPr txBox="1"/>
      </xdr:nvSpPr>
      <xdr:spPr>
        <a:xfrm>
          <a:off x="1257301" y="828675"/>
          <a:ext cx="6696074" cy="198682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/>
            <a:t>This excel file contains tables and data for the paper 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v-SE" sz="1100" smtClean="0">
              <a:solidFill>
                <a:schemeClr val="tx1"/>
              </a:solidFill>
              <a:latin typeface="+mn-lt"/>
              <a:ea typeface="+mn-ea"/>
              <a:cs typeface="+mn-cs"/>
            </a:rPr>
            <a:t>Bergh, A., and Karlsson, M. (2010). Government size and growth: Accounting for economic freedom and globalization. </a:t>
          </a:r>
          <a:r>
            <a:rPr lang="sv-SE" sz="1100" i="1" smtClean="0">
              <a:solidFill>
                <a:schemeClr val="tx1"/>
              </a:solidFill>
              <a:latin typeface="+mn-lt"/>
              <a:ea typeface="+mn-ea"/>
              <a:cs typeface="+mn-cs"/>
            </a:rPr>
            <a:t>Public Choice, 142, 195-213.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tx1"/>
              </a:solidFill>
              <a:latin typeface="+mn-lt"/>
              <a:ea typeface="+mn-ea"/>
              <a:cs typeface="+mn-cs"/>
            </a:rPr>
            <a:t>'Data short' refer to the data used by Fölster &amp; Henrekson 2001 in EER, but includes the 2008 versions of EFI and KOF. The period</a:t>
          </a:r>
          <a:r>
            <a:rPr lang="en-US" sz="11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is 1970-1995.</a:t>
          </a:r>
          <a:endParaRPr lang="en-US" sz="1100" b="1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tx1"/>
              </a:solidFill>
              <a:latin typeface="+mn-lt"/>
              <a:ea typeface="+mn-ea"/>
              <a:cs typeface="+mn-cs"/>
            </a:rPr>
            <a:t>'Data long' cover</a:t>
          </a:r>
          <a:r>
            <a:rPr lang="en-US" sz="11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the 1970-2005 period with enirely updated data - the newest available at the time of writing. For more info and variable description, se the paper.</a:t>
          </a:r>
          <a:endParaRPr lang="en-US" sz="1100" b="1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161925</xdr:rowOff>
    </xdr:from>
    <xdr:to>
      <xdr:col>7</xdr:col>
      <xdr:colOff>28575</xdr:colOff>
      <xdr:row>18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5</xdr:row>
      <xdr:rowOff>0</xdr:rowOff>
    </xdr:from>
    <xdr:to>
      <xdr:col>16</xdr:col>
      <xdr:colOff>57150</xdr:colOff>
      <xdr:row>18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catterPlo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1">
          <cell r="B11">
            <v>0.21467140000000001</v>
          </cell>
          <cell r="R11">
            <v>0.90000000000000036</v>
          </cell>
          <cell r="U11">
            <v>28.191590000000005</v>
          </cell>
        </row>
        <row r="12">
          <cell r="B12">
            <v>0.33879140000000002</v>
          </cell>
          <cell r="R12">
            <v>1.2999999999999998</v>
          </cell>
          <cell r="U12">
            <v>37.885439999999996</v>
          </cell>
        </row>
        <row r="13">
          <cell r="B13">
            <v>0.33878059999999999</v>
          </cell>
          <cell r="R13">
            <v>-0.20000000000000018</v>
          </cell>
          <cell r="U13">
            <v>22.530169999999998</v>
          </cell>
        </row>
        <row r="14">
          <cell r="B14">
            <v>0.3085328</v>
          </cell>
          <cell r="R14">
            <v>0.59999999999999964</v>
          </cell>
          <cell r="U14">
            <v>19.387190000000004</v>
          </cell>
        </row>
        <row r="15">
          <cell r="R15">
            <v>0</v>
          </cell>
          <cell r="U15">
            <v>0</v>
          </cell>
        </row>
        <row r="16">
          <cell r="R16">
            <v>0</v>
          </cell>
          <cell r="U16">
            <v>0</v>
          </cell>
        </row>
        <row r="17">
          <cell r="B17">
            <v>0.38504070000000001</v>
          </cell>
          <cell r="R17">
            <v>1.1000000000000005</v>
          </cell>
          <cell r="U17">
            <v>32.073659999999997</v>
          </cell>
        </row>
        <row r="18">
          <cell r="B18">
            <v>0.31704110000000002</v>
          </cell>
          <cell r="R18">
            <v>0.79999999999999982</v>
          </cell>
          <cell r="U18">
            <v>42.792400000000008</v>
          </cell>
        </row>
        <row r="19">
          <cell r="B19">
            <v>0.33713929999999998</v>
          </cell>
          <cell r="R19">
            <v>0.59999999999999964</v>
          </cell>
          <cell r="U19">
            <v>30.271630000000002</v>
          </cell>
        </row>
        <row r="20">
          <cell r="B20">
            <v>0.32299990000000001</v>
          </cell>
          <cell r="R20">
            <v>0.29999999999999982</v>
          </cell>
          <cell r="U20">
            <v>30.696640000000002</v>
          </cell>
        </row>
        <row r="21">
          <cell r="B21">
            <v>0.2189498</v>
          </cell>
          <cell r="R21">
            <v>0.5</v>
          </cell>
          <cell r="U21">
            <v>21.289149999999992</v>
          </cell>
        </row>
        <row r="22">
          <cell r="R22">
            <v>0</v>
          </cell>
          <cell r="U22">
            <v>0</v>
          </cell>
        </row>
        <row r="23">
          <cell r="B23">
            <v>0.2737446</v>
          </cell>
          <cell r="R23">
            <v>1.4000000000000004</v>
          </cell>
          <cell r="U23">
            <v>34.971990000000005</v>
          </cell>
        </row>
        <row r="24">
          <cell r="B24">
            <v>0.28440500000000002</v>
          </cell>
          <cell r="R24">
            <v>1.2999999999999998</v>
          </cell>
          <cell r="U24">
            <v>19.276629999999997</v>
          </cell>
        </row>
        <row r="25">
          <cell r="B25">
            <v>0.25700240000000002</v>
          </cell>
          <cell r="R25">
            <v>1</v>
          </cell>
          <cell r="U25">
            <v>36.314389999999996</v>
          </cell>
        </row>
        <row r="26">
          <cell r="B26">
            <v>0.19629479999999999</v>
          </cell>
          <cell r="R26">
            <v>9.9999999999999645E-2</v>
          </cell>
          <cell r="U26">
            <v>19.672329999999999</v>
          </cell>
        </row>
        <row r="27">
          <cell r="B27">
            <v>0.12534909999999999</v>
          </cell>
          <cell r="R27">
            <v>0.5</v>
          </cell>
          <cell r="U27">
            <v>30.76238</v>
          </cell>
        </row>
        <row r="28">
          <cell r="B28">
            <v>0.2347736</v>
          </cell>
          <cell r="R28">
            <v>-0.20000000000000018</v>
          </cell>
          <cell r="U28">
            <v>4.2273800000000108</v>
          </cell>
        </row>
        <row r="29">
          <cell r="R29">
            <v>0</v>
          </cell>
          <cell r="U29">
            <v>0</v>
          </cell>
        </row>
        <row r="30">
          <cell r="B30">
            <v>0.34098499999999998</v>
          </cell>
          <cell r="R30">
            <v>0.90000000000000036</v>
          </cell>
          <cell r="U30">
            <v>22.084040000000002</v>
          </cell>
        </row>
        <row r="31">
          <cell r="B31">
            <v>0.27712120000000001</v>
          </cell>
          <cell r="R31">
            <v>2</v>
          </cell>
          <cell r="U31">
            <v>36.554770000000005</v>
          </cell>
        </row>
        <row r="32">
          <cell r="R32">
            <v>0</v>
          </cell>
          <cell r="U32">
            <v>0</v>
          </cell>
        </row>
        <row r="33">
          <cell r="B33">
            <v>0.3442152</v>
          </cell>
          <cell r="R33">
            <v>1</v>
          </cell>
          <cell r="U33">
            <v>24.54876999999999</v>
          </cell>
        </row>
        <row r="34">
          <cell r="R34">
            <v>0</v>
          </cell>
          <cell r="U34">
            <v>0</v>
          </cell>
        </row>
        <row r="35">
          <cell r="B35">
            <v>0.18389259999999999</v>
          </cell>
          <cell r="R35">
            <v>1.3999999999999995</v>
          </cell>
          <cell r="U35">
            <v>29.522760000000005</v>
          </cell>
        </row>
        <row r="36">
          <cell r="R36">
            <v>0</v>
          </cell>
          <cell r="U36">
            <v>0</v>
          </cell>
        </row>
        <row r="37">
          <cell r="R37">
            <v>0</v>
          </cell>
          <cell r="U37">
            <v>0</v>
          </cell>
        </row>
        <row r="38">
          <cell r="B38">
            <v>0.15921279999999999</v>
          </cell>
          <cell r="R38">
            <v>0.90000000000000036</v>
          </cell>
          <cell r="U38">
            <v>38.355679999999992</v>
          </cell>
        </row>
        <row r="39">
          <cell r="B39">
            <v>0.38186219999999998</v>
          </cell>
          <cell r="R39">
            <v>2.1000000000000005</v>
          </cell>
          <cell r="U39">
            <v>48.558009999999996</v>
          </cell>
        </row>
        <row r="40">
          <cell r="B40">
            <v>0.1978443</v>
          </cell>
          <cell r="R40">
            <v>0.70000000000000018</v>
          </cell>
          <cell r="U40">
            <v>25.20711</v>
          </cell>
        </row>
        <row r="41">
          <cell r="R41">
            <v>0</v>
          </cell>
          <cell r="U41">
            <v>0</v>
          </cell>
        </row>
        <row r="42">
          <cell r="B42">
            <v>0.37037759999999997</v>
          </cell>
          <cell r="R42">
            <v>2.2999999999999989</v>
          </cell>
          <cell r="U42">
            <v>29.918209999999995</v>
          </cell>
        </row>
        <row r="43">
          <cell r="B43">
            <v>0.26997759999999998</v>
          </cell>
          <cell r="R43">
            <v>1.5999999999999996</v>
          </cell>
          <cell r="U43">
            <v>18.448719999999994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G22" sqref="G2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56"/>
  <sheetViews>
    <sheetView topLeftCell="A13" workbookViewId="0">
      <selection activeCell="S51" sqref="S51"/>
    </sheetView>
  </sheetViews>
  <sheetFormatPr defaultRowHeight="15" x14ac:dyDescent="0.25"/>
  <sheetData>
    <row r="3" spans="2:11" x14ac:dyDescent="0.25">
      <c r="B3" t="s">
        <v>23</v>
      </c>
      <c r="K3" t="s">
        <v>285</v>
      </c>
    </row>
    <row r="22" spans="1:11" x14ac:dyDescent="0.25">
      <c r="C22" t="s">
        <v>488</v>
      </c>
      <c r="K22" t="s">
        <v>487</v>
      </c>
    </row>
    <row r="23" spans="1:11" x14ac:dyDescent="0.25">
      <c r="B23" t="s">
        <v>485</v>
      </c>
      <c r="C23" t="s">
        <v>486</v>
      </c>
    </row>
    <row r="24" spans="1:11" x14ac:dyDescent="0.25">
      <c r="A24" t="s">
        <v>455</v>
      </c>
      <c r="B24">
        <v>0.21467140000000001</v>
      </c>
      <c r="C24">
        <v>28.191590000000005</v>
      </c>
      <c r="K24">
        <v>0.90000000000000036</v>
      </c>
    </row>
    <row r="25" spans="1:11" x14ac:dyDescent="0.25">
      <c r="A25" t="s">
        <v>456</v>
      </c>
      <c r="B25">
        <v>0.33879140000000002</v>
      </c>
      <c r="C25">
        <v>37.885439999999996</v>
      </c>
      <c r="K25">
        <v>1.2999999999999998</v>
      </c>
    </row>
    <row r="26" spans="1:11" x14ac:dyDescent="0.25">
      <c r="A26" t="s">
        <v>457</v>
      </c>
      <c r="B26">
        <v>0.33878059999999999</v>
      </c>
      <c r="C26">
        <v>22.530169999999998</v>
      </c>
      <c r="K26">
        <v>-0.20000000000000018</v>
      </c>
    </row>
    <row r="27" spans="1:11" x14ac:dyDescent="0.25">
      <c r="A27" t="s">
        <v>458</v>
      </c>
      <c r="B27">
        <v>0.3085328</v>
      </c>
      <c r="C27">
        <v>19.387190000000004</v>
      </c>
      <c r="K27">
        <v>0.59999999999999964</v>
      </c>
    </row>
    <row r="28" spans="1:11" x14ac:dyDescent="0.25">
      <c r="C28">
        <v>0</v>
      </c>
      <c r="K28">
        <v>0</v>
      </c>
    </row>
    <row r="29" spans="1:11" x14ac:dyDescent="0.25">
      <c r="C29">
        <v>0</v>
      </c>
      <c r="K29">
        <v>0</v>
      </c>
    </row>
    <row r="30" spans="1:11" x14ac:dyDescent="0.25">
      <c r="A30" t="s">
        <v>459</v>
      </c>
      <c r="B30">
        <v>0.38504070000000001</v>
      </c>
      <c r="C30">
        <v>32.073659999999997</v>
      </c>
      <c r="K30">
        <v>1.1000000000000005</v>
      </c>
    </row>
    <row r="31" spans="1:11" x14ac:dyDescent="0.25">
      <c r="A31" t="s">
        <v>460</v>
      </c>
      <c r="B31">
        <v>0.31704110000000002</v>
      </c>
      <c r="C31">
        <v>42.792400000000008</v>
      </c>
      <c r="K31">
        <v>0.79999999999999982</v>
      </c>
    </row>
    <row r="32" spans="1:11" x14ac:dyDescent="0.25">
      <c r="A32" t="s">
        <v>461</v>
      </c>
      <c r="B32">
        <v>0.33713929999999998</v>
      </c>
      <c r="C32">
        <v>30.271630000000002</v>
      </c>
      <c r="K32">
        <v>0.59999999999999964</v>
      </c>
    </row>
    <row r="33" spans="1:11" x14ac:dyDescent="0.25">
      <c r="A33" t="s">
        <v>462</v>
      </c>
      <c r="B33">
        <v>0.32299990000000001</v>
      </c>
      <c r="C33">
        <v>30.696640000000002</v>
      </c>
      <c r="K33">
        <v>0.29999999999999982</v>
      </c>
    </row>
    <row r="34" spans="1:11" x14ac:dyDescent="0.25">
      <c r="A34" t="s">
        <v>463</v>
      </c>
      <c r="B34">
        <v>0.2189498</v>
      </c>
      <c r="C34">
        <v>21.289149999999992</v>
      </c>
      <c r="K34">
        <v>0.5</v>
      </c>
    </row>
    <row r="35" spans="1:11" x14ac:dyDescent="0.25">
      <c r="A35" t="s">
        <v>464</v>
      </c>
      <c r="C35">
        <v>0</v>
      </c>
      <c r="K35">
        <v>0</v>
      </c>
    </row>
    <row r="36" spans="1:11" x14ac:dyDescent="0.25">
      <c r="A36" t="s">
        <v>465</v>
      </c>
      <c r="B36">
        <v>0.2737446</v>
      </c>
      <c r="C36">
        <v>34.971990000000005</v>
      </c>
      <c r="K36">
        <v>1.4000000000000004</v>
      </c>
    </row>
    <row r="37" spans="1:11" x14ac:dyDescent="0.25">
      <c r="A37" t="s">
        <v>466</v>
      </c>
      <c r="B37">
        <v>0.28440500000000002</v>
      </c>
      <c r="C37">
        <v>19.276629999999997</v>
      </c>
      <c r="K37">
        <v>1.2999999999999998</v>
      </c>
    </row>
    <row r="38" spans="1:11" x14ac:dyDescent="0.25">
      <c r="A38" t="s">
        <v>467</v>
      </c>
      <c r="B38">
        <v>0.25700240000000002</v>
      </c>
      <c r="C38">
        <v>36.314389999999996</v>
      </c>
      <c r="K38">
        <v>1</v>
      </c>
    </row>
    <row r="39" spans="1:11" x14ac:dyDescent="0.25">
      <c r="A39" t="s">
        <v>468</v>
      </c>
      <c r="B39">
        <v>0.19629479999999999</v>
      </c>
      <c r="C39">
        <v>19.672329999999999</v>
      </c>
      <c r="K39">
        <v>9.9999999999999645E-2</v>
      </c>
    </row>
    <row r="40" spans="1:11" x14ac:dyDescent="0.25">
      <c r="A40" t="s">
        <v>469</v>
      </c>
      <c r="B40">
        <v>0.12534909999999999</v>
      </c>
      <c r="C40">
        <v>30.76238</v>
      </c>
      <c r="K40">
        <v>0.5</v>
      </c>
    </row>
    <row r="41" spans="1:11" x14ac:dyDescent="0.25">
      <c r="A41" t="s">
        <v>470</v>
      </c>
      <c r="B41">
        <v>0.2347736</v>
      </c>
      <c r="C41">
        <v>4.2273800000000108</v>
      </c>
      <c r="K41">
        <v>-0.20000000000000018</v>
      </c>
    </row>
    <row r="42" spans="1:11" x14ac:dyDescent="0.25">
      <c r="A42" t="s">
        <v>471</v>
      </c>
      <c r="C42">
        <v>0</v>
      </c>
      <c r="K42">
        <v>0</v>
      </c>
    </row>
    <row r="43" spans="1:11" x14ac:dyDescent="0.25">
      <c r="A43" t="s">
        <v>472</v>
      </c>
      <c r="B43">
        <v>0.34098499999999998</v>
      </c>
      <c r="C43">
        <v>22.084040000000002</v>
      </c>
      <c r="K43">
        <v>0.90000000000000036</v>
      </c>
    </row>
    <row r="44" spans="1:11" x14ac:dyDescent="0.25">
      <c r="A44" t="s">
        <v>473</v>
      </c>
      <c r="B44">
        <v>0.27712120000000001</v>
      </c>
      <c r="C44">
        <v>36.554770000000005</v>
      </c>
      <c r="K44">
        <v>2</v>
      </c>
    </row>
    <row r="45" spans="1:11" x14ac:dyDescent="0.25">
      <c r="A45" t="s">
        <v>474</v>
      </c>
      <c r="C45">
        <v>0</v>
      </c>
      <c r="K45">
        <v>0</v>
      </c>
    </row>
    <row r="46" spans="1:11" x14ac:dyDescent="0.25">
      <c r="A46" t="s">
        <v>475</v>
      </c>
      <c r="B46">
        <v>0.3442152</v>
      </c>
      <c r="C46">
        <v>24.54876999999999</v>
      </c>
      <c r="K46">
        <v>1</v>
      </c>
    </row>
    <row r="47" spans="1:11" x14ac:dyDescent="0.25">
      <c r="A47" t="s">
        <v>476</v>
      </c>
      <c r="C47">
        <v>0</v>
      </c>
      <c r="K47">
        <v>0</v>
      </c>
    </row>
    <row r="48" spans="1:11" x14ac:dyDescent="0.25">
      <c r="A48" t="s">
        <v>477</v>
      </c>
      <c r="B48">
        <v>0.18389259999999999</v>
      </c>
      <c r="C48">
        <v>29.522760000000005</v>
      </c>
      <c r="K48">
        <v>1.3999999999999995</v>
      </c>
    </row>
    <row r="49" spans="1:11" x14ac:dyDescent="0.25">
      <c r="A49" t="s">
        <v>478</v>
      </c>
      <c r="C49">
        <v>0</v>
      </c>
      <c r="K49">
        <v>0</v>
      </c>
    </row>
    <row r="50" spans="1:11" x14ac:dyDescent="0.25">
      <c r="A50" t="s">
        <v>479</v>
      </c>
      <c r="C50">
        <v>0</v>
      </c>
      <c r="K50">
        <v>0</v>
      </c>
    </row>
    <row r="51" spans="1:11" x14ac:dyDescent="0.25">
      <c r="A51" t="s">
        <v>480</v>
      </c>
      <c r="B51">
        <v>0.15921279999999999</v>
      </c>
      <c r="C51">
        <v>38.355679999999992</v>
      </c>
      <c r="K51">
        <v>0.90000000000000036</v>
      </c>
    </row>
    <row r="52" spans="1:11" x14ac:dyDescent="0.25">
      <c r="A52" t="s">
        <v>481</v>
      </c>
      <c r="B52">
        <v>0.38186219999999998</v>
      </c>
      <c r="C52">
        <v>48.558009999999996</v>
      </c>
      <c r="K52">
        <v>2.1000000000000005</v>
      </c>
    </row>
    <row r="53" spans="1:11" x14ac:dyDescent="0.25">
      <c r="A53" t="s">
        <v>482</v>
      </c>
      <c r="B53">
        <v>0.1978443</v>
      </c>
      <c r="C53">
        <v>25.20711</v>
      </c>
      <c r="K53">
        <v>0.70000000000000018</v>
      </c>
    </row>
    <row r="54" spans="1:11" x14ac:dyDescent="0.25">
      <c r="A54" t="s">
        <v>483</v>
      </c>
      <c r="C54">
        <v>0</v>
      </c>
      <c r="K54">
        <v>0</v>
      </c>
    </row>
    <row r="55" spans="1:11" x14ac:dyDescent="0.25">
      <c r="A55" t="s">
        <v>314</v>
      </c>
      <c r="B55">
        <v>0.37037759999999997</v>
      </c>
      <c r="C55">
        <v>29.918209999999995</v>
      </c>
      <c r="K55">
        <v>2.2999999999999989</v>
      </c>
    </row>
    <row r="56" spans="1:11" x14ac:dyDescent="0.25">
      <c r="A56" t="s">
        <v>484</v>
      </c>
      <c r="B56">
        <v>0.26997759999999998</v>
      </c>
      <c r="C56">
        <v>18.448719999999994</v>
      </c>
      <c r="K56">
        <v>1.5999999999999996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22"/>
  <sheetViews>
    <sheetView topLeftCell="B1" workbookViewId="0">
      <selection activeCell="L3" sqref="L3:L10"/>
    </sheetView>
  </sheetViews>
  <sheetFormatPr defaultRowHeight="15" x14ac:dyDescent="0.25"/>
  <cols>
    <col min="6" max="6" width="1" customWidth="1"/>
    <col min="16" max="16" width="2.140625" customWidth="1"/>
  </cols>
  <sheetData>
    <row r="1" spans="2:20" x14ac:dyDescent="0.25">
      <c r="B1" t="s">
        <v>22</v>
      </c>
      <c r="G1" t="s">
        <v>26</v>
      </c>
      <c r="L1" t="s">
        <v>47</v>
      </c>
      <c r="Q1" t="s">
        <v>48</v>
      </c>
    </row>
    <row r="2" spans="2:20" ht="39" x14ac:dyDescent="0.25">
      <c r="B2" s="6" t="s">
        <v>18</v>
      </c>
      <c r="C2" s="7" t="s">
        <v>19</v>
      </c>
      <c r="D2" s="6" t="s">
        <v>20</v>
      </c>
      <c r="E2" s="7" t="s">
        <v>21</v>
      </c>
      <c r="G2" s="6" t="s">
        <v>18</v>
      </c>
      <c r="H2" s="7" t="s">
        <v>19</v>
      </c>
      <c r="I2" s="6" t="s">
        <v>20</v>
      </c>
      <c r="J2" s="7" t="s">
        <v>21</v>
      </c>
      <c r="L2" s="6" t="s">
        <v>18</v>
      </c>
      <c r="M2" s="7" t="s">
        <v>19</v>
      </c>
      <c r="N2" s="6" t="s">
        <v>20</v>
      </c>
      <c r="O2" s="7" t="s">
        <v>21</v>
      </c>
      <c r="Q2" s="6" t="s">
        <v>18</v>
      </c>
      <c r="R2" s="7" t="s">
        <v>19</v>
      </c>
      <c r="S2" s="6" t="s">
        <v>20</v>
      </c>
      <c r="T2" s="7" t="s">
        <v>21</v>
      </c>
    </row>
    <row r="3" spans="2:20" x14ac:dyDescent="0.25">
      <c r="B3" s="3" t="s">
        <v>0</v>
      </c>
      <c r="C3" s="4">
        <v>0.99988278582206647</v>
      </c>
      <c r="D3" s="4">
        <v>-7.809112961306236E-2</v>
      </c>
      <c r="E3" s="4">
        <v>1.7510141889807509E-2</v>
      </c>
      <c r="G3" s="3" t="s">
        <v>0</v>
      </c>
      <c r="H3" s="4">
        <v>0.99979599718766732</v>
      </c>
      <c r="I3" s="4">
        <v>-7.9604090041112102E-2</v>
      </c>
      <c r="J3" s="4">
        <v>1.8130338805724771E-2</v>
      </c>
      <c r="L3" s="8" t="s">
        <v>27</v>
      </c>
      <c r="M3" s="10">
        <v>1</v>
      </c>
      <c r="N3" s="10">
        <v>-6.9000000000000006E-2</v>
      </c>
      <c r="O3" s="10">
        <v>1.0999999999999999E-2</v>
      </c>
      <c r="Q3" s="8" t="s">
        <v>27</v>
      </c>
      <c r="R3" s="10">
        <v>1</v>
      </c>
      <c r="S3" s="10">
        <v>-6.6549999999999998E-2</v>
      </c>
      <c r="T3" s="10">
        <v>1.0779E-2</v>
      </c>
    </row>
    <row r="4" spans="2:20" x14ac:dyDescent="0.25">
      <c r="B4" s="3" t="s">
        <v>1</v>
      </c>
      <c r="C4" s="4">
        <v>0.99963469820933293</v>
      </c>
      <c r="D4" s="4">
        <v>0.15958994001824361</v>
      </c>
      <c r="E4" s="4">
        <v>3.8698547772170008E-2</v>
      </c>
      <c r="G4" s="3" t="s">
        <v>1</v>
      </c>
      <c r="H4" s="4">
        <v>0.99203018463682979</v>
      </c>
      <c r="I4" s="4">
        <v>0.16898245381495894</v>
      </c>
      <c r="J4" s="4">
        <v>4.1140298851422882E-2</v>
      </c>
      <c r="L4" s="8" t="s">
        <v>28</v>
      </c>
      <c r="M4" s="10">
        <v>1</v>
      </c>
      <c r="N4" s="10">
        <v>-0.17499999999999999</v>
      </c>
      <c r="O4" s="10">
        <v>3.6999999999999998E-2</v>
      </c>
      <c r="Q4" s="8" t="s">
        <v>28</v>
      </c>
      <c r="R4" s="10">
        <v>0.99989899999999998</v>
      </c>
      <c r="S4" s="10">
        <v>-0.16656000000000001</v>
      </c>
      <c r="T4" s="10">
        <v>3.4014000000000003E-2</v>
      </c>
    </row>
    <row r="5" spans="2:20" x14ac:dyDescent="0.25">
      <c r="B5" s="3" t="s">
        <v>2</v>
      </c>
      <c r="C5" s="4">
        <v>0.99384768203066953</v>
      </c>
      <c r="D5" s="4">
        <v>-0.11884196540661886</v>
      </c>
      <c r="E5" s="4">
        <v>3.2902401769442459E-2</v>
      </c>
      <c r="G5" s="3" t="s">
        <v>2</v>
      </c>
      <c r="H5" s="4">
        <v>0.9884418627114685</v>
      </c>
      <c r="I5" s="4">
        <v>-0.11778559227673317</v>
      </c>
      <c r="J5" s="4">
        <v>3.4246439685702672E-2</v>
      </c>
      <c r="L5" s="8" t="s">
        <v>29</v>
      </c>
      <c r="M5" s="10">
        <v>0.997</v>
      </c>
      <c r="N5" s="10">
        <v>0.16400000000000001</v>
      </c>
      <c r="O5" s="10">
        <v>3.6999999999999998E-2</v>
      </c>
      <c r="Q5" s="8" t="s">
        <v>29</v>
      </c>
      <c r="R5" s="10">
        <v>0.94613999999999998</v>
      </c>
      <c r="S5" s="10">
        <v>0.13730800000000001</v>
      </c>
      <c r="T5" s="10">
        <v>4.4547999999999997E-2</v>
      </c>
    </row>
    <row r="6" spans="2:20" x14ac:dyDescent="0.25">
      <c r="B6" s="3" t="s">
        <v>3</v>
      </c>
      <c r="C6" s="4">
        <v>0.87518607307940721</v>
      </c>
      <c r="D6" s="4">
        <v>-1.2916886374796911E-2</v>
      </c>
      <c r="E6" s="4">
        <v>4.6737446797738193E-3</v>
      </c>
      <c r="G6" s="3" t="s">
        <v>3</v>
      </c>
      <c r="H6" s="4">
        <v>0.70972684748331594</v>
      </c>
      <c r="I6" s="4">
        <v>-9.9619204742097435E-3</v>
      </c>
      <c r="J6" s="4">
        <v>4.1489761989875135E-3</v>
      </c>
      <c r="L6" s="8" t="s">
        <v>30</v>
      </c>
      <c r="M6" s="10">
        <v>0.67300000000000004</v>
      </c>
      <c r="N6" s="10">
        <v>0.29299999999999998</v>
      </c>
      <c r="O6" s="10">
        <v>0.112</v>
      </c>
      <c r="Q6" s="8" t="s">
        <v>25</v>
      </c>
      <c r="R6" s="10">
        <v>0.70627499999999999</v>
      </c>
      <c r="S6" s="10">
        <v>-8.9209999999999998E-2</v>
      </c>
      <c r="T6" s="10">
        <v>3.3999000000000001E-2</v>
      </c>
    </row>
    <row r="7" spans="2:20" x14ac:dyDescent="0.25">
      <c r="B7" s="3" t="s">
        <v>4</v>
      </c>
      <c r="C7" s="4">
        <v>0.64323155416967426</v>
      </c>
      <c r="D7" s="4">
        <v>-0.11262555829679072</v>
      </c>
      <c r="E7" s="4">
        <v>4.6547415426082914E-2</v>
      </c>
      <c r="G7" s="2" t="s">
        <v>23</v>
      </c>
      <c r="H7" s="5">
        <v>0.20744186978524662</v>
      </c>
      <c r="I7" s="5">
        <v>-7.0491416587881248E-4</v>
      </c>
      <c r="J7" s="5">
        <v>4.2133150362679608E-4</v>
      </c>
      <c r="L7" s="8" t="s">
        <v>46</v>
      </c>
      <c r="M7" s="10">
        <v>0.56200000000000006</v>
      </c>
      <c r="N7" s="10">
        <v>-0.10199999999999999</v>
      </c>
      <c r="O7" s="10">
        <v>4.2000000000000003E-2</v>
      </c>
      <c r="Q7" s="8" t="s">
        <v>30</v>
      </c>
      <c r="R7" s="10">
        <v>0.42506500000000003</v>
      </c>
      <c r="S7" s="10">
        <v>0.25097199999999997</v>
      </c>
      <c r="T7" s="10">
        <v>0.11219999999999999</v>
      </c>
    </row>
    <row r="8" spans="2:20" x14ac:dyDescent="0.25">
      <c r="B8" s="2" t="s">
        <v>23</v>
      </c>
      <c r="C8" s="5">
        <v>0.17744530213893051</v>
      </c>
      <c r="D8" s="5">
        <v>-6.5239122364417804E-4</v>
      </c>
      <c r="E8" s="5">
        <v>4.1370578840240705E-4</v>
      </c>
      <c r="G8" s="2" t="s">
        <v>25</v>
      </c>
      <c r="H8" s="5">
        <v>0.17605871814541502</v>
      </c>
      <c r="I8" s="5">
        <v>-5.8001288267774939E-2</v>
      </c>
      <c r="J8" s="5">
        <v>3.7320710666753992E-2</v>
      </c>
      <c r="L8" s="8" t="s">
        <v>32</v>
      </c>
      <c r="M8" s="10">
        <v>0.373</v>
      </c>
      <c r="N8" s="10">
        <v>-0.113</v>
      </c>
      <c r="O8" s="10">
        <v>5.1999999999999998E-2</v>
      </c>
      <c r="Q8" s="8" t="s">
        <v>31</v>
      </c>
      <c r="R8" s="10">
        <v>0.27065499999999998</v>
      </c>
      <c r="S8" s="10">
        <v>4.1718999999999999E-2</v>
      </c>
      <c r="T8" s="10">
        <v>2.5340999999999999E-2</v>
      </c>
    </row>
    <row r="9" spans="2:20" x14ac:dyDescent="0.25">
      <c r="B9" s="2" t="s">
        <v>5</v>
      </c>
      <c r="C9" s="5">
        <v>0.1571310433196664</v>
      </c>
      <c r="D9" s="5">
        <v>-1.2728141327735167E-3</v>
      </c>
      <c r="E9" s="5">
        <v>8.4256589396052494E-4</v>
      </c>
      <c r="G9" s="2" t="s">
        <v>5</v>
      </c>
      <c r="H9" s="5">
        <v>0.16076134867264349</v>
      </c>
      <c r="I9" s="5">
        <v>-1.3138840949368756E-3</v>
      </c>
      <c r="J9" s="5">
        <v>8.57965877909733E-4</v>
      </c>
      <c r="L9" s="8" t="s">
        <v>31</v>
      </c>
      <c r="M9" s="10">
        <v>0.30399999999999999</v>
      </c>
      <c r="N9" s="10">
        <v>4.2000000000000003E-2</v>
      </c>
      <c r="O9" s="10">
        <v>2.4E-2</v>
      </c>
      <c r="Q9" s="9" t="s">
        <v>32</v>
      </c>
      <c r="R9" s="11">
        <v>0.234931</v>
      </c>
      <c r="S9" s="11">
        <v>-0.11013000000000001</v>
      </c>
      <c r="T9" s="11">
        <v>5.5717999999999997E-2</v>
      </c>
    </row>
    <row r="10" spans="2:20" x14ac:dyDescent="0.25">
      <c r="B10" s="2" t="s">
        <v>6</v>
      </c>
      <c r="C10" s="5">
        <v>0.11738530947488512</v>
      </c>
      <c r="D10" s="5">
        <v>-2.3196692113123581E-3</v>
      </c>
      <c r="E10" s="5">
        <v>1.7298893925612353E-3</v>
      </c>
      <c r="G10" s="2" t="s">
        <v>8</v>
      </c>
      <c r="H10" s="5">
        <v>0.1445597459119165</v>
      </c>
      <c r="I10" s="5">
        <v>-6.472565180200214E-2</v>
      </c>
      <c r="J10" s="5">
        <v>4.4163396032037783E-2</v>
      </c>
      <c r="L10" s="8" t="s">
        <v>33</v>
      </c>
      <c r="M10" s="10">
        <v>0.26</v>
      </c>
      <c r="N10" s="10">
        <v>3.0000000000000001E-3</v>
      </c>
      <c r="O10" s="10">
        <v>2E-3</v>
      </c>
      <c r="Q10" s="9" t="s">
        <v>33</v>
      </c>
      <c r="R10" s="11">
        <v>0.17543600000000001</v>
      </c>
      <c r="S10" s="11">
        <v>2.8370000000000001E-3</v>
      </c>
      <c r="T10" s="11">
        <v>1.6280000000000001E-3</v>
      </c>
    </row>
    <row r="11" spans="2:20" x14ac:dyDescent="0.25">
      <c r="B11" s="2" t="s">
        <v>7</v>
      </c>
      <c r="C11" s="5">
        <v>0.10973571121807124</v>
      </c>
      <c r="D11" s="5">
        <v>0.12373626342544883</v>
      </c>
      <c r="E11" s="5">
        <v>9.5855712023040898E-2</v>
      </c>
      <c r="G11" s="2" t="s">
        <v>6</v>
      </c>
      <c r="H11" s="5">
        <v>0.121324351248617</v>
      </c>
      <c r="I11" s="5">
        <v>-2.4802852628069208E-3</v>
      </c>
      <c r="J11" s="5">
        <v>1.8245040039040739E-3</v>
      </c>
      <c r="L11" s="9" t="s">
        <v>34</v>
      </c>
      <c r="M11" s="11">
        <v>0.19900000000000001</v>
      </c>
      <c r="N11" s="11">
        <v>-7.5999999999999998E-2</v>
      </c>
      <c r="O11" s="11">
        <v>4.2999999999999997E-2</v>
      </c>
      <c r="Q11" s="9" t="s">
        <v>34</v>
      </c>
      <c r="R11" s="11">
        <v>0.13089600000000001</v>
      </c>
      <c r="S11" s="11">
        <v>-6.3149999999999998E-2</v>
      </c>
      <c r="T11" s="11">
        <v>4.1321999999999998E-2</v>
      </c>
    </row>
    <row r="12" spans="2:20" x14ac:dyDescent="0.25">
      <c r="B12" s="2" t="s">
        <v>8</v>
      </c>
      <c r="C12" s="5">
        <v>0.10911801675885424</v>
      </c>
      <c r="D12" s="5">
        <v>-5.6905345531681424E-2</v>
      </c>
      <c r="E12" s="5">
        <v>4.3858316886987353E-2</v>
      </c>
      <c r="G12" s="2" t="s">
        <v>9</v>
      </c>
      <c r="H12" s="5">
        <v>0.11290549375549876</v>
      </c>
      <c r="I12" s="5">
        <v>-6.9429132985767444E-2</v>
      </c>
      <c r="J12" s="5">
        <v>5.3504008677301908E-2</v>
      </c>
      <c r="L12" s="9" t="s">
        <v>35</v>
      </c>
      <c r="M12" s="11">
        <v>0.11899999999999999</v>
      </c>
      <c r="N12" s="11">
        <v>2.9000000000000001E-2</v>
      </c>
      <c r="O12" s="11">
        <v>4.7E-2</v>
      </c>
      <c r="Q12" s="9" t="s">
        <v>35</v>
      </c>
      <c r="R12" s="11">
        <v>8.5319000000000006E-2</v>
      </c>
      <c r="S12" s="11">
        <v>1.4625000000000001E-2</v>
      </c>
      <c r="T12" s="11">
        <v>5.3749999999999999E-2</v>
      </c>
    </row>
    <row r="13" spans="2:20" x14ac:dyDescent="0.25">
      <c r="B13" s="2" t="s">
        <v>9</v>
      </c>
      <c r="C13" s="5">
        <v>9.9170371990505296E-2</v>
      </c>
      <c r="D13" s="5">
        <v>-6.2815735089511174E-2</v>
      </c>
      <c r="E13" s="5">
        <v>5.1149741581547212E-2</v>
      </c>
      <c r="G13" s="2" t="s">
        <v>11</v>
      </c>
      <c r="H13" s="5">
        <v>0.11138005975122746</v>
      </c>
      <c r="I13" s="5">
        <v>4.7720664395651275E-3</v>
      </c>
      <c r="J13" s="5">
        <v>3.6110820783647902E-3</v>
      </c>
      <c r="L13" s="9" t="s">
        <v>36</v>
      </c>
      <c r="M13" s="11">
        <v>0.111</v>
      </c>
      <c r="N13" s="11">
        <v>-7.0000000000000001E-3</v>
      </c>
      <c r="O13" s="11">
        <v>5.0000000000000001E-3</v>
      </c>
      <c r="Q13" s="9" t="s">
        <v>36</v>
      </c>
      <c r="R13" s="11">
        <v>8.1902000000000003E-2</v>
      </c>
      <c r="S13" s="11">
        <v>-5.4400000000000004E-3</v>
      </c>
      <c r="T13" s="11">
        <v>4.3039999999999997E-3</v>
      </c>
    </row>
    <row r="14" spans="2:20" x14ac:dyDescent="0.25">
      <c r="B14" s="2" t="s">
        <v>10</v>
      </c>
      <c r="C14" s="5">
        <v>7.3332004830724801E-2</v>
      </c>
      <c r="D14" s="5">
        <v>0.12044042334650183</v>
      </c>
      <c r="E14" s="5">
        <v>0.11412699501579858</v>
      </c>
      <c r="G14" s="2" t="s">
        <v>13</v>
      </c>
      <c r="H14" s="5">
        <v>9.1856583250293236E-2</v>
      </c>
      <c r="I14" s="5">
        <v>3.8731801680771116E-2</v>
      </c>
      <c r="J14" s="5">
        <v>3.3135664334865186E-2</v>
      </c>
      <c r="L14" s="9" t="s">
        <v>37</v>
      </c>
      <c r="M14" s="11">
        <v>0.09</v>
      </c>
      <c r="N14" s="11">
        <v>0</v>
      </c>
      <c r="O14" s="11">
        <v>0</v>
      </c>
      <c r="Q14" s="9" t="s">
        <v>37</v>
      </c>
      <c r="R14" s="11">
        <v>6.6830000000000001E-2</v>
      </c>
      <c r="S14" s="11">
        <v>1.6999999999999999E-7</v>
      </c>
      <c r="T14" s="11">
        <v>1.5200000000000001E-7</v>
      </c>
    </row>
    <row r="15" spans="2:20" x14ac:dyDescent="0.25">
      <c r="B15" s="2" t="s">
        <v>11</v>
      </c>
      <c r="C15" s="5">
        <v>7.0481104113834528E-2</v>
      </c>
      <c r="D15" s="5">
        <v>3.8319836887546403E-3</v>
      </c>
      <c r="E15" s="5">
        <v>3.8826815714235272E-3</v>
      </c>
      <c r="G15" s="2" t="s">
        <v>12</v>
      </c>
      <c r="H15" s="5">
        <v>8.1691741023239811E-2</v>
      </c>
      <c r="I15" s="5">
        <v>8.9586756496104209E-4</v>
      </c>
      <c r="J15" s="5">
        <v>7.9591426673177089E-4</v>
      </c>
      <c r="L15" s="9" t="s">
        <v>38</v>
      </c>
      <c r="M15" s="11">
        <v>7.0000000000000007E-2</v>
      </c>
      <c r="N15" s="11">
        <v>-0.1</v>
      </c>
      <c r="O15" s="11">
        <v>8.3000000000000004E-2</v>
      </c>
      <c r="Q15" s="9" t="s">
        <v>38</v>
      </c>
      <c r="R15" s="11">
        <v>6.2107000000000002E-2</v>
      </c>
      <c r="S15" s="11">
        <v>-9.4420000000000004E-2</v>
      </c>
      <c r="T15" s="11">
        <v>8.4337999999999996E-2</v>
      </c>
    </row>
    <row r="16" spans="2:20" x14ac:dyDescent="0.25">
      <c r="B16" s="2" t="s">
        <v>12</v>
      </c>
      <c r="C16" s="5">
        <v>6.813349525548168E-2</v>
      </c>
      <c r="D16" s="5">
        <v>7.8697997687924594E-4</v>
      </c>
      <c r="E16" s="5">
        <v>7.872518705105973E-4</v>
      </c>
      <c r="G16" s="2" t="s">
        <v>10</v>
      </c>
      <c r="H16" s="5">
        <v>7.8927538020953425E-2</v>
      </c>
      <c r="I16" s="5">
        <v>0.1304872063866048</v>
      </c>
      <c r="J16" s="5">
        <v>0.11842936058300764</v>
      </c>
      <c r="L16" s="9" t="s">
        <v>39</v>
      </c>
      <c r="M16" s="11">
        <v>6.7000000000000004E-2</v>
      </c>
      <c r="N16" s="11">
        <v>-1E-3</v>
      </c>
      <c r="O16" s="11">
        <v>1E-3</v>
      </c>
      <c r="Q16" s="9" t="s">
        <v>39</v>
      </c>
      <c r="R16" s="11">
        <v>5.3133E-2</v>
      </c>
      <c r="S16" s="11">
        <v>-9.8999999999999999E-4</v>
      </c>
      <c r="T16" s="11">
        <v>1.0139999999999999E-3</v>
      </c>
    </row>
    <row r="17" spans="2:20" x14ac:dyDescent="0.25">
      <c r="B17" s="2" t="s">
        <v>13</v>
      </c>
      <c r="C17" s="5">
        <v>6.5910683263254416E-2</v>
      </c>
      <c r="D17" s="5">
        <v>3.1066972659514889E-2</v>
      </c>
      <c r="E17" s="5">
        <v>3.3059514368381365E-2</v>
      </c>
      <c r="G17" s="2" t="s">
        <v>7</v>
      </c>
      <c r="H17" s="5">
        <v>6.1519877593535867E-2</v>
      </c>
      <c r="I17" s="5">
        <v>8.885689620732859E-2</v>
      </c>
      <c r="J17" s="5">
        <v>9.9584822784653831E-2</v>
      </c>
      <c r="L17" s="9" t="s">
        <v>41</v>
      </c>
      <c r="M17" s="11">
        <v>4.3999999999999997E-2</v>
      </c>
      <c r="N17" s="11">
        <v>0</v>
      </c>
      <c r="O17" s="11">
        <v>0</v>
      </c>
      <c r="Q17" s="9" t="s">
        <v>40</v>
      </c>
      <c r="R17" s="11">
        <v>4.8793000000000003E-2</v>
      </c>
      <c r="S17" s="11">
        <v>1.696E-3</v>
      </c>
      <c r="T17" s="11">
        <v>2.0699999999999998E-3</v>
      </c>
    </row>
    <row r="18" spans="2:20" x14ac:dyDescent="0.25">
      <c r="B18" s="2" t="s">
        <v>14</v>
      </c>
      <c r="C18" s="5">
        <v>6.5148135891007888E-2</v>
      </c>
      <c r="D18" s="5">
        <v>7.2718138465578452E-2</v>
      </c>
      <c r="E18" s="5">
        <v>7.5336182678483646E-2</v>
      </c>
      <c r="G18" s="2" t="s">
        <v>14</v>
      </c>
      <c r="H18" s="5">
        <v>5.0847020280214678E-2</v>
      </c>
      <c r="I18" s="5">
        <v>6.0053318548667495E-2</v>
      </c>
      <c r="J18" s="5">
        <v>7.7997061380960062E-2</v>
      </c>
      <c r="L18" s="9" t="s">
        <v>42</v>
      </c>
      <c r="M18" s="11">
        <v>3.9E-2</v>
      </c>
      <c r="N18" s="11">
        <v>1.7000000000000001E-2</v>
      </c>
      <c r="O18" s="11">
        <v>0.06</v>
      </c>
      <c r="Q18" s="9" t="s">
        <v>41</v>
      </c>
      <c r="R18" s="11">
        <v>4.0661999999999997E-2</v>
      </c>
      <c r="S18" s="11">
        <v>-2.3000000000000001E-4</v>
      </c>
      <c r="T18" s="11">
        <v>3.2400000000000001E-4</v>
      </c>
    </row>
    <row r="19" spans="2:20" x14ac:dyDescent="0.25">
      <c r="B19" s="2" t="s">
        <v>24</v>
      </c>
      <c r="C19" s="5">
        <v>4.3361310445840955E-2</v>
      </c>
      <c r="D19" s="5">
        <v>1.267570726838328E-7</v>
      </c>
      <c r="E19" s="5">
        <v>2.1971294718239441E-7</v>
      </c>
      <c r="G19" s="2" t="s">
        <v>24</v>
      </c>
      <c r="H19" s="5">
        <v>5.0072681823171712E-2</v>
      </c>
      <c r="I19" s="5">
        <v>1.5930035674582127E-7</v>
      </c>
      <c r="J19" s="5">
        <v>2.2532271740959895E-7</v>
      </c>
      <c r="L19" s="9" t="s">
        <v>43</v>
      </c>
      <c r="M19" s="11">
        <v>3.9E-2</v>
      </c>
      <c r="N19" s="11">
        <v>2E-3</v>
      </c>
      <c r="O19" s="11">
        <v>3.0000000000000001E-3</v>
      </c>
      <c r="Q19" s="9" t="s">
        <v>42</v>
      </c>
      <c r="R19" s="11">
        <v>3.6229999999999998E-2</v>
      </c>
      <c r="S19" s="11">
        <v>1.3655E-2</v>
      </c>
      <c r="T19" s="11">
        <v>5.9809000000000001E-2</v>
      </c>
    </row>
    <row r="20" spans="2:20" x14ac:dyDescent="0.25">
      <c r="B20" s="2" t="s">
        <v>15</v>
      </c>
      <c r="C20" s="5">
        <v>3.6861609980672665E-2</v>
      </c>
      <c r="D20" s="5">
        <v>4.5488349576588705E-3</v>
      </c>
      <c r="E20" s="5">
        <v>3.6276135871180774E-2</v>
      </c>
      <c r="G20" s="2" t="s">
        <v>16</v>
      </c>
      <c r="H20" s="5">
        <v>4.1852585673489616E-2</v>
      </c>
      <c r="I20" s="5">
        <v>-2.254538002269689E-2</v>
      </c>
      <c r="J20" s="5">
        <v>8.3478624452469188E-2</v>
      </c>
      <c r="L20" s="9" t="s">
        <v>44</v>
      </c>
      <c r="M20" s="11">
        <v>3.5000000000000003E-2</v>
      </c>
      <c r="N20" s="11">
        <v>0</v>
      </c>
      <c r="O20" s="11">
        <v>1E-3</v>
      </c>
      <c r="Q20" s="9" t="s">
        <v>43</v>
      </c>
      <c r="R20" s="11">
        <v>3.3763000000000001E-2</v>
      </c>
      <c r="S20" s="11">
        <v>1.207E-3</v>
      </c>
      <c r="T20" s="11">
        <v>2.751E-3</v>
      </c>
    </row>
    <row r="21" spans="2:20" x14ac:dyDescent="0.25">
      <c r="B21" s="2" t="s">
        <v>16</v>
      </c>
      <c r="C21" s="5">
        <v>3.6745328322289418E-2</v>
      </c>
      <c r="D21" s="5">
        <v>-1.2883059388279376E-2</v>
      </c>
      <c r="E21" s="5">
        <v>7.7131617724044491E-2</v>
      </c>
      <c r="G21" s="2" t="s">
        <v>15</v>
      </c>
      <c r="H21" s="5">
        <v>3.730405406870415E-2</v>
      </c>
      <c r="I21" s="5">
        <v>-2.1519374511294142E-3</v>
      </c>
      <c r="J21" s="5">
        <v>3.8957830260126981E-2</v>
      </c>
      <c r="L21" s="9" t="s">
        <v>40</v>
      </c>
      <c r="M21" s="11">
        <v>3.3000000000000002E-2</v>
      </c>
      <c r="N21" s="11">
        <v>1E-3</v>
      </c>
      <c r="O21" s="11">
        <v>2E-3</v>
      </c>
      <c r="Q21" s="9" t="s">
        <v>44</v>
      </c>
      <c r="R21" s="11">
        <v>3.3491E-2</v>
      </c>
      <c r="S21" s="11">
        <v>3.6699999999999998E-4</v>
      </c>
      <c r="T21" s="11">
        <v>7.2099999999999996E-4</v>
      </c>
    </row>
    <row r="22" spans="2:20" x14ac:dyDescent="0.25">
      <c r="B22" s="2" t="s">
        <v>17</v>
      </c>
      <c r="C22" s="5">
        <v>3.5173162426525198E-2</v>
      </c>
      <c r="D22" s="5">
        <v>-5.0602874602072713E-4</v>
      </c>
      <c r="E22" s="5">
        <v>2.4556345848279781E-3</v>
      </c>
      <c r="G22" s="2" t="s">
        <v>17</v>
      </c>
      <c r="H22" s="5">
        <v>3.6506750406660876E-2</v>
      </c>
      <c r="I22" s="5">
        <v>-7.6468078670694048E-4</v>
      </c>
      <c r="J22" s="5">
        <v>2.515642892550352E-3</v>
      </c>
      <c r="L22" s="9" t="s">
        <v>45</v>
      </c>
      <c r="M22" s="11">
        <v>3.3000000000000002E-2</v>
      </c>
      <c r="N22" s="11">
        <v>2.7E-2</v>
      </c>
      <c r="O22" s="11">
        <v>7.0000000000000007E-2</v>
      </c>
      <c r="Q22" s="9" t="s">
        <v>45</v>
      </c>
      <c r="R22" s="11">
        <v>3.1569E-2</v>
      </c>
      <c r="S22" s="11">
        <v>1.9144999999999999E-2</v>
      </c>
      <c r="T22" s="11">
        <v>6.8697999999999995E-2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selection activeCell="G26" sqref="A3:G26"/>
    </sheetView>
  </sheetViews>
  <sheetFormatPr defaultRowHeight="15" x14ac:dyDescent="0.25"/>
  <sheetData>
    <row r="1" spans="1:10" x14ac:dyDescent="0.25">
      <c r="A1" t="s">
        <v>145</v>
      </c>
      <c r="J1" s="14"/>
    </row>
    <row r="2" spans="1:10" x14ac:dyDescent="0.25">
      <c r="A2" s="12"/>
      <c r="B2" s="13"/>
      <c r="C2" s="13"/>
      <c r="D2" s="13"/>
      <c r="E2" s="13"/>
      <c r="F2" s="13"/>
      <c r="G2" s="13"/>
      <c r="J2" s="18"/>
    </row>
    <row r="3" spans="1:10" x14ac:dyDescent="0.25">
      <c r="A3" s="14" t="s">
        <v>56</v>
      </c>
      <c r="B3" s="15" t="s">
        <v>57</v>
      </c>
      <c r="C3" s="15" t="s">
        <v>57</v>
      </c>
      <c r="D3" s="15" t="s">
        <v>57</v>
      </c>
      <c r="E3" s="15" t="s">
        <v>57</v>
      </c>
      <c r="F3" s="15" t="s">
        <v>57</v>
      </c>
      <c r="G3" s="15"/>
      <c r="J3" s="18"/>
    </row>
    <row r="4" spans="1:10" x14ac:dyDescent="0.25">
      <c r="A4" s="12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/>
      <c r="J4" s="18"/>
    </row>
    <row r="5" spans="1:10" x14ac:dyDescent="0.25">
      <c r="A5" s="14" t="s">
        <v>58</v>
      </c>
      <c r="B5" s="15" t="s">
        <v>59</v>
      </c>
      <c r="C5" s="15" t="s">
        <v>60</v>
      </c>
      <c r="D5" s="15" t="s">
        <v>60</v>
      </c>
      <c r="E5" s="15" t="s">
        <v>49</v>
      </c>
      <c r="F5" s="15" t="s">
        <v>49</v>
      </c>
    </row>
    <row r="6" spans="1:10" x14ac:dyDescent="0.25">
      <c r="A6" s="14" t="s">
        <v>49</v>
      </c>
      <c r="B6" s="15" t="s">
        <v>61</v>
      </c>
      <c r="C6" s="15" t="s">
        <v>61</v>
      </c>
      <c r="D6" s="15" t="s">
        <v>62</v>
      </c>
      <c r="E6" s="15" t="s">
        <v>49</v>
      </c>
      <c r="F6" s="15" t="s">
        <v>49</v>
      </c>
    </row>
    <row r="7" spans="1:10" x14ac:dyDescent="0.25">
      <c r="A7" s="14" t="s">
        <v>114</v>
      </c>
      <c r="B7" s="15" t="s">
        <v>49</v>
      </c>
      <c r="C7" s="15" t="s">
        <v>49</v>
      </c>
      <c r="D7" s="15" t="s">
        <v>49</v>
      </c>
      <c r="E7" s="15" t="s">
        <v>115</v>
      </c>
      <c r="F7" s="15" t="s">
        <v>116</v>
      </c>
      <c r="G7" s="15" t="s">
        <v>146</v>
      </c>
    </row>
    <row r="8" spans="1:10" x14ac:dyDescent="0.25">
      <c r="A8" s="14" t="s">
        <v>49</v>
      </c>
      <c r="B8" s="15" t="s">
        <v>49</v>
      </c>
      <c r="C8" s="15" t="s">
        <v>49</v>
      </c>
      <c r="D8" s="15" t="s">
        <v>49</v>
      </c>
      <c r="E8" s="15" t="s">
        <v>117</v>
      </c>
      <c r="F8" s="15" t="s">
        <v>117</v>
      </c>
      <c r="G8" s="15" t="s">
        <v>147</v>
      </c>
    </row>
    <row r="9" spans="1:10" x14ac:dyDescent="0.25">
      <c r="A9" s="14" t="s">
        <v>63</v>
      </c>
      <c r="B9" s="15" t="s">
        <v>64</v>
      </c>
      <c r="C9" s="15" t="s">
        <v>65</v>
      </c>
      <c r="D9" s="15" t="s">
        <v>68</v>
      </c>
      <c r="E9" s="15" t="s">
        <v>66</v>
      </c>
      <c r="F9" s="15" t="s">
        <v>67</v>
      </c>
      <c r="G9" s="15" t="s">
        <v>148</v>
      </c>
    </row>
    <row r="10" spans="1:10" x14ac:dyDescent="0.25">
      <c r="A10" s="14" t="s">
        <v>49</v>
      </c>
      <c r="B10" s="15" t="s">
        <v>69</v>
      </c>
      <c r="C10" s="15" t="s">
        <v>70</v>
      </c>
      <c r="D10" s="15" t="s">
        <v>74</v>
      </c>
      <c r="E10" s="15" t="s">
        <v>72</v>
      </c>
      <c r="F10" s="15" t="s">
        <v>73</v>
      </c>
      <c r="G10" s="15" t="s">
        <v>149</v>
      </c>
    </row>
    <row r="11" spans="1:10" x14ac:dyDescent="0.25">
      <c r="A11" s="14" t="s">
        <v>75</v>
      </c>
      <c r="B11" s="15" t="s">
        <v>76</v>
      </c>
      <c r="C11" s="15" t="s">
        <v>77</v>
      </c>
      <c r="D11" s="15" t="s">
        <v>80</v>
      </c>
      <c r="E11" s="15" t="s">
        <v>78</v>
      </c>
      <c r="F11" s="15" t="s">
        <v>79</v>
      </c>
      <c r="G11" s="15" t="s">
        <v>150</v>
      </c>
    </row>
    <row r="12" spans="1:10" x14ac:dyDescent="0.25">
      <c r="A12" s="14" t="s">
        <v>49</v>
      </c>
      <c r="B12" s="15" t="s">
        <v>81</v>
      </c>
      <c r="C12" s="15" t="s">
        <v>82</v>
      </c>
      <c r="D12" s="15" t="s">
        <v>86</v>
      </c>
      <c r="E12" s="15" t="s">
        <v>83</v>
      </c>
      <c r="F12" s="15" t="s">
        <v>84</v>
      </c>
      <c r="G12" s="15" t="s">
        <v>85</v>
      </c>
    </row>
    <row r="13" spans="1:10" x14ac:dyDescent="0.25">
      <c r="A13" s="14" t="s">
        <v>87</v>
      </c>
      <c r="B13" s="15" t="s">
        <v>88</v>
      </c>
      <c r="C13" s="15" t="s">
        <v>89</v>
      </c>
      <c r="D13" s="15" t="s">
        <v>92</v>
      </c>
      <c r="E13" s="15" t="s">
        <v>90</v>
      </c>
      <c r="F13" s="15" t="s">
        <v>91</v>
      </c>
      <c r="G13" s="15" t="s">
        <v>151</v>
      </c>
    </row>
    <row r="14" spans="1:10" x14ac:dyDescent="0.25">
      <c r="A14" s="14" t="s">
        <v>49</v>
      </c>
      <c r="B14" s="15" t="s">
        <v>93</v>
      </c>
      <c r="C14" s="15" t="s">
        <v>93</v>
      </c>
      <c r="D14" s="15" t="s">
        <v>96</v>
      </c>
      <c r="E14" s="15" t="s">
        <v>94</v>
      </c>
      <c r="F14" s="15" t="s">
        <v>95</v>
      </c>
      <c r="G14" s="15" t="s">
        <v>152</v>
      </c>
    </row>
    <row r="15" spans="1:10" x14ac:dyDescent="0.25">
      <c r="A15" s="14" t="s">
        <v>97</v>
      </c>
      <c r="B15" s="15" t="s">
        <v>98</v>
      </c>
      <c r="C15" s="15" t="s">
        <v>99</v>
      </c>
      <c r="D15" s="15" t="s">
        <v>102</v>
      </c>
      <c r="E15" s="15" t="s">
        <v>100</v>
      </c>
      <c r="F15" s="15" t="s">
        <v>101</v>
      </c>
      <c r="G15" s="15" t="s">
        <v>153</v>
      </c>
    </row>
    <row r="16" spans="1:10" x14ac:dyDescent="0.25">
      <c r="A16" s="14" t="s">
        <v>49</v>
      </c>
      <c r="B16" s="15" t="s">
        <v>103</v>
      </c>
      <c r="C16" s="15" t="s">
        <v>103</v>
      </c>
      <c r="D16" s="15" t="s">
        <v>103</v>
      </c>
      <c r="E16" s="15" t="s">
        <v>104</v>
      </c>
      <c r="F16" s="15" t="s">
        <v>104</v>
      </c>
      <c r="G16" s="15" t="s">
        <v>104</v>
      </c>
    </row>
    <row r="17" spans="1:8" x14ac:dyDescent="0.25">
      <c r="A17" s="14" t="s">
        <v>105</v>
      </c>
      <c r="B17" s="15" t="s">
        <v>49</v>
      </c>
      <c r="C17" s="15" t="s">
        <v>106</v>
      </c>
      <c r="D17" s="15" t="s">
        <v>49</v>
      </c>
      <c r="E17" s="15" t="s">
        <v>49</v>
      </c>
      <c r="F17" s="15" t="s">
        <v>107</v>
      </c>
    </row>
    <row r="18" spans="1:8" x14ac:dyDescent="0.25">
      <c r="A18" s="14" t="s">
        <v>49</v>
      </c>
      <c r="B18" s="15" t="s">
        <v>49</v>
      </c>
      <c r="C18" s="15" t="s">
        <v>108</v>
      </c>
      <c r="D18" s="15" t="s">
        <v>49</v>
      </c>
      <c r="E18" s="15" t="s">
        <v>49</v>
      </c>
      <c r="F18" s="15" t="s">
        <v>109</v>
      </c>
    </row>
    <row r="19" spans="1:8" x14ac:dyDescent="0.25">
      <c r="A19" s="14" t="s">
        <v>119</v>
      </c>
      <c r="B19" s="15" t="s">
        <v>49</v>
      </c>
      <c r="C19" s="15" t="s">
        <v>49</v>
      </c>
      <c r="D19" s="15" t="s">
        <v>120</v>
      </c>
      <c r="E19" s="15" t="s">
        <v>49</v>
      </c>
      <c r="F19" s="15" t="s">
        <v>49</v>
      </c>
      <c r="G19" s="15" t="s">
        <v>154</v>
      </c>
    </row>
    <row r="20" spans="1:8" x14ac:dyDescent="0.25">
      <c r="A20" s="14" t="s">
        <v>49</v>
      </c>
      <c r="B20" s="15" t="s">
        <v>49</v>
      </c>
      <c r="C20" s="15" t="s">
        <v>49</v>
      </c>
      <c r="D20" s="15" t="s">
        <v>121</v>
      </c>
      <c r="E20" s="15" t="s">
        <v>49</v>
      </c>
      <c r="F20" s="15" t="s">
        <v>49</v>
      </c>
      <c r="G20" s="15" t="s">
        <v>155</v>
      </c>
    </row>
    <row r="21" spans="1:8" x14ac:dyDescent="0.25">
      <c r="A21" s="14" t="s">
        <v>122</v>
      </c>
      <c r="B21" s="15" t="s">
        <v>123</v>
      </c>
      <c r="C21" s="15" t="s">
        <v>124</v>
      </c>
      <c r="D21" s="15" t="s">
        <v>127</v>
      </c>
      <c r="E21" s="15" t="s">
        <v>125</v>
      </c>
      <c r="F21" s="15" t="s">
        <v>126</v>
      </c>
      <c r="G21" s="15" t="s">
        <v>156</v>
      </c>
    </row>
    <row r="22" spans="1:8" x14ac:dyDescent="0.25">
      <c r="A22" s="14" t="s">
        <v>49</v>
      </c>
      <c r="B22" s="15" t="s">
        <v>128</v>
      </c>
      <c r="C22" s="15" t="s">
        <v>129</v>
      </c>
      <c r="D22" s="15" t="s">
        <v>132</v>
      </c>
      <c r="E22" s="15" t="s">
        <v>130</v>
      </c>
      <c r="F22" s="15" t="s">
        <v>131</v>
      </c>
      <c r="G22" s="15" t="s">
        <v>157</v>
      </c>
    </row>
    <row r="23" spans="1:8" x14ac:dyDescent="0.25">
      <c r="A23" s="14" t="s">
        <v>49</v>
      </c>
      <c r="B23" s="15" t="s">
        <v>49</v>
      </c>
      <c r="C23" s="15" t="s">
        <v>49</v>
      </c>
      <c r="D23" s="15" t="s">
        <v>49</v>
      </c>
      <c r="E23" s="15" t="s">
        <v>49</v>
      </c>
      <c r="F23" s="15" t="s">
        <v>49</v>
      </c>
      <c r="G23" s="15" t="s">
        <v>49</v>
      </c>
    </row>
    <row r="24" spans="1:8" x14ac:dyDescent="0.25">
      <c r="A24" s="14" t="s">
        <v>133</v>
      </c>
      <c r="B24" s="15" t="s">
        <v>134</v>
      </c>
      <c r="C24" s="15" t="s">
        <v>134</v>
      </c>
      <c r="D24" s="15" t="s">
        <v>134</v>
      </c>
      <c r="E24" s="15" t="s">
        <v>135</v>
      </c>
      <c r="F24" s="15" t="s">
        <v>135</v>
      </c>
      <c r="G24" s="15" t="s">
        <v>135</v>
      </c>
    </row>
    <row r="25" spans="1:8" x14ac:dyDescent="0.25">
      <c r="A25" s="14" t="s">
        <v>136</v>
      </c>
      <c r="B25" s="15" t="s">
        <v>137</v>
      </c>
      <c r="C25" s="15" t="s">
        <v>138</v>
      </c>
      <c r="D25" s="15" t="s">
        <v>141</v>
      </c>
      <c r="E25" s="15" t="s">
        <v>139</v>
      </c>
      <c r="F25" s="15" t="s">
        <v>140</v>
      </c>
      <c r="G25" s="15" t="s">
        <v>158</v>
      </c>
    </row>
    <row r="26" spans="1:8" x14ac:dyDescent="0.25">
      <c r="A26" s="16" t="s">
        <v>142</v>
      </c>
      <c r="B26" s="17" t="s">
        <v>143</v>
      </c>
      <c r="C26" s="17" t="s">
        <v>143</v>
      </c>
      <c r="D26" s="17" t="s">
        <v>143</v>
      </c>
      <c r="E26" s="17" t="s">
        <v>144</v>
      </c>
      <c r="F26" s="17" t="s">
        <v>144</v>
      </c>
      <c r="G26" s="17" t="s">
        <v>144</v>
      </c>
    </row>
    <row r="27" spans="1:8" x14ac:dyDescent="0.25">
      <c r="G27" s="14"/>
      <c r="H27" s="15"/>
    </row>
    <row r="28" spans="1:8" x14ac:dyDescent="0.25">
      <c r="G28" s="14"/>
      <c r="H28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workbookViewId="0">
      <selection activeCell="G26" sqref="A2:G26"/>
    </sheetView>
  </sheetViews>
  <sheetFormatPr defaultRowHeight="15" x14ac:dyDescent="0.25"/>
  <sheetData>
    <row r="1" spans="1:9" x14ac:dyDescent="0.25">
      <c r="A1" s="12" t="s">
        <v>49</v>
      </c>
      <c r="B1" s="13" t="s">
        <v>50</v>
      </c>
      <c r="C1" s="13" t="s">
        <v>51</v>
      </c>
      <c r="D1" s="13" t="s">
        <v>52</v>
      </c>
      <c r="E1" s="13" t="s">
        <v>53</v>
      </c>
      <c r="F1" s="13" t="s">
        <v>54</v>
      </c>
      <c r="G1" s="13" t="s">
        <v>55</v>
      </c>
      <c r="H1" s="13"/>
      <c r="I1" s="13"/>
    </row>
    <row r="2" spans="1:9" x14ac:dyDescent="0.25">
      <c r="A2" s="14" t="s">
        <v>56</v>
      </c>
      <c r="B2" s="15" t="s">
        <v>57</v>
      </c>
      <c r="C2" s="15" t="s">
        <v>57</v>
      </c>
      <c r="D2" s="15" t="s">
        <v>57</v>
      </c>
      <c r="E2" s="15" t="s">
        <v>57</v>
      </c>
      <c r="F2" s="15" t="s">
        <v>57</v>
      </c>
      <c r="G2" s="15" t="s">
        <v>57</v>
      </c>
      <c r="H2" s="18"/>
      <c r="I2" s="18"/>
    </row>
    <row r="3" spans="1:9" x14ac:dyDescent="0.25">
      <c r="A3" s="12" t="s">
        <v>49</v>
      </c>
      <c r="B3" s="13" t="s">
        <v>49</v>
      </c>
      <c r="C3" s="13" t="s">
        <v>49</v>
      </c>
      <c r="D3" s="13" t="s">
        <v>49</v>
      </c>
      <c r="E3" s="13" t="s">
        <v>49</v>
      </c>
      <c r="F3" s="13" t="s">
        <v>49</v>
      </c>
      <c r="G3" s="13" t="s">
        <v>49</v>
      </c>
      <c r="H3" s="18"/>
      <c r="I3" s="18"/>
    </row>
    <row r="4" spans="1:9" x14ac:dyDescent="0.25">
      <c r="A4" s="14" t="s">
        <v>58</v>
      </c>
      <c r="B4" s="15" t="s">
        <v>159</v>
      </c>
      <c r="C4" s="15" t="s">
        <v>160</v>
      </c>
      <c r="D4" s="15" t="s">
        <v>161</v>
      </c>
      <c r="E4" s="15" t="s">
        <v>49</v>
      </c>
      <c r="F4" s="15" t="s">
        <v>49</v>
      </c>
      <c r="G4" s="15" t="s">
        <v>49</v>
      </c>
      <c r="H4" s="15"/>
      <c r="I4" s="15"/>
    </row>
    <row r="5" spans="1:9" x14ac:dyDescent="0.25">
      <c r="A5" s="14" t="s">
        <v>49</v>
      </c>
      <c r="B5" s="15" t="s">
        <v>70</v>
      </c>
      <c r="C5" s="15" t="s">
        <v>71</v>
      </c>
      <c r="D5" s="15" t="s">
        <v>162</v>
      </c>
      <c r="E5" s="15" t="s">
        <v>49</v>
      </c>
      <c r="F5" s="15" t="s">
        <v>49</v>
      </c>
      <c r="G5" s="15" t="s">
        <v>49</v>
      </c>
      <c r="H5" s="15"/>
      <c r="I5" s="15"/>
    </row>
    <row r="6" spans="1:9" x14ac:dyDescent="0.25">
      <c r="A6" s="14" t="s">
        <v>114</v>
      </c>
      <c r="B6" s="15" t="s">
        <v>49</v>
      </c>
      <c r="C6" s="15" t="s">
        <v>49</v>
      </c>
      <c r="D6" s="15" t="s">
        <v>49</v>
      </c>
      <c r="E6" s="15" t="s">
        <v>212</v>
      </c>
      <c r="F6" s="15" t="s">
        <v>213</v>
      </c>
      <c r="G6" s="15" t="s">
        <v>214</v>
      </c>
      <c r="H6" s="15"/>
      <c r="I6" s="15"/>
    </row>
    <row r="7" spans="1:9" x14ac:dyDescent="0.25">
      <c r="A7" s="14" t="s">
        <v>49</v>
      </c>
      <c r="B7" s="15" t="s">
        <v>49</v>
      </c>
      <c r="C7" s="15" t="s">
        <v>49</v>
      </c>
      <c r="D7" s="15" t="s">
        <v>49</v>
      </c>
      <c r="E7" s="15" t="s">
        <v>215</v>
      </c>
      <c r="F7" s="15" t="s">
        <v>216</v>
      </c>
      <c r="G7" s="15" t="s">
        <v>217</v>
      </c>
      <c r="H7" s="15"/>
      <c r="I7" s="15"/>
    </row>
    <row r="8" spans="1:9" x14ac:dyDescent="0.25">
      <c r="A8" s="14" t="s">
        <v>63</v>
      </c>
      <c r="B8" s="15" t="s">
        <v>163</v>
      </c>
      <c r="C8" s="15" t="s">
        <v>164</v>
      </c>
      <c r="D8" s="15" t="s">
        <v>167</v>
      </c>
      <c r="E8" s="15" t="s">
        <v>165</v>
      </c>
      <c r="F8" s="15" t="s">
        <v>166</v>
      </c>
      <c r="G8" s="15" t="s">
        <v>168</v>
      </c>
      <c r="H8" s="15"/>
      <c r="I8" s="15"/>
    </row>
    <row r="9" spans="1:9" x14ac:dyDescent="0.25">
      <c r="A9" s="14" t="s">
        <v>49</v>
      </c>
      <c r="B9" s="15" t="s">
        <v>169</v>
      </c>
      <c r="C9" s="15" t="s">
        <v>170</v>
      </c>
      <c r="D9" s="15" t="s">
        <v>173</v>
      </c>
      <c r="E9" s="15" t="s">
        <v>171</v>
      </c>
      <c r="F9" s="15" t="s">
        <v>172</v>
      </c>
      <c r="G9" s="15" t="s">
        <v>174</v>
      </c>
      <c r="H9" s="15"/>
      <c r="I9" s="15"/>
    </row>
    <row r="10" spans="1:9" x14ac:dyDescent="0.25">
      <c r="A10" s="14" t="s">
        <v>75</v>
      </c>
      <c r="B10" s="15" t="s">
        <v>175</v>
      </c>
      <c r="C10" s="15" t="s">
        <v>176</v>
      </c>
      <c r="D10" s="15" t="s">
        <v>179</v>
      </c>
      <c r="E10" s="15" t="s">
        <v>177</v>
      </c>
      <c r="F10" s="15" t="s">
        <v>178</v>
      </c>
      <c r="G10" s="15" t="s">
        <v>180</v>
      </c>
      <c r="H10" s="15"/>
      <c r="I10" s="15"/>
    </row>
    <row r="11" spans="1:9" x14ac:dyDescent="0.25">
      <c r="A11" s="14" t="s">
        <v>49</v>
      </c>
      <c r="B11" s="15" t="s">
        <v>181</v>
      </c>
      <c r="C11" s="15" t="s">
        <v>131</v>
      </c>
      <c r="D11" s="15" t="s">
        <v>183</v>
      </c>
      <c r="E11" s="15" t="s">
        <v>131</v>
      </c>
      <c r="F11" s="15" t="s">
        <v>182</v>
      </c>
      <c r="G11" s="15" t="s">
        <v>184</v>
      </c>
      <c r="H11" s="15"/>
      <c r="I11" s="15"/>
    </row>
    <row r="12" spans="1:9" x14ac:dyDescent="0.25">
      <c r="A12" s="14" t="s">
        <v>87</v>
      </c>
      <c r="B12" s="15" t="s">
        <v>185</v>
      </c>
      <c r="C12" s="15" t="s">
        <v>186</v>
      </c>
      <c r="D12" s="15" t="s">
        <v>188</v>
      </c>
      <c r="E12" s="15" t="s">
        <v>73</v>
      </c>
      <c r="F12" s="15" t="s">
        <v>187</v>
      </c>
      <c r="G12" s="15" t="s">
        <v>189</v>
      </c>
      <c r="H12" s="15"/>
      <c r="I12" s="15"/>
    </row>
    <row r="13" spans="1:9" x14ac:dyDescent="0.25">
      <c r="A13" s="14" t="s">
        <v>49</v>
      </c>
      <c r="B13" s="15" t="s">
        <v>190</v>
      </c>
      <c r="C13" s="15" t="s">
        <v>191</v>
      </c>
      <c r="D13" s="15" t="s">
        <v>194</v>
      </c>
      <c r="E13" s="15" t="s">
        <v>192</v>
      </c>
      <c r="F13" s="15" t="s">
        <v>193</v>
      </c>
      <c r="G13" s="15" t="s">
        <v>195</v>
      </c>
      <c r="H13" s="15"/>
      <c r="I13" s="15"/>
    </row>
    <row r="14" spans="1:9" x14ac:dyDescent="0.25">
      <c r="A14" s="14" t="s">
        <v>97</v>
      </c>
      <c r="B14" s="15" t="s">
        <v>196</v>
      </c>
      <c r="C14" s="15" t="s">
        <v>197</v>
      </c>
      <c r="D14" s="15" t="s">
        <v>200</v>
      </c>
      <c r="E14" s="15" t="s">
        <v>198</v>
      </c>
      <c r="F14" s="15" t="s">
        <v>199</v>
      </c>
      <c r="G14" s="15" t="s">
        <v>201</v>
      </c>
      <c r="H14" s="15"/>
      <c r="I14" s="15"/>
    </row>
    <row r="15" spans="1:9" x14ac:dyDescent="0.25">
      <c r="A15" s="14" t="s">
        <v>49</v>
      </c>
      <c r="B15" s="15" t="s">
        <v>202</v>
      </c>
      <c r="C15" s="15" t="s">
        <v>203</v>
      </c>
      <c r="D15" s="15" t="s">
        <v>206</v>
      </c>
      <c r="E15" s="15" t="s">
        <v>204</v>
      </c>
      <c r="F15" s="15" t="s">
        <v>205</v>
      </c>
      <c r="G15" s="15" t="s">
        <v>207</v>
      </c>
      <c r="H15" s="15"/>
      <c r="I15" s="15"/>
    </row>
    <row r="16" spans="1:9" x14ac:dyDescent="0.25">
      <c r="A16" s="14" t="s">
        <v>105</v>
      </c>
      <c r="B16" s="15" t="s">
        <v>49</v>
      </c>
      <c r="C16" s="15" t="s">
        <v>208</v>
      </c>
      <c r="D16" s="15" t="s">
        <v>49</v>
      </c>
      <c r="E16" s="15" t="s">
        <v>49</v>
      </c>
      <c r="F16" s="15" t="s">
        <v>209</v>
      </c>
      <c r="G16" s="15" t="s">
        <v>49</v>
      </c>
      <c r="H16" s="15"/>
      <c r="I16" s="15"/>
    </row>
    <row r="17" spans="1:9" x14ac:dyDescent="0.25">
      <c r="A17" s="14" t="s">
        <v>49</v>
      </c>
      <c r="B17" s="15" t="s">
        <v>49</v>
      </c>
      <c r="C17" s="15" t="s">
        <v>210</v>
      </c>
      <c r="D17" s="15" t="s">
        <v>49</v>
      </c>
      <c r="E17" s="15" t="s">
        <v>49</v>
      </c>
      <c r="F17" s="15" t="s">
        <v>211</v>
      </c>
      <c r="G17" s="15" t="s">
        <v>49</v>
      </c>
      <c r="H17" s="15"/>
      <c r="I17" s="15"/>
    </row>
    <row r="18" spans="1:9" x14ac:dyDescent="0.25">
      <c r="A18" s="14" t="s">
        <v>119</v>
      </c>
      <c r="B18" s="15" t="s">
        <v>49</v>
      </c>
      <c r="C18" s="15" t="s">
        <v>49</v>
      </c>
      <c r="D18" s="15" t="s">
        <v>218</v>
      </c>
      <c r="E18" s="15" t="s">
        <v>49</v>
      </c>
      <c r="F18" s="15" t="s">
        <v>49</v>
      </c>
      <c r="G18" s="15" t="s">
        <v>219</v>
      </c>
      <c r="H18" s="15"/>
      <c r="I18" s="15"/>
    </row>
    <row r="19" spans="1:9" x14ac:dyDescent="0.25">
      <c r="A19" s="14" t="s">
        <v>49</v>
      </c>
      <c r="B19" s="15" t="s">
        <v>49</v>
      </c>
      <c r="C19" s="15" t="s">
        <v>49</v>
      </c>
      <c r="D19" s="15" t="s">
        <v>220</v>
      </c>
      <c r="E19" s="15" t="s">
        <v>49</v>
      </c>
      <c r="F19" s="15" t="s">
        <v>49</v>
      </c>
      <c r="G19" s="15" t="s">
        <v>221</v>
      </c>
      <c r="H19" s="15"/>
      <c r="I19" s="15"/>
    </row>
    <row r="20" spans="1:9" x14ac:dyDescent="0.25">
      <c r="H20" s="15"/>
      <c r="I20" s="15"/>
    </row>
    <row r="21" spans="1:9" x14ac:dyDescent="0.25">
      <c r="H21" s="15"/>
      <c r="I21" s="15"/>
    </row>
    <row r="22" spans="1:9" x14ac:dyDescent="0.25">
      <c r="A22" s="14" t="s">
        <v>122</v>
      </c>
      <c r="B22" s="15" t="s">
        <v>222</v>
      </c>
      <c r="C22" s="15" t="s">
        <v>223</v>
      </c>
      <c r="D22" s="15" t="s">
        <v>226</v>
      </c>
      <c r="E22" s="15" t="s">
        <v>224</v>
      </c>
      <c r="F22" s="15" t="s">
        <v>225</v>
      </c>
      <c r="G22" s="15" t="s">
        <v>227</v>
      </c>
      <c r="H22" s="15"/>
      <c r="I22" s="15"/>
    </row>
    <row r="23" spans="1:9" x14ac:dyDescent="0.25">
      <c r="A23" s="14" t="s">
        <v>49</v>
      </c>
      <c r="B23" s="15" t="s">
        <v>228</v>
      </c>
      <c r="C23" s="15" t="s">
        <v>118</v>
      </c>
      <c r="D23" s="15" t="s">
        <v>230</v>
      </c>
      <c r="E23" s="15" t="s">
        <v>228</v>
      </c>
      <c r="F23" s="15" t="s">
        <v>229</v>
      </c>
      <c r="G23" s="15" t="s">
        <v>231</v>
      </c>
      <c r="H23" s="15"/>
      <c r="I23" s="15"/>
    </row>
    <row r="24" spans="1:9" x14ac:dyDescent="0.25">
      <c r="A24" s="14" t="s">
        <v>49</v>
      </c>
      <c r="B24" s="15" t="s">
        <v>49</v>
      </c>
      <c r="C24" s="15" t="s">
        <v>49</v>
      </c>
      <c r="D24" s="15" t="s">
        <v>49</v>
      </c>
      <c r="E24" s="15" t="s">
        <v>49</v>
      </c>
      <c r="F24" s="15" t="s">
        <v>49</v>
      </c>
      <c r="G24" s="15" t="s">
        <v>49</v>
      </c>
      <c r="H24" s="15"/>
      <c r="I24" s="15"/>
    </row>
    <row r="25" spans="1:9" x14ac:dyDescent="0.25">
      <c r="A25" s="14" t="s">
        <v>133</v>
      </c>
      <c r="B25" s="15" t="s">
        <v>134</v>
      </c>
      <c r="C25" s="15" t="s">
        <v>134</v>
      </c>
      <c r="D25" s="15" t="s">
        <v>134</v>
      </c>
      <c r="E25" s="15" t="s">
        <v>135</v>
      </c>
      <c r="F25" s="15" t="s">
        <v>135</v>
      </c>
      <c r="G25" s="15" t="s">
        <v>135</v>
      </c>
      <c r="H25" s="15"/>
      <c r="I25" s="15"/>
    </row>
    <row r="26" spans="1:9" x14ac:dyDescent="0.25">
      <c r="A26" s="16" t="s">
        <v>136</v>
      </c>
      <c r="B26" s="17" t="s">
        <v>232</v>
      </c>
      <c r="C26" s="17" t="s">
        <v>233</v>
      </c>
      <c r="D26" s="17" t="s">
        <v>236</v>
      </c>
      <c r="E26" s="17" t="s">
        <v>234</v>
      </c>
      <c r="F26" s="17" t="s">
        <v>235</v>
      </c>
      <c r="G26" s="17" t="s">
        <v>237</v>
      </c>
      <c r="H26" s="15"/>
      <c r="I26" s="15"/>
    </row>
    <row r="27" spans="1:9" x14ac:dyDescent="0.25">
      <c r="A27" s="15"/>
      <c r="B27" s="15"/>
      <c r="C27" s="15"/>
      <c r="D27" s="15"/>
      <c r="E27" s="15"/>
      <c r="F27" s="15"/>
      <c r="G27" s="15"/>
      <c r="H27" s="15"/>
      <c r="I27" s="15"/>
    </row>
    <row r="28" spans="1:9" x14ac:dyDescent="0.25">
      <c r="A28" s="15"/>
      <c r="B28" s="15"/>
      <c r="C28" s="15"/>
      <c r="D28" s="15"/>
      <c r="E28" s="15"/>
      <c r="F28" s="15"/>
      <c r="G28" s="15"/>
      <c r="H28" s="15"/>
      <c r="I28" s="15"/>
    </row>
    <row r="29" spans="1:9" x14ac:dyDescent="0.25">
      <c r="A29" s="15"/>
      <c r="B29" s="15"/>
      <c r="C29" s="15"/>
      <c r="D29" s="15"/>
      <c r="E29" s="15"/>
      <c r="F29" s="15"/>
      <c r="G29" s="15"/>
      <c r="H29" s="15"/>
      <c r="I29" s="15"/>
    </row>
    <row r="30" spans="1:9" x14ac:dyDescent="0.25">
      <c r="A30" s="15"/>
      <c r="B30" s="15"/>
      <c r="C30" s="15"/>
      <c r="D30" s="15"/>
      <c r="E30" s="15"/>
      <c r="F30" s="15"/>
      <c r="G30" s="15"/>
      <c r="H30" s="15"/>
      <c r="I30" s="15"/>
    </row>
    <row r="31" spans="1:9" x14ac:dyDescent="0.25">
      <c r="A31" s="15"/>
      <c r="B31" s="15"/>
      <c r="C31" s="15"/>
      <c r="D31" s="15"/>
      <c r="E31" s="15"/>
      <c r="F31" s="15"/>
      <c r="G31" s="15"/>
      <c r="H31" s="15"/>
      <c r="I31" s="15"/>
    </row>
    <row r="32" spans="1:9" x14ac:dyDescent="0.25">
      <c r="A32" s="18"/>
      <c r="B32" s="18"/>
      <c r="C32" s="18"/>
      <c r="D32" s="18"/>
      <c r="E32" s="18"/>
      <c r="F32" s="18"/>
      <c r="G32" s="18"/>
      <c r="H32" s="18"/>
      <c r="I32" s="1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G17" sqref="A2:G17"/>
    </sheetView>
  </sheetViews>
  <sheetFormatPr defaultRowHeight="15" x14ac:dyDescent="0.25"/>
  <sheetData>
    <row r="1" spans="1:7" x14ac:dyDescent="0.25">
      <c r="A1" s="12" t="s">
        <v>49</v>
      </c>
      <c r="B1" s="13" t="s">
        <v>50</v>
      </c>
      <c r="C1" s="13" t="s">
        <v>51</v>
      </c>
      <c r="D1" s="13" t="s">
        <v>52</v>
      </c>
      <c r="E1" s="13" t="s">
        <v>53</v>
      </c>
      <c r="F1" s="13" t="s">
        <v>54</v>
      </c>
      <c r="G1" s="13" t="s">
        <v>55</v>
      </c>
    </row>
    <row r="2" spans="1:7" x14ac:dyDescent="0.25">
      <c r="A2" s="14" t="s">
        <v>56</v>
      </c>
      <c r="B2" s="15" t="s">
        <v>57</v>
      </c>
      <c r="C2" s="15" t="s">
        <v>57</v>
      </c>
      <c r="D2" s="15" t="s">
        <v>57</v>
      </c>
      <c r="E2" s="15" t="s">
        <v>57</v>
      </c>
      <c r="F2" s="15" t="s">
        <v>57</v>
      </c>
      <c r="G2" s="15" t="s">
        <v>57</v>
      </c>
    </row>
    <row r="3" spans="1:7" x14ac:dyDescent="0.25">
      <c r="A3" s="12" t="s">
        <v>49</v>
      </c>
      <c r="B3" s="13" t="s">
        <v>49</v>
      </c>
      <c r="C3" s="13" t="s">
        <v>49</v>
      </c>
      <c r="D3" s="13" t="s">
        <v>49</v>
      </c>
      <c r="E3" s="13" t="s">
        <v>49</v>
      </c>
      <c r="F3" s="13" t="s">
        <v>49</v>
      </c>
      <c r="G3" s="13" t="s">
        <v>49</v>
      </c>
    </row>
    <row r="4" spans="1:7" x14ac:dyDescent="0.25">
      <c r="A4" s="14" t="s">
        <v>58</v>
      </c>
      <c r="B4" s="15" t="s">
        <v>347</v>
      </c>
      <c r="C4" s="15" t="s">
        <v>348</v>
      </c>
      <c r="D4" s="15" t="s">
        <v>349</v>
      </c>
      <c r="E4" s="15" t="s">
        <v>49</v>
      </c>
      <c r="F4" s="15" t="s">
        <v>49</v>
      </c>
      <c r="G4" s="15" t="s">
        <v>49</v>
      </c>
    </row>
    <row r="5" spans="1:7" x14ac:dyDescent="0.25">
      <c r="A5" s="14" t="s">
        <v>49</v>
      </c>
      <c r="B5" s="15" t="s">
        <v>350</v>
      </c>
      <c r="C5" s="15" t="s">
        <v>351</v>
      </c>
      <c r="D5" s="15" t="s">
        <v>352</v>
      </c>
      <c r="E5" s="15" t="s">
        <v>49</v>
      </c>
      <c r="F5" s="15" t="s">
        <v>49</v>
      </c>
      <c r="G5" s="15" t="s">
        <v>49</v>
      </c>
    </row>
    <row r="6" spans="1:7" x14ac:dyDescent="0.25">
      <c r="A6" s="14" t="s">
        <v>114</v>
      </c>
      <c r="B6" s="15" t="s">
        <v>49</v>
      </c>
      <c r="C6" s="15" t="s">
        <v>49</v>
      </c>
      <c r="D6" s="15" t="s">
        <v>49</v>
      </c>
      <c r="E6" s="15" t="s">
        <v>361</v>
      </c>
      <c r="F6" s="15" t="s">
        <v>362</v>
      </c>
      <c r="G6" s="15" t="s">
        <v>363</v>
      </c>
    </row>
    <row r="7" spans="1:7" x14ac:dyDescent="0.25">
      <c r="A7" s="14" t="s">
        <v>49</v>
      </c>
      <c r="B7" s="15" t="s">
        <v>49</v>
      </c>
      <c r="C7" s="15" t="s">
        <v>49</v>
      </c>
      <c r="D7" s="15" t="s">
        <v>49</v>
      </c>
      <c r="E7" s="15" t="s">
        <v>364</v>
      </c>
      <c r="F7" s="15" t="s">
        <v>365</v>
      </c>
      <c r="G7" s="15" t="s">
        <v>366</v>
      </c>
    </row>
    <row r="8" spans="1:7" x14ac:dyDescent="0.25">
      <c r="A8" s="14" t="s">
        <v>105</v>
      </c>
      <c r="B8" s="15" t="s">
        <v>49</v>
      </c>
      <c r="C8" s="15" t="s">
        <v>353</v>
      </c>
      <c r="D8" s="15" t="s">
        <v>49</v>
      </c>
      <c r="E8" s="15" t="s">
        <v>49</v>
      </c>
      <c r="F8" s="15" t="s">
        <v>354</v>
      </c>
      <c r="G8" s="15" t="s">
        <v>49</v>
      </c>
    </row>
    <row r="9" spans="1:7" x14ac:dyDescent="0.25">
      <c r="A9" s="14" t="s">
        <v>49</v>
      </c>
      <c r="B9" s="15" t="s">
        <v>49</v>
      </c>
      <c r="C9" s="15" t="s">
        <v>355</v>
      </c>
      <c r="D9" s="15" t="s">
        <v>49</v>
      </c>
      <c r="E9" s="15" t="s">
        <v>49</v>
      </c>
      <c r="F9" s="15" t="s">
        <v>356</v>
      </c>
      <c r="G9" s="15" t="s">
        <v>49</v>
      </c>
    </row>
    <row r="10" spans="1:7" x14ac:dyDescent="0.25">
      <c r="A10" s="14" t="s">
        <v>119</v>
      </c>
      <c r="B10" s="15" t="s">
        <v>49</v>
      </c>
      <c r="C10" s="15" t="s">
        <v>49</v>
      </c>
      <c r="D10" s="15" t="s">
        <v>357</v>
      </c>
      <c r="E10" s="15" t="s">
        <v>49</v>
      </c>
      <c r="F10" s="15" t="s">
        <v>49</v>
      </c>
      <c r="G10" s="15" t="s">
        <v>358</v>
      </c>
    </row>
    <row r="11" spans="1:7" x14ac:dyDescent="0.25">
      <c r="A11" s="14" t="s">
        <v>49</v>
      </c>
      <c r="B11" s="15" t="s">
        <v>49</v>
      </c>
      <c r="C11" s="15" t="s">
        <v>49</v>
      </c>
      <c r="D11" s="15" t="s">
        <v>359</v>
      </c>
      <c r="E11" s="15" t="s">
        <v>49</v>
      </c>
      <c r="F11" s="15" t="s">
        <v>49</v>
      </c>
      <c r="G11" s="15" t="s">
        <v>360</v>
      </c>
    </row>
    <row r="12" spans="1:7" x14ac:dyDescent="0.25">
      <c r="A12" s="14" t="s">
        <v>122</v>
      </c>
      <c r="B12" s="15" t="s">
        <v>367</v>
      </c>
      <c r="C12" s="15" t="s">
        <v>368</v>
      </c>
      <c r="D12" s="15" t="s">
        <v>369</v>
      </c>
      <c r="E12" s="15" t="s">
        <v>370</v>
      </c>
      <c r="F12" s="15" t="s">
        <v>371</v>
      </c>
      <c r="G12" s="15" t="s">
        <v>372</v>
      </c>
    </row>
    <row r="13" spans="1:7" x14ac:dyDescent="0.25">
      <c r="A13" s="14" t="s">
        <v>49</v>
      </c>
      <c r="B13" s="15" t="s">
        <v>373</v>
      </c>
      <c r="C13" s="15" t="s">
        <v>374</v>
      </c>
      <c r="D13" s="15" t="s">
        <v>375</v>
      </c>
      <c r="E13" s="15" t="s">
        <v>376</v>
      </c>
      <c r="F13" s="15" t="s">
        <v>377</v>
      </c>
      <c r="G13" s="15" t="s">
        <v>189</v>
      </c>
    </row>
    <row r="14" spans="1:7" x14ac:dyDescent="0.25">
      <c r="A14" s="14" t="s">
        <v>49</v>
      </c>
      <c r="B14" s="15" t="s">
        <v>49</v>
      </c>
      <c r="C14" s="15" t="s">
        <v>49</v>
      </c>
      <c r="D14" s="15" t="s">
        <v>49</v>
      </c>
      <c r="E14" s="15" t="s">
        <v>49</v>
      </c>
      <c r="F14" s="15" t="s">
        <v>49</v>
      </c>
      <c r="G14" s="15" t="s">
        <v>49</v>
      </c>
    </row>
    <row r="15" spans="1:7" x14ac:dyDescent="0.25">
      <c r="A15" s="14" t="s">
        <v>133</v>
      </c>
      <c r="B15" s="15" t="s">
        <v>378</v>
      </c>
      <c r="C15" s="15" t="s">
        <v>378</v>
      </c>
      <c r="D15" s="15" t="s">
        <v>378</v>
      </c>
      <c r="E15" s="15" t="s">
        <v>379</v>
      </c>
      <c r="F15" s="15" t="s">
        <v>379</v>
      </c>
      <c r="G15" s="15" t="s">
        <v>379</v>
      </c>
    </row>
    <row r="16" spans="1:7" x14ac:dyDescent="0.25">
      <c r="A16" s="14" t="s">
        <v>136</v>
      </c>
      <c r="B16" s="15" t="s">
        <v>380</v>
      </c>
      <c r="C16" s="15" t="s">
        <v>381</v>
      </c>
      <c r="D16" s="15" t="s">
        <v>382</v>
      </c>
      <c r="E16" s="15" t="s">
        <v>383</v>
      </c>
      <c r="F16" s="15" t="s">
        <v>384</v>
      </c>
      <c r="G16" s="15" t="s">
        <v>385</v>
      </c>
    </row>
    <row r="17" spans="1:7" x14ac:dyDescent="0.25">
      <c r="A17" s="16" t="s">
        <v>142</v>
      </c>
      <c r="B17" s="17" t="s">
        <v>386</v>
      </c>
      <c r="C17" s="17" t="s">
        <v>386</v>
      </c>
      <c r="D17" s="17" t="s">
        <v>386</v>
      </c>
      <c r="E17" s="17" t="s">
        <v>387</v>
      </c>
      <c r="F17" s="17" t="s">
        <v>387</v>
      </c>
      <c r="G17" s="17" t="s">
        <v>387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I14" sqref="I14"/>
    </sheetView>
  </sheetViews>
  <sheetFormatPr defaultRowHeight="15" x14ac:dyDescent="0.25"/>
  <sheetData>
    <row r="1" spans="1:7" x14ac:dyDescent="0.25">
      <c r="A1" s="12" t="s">
        <v>49</v>
      </c>
      <c r="B1" s="13" t="s">
        <v>50</v>
      </c>
      <c r="C1" s="13" t="s">
        <v>51</v>
      </c>
      <c r="D1" s="13" t="s">
        <v>52</v>
      </c>
      <c r="E1" s="13" t="s">
        <v>53</v>
      </c>
      <c r="F1" s="13" t="s">
        <v>54</v>
      </c>
      <c r="G1" s="13" t="s">
        <v>55</v>
      </c>
    </row>
    <row r="2" spans="1:7" x14ac:dyDescent="0.25">
      <c r="A2" s="14" t="s">
        <v>56</v>
      </c>
      <c r="B2" s="15" t="s">
        <v>57</v>
      </c>
      <c r="C2" s="15" t="s">
        <v>57</v>
      </c>
      <c r="D2" s="15" t="s">
        <v>57</v>
      </c>
      <c r="E2" s="15" t="s">
        <v>57</v>
      </c>
      <c r="F2" s="15" t="s">
        <v>57</v>
      </c>
      <c r="G2" s="15" t="s">
        <v>57</v>
      </c>
    </row>
    <row r="3" spans="1:7" x14ac:dyDescent="0.25">
      <c r="A3" s="12" t="s">
        <v>49</v>
      </c>
      <c r="B3" s="13" t="s">
        <v>49</v>
      </c>
      <c r="C3" s="13" t="s">
        <v>49</v>
      </c>
      <c r="D3" s="13" t="s">
        <v>49</v>
      </c>
      <c r="E3" s="13" t="s">
        <v>49</v>
      </c>
      <c r="F3" s="13" t="s">
        <v>49</v>
      </c>
      <c r="G3" s="13" t="s">
        <v>49</v>
      </c>
    </row>
    <row r="4" spans="1:7" x14ac:dyDescent="0.25">
      <c r="A4" s="14" t="s">
        <v>58</v>
      </c>
      <c r="B4" s="15" t="s">
        <v>71</v>
      </c>
      <c r="C4" s="15" t="s">
        <v>388</v>
      </c>
      <c r="D4" s="15" t="s">
        <v>389</v>
      </c>
      <c r="E4" s="15" t="s">
        <v>49</v>
      </c>
      <c r="F4" s="15" t="s">
        <v>49</v>
      </c>
      <c r="G4" s="15" t="s">
        <v>49</v>
      </c>
    </row>
    <row r="5" spans="1:7" x14ac:dyDescent="0.25">
      <c r="A5" s="14" t="s">
        <v>49</v>
      </c>
      <c r="B5" s="15" t="s">
        <v>390</v>
      </c>
      <c r="C5" s="15" t="s">
        <v>390</v>
      </c>
      <c r="D5" s="15" t="s">
        <v>391</v>
      </c>
      <c r="E5" s="15" t="s">
        <v>49</v>
      </c>
      <c r="F5" s="15" t="s">
        <v>49</v>
      </c>
      <c r="G5" s="15" t="s">
        <v>49</v>
      </c>
    </row>
    <row r="6" spans="1:7" x14ac:dyDescent="0.25">
      <c r="A6" s="14" t="s">
        <v>114</v>
      </c>
      <c r="B6" s="15" t="s">
        <v>49</v>
      </c>
      <c r="C6" s="15" t="s">
        <v>49</v>
      </c>
      <c r="D6" s="15" t="s">
        <v>49</v>
      </c>
      <c r="E6" s="15" t="s">
        <v>400</v>
      </c>
      <c r="F6" s="15" t="s">
        <v>401</v>
      </c>
      <c r="G6" s="15" t="s">
        <v>402</v>
      </c>
    </row>
    <row r="7" spans="1:7" x14ac:dyDescent="0.25">
      <c r="A7" s="14" t="s">
        <v>49</v>
      </c>
      <c r="B7" s="15" t="s">
        <v>49</v>
      </c>
      <c r="C7" s="15" t="s">
        <v>49</v>
      </c>
      <c r="D7" s="15" t="s">
        <v>49</v>
      </c>
      <c r="E7" s="15" t="s">
        <v>403</v>
      </c>
      <c r="F7" s="15" t="s">
        <v>404</v>
      </c>
      <c r="G7" s="15" t="s">
        <v>405</v>
      </c>
    </row>
    <row r="8" spans="1:7" x14ac:dyDescent="0.25">
      <c r="A8" s="14" t="s">
        <v>105</v>
      </c>
      <c r="B8" s="15" t="s">
        <v>49</v>
      </c>
      <c r="C8" s="15" t="s">
        <v>392</v>
      </c>
      <c r="D8" s="15" t="s">
        <v>49</v>
      </c>
      <c r="E8" s="15" t="s">
        <v>49</v>
      </c>
      <c r="F8" s="15" t="s">
        <v>393</v>
      </c>
      <c r="G8" s="15" t="s">
        <v>49</v>
      </c>
    </row>
    <row r="9" spans="1:7" x14ac:dyDescent="0.25">
      <c r="A9" s="14" t="s">
        <v>49</v>
      </c>
      <c r="B9" s="15" t="s">
        <v>49</v>
      </c>
      <c r="C9" s="15" t="s">
        <v>394</v>
      </c>
      <c r="D9" s="15" t="s">
        <v>49</v>
      </c>
      <c r="E9" s="15" t="s">
        <v>49</v>
      </c>
      <c r="F9" s="15" t="s">
        <v>395</v>
      </c>
      <c r="G9" s="15" t="s">
        <v>49</v>
      </c>
    </row>
    <row r="10" spans="1:7" x14ac:dyDescent="0.25">
      <c r="A10" s="14" t="s">
        <v>119</v>
      </c>
      <c r="B10" s="15" t="s">
        <v>49</v>
      </c>
      <c r="C10" s="15" t="s">
        <v>49</v>
      </c>
      <c r="D10" s="15" t="s">
        <v>396</v>
      </c>
      <c r="E10" s="15" t="s">
        <v>49</v>
      </c>
      <c r="F10" s="15" t="s">
        <v>49</v>
      </c>
      <c r="G10" s="15" t="s">
        <v>397</v>
      </c>
    </row>
    <row r="11" spans="1:7" x14ac:dyDescent="0.25">
      <c r="A11" s="14" t="s">
        <v>49</v>
      </c>
      <c r="B11" s="15" t="s">
        <v>49</v>
      </c>
      <c r="C11" s="15" t="s">
        <v>49</v>
      </c>
      <c r="D11" s="15" t="s">
        <v>398</v>
      </c>
      <c r="E11" s="15" t="s">
        <v>49</v>
      </c>
      <c r="F11" s="15" t="s">
        <v>49</v>
      </c>
      <c r="G11" s="15" t="s">
        <v>399</v>
      </c>
    </row>
    <row r="14" spans="1:7" x14ac:dyDescent="0.25">
      <c r="A14" s="14" t="s">
        <v>122</v>
      </c>
      <c r="B14" s="15" t="s">
        <v>406</v>
      </c>
      <c r="C14" s="15" t="s">
        <v>407</v>
      </c>
      <c r="D14" s="15" t="s">
        <v>408</v>
      </c>
      <c r="E14" s="15" t="s">
        <v>409</v>
      </c>
      <c r="F14" s="15" t="s">
        <v>410</v>
      </c>
      <c r="G14" s="15" t="s">
        <v>353</v>
      </c>
    </row>
    <row r="15" spans="1:7" x14ac:dyDescent="0.25">
      <c r="A15" s="14" t="s">
        <v>49</v>
      </c>
      <c r="B15" s="15" t="s">
        <v>118</v>
      </c>
      <c r="C15" s="15" t="s">
        <v>411</v>
      </c>
      <c r="D15" s="15" t="s">
        <v>412</v>
      </c>
      <c r="E15" s="15" t="s">
        <v>413</v>
      </c>
      <c r="F15" s="15" t="s">
        <v>414</v>
      </c>
      <c r="G15" s="15" t="s">
        <v>415</v>
      </c>
    </row>
    <row r="16" spans="1:7" x14ac:dyDescent="0.25">
      <c r="A16" s="14" t="s">
        <v>49</v>
      </c>
      <c r="B16" s="15" t="s">
        <v>49</v>
      </c>
      <c r="C16" s="15" t="s">
        <v>49</v>
      </c>
      <c r="D16" s="15" t="s">
        <v>49</v>
      </c>
      <c r="E16" s="15" t="s">
        <v>49</v>
      </c>
      <c r="F16" s="15" t="s">
        <v>49</v>
      </c>
      <c r="G16" s="15" t="s">
        <v>49</v>
      </c>
    </row>
    <row r="17" spans="1:7" x14ac:dyDescent="0.25">
      <c r="A17" s="14" t="s">
        <v>133</v>
      </c>
      <c r="B17" s="15" t="s">
        <v>378</v>
      </c>
      <c r="C17" s="15" t="s">
        <v>378</v>
      </c>
      <c r="D17" s="15" t="s">
        <v>378</v>
      </c>
      <c r="E17" s="15" t="s">
        <v>379</v>
      </c>
      <c r="F17" s="15" t="s">
        <v>379</v>
      </c>
      <c r="G17" s="15" t="s">
        <v>379</v>
      </c>
    </row>
    <row r="18" spans="1:7" x14ac:dyDescent="0.25">
      <c r="A18" s="16" t="s">
        <v>136</v>
      </c>
      <c r="B18" s="17" t="s">
        <v>416</v>
      </c>
      <c r="C18" s="17" t="s">
        <v>417</v>
      </c>
      <c r="D18" s="17" t="s">
        <v>416</v>
      </c>
      <c r="E18" s="17" t="s">
        <v>418</v>
      </c>
      <c r="F18" s="17" t="s">
        <v>419</v>
      </c>
      <c r="G18" s="17" t="s">
        <v>418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48"/>
  <sheetViews>
    <sheetView workbookViewId="0">
      <selection activeCell="A6" sqref="A6"/>
    </sheetView>
  </sheetViews>
  <sheetFormatPr defaultRowHeight="15" x14ac:dyDescent="0.25"/>
  <sheetData>
    <row r="1" spans="1:61" x14ac:dyDescent="0.25">
      <c r="A1" t="s">
        <v>57</v>
      </c>
      <c r="B1" t="s">
        <v>238</v>
      </c>
      <c r="C1" t="s">
        <v>239</v>
      </c>
      <c r="D1" t="s">
        <v>240</v>
      </c>
      <c r="E1" t="s">
        <v>241</v>
      </c>
      <c r="F1" t="s">
        <v>242</v>
      </c>
      <c r="G1" t="s">
        <v>243</v>
      </c>
      <c r="H1" t="s">
        <v>244</v>
      </c>
      <c r="I1" t="s">
        <v>245</v>
      </c>
      <c r="J1" t="s">
        <v>246</v>
      </c>
      <c r="K1" t="s">
        <v>247</v>
      </c>
      <c r="L1" t="s">
        <v>248</v>
      </c>
      <c r="M1" t="s">
        <v>249</v>
      </c>
      <c r="N1" t="s">
        <v>250</v>
      </c>
      <c r="O1" t="s">
        <v>251</v>
      </c>
      <c r="P1" t="s">
        <v>252</v>
      </c>
      <c r="Q1" t="s">
        <v>253</v>
      </c>
      <c r="R1" t="s">
        <v>254</v>
      </c>
      <c r="S1" t="s">
        <v>255</v>
      </c>
      <c r="T1" t="s">
        <v>256</v>
      </c>
      <c r="U1" t="s">
        <v>257</v>
      </c>
      <c r="V1" t="s">
        <v>258</v>
      </c>
      <c r="W1" t="s">
        <v>259</v>
      </c>
      <c r="X1" t="s">
        <v>260</v>
      </c>
      <c r="Y1" t="s">
        <v>261</v>
      </c>
      <c r="Z1" t="s">
        <v>262</v>
      </c>
      <c r="AA1" t="s">
        <v>263</v>
      </c>
      <c r="AB1" t="s">
        <v>264</v>
      </c>
      <c r="AC1" t="s">
        <v>265</v>
      </c>
      <c r="AD1" t="s">
        <v>266</v>
      </c>
      <c r="AE1" t="s">
        <v>267</v>
      </c>
      <c r="AF1" t="s">
        <v>268</v>
      </c>
      <c r="AG1" t="s">
        <v>269</v>
      </c>
      <c r="AH1" t="s">
        <v>110</v>
      </c>
      <c r="AI1" t="s">
        <v>111</v>
      </c>
      <c r="AJ1" t="s">
        <v>112</v>
      </c>
      <c r="AK1" t="s">
        <v>113</v>
      </c>
      <c r="AL1" t="s">
        <v>58</v>
      </c>
      <c r="AM1" t="s">
        <v>114</v>
      </c>
      <c r="AN1" t="s">
        <v>63</v>
      </c>
      <c r="AO1" t="s">
        <v>75</v>
      </c>
      <c r="AP1" t="s">
        <v>87</v>
      </c>
      <c r="AQ1" t="s">
        <v>97</v>
      </c>
      <c r="AR1" t="s">
        <v>270</v>
      </c>
      <c r="AS1" t="s">
        <v>271</v>
      </c>
      <c r="AT1" t="s">
        <v>272</v>
      </c>
      <c r="AU1" t="s">
        <v>273</v>
      </c>
      <c r="AV1" t="s">
        <v>274</v>
      </c>
      <c r="AW1" t="s">
        <v>275</v>
      </c>
      <c r="AX1" t="s">
        <v>276</v>
      </c>
      <c r="AY1" t="s">
        <v>277</v>
      </c>
      <c r="AZ1" t="s">
        <v>278</v>
      </c>
      <c r="BA1" t="s">
        <v>279</v>
      </c>
      <c r="BB1" t="s">
        <v>119</v>
      </c>
      <c r="BC1" t="s">
        <v>280</v>
      </c>
      <c r="BD1" t="s">
        <v>281</v>
      </c>
      <c r="BE1" t="s">
        <v>282</v>
      </c>
      <c r="BF1" t="s">
        <v>283</v>
      </c>
      <c r="BG1" t="s">
        <v>284</v>
      </c>
      <c r="BH1" t="s">
        <v>285</v>
      </c>
      <c r="BI1" t="s">
        <v>286</v>
      </c>
    </row>
    <row r="2" spans="1:61" x14ac:dyDescent="0.25">
      <c r="A2">
        <v>2.2153599999999999E-2</v>
      </c>
      <c r="B2">
        <v>1</v>
      </c>
      <c r="C2" t="s">
        <v>287</v>
      </c>
      <c r="D2">
        <v>1975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0.25700000000000001</v>
      </c>
      <c r="AM2">
        <v>0.29144779999999998</v>
      </c>
      <c r="AN2">
        <v>1.04</v>
      </c>
      <c r="AO2">
        <v>0.23860000000000001</v>
      </c>
      <c r="AP2">
        <v>2.4497100000000001E-2</v>
      </c>
      <c r="AQ2">
        <v>2.3243199999999999E-2</v>
      </c>
      <c r="AR2">
        <v>0.37182379999999998</v>
      </c>
      <c r="AS2">
        <v>0.1502009</v>
      </c>
      <c r="AT2">
        <v>2.5674000000000001</v>
      </c>
      <c r="AU2">
        <v>0.14077890000000001</v>
      </c>
      <c r="AV2">
        <v>0.1033372</v>
      </c>
      <c r="AW2">
        <v>13422</v>
      </c>
      <c r="AX2">
        <v>0.2535</v>
      </c>
      <c r="AY2">
        <v>10.09</v>
      </c>
      <c r="AZ2">
        <v>2.8544E-2</v>
      </c>
      <c r="BA2">
        <v>0.85624</v>
      </c>
      <c r="BB2">
        <v>57.35</v>
      </c>
      <c r="BC2" s="19">
        <v>5.75</v>
      </c>
      <c r="BD2" s="19">
        <v>9.4700000000000006</v>
      </c>
      <c r="BE2" s="19">
        <v>9.5500000000000007</v>
      </c>
      <c r="BF2" s="19">
        <v>6.3</v>
      </c>
      <c r="BG2" s="19">
        <v>5.66</v>
      </c>
      <c r="BH2" s="19">
        <v>7.31</v>
      </c>
      <c r="BI2" s="20">
        <f>AVERAGE(BD2:BG2)</f>
        <v>7.745000000000001</v>
      </c>
    </row>
    <row r="3" spans="1:61" x14ac:dyDescent="0.25">
      <c r="A3">
        <v>1.7281299999999999E-2</v>
      </c>
      <c r="B3">
        <v>1</v>
      </c>
      <c r="C3" t="s">
        <v>287</v>
      </c>
      <c r="D3">
        <v>1980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0.2772</v>
      </c>
      <c r="AM3">
        <v>0.340748</v>
      </c>
      <c r="AN3">
        <v>1.06</v>
      </c>
      <c r="AO3">
        <v>0.22720000000000001</v>
      </c>
      <c r="AP3">
        <v>-5.6127E-3</v>
      </c>
      <c r="AQ3">
        <v>1.59317E-2</v>
      </c>
      <c r="AR3">
        <v>0.3626646</v>
      </c>
      <c r="AS3">
        <v>0.159361</v>
      </c>
      <c r="AT3">
        <v>2.0147499999999998</v>
      </c>
      <c r="AU3">
        <v>0.16672149999999999</v>
      </c>
      <c r="AV3">
        <v>0.1060102</v>
      </c>
      <c r="AW3">
        <v>14357.8</v>
      </c>
      <c r="AX3">
        <v>0.217</v>
      </c>
      <c r="AY3">
        <v>9.81</v>
      </c>
      <c r="AZ3">
        <v>5.7537999999999999E-2</v>
      </c>
      <c r="BA3">
        <v>0.85824</v>
      </c>
      <c r="BB3">
        <v>61.8</v>
      </c>
      <c r="BC3" s="19">
        <v>5.21</v>
      </c>
      <c r="BD3" s="19">
        <v>5.98</v>
      </c>
      <c r="BE3" s="19">
        <v>8.4499999999999993</v>
      </c>
      <c r="BF3" s="19">
        <v>6.01</v>
      </c>
      <c r="BG3" s="19">
        <v>6.15</v>
      </c>
      <c r="BH3" s="19">
        <v>6.4</v>
      </c>
      <c r="BI3" s="20">
        <f t="shared" ref="BI3:BI66" si="0">AVERAGE(BD3:BG3)</f>
        <v>6.6474999999999991</v>
      </c>
    </row>
    <row r="4" spans="1:61" x14ac:dyDescent="0.25">
      <c r="A4">
        <v>1.7296800000000001E-2</v>
      </c>
      <c r="B4">
        <v>1</v>
      </c>
      <c r="C4" t="s">
        <v>287</v>
      </c>
      <c r="D4">
        <v>1985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0.29420000000000002</v>
      </c>
      <c r="AM4">
        <v>0.36165979999999998</v>
      </c>
      <c r="AN4">
        <v>1.02</v>
      </c>
      <c r="AO4">
        <v>0.24360000000000001</v>
      </c>
      <c r="AP4">
        <v>4.2450999999999999E-3</v>
      </c>
      <c r="AQ4">
        <v>1.7741400000000001E-2</v>
      </c>
      <c r="AR4">
        <v>0.34886329999999999</v>
      </c>
      <c r="AS4">
        <v>0.153923</v>
      </c>
      <c r="AT4">
        <v>1.9566669999999999</v>
      </c>
      <c r="AU4">
        <v>0.17729490000000001</v>
      </c>
      <c r="AV4">
        <v>8.3540400000000001E-2</v>
      </c>
      <c r="AW4">
        <v>15355.2</v>
      </c>
      <c r="AX4">
        <v>0.19239999999999999</v>
      </c>
      <c r="AY4">
        <v>10.02</v>
      </c>
      <c r="AZ4">
        <v>7.9259999999999997E-2</v>
      </c>
      <c r="BA4">
        <v>0.85580000000000001</v>
      </c>
      <c r="BB4">
        <v>65.55</v>
      </c>
      <c r="BC4" s="19">
        <v>5.08</v>
      </c>
      <c r="BD4" s="19">
        <v>8.57</v>
      </c>
      <c r="BE4" s="19">
        <v>8.93</v>
      </c>
      <c r="BF4" s="19">
        <v>6.27</v>
      </c>
      <c r="BG4" s="19">
        <v>6.87</v>
      </c>
      <c r="BH4" s="19">
        <v>7.12</v>
      </c>
      <c r="BI4" s="20">
        <f t="shared" si="0"/>
        <v>7.66</v>
      </c>
    </row>
    <row r="5" spans="1:61" x14ac:dyDescent="0.25">
      <c r="A5">
        <v>1.53904E-2</v>
      </c>
      <c r="B5">
        <v>1</v>
      </c>
      <c r="C5" t="s">
        <v>287</v>
      </c>
      <c r="D5">
        <v>1990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L5">
        <v>0.30819999999999997</v>
      </c>
      <c r="AM5">
        <v>0.36503409999999997</v>
      </c>
      <c r="AN5">
        <v>1.03</v>
      </c>
      <c r="AO5">
        <v>0.24179999999999999</v>
      </c>
      <c r="AP5">
        <v>7.9710000000000002E-4</v>
      </c>
      <c r="AQ5">
        <v>2.8683799999999999E-2</v>
      </c>
      <c r="AR5">
        <v>0.33709860000000003</v>
      </c>
      <c r="AS5">
        <v>0.16869429999999999</v>
      </c>
      <c r="AT5">
        <v>1.85</v>
      </c>
      <c r="AU5">
        <v>0.1794751</v>
      </c>
      <c r="AV5">
        <v>7.9258400000000007E-2</v>
      </c>
      <c r="AW5">
        <v>16538.599999999999</v>
      </c>
      <c r="AX5">
        <v>0.2024</v>
      </c>
      <c r="AY5">
        <v>10.06</v>
      </c>
      <c r="AZ5">
        <v>7.2319999999999995E-2</v>
      </c>
      <c r="BA5">
        <v>0.85238000000000003</v>
      </c>
      <c r="BB5">
        <v>69.7</v>
      </c>
      <c r="BC5" s="19">
        <v>4.92</v>
      </c>
      <c r="BD5" s="19">
        <v>9.2899999999999991</v>
      </c>
      <c r="BE5" s="19">
        <v>9.32</v>
      </c>
      <c r="BF5" s="19">
        <v>6.9</v>
      </c>
      <c r="BG5" s="19">
        <v>6.96</v>
      </c>
      <c r="BH5" s="19">
        <v>7.45</v>
      </c>
      <c r="BI5" s="20">
        <f t="shared" si="0"/>
        <v>8.1174999999999997</v>
      </c>
    </row>
    <row r="6" spans="1:61" x14ac:dyDescent="0.25">
      <c r="A6">
        <v>1.7185800000000001E-2</v>
      </c>
      <c r="B6">
        <v>1</v>
      </c>
      <c r="C6" t="s">
        <v>287</v>
      </c>
      <c r="D6">
        <v>1995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0.29480000000000001</v>
      </c>
      <c r="AM6">
        <v>0.3848779</v>
      </c>
      <c r="AN6">
        <v>1</v>
      </c>
      <c r="AO6">
        <v>0.20499999999999999</v>
      </c>
      <c r="AP6">
        <v>1.1900000000000001E-3</v>
      </c>
      <c r="AQ6">
        <v>1.2790599999999999E-2</v>
      </c>
      <c r="AR6">
        <v>0.33044240000000002</v>
      </c>
      <c r="AS6">
        <v>0.18987309999999999</v>
      </c>
      <c r="AT6">
        <v>1.9</v>
      </c>
      <c r="AU6">
        <v>0.1957545</v>
      </c>
      <c r="AV6">
        <v>2.4820700000000001E-2</v>
      </c>
      <c r="AW6">
        <v>17663</v>
      </c>
      <c r="AX6">
        <v>0.16520000000000001</v>
      </c>
      <c r="AY6">
        <v>10.119999999999999</v>
      </c>
      <c r="AZ6">
        <v>9.8683999999999994E-2</v>
      </c>
      <c r="BA6">
        <v>0.84850000000000003</v>
      </c>
      <c r="BB6">
        <v>73.55</v>
      </c>
      <c r="BC6" s="19">
        <v>5.35</v>
      </c>
      <c r="BD6" s="19">
        <v>9.27</v>
      </c>
      <c r="BE6" s="19">
        <v>6.3</v>
      </c>
      <c r="BF6" s="19">
        <v>7.35</v>
      </c>
      <c r="BG6" s="19">
        <v>7.28</v>
      </c>
      <c r="BH6" s="19">
        <v>7.64</v>
      </c>
      <c r="BI6" s="20">
        <f t="shared" si="0"/>
        <v>7.5500000000000007</v>
      </c>
    </row>
    <row r="7" spans="1:61" x14ac:dyDescent="0.25">
      <c r="A7">
        <v>3.6233399999999999E-2</v>
      </c>
      <c r="B7">
        <v>2</v>
      </c>
      <c r="C7" t="s">
        <v>288</v>
      </c>
      <c r="D7">
        <v>1975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0.37419999999999998</v>
      </c>
      <c r="AM7">
        <v>0.39628239999999998</v>
      </c>
      <c r="AN7">
        <v>0.91</v>
      </c>
      <c r="AO7">
        <v>0.28320000000000001</v>
      </c>
      <c r="AP7">
        <v>8.1165399999999999E-2</v>
      </c>
      <c r="AQ7">
        <v>8.6943999999999997E-3</v>
      </c>
      <c r="AR7">
        <v>0.38443310000000003</v>
      </c>
      <c r="AS7">
        <v>0.31317990000000001</v>
      </c>
      <c r="AT7">
        <v>2.0087999999999999</v>
      </c>
      <c r="AU7">
        <v>0.3092741</v>
      </c>
      <c r="AV7">
        <v>7.3290999999999995E-2</v>
      </c>
      <c r="AW7">
        <v>7528.6</v>
      </c>
      <c r="AX7">
        <v>0.29525000000000001</v>
      </c>
      <c r="AY7">
        <v>5.85</v>
      </c>
      <c r="AZ7">
        <v>1.201E-2</v>
      </c>
      <c r="BA7">
        <v>0.52634000000000003</v>
      </c>
      <c r="BB7">
        <v>59.01</v>
      </c>
      <c r="BC7" s="19">
        <v>3.91</v>
      </c>
      <c r="BD7" s="19" t="s">
        <v>49</v>
      </c>
      <c r="BE7" s="19">
        <v>8.35</v>
      </c>
      <c r="BF7" s="19">
        <v>6.74</v>
      </c>
      <c r="BG7" s="19">
        <v>5.73</v>
      </c>
      <c r="BH7" s="19">
        <v>6.46</v>
      </c>
      <c r="BI7" s="20">
        <f t="shared" si="0"/>
        <v>6.94</v>
      </c>
    </row>
    <row r="8" spans="1:61" x14ac:dyDescent="0.25">
      <c r="A8">
        <v>3.3919400000000002E-2</v>
      </c>
      <c r="B8">
        <v>2</v>
      </c>
      <c r="C8" t="s">
        <v>288</v>
      </c>
      <c r="D8">
        <v>1980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0.3916</v>
      </c>
      <c r="AM8">
        <v>0.46389409999999998</v>
      </c>
      <c r="AN8">
        <v>0.99</v>
      </c>
      <c r="AO8">
        <v>0.25719999999999998</v>
      </c>
      <c r="AP8">
        <v>5.0764E-3</v>
      </c>
      <c r="AQ8">
        <v>4.1216999999999998E-3</v>
      </c>
      <c r="AR8">
        <v>0.38108789999999998</v>
      </c>
      <c r="AS8">
        <v>0.34139950000000002</v>
      </c>
      <c r="AT8">
        <v>1.645</v>
      </c>
      <c r="AU8">
        <v>0.35451500000000002</v>
      </c>
      <c r="AV8">
        <v>5.2669000000000001E-2</v>
      </c>
      <c r="AW8">
        <v>7553.4</v>
      </c>
      <c r="AX8">
        <v>0.25600000000000001</v>
      </c>
      <c r="AY8">
        <v>6</v>
      </c>
      <c r="AZ8">
        <v>1.6619999999999999E-2</v>
      </c>
      <c r="BA8">
        <v>0.54190000000000005</v>
      </c>
      <c r="BB8">
        <v>60.53</v>
      </c>
      <c r="BC8" s="19">
        <v>3.36</v>
      </c>
      <c r="BD8" s="19" t="s">
        <v>49</v>
      </c>
      <c r="BE8" s="19">
        <v>7.45</v>
      </c>
      <c r="BF8" s="19">
        <v>6.43</v>
      </c>
      <c r="BG8" s="19">
        <v>5.97</v>
      </c>
      <c r="BH8" s="19">
        <v>6.16</v>
      </c>
      <c r="BI8" s="20">
        <f t="shared" si="0"/>
        <v>6.6166666666666663</v>
      </c>
    </row>
    <row r="9" spans="1:61" x14ac:dyDescent="0.25">
      <c r="A9">
        <v>1.3539499999999999E-2</v>
      </c>
      <c r="B9">
        <v>2</v>
      </c>
      <c r="C9" t="s">
        <v>288</v>
      </c>
      <c r="D9">
        <v>1985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0.41139999999999999</v>
      </c>
      <c r="AM9">
        <v>0.48901719999999999</v>
      </c>
      <c r="AN9">
        <v>1.04</v>
      </c>
      <c r="AO9">
        <v>0.2286</v>
      </c>
      <c r="AP9">
        <v>2.8048500000000001E-2</v>
      </c>
      <c r="AQ9">
        <v>9.4280000000000004E-4</v>
      </c>
      <c r="AR9">
        <v>0.35816229999999999</v>
      </c>
      <c r="AS9">
        <v>0.38697700000000002</v>
      </c>
      <c r="AT9">
        <v>1.5375000000000001</v>
      </c>
      <c r="AU9">
        <v>0.38303330000000002</v>
      </c>
      <c r="AV9">
        <v>4.8783199999999999E-2</v>
      </c>
      <c r="AW9">
        <v>7559.6</v>
      </c>
      <c r="AX9">
        <v>0.2336</v>
      </c>
      <c r="AY9">
        <v>6.89</v>
      </c>
      <c r="AZ9">
        <v>3.4306000000000003E-2</v>
      </c>
      <c r="BA9">
        <v>0.55064000000000002</v>
      </c>
      <c r="BB9">
        <v>70.209999999999994</v>
      </c>
      <c r="BC9" s="19">
        <v>2.71</v>
      </c>
      <c r="BD9" s="19">
        <v>9.4700000000000006</v>
      </c>
      <c r="BE9" s="19">
        <v>6.8</v>
      </c>
      <c r="BF9" s="19">
        <v>6.86</v>
      </c>
      <c r="BG9" s="19">
        <v>6.09</v>
      </c>
      <c r="BH9" s="19">
        <v>6.65</v>
      </c>
      <c r="BI9" s="20">
        <f t="shared" si="0"/>
        <v>7.3049999999999997</v>
      </c>
    </row>
    <row r="10" spans="1:61" x14ac:dyDescent="0.25">
      <c r="A10">
        <v>2.7822800000000002E-2</v>
      </c>
      <c r="B10">
        <v>2</v>
      </c>
      <c r="C10" t="s">
        <v>288</v>
      </c>
      <c r="D10">
        <v>1990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0</v>
      </c>
      <c r="AL10">
        <v>0.41660000000000003</v>
      </c>
      <c r="AM10">
        <v>0.49279909999999999</v>
      </c>
      <c r="AN10">
        <v>1.03</v>
      </c>
      <c r="AO10">
        <v>0.22459999999999999</v>
      </c>
      <c r="AP10">
        <v>7.9986999999999992E-3</v>
      </c>
      <c r="AQ10">
        <v>9.9261999999999996E-3</v>
      </c>
      <c r="AR10">
        <v>0.32541360000000003</v>
      </c>
      <c r="AS10">
        <v>0.38102009999999997</v>
      </c>
      <c r="AT10">
        <v>1.444</v>
      </c>
      <c r="AU10">
        <v>0.37261889999999998</v>
      </c>
      <c r="AV10">
        <v>2.1773199999999999E-2</v>
      </c>
      <c r="AW10">
        <v>7618.02</v>
      </c>
      <c r="AX10">
        <v>0.23780000000000001</v>
      </c>
      <c r="AY10">
        <v>7.17</v>
      </c>
      <c r="AZ10">
        <v>4.6255999999999999E-2</v>
      </c>
      <c r="BA10">
        <v>0.55310000000000004</v>
      </c>
      <c r="BB10">
        <v>71.69</v>
      </c>
      <c r="BC10" s="19">
        <v>2.63</v>
      </c>
      <c r="BD10" s="19">
        <v>9.27</v>
      </c>
      <c r="BE10" s="19">
        <v>6.83</v>
      </c>
      <c r="BF10" s="19">
        <v>6.91</v>
      </c>
      <c r="BG10" s="19">
        <v>6.27</v>
      </c>
      <c r="BH10" s="19">
        <v>6.64</v>
      </c>
      <c r="BI10" s="20">
        <f t="shared" si="0"/>
        <v>7.32</v>
      </c>
    </row>
    <row r="11" spans="1:61" x14ac:dyDescent="0.25">
      <c r="A11">
        <v>1.15163E-2</v>
      </c>
      <c r="B11">
        <v>2</v>
      </c>
      <c r="C11" t="s">
        <v>288</v>
      </c>
      <c r="D11">
        <v>1995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0.42699999999999999</v>
      </c>
      <c r="AM11">
        <v>0.50567930000000005</v>
      </c>
      <c r="AN11">
        <v>1.04</v>
      </c>
      <c r="AO11">
        <v>0.23519999999999999</v>
      </c>
      <c r="AP11">
        <v>7.4203999999999997E-3</v>
      </c>
      <c r="AQ11">
        <v>8.1195E-3</v>
      </c>
      <c r="AR11">
        <v>0.32359529999999997</v>
      </c>
      <c r="AS11">
        <v>0.38189879999999998</v>
      </c>
      <c r="AT11">
        <v>1.476</v>
      </c>
      <c r="AU11">
        <v>0.37908920000000002</v>
      </c>
      <c r="AV11">
        <v>3.1928999999999999E-2</v>
      </c>
      <c r="AW11">
        <v>7961.46</v>
      </c>
      <c r="AX11">
        <v>0.23380000000000001</v>
      </c>
      <c r="AY11">
        <v>7.44</v>
      </c>
      <c r="AZ11">
        <v>5.6554E-2</v>
      </c>
      <c r="BA11">
        <v>0.55459999999999998</v>
      </c>
      <c r="BB11">
        <v>76.38</v>
      </c>
      <c r="BC11" s="19">
        <v>3.11</v>
      </c>
      <c r="BD11" s="19">
        <v>9.82</v>
      </c>
      <c r="BE11" s="19">
        <v>7.99</v>
      </c>
      <c r="BF11" s="19">
        <v>7.44</v>
      </c>
      <c r="BG11" s="19">
        <v>6.21</v>
      </c>
      <c r="BH11" s="19">
        <v>7.2</v>
      </c>
      <c r="BI11" s="20">
        <f t="shared" si="0"/>
        <v>7.8650000000000011</v>
      </c>
    </row>
    <row r="12" spans="1:61" x14ac:dyDescent="0.25">
      <c r="A12">
        <v>3.1628000000000003E-2</v>
      </c>
      <c r="B12">
        <v>3</v>
      </c>
      <c r="C12" t="s">
        <v>289</v>
      </c>
      <c r="D12">
        <v>1975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0.38479999999999998</v>
      </c>
      <c r="AM12">
        <v>0.45133060000000003</v>
      </c>
      <c r="AN12">
        <v>0.95</v>
      </c>
      <c r="AO12">
        <v>0.22</v>
      </c>
      <c r="AP12">
        <v>1.46719E-2</v>
      </c>
      <c r="AQ12">
        <v>8.3715999999999999E-3</v>
      </c>
      <c r="AR12">
        <v>0.36987959999999998</v>
      </c>
      <c r="AS12">
        <v>0.54442469999999998</v>
      </c>
      <c r="AT12">
        <v>1.9628000000000001</v>
      </c>
      <c r="AU12">
        <v>0.52668579999999998</v>
      </c>
      <c r="AV12">
        <v>8.4357799999999997E-2</v>
      </c>
      <c r="AW12">
        <v>9736.6</v>
      </c>
      <c r="AX12">
        <v>0.23774999999999999</v>
      </c>
      <c r="AY12">
        <v>8.4</v>
      </c>
      <c r="AZ12">
        <v>2.7355999999999998E-2</v>
      </c>
      <c r="BA12">
        <v>0.94676000000000005</v>
      </c>
      <c r="BB12">
        <v>71.39</v>
      </c>
      <c r="BC12" s="19">
        <v>4.55</v>
      </c>
      <c r="BD12" s="19">
        <v>9.57</v>
      </c>
      <c r="BE12" s="19">
        <v>5.31</v>
      </c>
      <c r="BF12" s="19">
        <v>9.0500000000000007</v>
      </c>
      <c r="BG12" s="19">
        <v>5.57</v>
      </c>
      <c r="BH12" s="19">
        <v>7.66</v>
      </c>
      <c r="BI12" s="20">
        <f t="shared" si="0"/>
        <v>7.375</v>
      </c>
    </row>
    <row r="13" spans="1:61" x14ac:dyDescent="0.25">
      <c r="A13">
        <v>2.95792E-2</v>
      </c>
      <c r="B13">
        <v>3</v>
      </c>
      <c r="C13" t="s">
        <v>289</v>
      </c>
      <c r="D13">
        <v>1980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0.44180000000000003</v>
      </c>
      <c r="AM13">
        <v>0.54604839999999999</v>
      </c>
      <c r="AN13">
        <v>1.02</v>
      </c>
      <c r="AO13">
        <v>0.21479999999999999</v>
      </c>
      <c r="AP13">
        <v>-8.7223000000000005E-3</v>
      </c>
      <c r="AQ13">
        <v>7.7346999999999997E-3</v>
      </c>
      <c r="AR13">
        <v>0.36139870000000002</v>
      </c>
      <c r="AS13">
        <v>0.57343920000000004</v>
      </c>
      <c r="AT13">
        <v>1.6963999999999999</v>
      </c>
      <c r="AU13">
        <v>0.5842813</v>
      </c>
      <c r="AV13">
        <v>6.3721799999999995E-2</v>
      </c>
      <c r="AW13">
        <v>9829.4</v>
      </c>
      <c r="AX13">
        <v>0.19639999999999999</v>
      </c>
      <c r="AY13">
        <v>8.0399999999999991</v>
      </c>
      <c r="AZ13">
        <v>7.1223999999999996E-2</v>
      </c>
      <c r="BA13">
        <v>0.95226</v>
      </c>
      <c r="BB13">
        <v>71.900000000000006</v>
      </c>
      <c r="BC13" s="19">
        <v>3.77</v>
      </c>
      <c r="BD13" s="19">
        <v>8.44</v>
      </c>
      <c r="BE13" s="19">
        <v>7.31</v>
      </c>
      <c r="BF13" s="19">
        <v>8.58</v>
      </c>
      <c r="BG13" s="19">
        <v>5.38</v>
      </c>
      <c r="BH13" s="19">
        <v>6.96</v>
      </c>
      <c r="BI13" s="20">
        <f t="shared" si="0"/>
        <v>7.4274999999999993</v>
      </c>
    </row>
    <row r="14" spans="1:61" x14ac:dyDescent="0.25">
      <c r="A14">
        <v>6.5409999999999999E-3</v>
      </c>
      <c r="B14">
        <v>3</v>
      </c>
      <c r="C14" t="s">
        <v>289</v>
      </c>
      <c r="D14">
        <v>1985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0.46500000000000002</v>
      </c>
      <c r="AM14">
        <v>0.62070789999999998</v>
      </c>
      <c r="AN14">
        <v>1.04</v>
      </c>
      <c r="AO14">
        <v>0.16600000000000001</v>
      </c>
      <c r="AP14">
        <v>3.2131E-3</v>
      </c>
      <c r="AQ14">
        <v>2.2277E-3</v>
      </c>
      <c r="AR14">
        <v>0.3447344</v>
      </c>
      <c r="AS14">
        <v>0.74071569999999998</v>
      </c>
      <c r="AT14">
        <v>1.585</v>
      </c>
      <c r="AU14">
        <v>0.7339059</v>
      </c>
      <c r="AV14">
        <v>7.0549200000000006E-2</v>
      </c>
      <c r="AW14">
        <v>9855</v>
      </c>
      <c r="AX14">
        <v>0.13980000000000001</v>
      </c>
      <c r="AY14">
        <v>8.17</v>
      </c>
      <c r="AZ14">
        <v>0.122866</v>
      </c>
      <c r="BA14">
        <v>0.95777999999999996</v>
      </c>
      <c r="BB14">
        <v>76.36</v>
      </c>
      <c r="BC14" s="19">
        <v>3.42</v>
      </c>
      <c r="BD14" s="19">
        <v>8.9700000000000006</v>
      </c>
      <c r="BE14" s="19">
        <v>4.58</v>
      </c>
      <c r="BF14" s="19">
        <v>8.6300000000000008</v>
      </c>
      <c r="BG14" s="19">
        <v>5.75</v>
      </c>
      <c r="BH14" s="19">
        <v>7.22</v>
      </c>
      <c r="BI14" s="20">
        <f t="shared" si="0"/>
        <v>6.9824999999999999</v>
      </c>
    </row>
    <row r="15" spans="1:61" x14ac:dyDescent="0.25">
      <c r="A15">
        <v>2.8640700000000002E-2</v>
      </c>
      <c r="B15">
        <v>3</v>
      </c>
      <c r="C15" t="s">
        <v>289</v>
      </c>
      <c r="D15">
        <v>1990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0.45440000000000003</v>
      </c>
      <c r="AM15">
        <v>0.56793919999999998</v>
      </c>
      <c r="AN15">
        <v>1</v>
      </c>
      <c r="AO15">
        <v>0.17699999999999999</v>
      </c>
      <c r="AP15">
        <v>6.0464000000000004E-3</v>
      </c>
      <c r="AQ15">
        <v>3.0305000000000002E-3</v>
      </c>
      <c r="AR15">
        <v>0.32554270000000002</v>
      </c>
      <c r="AS15">
        <v>0.72576010000000002</v>
      </c>
      <c r="AT15">
        <v>1.57</v>
      </c>
      <c r="AU15">
        <v>0.69257869999999999</v>
      </c>
      <c r="AV15">
        <v>2.11124E-2</v>
      </c>
      <c r="AW15">
        <v>9907.8799999999992</v>
      </c>
      <c r="AX15">
        <v>0.18940000000000001</v>
      </c>
      <c r="AY15">
        <v>8.42</v>
      </c>
      <c r="AZ15">
        <v>0.10373599999999999</v>
      </c>
      <c r="BA15">
        <v>0.96328000000000003</v>
      </c>
      <c r="BB15">
        <v>81.78</v>
      </c>
      <c r="BC15" s="19">
        <v>3.4</v>
      </c>
      <c r="BD15" s="19">
        <v>9.0299999999999994</v>
      </c>
      <c r="BE15" s="19">
        <v>7.08</v>
      </c>
      <c r="BF15" s="19">
        <v>8.84</v>
      </c>
      <c r="BG15" s="19">
        <v>5.62</v>
      </c>
      <c r="BH15" s="19">
        <v>7.25</v>
      </c>
      <c r="BI15" s="20">
        <f t="shared" si="0"/>
        <v>7.6425000000000001</v>
      </c>
    </row>
    <row r="16" spans="1:61" x14ac:dyDescent="0.25">
      <c r="A16">
        <v>8.5430999999999997E-3</v>
      </c>
      <c r="B16">
        <v>3</v>
      </c>
      <c r="C16" t="s">
        <v>289</v>
      </c>
      <c r="D16">
        <v>1995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0.4546</v>
      </c>
      <c r="AM16">
        <v>0.55619790000000002</v>
      </c>
      <c r="AN16">
        <v>1.02</v>
      </c>
      <c r="AO16">
        <v>0.18099999999999999</v>
      </c>
      <c r="AP16">
        <v>7.7184000000000003E-3</v>
      </c>
      <c r="AQ16">
        <v>6.0299999999999998E-3</v>
      </c>
      <c r="AR16">
        <v>0.33227319999999999</v>
      </c>
      <c r="AS16">
        <v>0.71288309999999999</v>
      </c>
      <c r="AT16">
        <v>1.62</v>
      </c>
      <c r="AU16">
        <v>0.66785399999999995</v>
      </c>
      <c r="AV16">
        <v>2.4759E-2</v>
      </c>
      <c r="AW16">
        <v>10079.4</v>
      </c>
      <c r="AX16">
        <v>0.2114</v>
      </c>
      <c r="AY16">
        <v>8.75</v>
      </c>
      <c r="AZ16">
        <v>0.116026</v>
      </c>
      <c r="BA16">
        <v>0.96809999999999996</v>
      </c>
      <c r="BB16">
        <v>83.28</v>
      </c>
      <c r="BC16" s="19">
        <v>4.1900000000000004</v>
      </c>
      <c r="BD16" s="19">
        <v>9.57</v>
      </c>
      <c r="BE16" s="19">
        <v>5.66</v>
      </c>
      <c r="BF16" s="19">
        <v>8.7200000000000006</v>
      </c>
      <c r="BG16" s="19">
        <v>5.72</v>
      </c>
      <c r="BH16" s="19">
        <v>7.52</v>
      </c>
      <c r="BI16" s="20">
        <f t="shared" si="0"/>
        <v>7.4175000000000004</v>
      </c>
    </row>
    <row r="17" spans="1:61" x14ac:dyDescent="0.25">
      <c r="A17">
        <v>3.4172099999999997E-2</v>
      </c>
      <c r="B17">
        <v>4</v>
      </c>
      <c r="C17" t="s">
        <v>290</v>
      </c>
      <c r="D17">
        <v>1975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0.31740000000000002</v>
      </c>
      <c r="AM17">
        <v>0.36658570000000001</v>
      </c>
      <c r="AN17">
        <v>1.08</v>
      </c>
      <c r="AO17">
        <v>0.2258</v>
      </c>
      <c r="AP17">
        <v>1.9007199999999998E-2</v>
      </c>
      <c r="AQ17">
        <v>3.4935899999999999E-2</v>
      </c>
      <c r="AR17">
        <v>0.380604</v>
      </c>
      <c r="AS17">
        <v>0.2308791</v>
      </c>
      <c r="AT17">
        <v>1.9343999999999999</v>
      </c>
      <c r="AU17">
        <v>0.22519230000000001</v>
      </c>
      <c r="AV17">
        <v>7.4397400000000002E-2</v>
      </c>
      <c r="AW17">
        <v>22398.400000000001</v>
      </c>
      <c r="AX17">
        <v>0.23899999999999999</v>
      </c>
      <c r="AY17">
        <v>8.57</v>
      </c>
      <c r="AZ17">
        <v>6.0707999999999998E-2</v>
      </c>
      <c r="BA17">
        <v>0.75626000000000004</v>
      </c>
      <c r="BB17">
        <v>72.73</v>
      </c>
      <c r="BC17" s="19">
        <v>4.8899999999999997</v>
      </c>
      <c r="BD17" s="19">
        <v>9.84</v>
      </c>
      <c r="BE17" s="19">
        <v>3.81</v>
      </c>
      <c r="BF17" s="19">
        <v>8.35</v>
      </c>
      <c r="BG17" s="19">
        <v>7.5</v>
      </c>
      <c r="BH17" s="19">
        <v>7.97</v>
      </c>
      <c r="BI17" s="20">
        <f t="shared" si="0"/>
        <v>7.375</v>
      </c>
    </row>
    <row r="18" spans="1:61" x14ac:dyDescent="0.25">
      <c r="A18">
        <v>2.7268899999999999E-2</v>
      </c>
      <c r="B18">
        <v>4</v>
      </c>
      <c r="C18" t="s">
        <v>290</v>
      </c>
      <c r="D18">
        <v>1980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0.312</v>
      </c>
      <c r="AM18">
        <v>0.39241870000000001</v>
      </c>
      <c r="AN18">
        <v>1.1599999999999999</v>
      </c>
      <c r="AO18">
        <v>0.22800000000000001</v>
      </c>
      <c r="AP18">
        <v>2.16768E-2</v>
      </c>
      <c r="AQ18">
        <v>3.08154E-2</v>
      </c>
      <c r="AR18">
        <v>0.34594340000000001</v>
      </c>
      <c r="AS18">
        <v>0.25520880000000001</v>
      </c>
      <c r="AT18">
        <v>1.768</v>
      </c>
      <c r="AU18">
        <v>0.25042229999999999</v>
      </c>
      <c r="AV18">
        <v>8.7238599999999999E-2</v>
      </c>
      <c r="AW18">
        <v>24150.799999999999</v>
      </c>
      <c r="AX18">
        <v>0.22320000000000001</v>
      </c>
      <c r="AY18">
        <v>9.5399999999999991</v>
      </c>
      <c r="AZ18">
        <v>7.7259999999999995E-2</v>
      </c>
      <c r="BA18">
        <v>0.75639999999999996</v>
      </c>
      <c r="BB18">
        <v>74.599999999999994</v>
      </c>
      <c r="BC18" s="19">
        <v>5.23</v>
      </c>
      <c r="BD18" s="19">
        <v>6.88</v>
      </c>
      <c r="BE18" s="19">
        <v>5.87</v>
      </c>
      <c r="BF18" s="19">
        <v>7.44</v>
      </c>
      <c r="BG18" s="19">
        <v>7.17</v>
      </c>
      <c r="BH18" s="19">
        <v>7.14</v>
      </c>
      <c r="BI18" s="20">
        <f t="shared" si="0"/>
        <v>6.84</v>
      </c>
    </row>
    <row r="19" spans="1:61" x14ac:dyDescent="0.25">
      <c r="A19">
        <v>1.8094699999999998E-2</v>
      </c>
      <c r="B19">
        <v>4</v>
      </c>
      <c r="C19" t="s">
        <v>290</v>
      </c>
      <c r="D19">
        <v>1985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0.33239999999999997</v>
      </c>
      <c r="AM19">
        <v>0.44741890000000001</v>
      </c>
      <c r="AN19">
        <v>1.18</v>
      </c>
      <c r="AO19">
        <v>0.2112</v>
      </c>
      <c r="AP19">
        <v>1.4064200000000001E-2</v>
      </c>
      <c r="AQ19">
        <v>1.84256E-2</v>
      </c>
      <c r="AR19">
        <v>0.32085059999999999</v>
      </c>
      <c r="AS19">
        <v>0.27224930000000003</v>
      </c>
      <c r="AT19">
        <v>1.6779999999999999</v>
      </c>
      <c r="AU19">
        <v>0.24388380000000001</v>
      </c>
      <c r="AV19">
        <v>7.4801800000000002E-2</v>
      </c>
      <c r="AW19">
        <v>25330.400000000001</v>
      </c>
      <c r="AX19">
        <v>0.2014</v>
      </c>
      <c r="AY19">
        <v>10.23</v>
      </c>
      <c r="AZ19">
        <v>0.104632</v>
      </c>
      <c r="BA19">
        <v>0.76073999999999997</v>
      </c>
      <c r="BB19">
        <v>79.75</v>
      </c>
      <c r="BC19" s="19">
        <v>4.87</v>
      </c>
      <c r="BD19" s="19">
        <v>8.4600000000000009</v>
      </c>
      <c r="BE19" s="19">
        <v>7.11</v>
      </c>
      <c r="BF19" s="19">
        <v>7.69</v>
      </c>
      <c r="BG19" s="19">
        <v>7.65</v>
      </c>
      <c r="BH19" s="19">
        <v>7.58</v>
      </c>
      <c r="BI19" s="20">
        <f t="shared" si="0"/>
        <v>7.7275000000000009</v>
      </c>
    </row>
    <row r="20" spans="1:61" x14ac:dyDescent="0.25">
      <c r="A20">
        <v>1.4664099999999999E-2</v>
      </c>
      <c r="B20">
        <v>4</v>
      </c>
      <c r="C20" t="s">
        <v>290</v>
      </c>
      <c r="D20">
        <v>1990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0.34799999999999998</v>
      </c>
      <c r="AM20">
        <v>0.44870660000000001</v>
      </c>
      <c r="AN20">
        <v>1.19</v>
      </c>
      <c r="AO20">
        <v>0.2152</v>
      </c>
      <c r="AP20">
        <v>-5.535E-3</v>
      </c>
      <c r="AQ20">
        <v>1.7700299999999999E-2</v>
      </c>
      <c r="AR20">
        <v>0.31489479999999997</v>
      </c>
      <c r="AS20">
        <v>0.26309169999999998</v>
      </c>
      <c r="AT20">
        <v>1.74</v>
      </c>
      <c r="AU20">
        <v>0.25979200000000002</v>
      </c>
      <c r="AV20">
        <v>4.4604199999999997E-2</v>
      </c>
      <c r="AW20">
        <v>27034.799999999999</v>
      </c>
      <c r="AX20">
        <v>0.187</v>
      </c>
      <c r="AY20">
        <v>9.9499999999999993</v>
      </c>
      <c r="AZ20">
        <v>8.3724000000000007E-2</v>
      </c>
      <c r="BA20">
        <v>0.76488</v>
      </c>
      <c r="BB20">
        <v>78.819999999999993</v>
      </c>
      <c r="BC20" s="19">
        <v>4.74</v>
      </c>
      <c r="BD20" s="19">
        <v>9.2899999999999991</v>
      </c>
      <c r="BE20" s="19">
        <v>8.9499999999999993</v>
      </c>
      <c r="BF20" s="19">
        <v>7.68</v>
      </c>
      <c r="BG20" s="19">
        <v>7.63</v>
      </c>
      <c r="BH20" s="19">
        <v>7.65</v>
      </c>
      <c r="BI20" s="20">
        <f t="shared" si="0"/>
        <v>8.3874999999999993</v>
      </c>
    </row>
    <row r="21" spans="1:61" x14ac:dyDescent="0.25">
      <c r="A21">
        <v>2.2596999999999999E-3</v>
      </c>
      <c r="B21">
        <v>4</v>
      </c>
      <c r="C21" t="s">
        <v>290</v>
      </c>
      <c r="D21">
        <v>1995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0.36520000000000002</v>
      </c>
      <c r="AM21">
        <v>0.49647930000000001</v>
      </c>
      <c r="AN21">
        <v>1.1399999999999999</v>
      </c>
      <c r="AO21">
        <v>0.1862</v>
      </c>
      <c r="AP21">
        <v>7.7190999999999996E-3</v>
      </c>
      <c r="AQ21">
        <v>8.2377000000000006E-3</v>
      </c>
      <c r="AR21">
        <v>0.3194919</v>
      </c>
      <c r="AS21">
        <v>0.3025988</v>
      </c>
      <c r="AT21">
        <v>1.6825000000000001</v>
      </c>
      <c r="AU21">
        <v>0.30133860000000001</v>
      </c>
      <c r="AV21">
        <v>2.3129799999999999E-2</v>
      </c>
      <c r="AW21">
        <v>28893.200000000001</v>
      </c>
      <c r="AX21">
        <v>0.1474</v>
      </c>
      <c r="AY21">
        <v>10.34</v>
      </c>
      <c r="AZ21">
        <v>0.10564800000000001</v>
      </c>
      <c r="BA21">
        <v>0.76639999999999997</v>
      </c>
      <c r="BB21">
        <v>78.63</v>
      </c>
      <c r="BC21" s="19">
        <v>5.31</v>
      </c>
      <c r="BD21" s="19">
        <v>9.84</v>
      </c>
      <c r="BE21" s="19">
        <v>8.52</v>
      </c>
      <c r="BF21" s="19">
        <v>7.59</v>
      </c>
      <c r="BG21" s="19">
        <v>7.63</v>
      </c>
      <c r="BH21" s="19">
        <v>7.97</v>
      </c>
      <c r="BI21" s="20">
        <f t="shared" si="0"/>
        <v>8.3949999999999996</v>
      </c>
    </row>
    <row r="22" spans="1:61" x14ac:dyDescent="0.25">
      <c r="A22">
        <v>1.43345E-2</v>
      </c>
      <c r="B22">
        <v>5</v>
      </c>
      <c r="C22" t="s">
        <v>291</v>
      </c>
      <c r="D22">
        <v>1975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0.42880000000000001</v>
      </c>
      <c r="AM22">
        <v>0.43590780000000001</v>
      </c>
      <c r="AN22">
        <v>1.06</v>
      </c>
      <c r="AO22">
        <v>0.2374</v>
      </c>
      <c r="AP22">
        <v>-1.4011E-3</v>
      </c>
      <c r="AQ22">
        <v>8.0464000000000004E-3</v>
      </c>
      <c r="AR22">
        <v>0.35579230000000001</v>
      </c>
      <c r="AS22">
        <v>0.29009299999999999</v>
      </c>
      <c r="AT22">
        <v>1.9610000000000001</v>
      </c>
      <c r="AU22">
        <v>0.3041488</v>
      </c>
      <c r="AV22">
        <v>9.3343400000000007E-2</v>
      </c>
      <c r="AW22">
        <v>5016.3999999999996</v>
      </c>
      <c r="AX22">
        <v>0.22675000000000001</v>
      </c>
      <c r="AY22">
        <v>9.9499999999999993</v>
      </c>
      <c r="AZ22">
        <v>2.3812E-2</v>
      </c>
      <c r="BA22">
        <v>0.80979999999999996</v>
      </c>
      <c r="BB22">
        <v>66.72</v>
      </c>
      <c r="BC22" s="19">
        <v>4.29</v>
      </c>
      <c r="BD22" s="19">
        <v>9.74</v>
      </c>
      <c r="BE22" s="19">
        <v>8.27</v>
      </c>
      <c r="BF22" s="19">
        <v>7.45</v>
      </c>
      <c r="BG22" s="19">
        <v>7.42</v>
      </c>
      <c r="BH22" s="19">
        <v>7.08</v>
      </c>
      <c r="BI22" s="20">
        <f t="shared" si="0"/>
        <v>8.2199999999999989</v>
      </c>
    </row>
    <row r="23" spans="1:61" x14ac:dyDescent="0.25">
      <c r="A23">
        <v>2.2553900000000002E-2</v>
      </c>
      <c r="B23">
        <v>5</v>
      </c>
      <c r="C23" t="s">
        <v>291</v>
      </c>
      <c r="D23">
        <v>1980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0.43380000000000002</v>
      </c>
      <c r="AM23">
        <v>0.50704959999999999</v>
      </c>
      <c r="AN23">
        <v>1.04</v>
      </c>
      <c r="AO23">
        <v>0.2104</v>
      </c>
      <c r="AP23">
        <v>3.5921999999999998E-3</v>
      </c>
      <c r="AQ23">
        <v>1.24558E-2</v>
      </c>
      <c r="AR23">
        <v>0.35974309999999998</v>
      </c>
      <c r="AS23">
        <v>0.2947708</v>
      </c>
      <c r="AT23">
        <v>1.6446000000000001</v>
      </c>
      <c r="AU23">
        <v>0.32346839999999999</v>
      </c>
      <c r="AV23">
        <v>0.1046438</v>
      </c>
      <c r="AW23">
        <v>5101</v>
      </c>
      <c r="AX23">
        <v>0.1772</v>
      </c>
      <c r="AY23">
        <v>10.130000000000001</v>
      </c>
      <c r="AZ23">
        <v>6.4427999999999999E-2</v>
      </c>
      <c r="BA23">
        <v>0.8296</v>
      </c>
      <c r="BB23">
        <v>67.489999999999995</v>
      </c>
      <c r="BC23" s="19">
        <v>3.63</v>
      </c>
      <c r="BD23" s="19">
        <v>7.29</v>
      </c>
      <c r="BE23" s="20"/>
      <c r="BF23" s="19">
        <v>7.28</v>
      </c>
      <c r="BG23" s="19">
        <v>7.37</v>
      </c>
      <c r="BH23" s="19">
        <v>6.31</v>
      </c>
      <c r="BI23" s="20">
        <f t="shared" si="0"/>
        <v>7.3133333333333335</v>
      </c>
    </row>
    <row r="24" spans="1:61" x14ac:dyDescent="0.25">
      <c r="A24">
        <v>2.6831899999999999E-2</v>
      </c>
      <c r="B24">
        <v>5</v>
      </c>
      <c r="C24" t="s">
        <v>291</v>
      </c>
      <c r="D24">
        <v>1985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0.46579999999999999</v>
      </c>
      <c r="AM24">
        <v>0.59525609999999995</v>
      </c>
      <c r="AN24">
        <v>1.03</v>
      </c>
      <c r="AO24">
        <v>0.16719999999999999</v>
      </c>
      <c r="AP24">
        <v>3.5287999999999999E-3</v>
      </c>
      <c r="AQ24">
        <v>1.1729699999999999E-2</v>
      </c>
      <c r="AR24">
        <v>0.35256690000000002</v>
      </c>
      <c r="AS24">
        <v>0.3653035</v>
      </c>
      <c r="AT24">
        <v>1.4176</v>
      </c>
      <c r="AU24">
        <v>0.35581659999999998</v>
      </c>
      <c r="AV24">
        <v>7.9333200000000006E-2</v>
      </c>
      <c r="AW24">
        <v>5116</v>
      </c>
      <c r="AX24">
        <v>0.1358</v>
      </c>
      <c r="AY24">
        <v>10.31</v>
      </c>
      <c r="AZ24">
        <v>9.7000000000000003E-2</v>
      </c>
      <c r="BA24">
        <v>0.84079999999999999</v>
      </c>
      <c r="BB24">
        <v>70.459999999999994</v>
      </c>
      <c r="BC24" s="19">
        <v>3.06</v>
      </c>
      <c r="BD24" s="19">
        <v>8.48</v>
      </c>
      <c r="BE24" s="19">
        <v>8.51</v>
      </c>
      <c r="BF24" s="19">
        <v>7.35</v>
      </c>
      <c r="BG24" s="19">
        <v>7.31</v>
      </c>
      <c r="BH24" s="19">
        <v>6.52</v>
      </c>
      <c r="BI24" s="20">
        <f t="shared" si="0"/>
        <v>7.9125000000000005</v>
      </c>
    </row>
    <row r="25" spans="1:61" x14ac:dyDescent="0.25">
      <c r="A25">
        <v>1.30936E-2</v>
      </c>
      <c r="B25">
        <v>5</v>
      </c>
      <c r="C25" t="s">
        <v>291</v>
      </c>
      <c r="D25">
        <v>1990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0</v>
      </c>
      <c r="AL25">
        <v>0.50680000000000003</v>
      </c>
      <c r="AM25">
        <v>0.58046759999999997</v>
      </c>
      <c r="AN25">
        <v>1.0900000000000001</v>
      </c>
      <c r="AO25">
        <v>0.18820000000000001</v>
      </c>
      <c r="AP25">
        <v>3.4675999999999999E-3</v>
      </c>
      <c r="AQ25">
        <v>3.761E-3</v>
      </c>
      <c r="AR25">
        <v>0.33529530000000002</v>
      </c>
      <c r="AS25">
        <v>0.33227469999999998</v>
      </c>
      <c r="AT25">
        <v>1.5660000000000001</v>
      </c>
      <c r="AU25">
        <v>0.30537130000000001</v>
      </c>
      <c r="AV25">
        <v>3.9251000000000001E-2</v>
      </c>
      <c r="AW25">
        <v>5130.2</v>
      </c>
      <c r="AX25">
        <v>0.16700000000000001</v>
      </c>
      <c r="AY25">
        <v>10.49</v>
      </c>
      <c r="AZ25">
        <v>8.6085999999999996E-2</v>
      </c>
      <c r="BA25">
        <v>0.84589999999999999</v>
      </c>
      <c r="BB25">
        <v>74.81</v>
      </c>
      <c r="BC25" s="19">
        <v>3.14</v>
      </c>
      <c r="BD25" s="19">
        <v>9.31</v>
      </c>
      <c r="BE25" s="19">
        <v>8.09</v>
      </c>
      <c r="BF25" s="19">
        <v>7.51</v>
      </c>
      <c r="BG25" s="19">
        <v>7.21</v>
      </c>
      <c r="BH25" s="19">
        <v>6.66</v>
      </c>
      <c r="BI25" s="20">
        <f t="shared" si="0"/>
        <v>8.0299999999999994</v>
      </c>
    </row>
    <row r="26" spans="1:61" x14ac:dyDescent="0.25">
      <c r="A26">
        <v>1.6409799999999999E-2</v>
      </c>
      <c r="B26">
        <v>5</v>
      </c>
      <c r="C26" t="s">
        <v>291</v>
      </c>
      <c r="D26">
        <v>1995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0.50280000000000002</v>
      </c>
      <c r="AM26">
        <v>0.61692709999999995</v>
      </c>
      <c r="AN26">
        <v>1.03</v>
      </c>
      <c r="AO26">
        <v>0.155</v>
      </c>
      <c r="AP26">
        <v>1.33653E-2</v>
      </c>
      <c r="AQ26">
        <v>-2.5460000000000001E-3</v>
      </c>
      <c r="AR26">
        <v>0.32636189999999998</v>
      </c>
      <c r="AS26">
        <v>0.35452519999999998</v>
      </c>
      <c r="AT26">
        <v>1.76</v>
      </c>
      <c r="AU26">
        <v>0.29168569999999999</v>
      </c>
      <c r="AV26">
        <v>1.92646E-2</v>
      </c>
      <c r="AW26">
        <v>5187.6000000000004</v>
      </c>
      <c r="AX26">
        <v>0.17280000000000001</v>
      </c>
      <c r="AY26">
        <v>11.21</v>
      </c>
      <c r="AZ26">
        <v>0.11310199999999999</v>
      </c>
      <c r="BA26">
        <v>0.85033999999999998</v>
      </c>
      <c r="BB26">
        <v>75.319999999999993</v>
      </c>
      <c r="BC26" s="19">
        <v>2.92</v>
      </c>
      <c r="BD26" s="19">
        <v>9.86</v>
      </c>
      <c r="BE26" s="19">
        <v>8.41</v>
      </c>
      <c r="BF26" s="19">
        <v>7.32</v>
      </c>
      <c r="BG26" s="19">
        <v>7.3</v>
      </c>
      <c r="BH26" s="19">
        <v>7.34</v>
      </c>
      <c r="BI26" s="20">
        <f t="shared" si="0"/>
        <v>8.2225000000000001</v>
      </c>
    </row>
    <row r="27" spans="1:61" x14ac:dyDescent="0.25">
      <c r="A27">
        <v>3.6173900000000002E-2</v>
      </c>
      <c r="B27">
        <v>6</v>
      </c>
      <c r="C27" t="s">
        <v>292</v>
      </c>
      <c r="D27">
        <v>1975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0.35320000000000001</v>
      </c>
      <c r="AM27">
        <v>0.32682349999999999</v>
      </c>
      <c r="AN27">
        <v>0.86</v>
      </c>
      <c r="AO27">
        <v>0.28860000000000002</v>
      </c>
      <c r="AP27">
        <v>1.6521299999999999E-2</v>
      </c>
      <c r="AQ27">
        <v>9.5101000000000005E-3</v>
      </c>
      <c r="AR27">
        <v>0.337538</v>
      </c>
      <c r="AS27">
        <v>0.2535866</v>
      </c>
      <c r="AT27">
        <v>1.6226</v>
      </c>
      <c r="AU27">
        <v>0.27724159999999998</v>
      </c>
      <c r="AV27">
        <v>0.1179938</v>
      </c>
      <c r="AW27">
        <v>4664.8</v>
      </c>
      <c r="AX27">
        <v>0.28575</v>
      </c>
      <c r="AY27">
        <v>8.39</v>
      </c>
      <c r="AZ27">
        <v>2.2168E-2</v>
      </c>
      <c r="BA27">
        <v>0.55064000000000002</v>
      </c>
      <c r="BB27">
        <v>56.37</v>
      </c>
      <c r="BC27" s="19">
        <v>5.27</v>
      </c>
      <c r="BD27" s="19">
        <v>8.41</v>
      </c>
      <c r="BE27" s="19">
        <v>7.96</v>
      </c>
      <c r="BF27" s="19">
        <v>6.8</v>
      </c>
      <c r="BG27" s="19">
        <v>7.23</v>
      </c>
      <c r="BH27" s="19">
        <v>7.12</v>
      </c>
      <c r="BI27" s="20">
        <f t="shared" si="0"/>
        <v>7.6000000000000005</v>
      </c>
    </row>
    <row r="28" spans="1:61" x14ac:dyDescent="0.25">
      <c r="A28">
        <v>2.5062899999999999E-2</v>
      </c>
      <c r="B28">
        <v>6</v>
      </c>
      <c r="C28" t="s">
        <v>292</v>
      </c>
      <c r="D28">
        <v>1980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0.39079999999999998</v>
      </c>
      <c r="AM28">
        <v>0.39686090000000002</v>
      </c>
      <c r="AN28">
        <v>0.94</v>
      </c>
      <c r="AO28">
        <v>0.25019999999999998</v>
      </c>
      <c r="AP28">
        <v>7.0511999999999997E-3</v>
      </c>
      <c r="AQ28">
        <v>1.4573300000000001E-2</v>
      </c>
      <c r="AR28">
        <v>0.32666099999999998</v>
      </c>
      <c r="AS28">
        <v>0.29849219999999999</v>
      </c>
      <c r="AT28">
        <v>1.6413329999999999</v>
      </c>
      <c r="AU28">
        <v>0.28943590000000002</v>
      </c>
      <c r="AV28">
        <v>0.107612</v>
      </c>
      <c r="AW28">
        <v>4752.6000000000004</v>
      </c>
      <c r="AX28">
        <v>0.24579999999999999</v>
      </c>
      <c r="AY28">
        <v>8.69</v>
      </c>
      <c r="AZ28">
        <v>5.5284E-2</v>
      </c>
      <c r="BA28">
        <v>0.59201999999999999</v>
      </c>
      <c r="BB28">
        <v>58.11</v>
      </c>
      <c r="BC28" s="19">
        <v>4.9000000000000004</v>
      </c>
      <c r="BD28" s="19">
        <v>5.89</v>
      </c>
      <c r="BE28" s="19">
        <v>6.62</v>
      </c>
      <c r="BF28" s="19">
        <v>6.57</v>
      </c>
      <c r="BG28" s="19">
        <v>7.19</v>
      </c>
      <c r="BH28" s="19">
        <v>6.25</v>
      </c>
      <c r="BI28" s="20">
        <f t="shared" si="0"/>
        <v>6.5674999999999999</v>
      </c>
    </row>
    <row r="29" spans="1:61" x14ac:dyDescent="0.25">
      <c r="A29">
        <v>2.3211699999999998E-2</v>
      </c>
      <c r="B29">
        <v>6</v>
      </c>
      <c r="C29" t="s">
        <v>292</v>
      </c>
      <c r="D29">
        <v>1985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0.3886</v>
      </c>
      <c r="AM29">
        <v>0.4227901</v>
      </c>
      <c r="AN29">
        <v>0.94</v>
      </c>
      <c r="AO29">
        <v>0.2482</v>
      </c>
      <c r="AP29">
        <v>2.03302E-2</v>
      </c>
      <c r="AQ29">
        <v>9.9618999999999992E-3</v>
      </c>
      <c r="AR29">
        <v>0.32259409999999999</v>
      </c>
      <c r="AS29">
        <v>0.3109191</v>
      </c>
      <c r="AT29">
        <v>1.713333</v>
      </c>
      <c r="AU29">
        <v>0.29803010000000002</v>
      </c>
      <c r="AV29">
        <v>8.5643999999999998E-2</v>
      </c>
      <c r="AW29">
        <v>4853.3999999999996</v>
      </c>
      <c r="AX29">
        <v>0.23719999999999999</v>
      </c>
      <c r="AY29">
        <v>9.61</v>
      </c>
      <c r="AZ29">
        <v>5.185E-2</v>
      </c>
      <c r="BA29">
        <v>0.59818000000000005</v>
      </c>
      <c r="BB29">
        <v>60.84</v>
      </c>
      <c r="BC29" s="19">
        <v>4.53</v>
      </c>
      <c r="BD29" s="19">
        <v>8.09</v>
      </c>
      <c r="BE29" s="19">
        <v>7.81</v>
      </c>
      <c r="BF29" s="19">
        <v>6.88</v>
      </c>
      <c r="BG29" s="19">
        <v>7.19</v>
      </c>
      <c r="BH29" s="19">
        <v>6.9</v>
      </c>
      <c r="BI29" s="20">
        <f t="shared" si="0"/>
        <v>7.4924999999999997</v>
      </c>
    </row>
    <row r="30" spans="1:61" x14ac:dyDescent="0.25">
      <c r="A30">
        <v>3.04099E-2</v>
      </c>
      <c r="B30">
        <v>6</v>
      </c>
      <c r="C30" t="s">
        <v>292</v>
      </c>
      <c r="D30">
        <v>1990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0.42920000000000003</v>
      </c>
      <c r="AM30">
        <v>0.44884780000000002</v>
      </c>
      <c r="AN30">
        <v>0.98</v>
      </c>
      <c r="AO30">
        <v>0.255</v>
      </c>
      <c r="AP30">
        <v>-3.9858999999999997E-3</v>
      </c>
      <c r="AQ30">
        <v>-8.2620000000000002E-4</v>
      </c>
      <c r="AR30">
        <v>0.31905339999999999</v>
      </c>
      <c r="AS30">
        <v>0.2497151</v>
      </c>
      <c r="AT30">
        <v>1.6759999999999999</v>
      </c>
      <c r="AU30">
        <v>0.25265729999999997</v>
      </c>
      <c r="AV30">
        <v>4.9690600000000001E-2</v>
      </c>
      <c r="AW30">
        <v>4950</v>
      </c>
      <c r="AX30">
        <v>0.23280000000000001</v>
      </c>
      <c r="AY30">
        <v>9.42</v>
      </c>
      <c r="AZ30">
        <v>4.3886000000000001E-2</v>
      </c>
      <c r="BA30">
        <v>0.60782000000000003</v>
      </c>
      <c r="BB30">
        <v>66.12</v>
      </c>
      <c r="BC30" s="19">
        <v>4.28</v>
      </c>
      <c r="BD30" s="19">
        <v>9.34</v>
      </c>
      <c r="BE30" s="19">
        <v>7.78</v>
      </c>
      <c r="BF30" s="19">
        <v>6.8</v>
      </c>
      <c r="BG30" s="19">
        <v>7.29</v>
      </c>
      <c r="BH30" s="19">
        <v>7.06</v>
      </c>
      <c r="BI30" s="20">
        <f t="shared" si="0"/>
        <v>7.8025000000000002</v>
      </c>
    </row>
    <row r="31" spans="1:61" x14ac:dyDescent="0.25">
      <c r="A31">
        <v>-1.0269E-2</v>
      </c>
      <c r="B31">
        <v>6</v>
      </c>
      <c r="C31" t="s">
        <v>292</v>
      </c>
      <c r="D31">
        <v>1995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0.46639999999999998</v>
      </c>
      <c r="AM31">
        <v>0.59181779999999995</v>
      </c>
      <c r="AN31">
        <v>1.01</v>
      </c>
      <c r="AO31">
        <v>0.17080000000000001</v>
      </c>
      <c r="AP31">
        <v>7.7349999999999997E-3</v>
      </c>
      <c r="AQ31">
        <v>-4.6008999999999998E-3</v>
      </c>
      <c r="AR31">
        <v>0.32683509999999999</v>
      </c>
      <c r="AS31">
        <v>0.31211889999999998</v>
      </c>
      <c r="AT31">
        <v>1.8240000000000001</v>
      </c>
      <c r="AU31">
        <v>0.27117029999999998</v>
      </c>
      <c r="AV31">
        <v>2.1160600000000002E-2</v>
      </c>
      <c r="AW31">
        <v>5064.2</v>
      </c>
      <c r="AX31">
        <v>0.16120000000000001</v>
      </c>
      <c r="AY31">
        <v>9.7899999999999991</v>
      </c>
      <c r="AZ31">
        <v>0.14833199999999999</v>
      </c>
      <c r="BA31">
        <v>0.62468000000000001</v>
      </c>
      <c r="BB31">
        <v>66.64</v>
      </c>
      <c r="BC31" s="19">
        <v>4.1500000000000004</v>
      </c>
      <c r="BD31" s="19">
        <v>9.89</v>
      </c>
      <c r="BE31" s="19">
        <v>9.2799999999999994</v>
      </c>
      <c r="BF31" s="19">
        <v>6.42</v>
      </c>
      <c r="BG31" s="19">
        <v>7.26</v>
      </c>
      <c r="BH31" s="19">
        <v>7.37</v>
      </c>
      <c r="BI31" s="20">
        <f t="shared" si="0"/>
        <v>8.2125000000000004</v>
      </c>
    </row>
    <row r="32" spans="1:61" x14ac:dyDescent="0.25">
      <c r="A32">
        <v>2.6006600000000001E-2</v>
      </c>
      <c r="B32">
        <v>7</v>
      </c>
      <c r="C32" t="s">
        <v>293</v>
      </c>
      <c r="D32">
        <v>1975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0.35360000000000003</v>
      </c>
      <c r="AM32">
        <v>0.38776939999999999</v>
      </c>
      <c r="AN32">
        <v>1.06</v>
      </c>
      <c r="AO32">
        <v>0.2374</v>
      </c>
      <c r="AP32">
        <v>4.5047000000000004E-3</v>
      </c>
      <c r="AQ32">
        <v>8.8888999999999999E-3</v>
      </c>
      <c r="AR32">
        <v>0.37699909999999998</v>
      </c>
      <c r="AS32">
        <v>0.18093809999999999</v>
      </c>
      <c r="AT32">
        <v>2.2618</v>
      </c>
      <c r="AU32">
        <v>0.17456269999999999</v>
      </c>
      <c r="AV32">
        <v>8.8242000000000001E-2</v>
      </c>
      <c r="AW32">
        <v>52045.8</v>
      </c>
      <c r="AX32">
        <v>0.26524999999999999</v>
      </c>
      <c r="AY32">
        <v>4.95</v>
      </c>
      <c r="AZ32">
        <v>3.0178E-2</v>
      </c>
      <c r="BA32">
        <v>0.72223999999999999</v>
      </c>
      <c r="BB32">
        <v>58.33</v>
      </c>
      <c r="BC32" s="19">
        <v>4.83</v>
      </c>
      <c r="BD32" s="19">
        <v>8.49</v>
      </c>
      <c r="BE32" s="19">
        <v>7.07</v>
      </c>
      <c r="BF32" s="19">
        <v>6.83</v>
      </c>
      <c r="BG32" s="19">
        <v>5.72</v>
      </c>
      <c r="BH32" s="19">
        <v>6.58</v>
      </c>
      <c r="BI32" s="20">
        <f t="shared" si="0"/>
        <v>7.0274999999999999</v>
      </c>
    </row>
    <row r="33" spans="1:61" x14ac:dyDescent="0.25">
      <c r="A33">
        <v>2.5746100000000001E-2</v>
      </c>
      <c r="B33">
        <v>7</v>
      </c>
      <c r="C33" t="s">
        <v>293</v>
      </c>
      <c r="D33">
        <v>1980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0.39579999999999999</v>
      </c>
      <c r="AM33">
        <v>0.43940990000000002</v>
      </c>
      <c r="AN33">
        <v>1.0900000000000001</v>
      </c>
      <c r="AO33">
        <v>0.22</v>
      </c>
      <c r="AP33">
        <v>1.26074E-2</v>
      </c>
      <c r="AQ33">
        <v>9.7499000000000006E-3</v>
      </c>
      <c r="AR33">
        <v>0.37370730000000002</v>
      </c>
      <c r="AS33">
        <v>0.2064705</v>
      </c>
      <c r="AT33">
        <v>1.8620000000000001</v>
      </c>
      <c r="AU33">
        <v>0.20628450000000001</v>
      </c>
      <c r="AV33">
        <v>0.1055156</v>
      </c>
      <c r="AW33">
        <v>53383.199999999997</v>
      </c>
      <c r="AX33">
        <v>0.2432</v>
      </c>
      <c r="AY33">
        <v>5.27</v>
      </c>
      <c r="AZ33">
        <v>5.3227999999999998E-2</v>
      </c>
      <c r="BA33">
        <v>0.73194000000000004</v>
      </c>
      <c r="BB33">
        <v>58.77</v>
      </c>
      <c r="BC33" s="19">
        <v>4.18</v>
      </c>
      <c r="BD33" s="19">
        <v>5.56</v>
      </c>
      <c r="BE33" s="19">
        <v>6.17</v>
      </c>
      <c r="BF33" s="19">
        <v>6.83</v>
      </c>
      <c r="BG33" s="19">
        <v>6.07</v>
      </c>
      <c r="BH33" s="19">
        <v>5.79</v>
      </c>
      <c r="BI33" s="20">
        <f t="shared" si="0"/>
        <v>6.1575000000000006</v>
      </c>
    </row>
    <row r="34" spans="1:61" x14ac:dyDescent="0.25">
      <c r="A34">
        <v>8.3210000000000003E-3</v>
      </c>
      <c r="B34">
        <v>7</v>
      </c>
      <c r="C34" t="s">
        <v>293</v>
      </c>
      <c r="D34">
        <v>1985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0.43480000000000002</v>
      </c>
      <c r="AM34">
        <v>0.5042508</v>
      </c>
      <c r="AN34">
        <v>1.1100000000000001</v>
      </c>
      <c r="AO34">
        <v>0.2046</v>
      </c>
      <c r="AP34">
        <v>2.4913299999999999E-2</v>
      </c>
      <c r="AQ34">
        <v>5.9795999999999998E-3</v>
      </c>
      <c r="AR34">
        <v>0.36252780000000001</v>
      </c>
      <c r="AS34">
        <v>0.2298124</v>
      </c>
      <c r="AT34">
        <v>1.8548</v>
      </c>
      <c r="AU34">
        <v>0.23326079999999999</v>
      </c>
      <c r="AV34">
        <v>9.6415000000000001E-2</v>
      </c>
      <c r="AW34">
        <v>54701.4</v>
      </c>
      <c r="AX34">
        <v>0.1956</v>
      </c>
      <c r="AY34">
        <v>5.96</v>
      </c>
      <c r="AZ34">
        <v>8.7167999999999995E-2</v>
      </c>
      <c r="BA34">
        <v>0.7319</v>
      </c>
      <c r="BB34">
        <v>64.03</v>
      </c>
      <c r="BC34" s="19">
        <v>3.47</v>
      </c>
      <c r="BD34" s="19">
        <v>7.82</v>
      </c>
      <c r="BE34" s="19">
        <v>6.34</v>
      </c>
      <c r="BF34" s="19">
        <v>6.81</v>
      </c>
      <c r="BG34" s="19">
        <v>5.97</v>
      </c>
      <c r="BH34" s="19">
        <v>6.06</v>
      </c>
      <c r="BI34" s="20">
        <f t="shared" si="0"/>
        <v>6.7349999999999994</v>
      </c>
    </row>
    <row r="35" spans="1:61" x14ac:dyDescent="0.25">
      <c r="A35">
        <v>2.4953900000000001E-2</v>
      </c>
      <c r="B35">
        <v>7</v>
      </c>
      <c r="C35" t="s">
        <v>293</v>
      </c>
      <c r="D35">
        <v>1990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0</v>
      </c>
      <c r="AL35">
        <v>0.43940000000000001</v>
      </c>
      <c r="AM35">
        <v>0.49815690000000001</v>
      </c>
      <c r="AN35">
        <v>1.08</v>
      </c>
      <c r="AO35">
        <v>0.20499999999999999</v>
      </c>
      <c r="AP35">
        <v>1.56122E-2</v>
      </c>
      <c r="AQ35">
        <v>5.4606000000000003E-3</v>
      </c>
      <c r="AR35">
        <v>0.34148990000000001</v>
      </c>
      <c r="AS35">
        <v>0.217164</v>
      </c>
      <c r="AT35">
        <v>1.8138000000000001</v>
      </c>
      <c r="AU35">
        <v>0.21450469999999999</v>
      </c>
      <c r="AV35">
        <v>3.0870399999999999E-2</v>
      </c>
      <c r="AW35">
        <v>56015.8</v>
      </c>
      <c r="AX35">
        <v>0.20899999999999999</v>
      </c>
      <c r="AY35">
        <v>6.44</v>
      </c>
      <c r="AZ35">
        <v>9.8082000000000003E-2</v>
      </c>
      <c r="BA35">
        <v>0.72846</v>
      </c>
      <c r="BB35">
        <v>68.86</v>
      </c>
      <c r="BC35" s="19">
        <v>2.92</v>
      </c>
      <c r="BD35" s="19">
        <v>8.3000000000000007</v>
      </c>
      <c r="BE35" s="19">
        <v>6.58</v>
      </c>
      <c r="BF35" s="19">
        <v>6.83</v>
      </c>
      <c r="BG35" s="19">
        <v>5.92</v>
      </c>
      <c r="BH35" s="19">
        <v>6.06</v>
      </c>
      <c r="BI35" s="20">
        <f t="shared" si="0"/>
        <v>6.9075000000000006</v>
      </c>
    </row>
    <row r="36" spans="1:61" x14ac:dyDescent="0.25">
      <c r="A36">
        <v>5.7057999999999996E-3</v>
      </c>
      <c r="B36">
        <v>7</v>
      </c>
      <c r="C36" t="s">
        <v>293</v>
      </c>
      <c r="D36">
        <v>1995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0.44019999999999998</v>
      </c>
      <c r="AM36">
        <v>0.52759520000000004</v>
      </c>
      <c r="AN36">
        <v>1.08</v>
      </c>
      <c r="AO36">
        <v>0.19159999999999999</v>
      </c>
      <c r="AP36">
        <v>1.33058E-2</v>
      </c>
      <c r="AQ36">
        <v>4.5573999999999996E-3</v>
      </c>
      <c r="AR36">
        <v>0.34222259999999999</v>
      </c>
      <c r="AS36">
        <v>0.22609789999999999</v>
      </c>
      <c r="AT36">
        <v>1.7</v>
      </c>
      <c r="AU36">
        <v>0.2092242</v>
      </c>
      <c r="AV36">
        <v>2.2939000000000001E-2</v>
      </c>
      <c r="AW36">
        <v>57616.800000000003</v>
      </c>
      <c r="AX36">
        <v>0.1956</v>
      </c>
      <c r="AY36">
        <v>6.88</v>
      </c>
      <c r="AZ36">
        <v>0.11100400000000001</v>
      </c>
      <c r="BA36">
        <v>0.72741999999999996</v>
      </c>
      <c r="BB36">
        <v>72.17</v>
      </c>
      <c r="BC36" s="19">
        <v>3.53</v>
      </c>
      <c r="BD36" s="19">
        <v>8.86</v>
      </c>
      <c r="BE36" s="19">
        <v>9.6199999999999992</v>
      </c>
      <c r="BF36" s="19">
        <v>7.45</v>
      </c>
      <c r="BG36" s="19">
        <v>5.94</v>
      </c>
      <c r="BH36" s="19">
        <v>7.06</v>
      </c>
      <c r="BI36" s="20">
        <f t="shared" si="0"/>
        <v>7.9674999999999994</v>
      </c>
    </row>
    <row r="37" spans="1:61" x14ac:dyDescent="0.25">
      <c r="A37">
        <v>1.9229199999999998E-2</v>
      </c>
      <c r="B37">
        <v>8</v>
      </c>
      <c r="C37" t="s">
        <v>294</v>
      </c>
      <c r="D37">
        <v>1975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0.35399999999999998</v>
      </c>
      <c r="AM37">
        <v>0.41633369999999997</v>
      </c>
      <c r="AN37">
        <v>0.95</v>
      </c>
      <c r="AO37">
        <v>0.23880000000000001</v>
      </c>
      <c r="AP37">
        <v>5.2411000000000003E-3</v>
      </c>
      <c r="AQ37">
        <v>2.8701999999999998E-3</v>
      </c>
      <c r="AR37">
        <v>0.36915039999999999</v>
      </c>
      <c r="AS37">
        <v>0.21345059999999999</v>
      </c>
      <c r="AT37">
        <v>1.48</v>
      </c>
      <c r="AU37">
        <v>0.18797340000000001</v>
      </c>
      <c r="AV37">
        <v>6.1263199999999997E-2</v>
      </c>
      <c r="AW37">
        <v>78738.399999999994</v>
      </c>
      <c r="AX37">
        <v>0.24625</v>
      </c>
      <c r="AY37">
        <v>8.14</v>
      </c>
      <c r="AZ37">
        <v>1.7395999999999998E-2</v>
      </c>
      <c r="BA37">
        <v>0.80554000000000003</v>
      </c>
      <c r="BB37">
        <v>49.43</v>
      </c>
      <c r="BC37" s="19">
        <v>5.07</v>
      </c>
      <c r="BD37" s="19">
        <v>9.8699999999999992</v>
      </c>
      <c r="BE37" s="19">
        <v>9.4700000000000006</v>
      </c>
      <c r="BF37" s="19">
        <v>7.99</v>
      </c>
      <c r="BG37" s="19">
        <v>6.18</v>
      </c>
      <c r="BH37" s="19">
        <v>7.7</v>
      </c>
      <c r="BI37" s="20">
        <f t="shared" si="0"/>
        <v>8.3774999999999995</v>
      </c>
    </row>
    <row r="38" spans="1:61" x14ac:dyDescent="0.25">
      <c r="A38">
        <v>3.36324E-2</v>
      </c>
      <c r="B38">
        <v>8</v>
      </c>
      <c r="C38" t="s">
        <v>294</v>
      </c>
      <c r="D38">
        <v>1980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0.37780000000000002</v>
      </c>
      <c r="AM38">
        <v>0.46313490000000002</v>
      </c>
      <c r="AN38">
        <v>0.95</v>
      </c>
      <c r="AO38">
        <v>0.21759999999999999</v>
      </c>
      <c r="AP38">
        <v>1.714E-3</v>
      </c>
      <c r="AQ38">
        <v>5.6546000000000001E-3</v>
      </c>
      <c r="AR38">
        <v>0.36374380000000001</v>
      </c>
      <c r="AS38">
        <v>0.23794290000000001</v>
      </c>
      <c r="AT38">
        <v>1.56</v>
      </c>
      <c r="AU38">
        <v>0.2252123</v>
      </c>
      <c r="AV38">
        <v>4.04792E-2</v>
      </c>
      <c r="AW38">
        <v>78194.600000000006</v>
      </c>
      <c r="AX38">
        <v>0.2152</v>
      </c>
      <c r="AY38">
        <v>8.2100000000000009</v>
      </c>
      <c r="AZ38">
        <v>3.5597999999999998E-2</v>
      </c>
      <c r="BA38">
        <v>0.82040000000000002</v>
      </c>
      <c r="BB38">
        <v>54.21</v>
      </c>
      <c r="BC38" s="19">
        <v>4.59</v>
      </c>
      <c r="BD38" s="19">
        <v>7.81</v>
      </c>
      <c r="BE38" s="19">
        <v>9.32</v>
      </c>
      <c r="BF38" s="19">
        <v>8.0299999999999994</v>
      </c>
      <c r="BG38" s="19">
        <v>5.94</v>
      </c>
      <c r="BH38" s="19">
        <v>7.17</v>
      </c>
      <c r="BI38" s="20">
        <f t="shared" si="0"/>
        <v>7.7749999999999995</v>
      </c>
    </row>
    <row r="39" spans="1:61" x14ac:dyDescent="0.25">
      <c r="A39">
        <v>1.6315199999999998E-2</v>
      </c>
      <c r="B39">
        <v>8</v>
      </c>
      <c r="C39" t="s">
        <v>294</v>
      </c>
      <c r="D39">
        <v>1985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0.377</v>
      </c>
      <c r="AM39">
        <v>0.47222380000000003</v>
      </c>
      <c r="AN39">
        <v>0.99</v>
      </c>
      <c r="AO39">
        <v>0.20660000000000001</v>
      </c>
      <c r="AP39">
        <v>6.0172999999999997E-3</v>
      </c>
      <c r="AQ39">
        <v>6.5447999999999999E-3</v>
      </c>
      <c r="AR39">
        <v>0.34093200000000001</v>
      </c>
      <c r="AS39">
        <v>0.28245310000000001</v>
      </c>
      <c r="AT39">
        <v>1.37</v>
      </c>
      <c r="AU39">
        <v>0.26287319999999997</v>
      </c>
      <c r="AV39">
        <v>3.8910599999999997E-2</v>
      </c>
      <c r="AW39">
        <v>78083.8</v>
      </c>
      <c r="AX39">
        <v>0.2</v>
      </c>
      <c r="AY39">
        <v>8.4600000000000009</v>
      </c>
      <c r="AZ39">
        <v>6.9601999999999997E-2</v>
      </c>
      <c r="BA39">
        <v>0.83435999999999999</v>
      </c>
      <c r="BB39">
        <v>56.65</v>
      </c>
      <c r="BC39" s="19">
        <v>4.59</v>
      </c>
      <c r="BD39" s="19">
        <v>9.1</v>
      </c>
      <c r="BE39" s="19">
        <v>9.43</v>
      </c>
      <c r="BF39" s="19">
        <v>7.85</v>
      </c>
      <c r="BG39" s="19">
        <v>6.12</v>
      </c>
      <c r="BH39" s="19">
        <v>7.42</v>
      </c>
      <c r="BI39" s="20">
        <f t="shared" si="0"/>
        <v>8.125</v>
      </c>
    </row>
    <row r="40" spans="1:61" x14ac:dyDescent="0.25">
      <c r="A40">
        <v>2.46731E-2</v>
      </c>
      <c r="B40">
        <v>8</v>
      </c>
      <c r="C40" t="s">
        <v>294</v>
      </c>
      <c r="D40">
        <v>1990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0.37659999999999999</v>
      </c>
      <c r="AM40">
        <v>0.45399669999999998</v>
      </c>
      <c r="AN40">
        <v>0.99</v>
      </c>
      <c r="AO40">
        <v>0.20019999999999999</v>
      </c>
      <c r="AP40">
        <v>2.1186999999999998E-3</v>
      </c>
      <c r="AQ40">
        <v>1.06701E-2</v>
      </c>
      <c r="AR40">
        <v>0.30567070000000002</v>
      </c>
      <c r="AS40">
        <v>0.28194390000000003</v>
      </c>
      <c r="AT40">
        <v>1.4379999999999999</v>
      </c>
      <c r="AU40">
        <v>0.239731</v>
      </c>
      <c r="AV40">
        <v>1.3603499999999999E-2</v>
      </c>
      <c r="AW40">
        <v>78379.399999999994</v>
      </c>
      <c r="AX40">
        <v>0.2316</v>
      </c>
      <c r="AY40">
        <v>8.5500000000000007</v>
      </c>
      <c r="AZ40">
        <v>7.1872000000000005E-2</v>
      </c>
      <c r="BA40">
        <v>0.84772000000000003</v>
      </c>
      <c r="BB40">
        <v>61.11</v>
      </c>
      <c r="BC40" s="19">
        <v>4.26</v>
      </c>
      <c r="BD40" s="19">
        <v>8.85</v>
      </c>
      <c r="BE40" s="19">
        <v>9.64</v>
      </c>
      <c r="BF40" s="19">
        <v>8.25</v>
      </c>
      <c r="BG40" s="19">
        <v>6.12</v>
      </c>
      <c r="BH40" s="19">
        <v>7.43</v>
      </c>
      <c r="BI40" s="20">
        <f t="shared" si="0"/>
        <v>8.2149999999999999</v>
      </c>
    </row>
    <row r="41" spans="1:61" x14ac:dyDescent="0.25">
      <c r="A41">
        <v>1.0880900000000001E-2</v>
      </c>
      <c r="B41">
        <v>8</v>
      </c>
      <c r="C41" t="s">
        <v>294</v>
      </c>
      <c r="D41">
        <v>1995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0.38919999999999999</v>
      </c>
      <c r="AM41">
        <v>0.48223719999999998</v>
      </c>
      <c r="AN41">
        <v>1</v>
      </c>
      <c r="AO41">
        <v>0.22320000000000001</v>
      </c>
      <c r="AP41">
        <v>6.4656000000000002E-3</v>
      </c>
      <c r="AQ41">
        <v>4.8658300000000002E-2</v>
      </c>
      <c r="AR41">
        <v>0.31043769999999998</v>
      </c>
      <c r="AS41">
        <v>0.2345333</v>
      </c>
      <c r="AT41">
        <v>1.28</v>
      </c>
      <c r="AU41">
        <v>0.23070579999999999</v>
      </c>
      <c r="AV41">
        <v>3.1951599999999997E-2</v>
      </c>
      <c r="AW41">
        <v>81035.8</v>
      </c>
      <c r="AX41">
        <v>0.21260000000000001</v>
      </c>
      <c r="AY41">
        <v>8.83</v>
      </c>
      <c r="AZ41">
        <v>8.4246000000000001E-2</v>
      </c>
      <c r="BA41">
        <v>0.86050000000000004</v>
      </c>
      <c r="BB41">
        <v>60.35</v>
      </c>
      <c r="BC41" s="19">
        <v>4.9000000000000004</v>
      </c>
      <c r="BD41" s="19">
        <v>9.8699999999999992</v>
      </c>
      <c r="BE41" s="19">
        <v>9.26</v>
      </c>
      <c r="BF41" s="19">
        <v>8.18</v>
      </c>
      <c r="BG41" s="19">
        <v>6.14</v>
      </c>
      <c r="BH41" s="19">
        <v>7.66</v>
      </c>
      <c r="BI41" s="20">
        <f t="shared" si="0"/>
        <v>8.3624999999999989</v>
      </c>
    </row>
    <row r="42" spans="1:61" x14ac:dyDescent="0.25">
      <c r="A42">
        <v>4.4516500000000001E-2</v>
      </c>
      <c r="B42">
        <v>9</v>
      </c>
      <c r="C42" s="21" t="s">
        <v>295</v>
      </c>
      <c r="D42">
        <v>1975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0.249</v>
      </c>
      <c r="AM42">
        <v>0.25280900000000001</v>
      </c>
      <c r="AN42">
        <v>0.53</v>
      </c>
      <c r="AO42">
        <v>0.248</v>
      </c>
      <c r="AP42">
        <v>9.5142000000000004E-3</v>
      </c>
      <c r="AQ42">
        <v>1.8340000000000001E-4</v>
      </c>
      <c r="AR42">
        <v>0.35993399999999998</v>
      </c>
      <c r="AS42">
        <v>0.13847490000000001</v>
      </c>
      <c r="AT42">
        <v>2.3290000000000002</v>
      </c>
      <c r="AU42">
        <v>0.23243369999999999</v>
      </c>
      <c r="AV42">
        <v>0.12631139999999999</v>
      </c>
      <c r="AW42">
        <v>8931.6</v>
      </c>
      <c r="AX42">
        <v>0.26774999999999999</v>
      </c>
      <c r="AY42">
        <v>5.19</v>
      </c>
      <c r="AZ42">
        <v>2.3122E-2</v>
      </c>
      <c r="BA42">
        <v>0.54190000000000005</v>
      </c>
      <c r="BB42">
        <v>47.08</v>
      </c>
      <c r="BC42" s="22">
        <v>7.17</v>
      </c>
      <c r="BD42" s="22">
        <v>6.2</v>
      </c>
      <c r="BE42" s="22">
        <v>8.2799999999999994</v>
      </c>
      <c r="BF42" s="22">
        <v>5.31</v>
      </c>
      <c r="BG42" s="22">
        <v>4.76</v>
      </c>
      <c r="BH42" s="22">
        <v>6.37</v>
      </c>
      <c r="BI42" s="20">
        <f t="shared" si="0"/>
        <v>6.1374999999999993</v>
      </c>
    </row>
    <row r="43" spans="1:61" x14ac:dyDescent="0.25">
      <c r="A43">
        <v>3.0445099999999999E-2</v>
      </c>
      <c r="B43">
        <v>9</v>
      </c>
      <c r="C43" s="21" t="s">
        <v>295</v>
      </c>
      <c r="D43">
        <v>1980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0.28960000000000002</v>
      </c>
      <c r="AM43">
        <v>0.29610170000000002</v>
      </c>
      <c r="AN43">
        <v>0.6</v>
      </c>
      <c r="AO43">
        <v>0.23419999999999999</v>
      </c>
      <c r="AP43">
        <v>1.7129399999999999E-2</v>
      </c>
      <c r="AQ43">
        <v>1.06477E-2</v>
      </c>
      <c r="AR43">
        <v>0.36112519999999998</v>
      </c>
      <c r="AS43">
        <v>0.1808071</v>
      </c>
      <c r="AT43">
        <v>2.2824</v>
      </c>
      <c r="AU43">
        <v>0.2543938</v>
      </c>
      <c r="AV43">
        <v>0.16411400000000001</v>
      </c>
      <c r="AW43">
        <v>9419.4</v>
      </c>
      <c r="AX43">
        <v>0.26240000000000002</v>
      </c>
      <c r="AY43">
        <v>5.65</v>
      </c>
      <c r="AZ43">
        <v>2.0150000000000001E-2</v>
      </c>
      <c r="BA43">
        <v>0.56762000000000001</v>
      </c>
      <c r="BB43">
        <v>48.33</v>
      </c>
      <c r="BC43" s="22">
        <v>6.29</v>
      </c>
      <c r="BD43" s="22">
        <v>6.06</v>
      </c>
      <c r="BE43" s="22">
        <v>6.76</v>
      </c>
      <c r="BF43" s="22">
        <v>5.73</v>
      </c>
      <c r="BG43" s="22">
        <v>4.41</v>
      </c>
      <c r="BH43" s="22">
        <v>5.86</v>
      </c>
      <c r="BI43" s="20">
        <f t="shared" si="0"/>
        <v>5.74</v>
      </c>
    </row>
    <row r="44" spans="1:61" x14ac:dyDescent="0.25">
      <c r="A44">
        <v>7.3382999999999999E-3</v>
      </c>
      <c r="B44">
        <v>9</v>
      </c>
      <c r="C44" s="21" t="s">
        <v>295</v>
      </c>
      <c r="D44">
        <v>1985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0</v>
      </c>
      <c r="AK44">
        <v>0</v>
      </c>
      <c r="AL44">
        <v>0.33</v>
      </c>
      <c r="AM44">
        <v>0.37828230000000002</v>
      </c>
      <c r="AN44">
        <v>0.62</v>
      </c>
      <c r="AO44">
        <v>0.218</v>
      </c>
      <c r="AP44">
        <v>3.0317500000000001E-2</v>
      </c>
      <c r="AQ44">
        <v>2.4343400000000001E-2</v>
      </c>
      <c r="AR44">
        <v>0.35965989999999998</v>
      </c>
      <c r="AS44">
        <v>0.20321600000000001</v>
      </c>
      <c r="AT44">
        <v>1.911</v>
      </c>
      <c r="AU44">
        <v>0.29712240000000001</v>
      </c>
      <c r="AV44">
        <v>0.20617199999999999</v>
      </c>
      <c r="AW44">
        <v>9839.2000000000007</v>
      </c>
      <c r="AX44">
        <v>0.17319999999999999</v>
      </c>
      <c r="AY44">
        <v>6.56</v>
      </c>
      <c r="AZ44">
        <v>6.7295999999999995E-2</v>
      </c>
      <c r="BA44">
        <v>0.59164000000000005</v>
      </c>
      <c r="BB44">
        <v>50.09</v>
      </c>
      <c r="BC44" s="22">
        <v>5.26</v>
      </c>
      <c r="BD44" s="22">
        <v>6.24</v>
      </c>
      <c r="BE44" s="22">
        <v>6.93</v>
      </c>
      <c r="BF44" s="22">
        <v>6.1</v>
      </c>
      <c r="BG44" s="22">
        <v>4.59</v>
      </c>
      <c r="BH44" s="22">
        <v>5.83</v>
      </c>
      <c r="BI44" s="20">
        <f t="shared" si="0"/>
        <v>5.9649999999999999</v>
      </c>
    </row>
    <row r="45" spans="1:61" x14ac:dyDescent="0.25">
      <c r="A45">
        <v>1.41873E-2</v>
      </c>
      <c r="B45">
        <v>9</v>
      </c>
      <c r="C45" s="21" t="s">
        <v>295</v>
      </c>
      <c r="D45">
        <v>1990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0</v>
      </c>
      <c r="AL45">
        <v>0.3538</v>
      </c>
      <c r="AM45">
        <v>0.42303879999999999</v>
      </c>
      <c r="AN45">
        <v>0.6</v>
      </c>
      <c r="AO45">
        <v>0.22140000000000001</v>
      </c>
      <c r="AP45">
        <v>9.8644000000000006E-3</v>
      </c>
      <c r="AQ45">
        <v>5.4892999999999999E-3</v>
      </c>
      <c r="AR45">
        <v>0.34590290000000001</v>
      </c>
      <c r="AS45">
        <v>0.2303489</v>
      </c>
      <c r="AT45">
        <v>1.4850000000000001</v>
      </c>
      <c r="AU45">
        <v>0.31498579999999998</v>
      </c>
      <c r="AV45">
        <v>0.17428199999999999</v>
      </c>
      <c r="AW45">
        <v>10050.6</v>
      </c>
      <c r="AX45">
        <v>0.152</v>
      </c>
      <c r="AY45">
        <v>6.89</v>
      </c>
      <c r="AZ45">
        <v>7.3816000000000007E-2</v>
      </c>
      <c r="BA45">
        <v>0.61631999999999998</v>
      </c>
      <c r="BB45">
        <v>51.08</v>
      </c>
      <c r="BC45" s="22">
        <v>3.74</v>
      </c>
      <c r="BD45" s="22">
        <v>6.3</v>
      </c>
      <c r="BE45" s="22">
        <v>6.8</v>
      </c>
      <c r="BF45" s="22">
        <v>5.37</v>
      </c>
      <c r="BG45" s="22">
        <v>4.5599999999999996</v>
      </c>
      <c r="BH45" s="22">
        <v>5.34</v>
      </c>
      <c r="BI45" s="20">
        <f t="shared" si="0"/>
        <v>5.7574999999999994</v>
      </c>
    </row>
    <row r="46" spans="1:61" x14ac:dyDescent="0.25">
      <c r="A46">
        <v>1.0159100000000001E-2</v>
      </c>
      <c r="B46">
        <v>9</v>
      </c>
      <c r="C46" s="21" t="s">
        <v>295</v>
      </c>
      <c r="D46">
        <v>1995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0.4</v>
      </c>
      <c r="AM46">
        <v>0.45265529999999998</v>
      </c>
      <c r="AN46">
        <v>0.56999999999999995</v>
      </c>
      <c r="AO46">
        <v>0.20979999999999999</v>
      </c>
      <c r="AP46">
        <v>2.1414200000000001E-2</v>
      </c>
      <c r="AQ46">
        <v>1.21511E-2</v>
      </c>
      <c r="AR46">
        <v>0.32989859999999999</v>
      </c>
      <c r="AS46">
        <v>0.22679930000000001</v>
      </c>
      <c r="AT46">
        <v>1.36266</v>
      </c>
      <c r="AU46">
        <v>0.32972610000000002</v>
      </c>
      <c r="AV46">
        <v>0.1398838</v>
      </c>
      <c r="AW46">
        <v>10368</v>
      </c>
      <c r="AX46">
        <v>0.15540000000000001</v>
      </c>
      <c r="AY46">
        <v>7.66</v>
      </c>
      <c r="AZ46">
        <v>9.1221999999999998E-2</v>
      </c>
      <c r="BA46">
        <v>0.64193999999999996</v>
      </c>
      <c r="BB46">
        <v>49.67</v>
      </c>
      <c r="BC46" s="22">
        <v>4.8099999999999996</v>
      </c>
      <c r="BD46" s="22">
        <v>7.59</v>
      </c>
      <c r="BE46" s="22">
        <v>6.71</v>
      </c>
      <c r="BF46" s="22">
        <v>6.14</v>
      </c>
      <c r="BG46" s="22">
        <v>4.87</v>
      </c>
      <c r="BH46" s="22">
        <v>6</v>
      </c>
      <c r="BI46" s="20">
        <f t="shared" si="0"/>
        <v>6.3275000000000006</v>
      </c>
    </row>
    <row r="47" spans="1:61" x14ac:dyDescent="0.25">
      <c r="A47">
        <v>4.4818999999999998E-2</v>
      </c>
      <c r="B47">
        <v>10</v>
      </c>
      <c r="C47" t="s">
        <v>296</v>
      </c>
      <c r="D47">
        <v>1975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7.2277300000000003E-2</v>
      </c>
      <c r="AM47">
        <v>0.1291814</v>
      </c>
      <c r="AN47">
        <v>0.48248000000000002</v>
      </c>
      <c r="AO47">
        <v>0.167633</v>
      </c>
      <c r="AP47">
        <v>8.4282000000000003E-3</v>
      </c>
      <c r="AQ47">
        <v>4.1716299999999998E-2</v>
      </c>
      <c r="AR47">
        <v>0.40933540000000002</v>
      </c>
      <c r="AS47">
        <v>0.87187959999999998</v>
      </c>
      <c r="AT47">
        <v>2.89</v>
      </c>
      <c r="AU47">
        <v>0.81490949999999995</v>
      </c>
      <c r="AV47">
        <v>8.98592E-2</v>
      </c>
      <c r="AW47">
        <v>4179.3599999999997</v>
      </c>
      <c r="AY47">
        <v>5.1100000000000003</v>
      </c>
      <c r="AZ47">
        <v>2.3122E-2</v>
      </c>
      <c r="BA47">
        <v>0.88900800000000002</v>
      </c>
      <c r="BC47" s="19">
        <v>9.68</v>
      </c>
      <c r="BD47" s="19">
        <v>8.9700000000000006</v>
      </c>
      <c r="BE47" s="19">
        <v>8.76</v>
      </c>
      <c r="BF47" s="19">
        <v>8.7799999999999994</v>
      </c>
      <c r="BG47" s="19">
        <v>8.85</v>
      </c>
      <c r="BH47" s="19">
        <v>8.98</v>
      </c>
      <c r="BI47" s="20">
        <f t="shared" si="0"/>
        <v>8.84</v>
      </c>
    </row>
    <row r="48" spans="1:61" x14ac:dyDescent="0.25">
      <c r="A48">
        <v>8.8033600000000004E-2</v>
      </c>
      <c r="B48">
        <v>10</v>
      </c>
      <c r="C48" t="s">
        <v>296</v>
      </c>
      <c r="D48">
        <v>1980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8.6039599999999994E-2</v>
      </c>
      <c r="AM48">
        <v>0.129885</v>
      </c>
      <c r="AN48">
        <v>0.55379999999999996</v>
      </c>
      <c r="AO48">
        <v>0.1932893</v>
      </c>
      <c r="AP48">
        <v>2.0655300000000001E-2</v>
      </c>
      <c r="AQ48">
        <v>4.1775E-2</v>
      </c>
      <c r="AR48">
        <v>0.35768349999999999</v>
      </c>
      <c r="AS48">
        <v>0.88370420000000005</v>
      </c>
      <c r="AT48">
        <v>2.157</v>
      </c>
      <c r="AU48">
        <v>0.84826650000000003</v>
      </c>
      <c r="AV48">
        <v>8.3840600000000001E-2</v>
      </c>
      <c r="AW48">
        <v>4713.6000000000004</v>
      </c>
      <c r="AY48">
        <v>5.66</v>
      </c>
      <c r="AZ48">
        <v>2.0150000000000001E-2</v>
      </c>
      <c r="BA48">
        <v>0.90780000000000005</v>
      </c>
      <c r="BC48" s="19">
        <v>9.67</v>
      </c>
      <c r="BD48" s="19">
        <v>7.67</v>
      </c>
      <c r="BE48" s="19">
        <v>9.16</v>
      </c>
      <c r="BF48" s="19">
        <v>9.5299999999999994</v>
      </c>
      <c r="BG48" s="19">
        <v>8.85</v>
      </c>
      <c r="BH48" s="19">
        <v>8.98</v>
      </c>
      <c r="BI48" s="20">
        <f t="shared" si="0"/>
        <v>8.8025000000000002</v>
      </c>
    </row>
    <row r="49" spans="1:61" x14ac:dyDescent="0.25">
      <c r="A49">
        <v>3.9304699999999998E-2</v>
      </c>
      <c r="B49">
        <v>10</v>
      </c>
      <c r="C49" t="s">
        <v>296</v>
      </c>
      <c r="D49">
        <v>1985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9.2495300000000003E-2</v>
      </c>
      <c r="AM49">
        <v>0.1580375</v>
      </c>
      <c r="AN49">
        <v>0.77139999999999997</v>
      </c>
      <c r="AO49">
        <v>0.2585905</v>
      </c>
      <c r="AP49">
        <v>3.5236900000000002E-2</v>
      </c>
      <c r="AQ49">
        <v>1.5885199999999999E-2</v>
      </c>
      <c r="AR49">
        <v>0.32000400000000001</v>
      </c>
      <c r="AS49">
        <v>0.98782119999999995</v>
      </c>
      <c r="AT49">
        <v>1.8</v>
      </c>
      <c r="AU49">
        <v>0.95639010000000002</v>
      </c>
      <c r="AV49">
        <v>9.2290999999999998E-2</v>
      </c>
      <c r="AW49">
        <v>5286.6</v>
      </c>
      <c r="AY49">
        <v>6.73</v>
      </c>
      <c r="AZ49">
        <v>6.7295999999999995E-2</v>
      </c>
      <c r="BA49">
        <v>0.9234</v>
      </c>
      <c r="BC49" s="19">
        <v>9.75</v>
      </c>
      <c r="BD49" s="19">
        <v>9.4499999999999993</v>
      </c>
      <c r="BE49" s="19">
        <v>8.51</v>
      </c>
      <c r="BF49" s="19">
        <v>9.75</v>
      </c>
      <c r="BG49" s="19">
        <v>8.85</v>
      </c>
      <c r="BH49" s="19">
        <v>9.23</v>
      </c>
      <c r="BI49" s="20">
        <f t="shared" si="0"/>
        <v>9.14</v>
      </c>
    </row>
    <row r="50" spans="1:61" x14ac:dyDescent="0.25">
      <c r="A50">
        <v>6.5644400000000006E-2</v>
      </c>
      <c r="B50">
        <v>10</v>
      </c>
      <c r="C50" t="s">
        <v>296</v>
      </c>
      <c r="D50">
        <v>1990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0.1045251</v>
      </c>
      <c r="AM50">
        <v>0.12897629999999999</v>
      </c>
      <c r="AN50">
        <v>0.90239999999999998</v>
      </c>
      <c r="AO50">
        <v>0.239288</v>
      </c>
      <c r="AP50">
        <v>2.2174300000000001E-2</v>
      </c>
      <c r="AQ50">
        <v>1.5885199999999999E-2</v>
      </c>
      <c r="AR50">
        <v>0.3090543</v>
      </c>
      <c r="AS50">
        <v>1.267944</v>
      </c>
      <c r="AT50">
        <v>1.4</v>
      </c>
      <c r="AU50">
        <v>1.1736180000000001</v>
      </c>
      <c r="AV50">
        <v>7.0594400000000002E-2</v>
      </c>
      <c r="AW50">
        <v>5624.36</v>
      </c>
      <c r="AY50">
        <v>7.51</v>
      </c>
      <c r="AZ50">
        <v>7.3816000000000007E-2</v>
      </c>
      <c r="BA50">
        <v>0.93623999999999996</v>
      </c>
      <c r="BC50" s="19">
        <v>9.39</v>
      </c>
      <c r="BD50" s="19">
        <v>7.34</v>
      </c>
      <c r="BE50" s="19">
        <v>9.33</v>
      </c>
      <c r="BF50" s="19">
        <v>9.75</v>
      </c>
      <c r="BG50" s="19">
        <v>8.85</v>
      </c>
      <c r="BH50" s="19">
        <v>8.94</v>
      </c>
      <c r="BI50" s="20">
        <f t="shared" si="0"/>
        <v>8.8175000000000008</v>
      </c>
    </row>
    <row r="51" spans="1:61" x14ac:dyDescent="0.25">
      <c r="A51">
        <v>3.7743100000000002E-2</v>
      </c>
      <c r="B51">
        <v>10</v>
      </c>
      <c r="C51" t="s">
        <v>296</v>
      </c>
      <c r="D51">
        <v>1995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0.1173855</v>
      </c>
      <c r="AM51">
        <v>0.14109969999999999</v>
      </c>
      <c r="AN51">
        <v>1.09463</v>
      </c>
      <c r="AO51">
        <v>0.28050029999999998</v>
      </c>
      <c r="AP51">
        <v>2.1920499999999999E-2</v>
      </c>
      <c r="AQ51">
        <v>1.3571099999999999E-2</v>
      </c>
      <c r="AR51">
        <v>0.29941279999999998</v>
      </c>
      <c r="AS51">
        <v>1.4169</v>
      </c>
      <c r="AT51">
        <v>1.23194</v>
      </c>
      <c r="AU51">
        <v>1.3801559999999999</v>
      </c>
      <c r="AV51">
        <v>9.4450599999999996E-2</v>
      </c>
      <c r="AW51">
        <v>5947.3</v>
      </c>
      <c r="AY51">
        <v>8.3699999999999992</v>
      </c>
      <c r="AZ51">
        <v>9.1221999999999998E-2</v>
      </c>
      <c r="BA51">
        <v>0.94638599999999995</v>
      </c>
      <c r="BC51" s="19">
        <v>9.31</v>
      </c>
      <c r="BD51" s="19">
        <v>6.91</v>
      </c>
      <c r="BE51" s="19">
        <v>9.02</v>
      </c>
      <c r="BF51" s="19">
        <v>9.76</v>
      </c>
      <c r="BG51" s="19">
        <v>8.85</v>
      </c>
      <c r="BH51" s="19">
        <v>8.7799999999999994</v>
      </c>
      <c r="BI51" s="20">
        <f t="shared" si="0"/>
        <v>8.6349999999999998</v>
      </c>
    </row>
    <row r="52" spans="1:61" x14ac:dyDescent="0.25">
      <c r="A52">
        <v>5.0030100000000001E-2</v>
      </c>
      <c r="B52">
        <v>11</v>
      </c>
      <c r="C52" t="s">
        <v>297</v>
      </c>
      <c r="D52">
        <v>1975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0.29599999999999999</v>
      </c>
      <c r="AM52">
        <v>0.35720000000000002</v>
      </c>
      <c r="AN52">
        <v>0.83</v>
      </c>
      <c r="AO52">
        <v>0.30020000000000002</v>
      </c>
      <c r="AP52">
        <v>1.0962400000000001E-2</v>
      </c>
      <c r="AQ52">
        <v>2.9232899999999999E-2</v>
      </c>
      <c r="AR52">
        <v>0.41083330000000001</v>
      </c>
      <c r="AS52">
        <v>0.33929540000000002</v>
      </c>
      <c r="AT52">
        <v>2.8368000000000002</v>
      </c>
      <c r="AU52">
        <v>0.39566000000000001</v>
      </c>
      <c r="AV52">
        <v>0.25900780000000001</v>
      </c>
      <c r="AW52">
        <v>212</v>
      </c>
      <c r="AX52">
        <v>0.24349999999999999</v>
      </c>
      <c r="AY52">
        <v>6.22</v>
      </c>
      <c r="AZ52">
        <v>4.8560000000000001E-3</v>
      </c>
      <c r="BA52">
        <v>0.85919999999999996</v>
      </c>
      <c r="BB52">
        <v>44.39</v>
      </c>
      <c r="BC52" s="19">
        <v>2.52</v>
      </c>
      <c r="BD52" s="19" t="s">
        <v>49</v>
      </c>
      <c r="BE52" s="19">
        <v>6.72</v>
      </c>
      <c r="BF52" s="19" t="s">
        <v>49</v>
      </c>
      <c r="BG52" s="19" t="s">
        <v>49</v>
      </c>
      <c r="BH52" s="19" t="s">
        <v>49</v>
      </c>
      <c r="BI52" s="20">
        <f t="shared" si="0"/>
        <v>6.72</v>
      </c>
    </row>
    <row r="53" spans="1:61" x14ac:dyDescent="0.25">
      <c r="A53">
        <v>5.3242600000000001E-2</v>
      </c>
      <c r="B53">
        <v>11</v>
      </c>
      <c r="C53" t="s">
        <v>297</v>
      </c>
      <c r="D53">
        <v>1980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0.29199999999999998</v>
      </c>
      <c r="AM53">
        <v>0.32579999999999998</v>
      </c>
      <c r="AN53">
        <v>0.97</v>
      </c>
      <c r="AO53">
        <v>0.26600000000000001</v>
      </c>
      <c r="AP53">
        <v>1.3459199999999999E-2</v>
      </c>
      <c r="AQ53">
        <v>2.16808E-2</v>
      </c>
      <c r="AR53">
        <v>0.39169730000000003</v>
      </c>
      <c r="AS53">
        <v>0.34877140000000001</v>
      </c>
      <c r="AT53">
        <v>2.42075</v>
      </c>
      <c r="AU53">
        <v>0.34163290000000002</v>
      </c>
      <c r="AV53">
        <v>0.42251</v>
      </c>
      <c r="AW53">
        <v>224</v>
      </c>
      <c r="AX53">
        <v>0.24779999999999999</v>
      </c>
      <c r="AY53">
        <v>6.65</v>
      </c>
      <c r="AZ53">
        <v>3.7460000000000002E-3</v>
      </c>
      <c r="BA53">
        <v>0.87560000000000004</v>
      </c>
      <c r="BB53">
        <v>47.35</v>
      </c>
      <c r="BC53" s="19">
        <v>2.52</v>
      </c>
      <c r="BD53" s="19" t="s">
        <v>49</v>
      </c>
      <c r="BE53" s="19">
        <v>6.65</v>
      </c>
      <c r="BF53" s="19" t="s">
        <v>49</v>
      </c>
      <c r="BG53" s="19" t="s">
        <v>49</v>
      </c>
      <c r="BH53" s="19" t="s">
        <v>49</v>
      </c>
      <c r="BI53" s="20">
        <f t="shared" si="0"/>
        <v>6.65</v>
      </c>
    </row>
    <row r="54" spans="1:61" x14ac:dyDescent="0.25">
      <c r="A54">
        <v>1.18075E-2</v>
      </c>
      <c r="B54">
        <v>11</v>
      </c>
      <c r="C54" t="s">
        <v>297</v>
      </c>
      <c r="D54">
        <v>1985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0.29399999999999998</v>
      </c>
      <c r="AM54">
        <v>0.3458</v>
      </c>
      <c r="AN54">
        <v>1.1200000000000001</v>
      </c>
      <c r="AO54">
        <v>0.22600000000000001</v>
      </c>
      <c r="AP54">
        <v>1.3467E-2</v>
      </c>
      <c r="AQ54">
        <v>2.7959100000000001E-2</v>
      </c>
      <c r="AR54">
        <v>0.37293860000000001</v>
      </c>
      <c r="AS54">
        <v>0.36536790000000002</v>
      </c>
      <c r="AT54">
        <v>2.1274999999999999</v>
      </c>
      <c r="AU54">
        <v>0.37367630000000002</v>
      </c>
      <c r="AV54">
        <v>0.493612</v>
      </c>
      <c r="AW54">
        <v>236.4</v>
      </c>
      <c r="AX54">
        <v>0.17960000000000001</v>
      </c>
      <c r="AY54">
        <v>7.11</v>
      </c>
      <c r="AZ54">
        <v>8.5240000000000003E-3</v>
      </c>
      <c r="BA54">
        <v>0.88980000000000004</v>
      </c>
      <c r="BB54">
        <v>51.68</v>
      </c>
      <c r="BC54" s="19">
        <v>2.58</v>
      </c>
      <c r="BD54" s="19" t="s">
        <v>49</v>
      </c>
      <c r="BE54" s="19">
        <v>6.48</v>
      </c>
      <c r="BF54" s="19">
        <v>4.3899999999999997</v>
      </c>
      <c r="BG54" s="19">
        <v>4.29</v>
      </c>
      <c r="BH54" s="19">
        <v>4.6100000000000003</v>
      </c>
      <c r="BI54" s="20">
        <f t="shared" si="0"/>
        <v>5.0533333333333337</v>
      </c>
    </row>
    <row r="55" spans="1:61" x14ac:dyDescent="0.25">
      <c r="A55">
        <v>2.0135199999999999E-2</v>
      </c>
      <c r="B55">
        <v>11</v>
      </c>
      <c r="C55" t="s">
        <v>297</v>
      </c>
      <c r="D55">
        <v>1990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0.30559999999999998</v>
      </c>
      <c r="AM55">
        <v>0.38679999999999998</v>
      </c>
      <c r="AN55">
        <v>1.1000000000000001</v>
      </c>
      <c r="AO55">
        <v>0.19520000000000001</v>
      </c>
      <c r="AP55">
        <v>1.20815E-2</v>
      </c>
      <c r="AQ55">
        <v>8.4991000000000008E-3</v>
      </c>
      <c r="AR55">
        <v>0.36344399999999999</v>
      </c>
      <c r="AS55">
        <v>0.34636329999999999</v>
      </c>
      <c r="AT55">
        <v>2.1379999999999999</v>
      </c>
      <c r="AU55">
        <v>0.33573389999999997</v>
      </c>
      <c r="AV55">
        <v>0.20345199999999999</v>
      </c>
      <c r="AW55">
        <v>249.28</v>
      </c>
      <c r="AX55">
        <v>0.15720000000000001</v>
      </c>
      <c r="AY55">
        <v>7.55</v>
      </c>
      <c r="AZ55">
        <v>1.0288E-2</v>
      </c>
      <c r="BA55">
        <v>0.90202800000000005</v>
      </c>
      <c r="BB55">
        <v>57.89</v>
      </c>
      <c r="BC55" s="19">
        <v>2.64</v>
      </c>
      <c r="BD55" s="19">
        <v>7.79</v>
      </c>
      <c r="BE55" s="19">
        <v>6.82</v>
      </c>
      <c r="BF55" s="19">
        <v>4.51</v>
      </c>
      <c r="BG55" s="19">
        <v>4.4400000000000004</v>
      </c>
      <c r="BH55" s="19">
        <v>5.23</v>
      </c>
      <c r="BI55" s="20">
        <f t="shared" si="0"/>
        <v>5.89</v>
      </c>
    </row>
    <row r="56" spans="1:61" x14ac:dyDescent="0.25">
      <c r="A56">
        <v>-2.6323000000000002E-3</v>
      </c>
      <c r="B56">
        <v>11</v>
      </c>
      <c r="C56" t="s">
        <v>297</v>
      </c>
      <c r="D56">
        <v>1995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0.31380000000000002</v>
      </c>
      <c r="AM56">
        <v>0.39910570000000001</v>
      </c>
      <c r="AN56">
        <v>1.08</v>
      </c>
      <c r="AO56">
        <v>0.16420000000000001</v>
      </c>
      <c r="AP56">
        <v>1.11398E-2</v>
      </c>
      <c r="AQ56">
        <v>5.5849000000000003E-3</v>
      </c>
      <c r="AR56">
        <v>0.35533749999999997</v>
      </c>
      <c r="AS56">
        <v>0.33450540000000001</v>
      </c>
      <c r="AT56">
        <v>2.18066</v>
      </c>
      <c r="AU56">
        <v>0.31487330000000002</v>
      </c>
      <c r="AV56">
        <v>3.56285E-2</v>
      </c>
      <c r="AW56">
        <v>263.38</v>
      </c>
      <c r="AX56">
        <v>0.15939999999999999</v>
      </c>
      <c r="AY56">
        <v>7.98</v>
      </c>
      <c r="AZ56">
        <v>3.7407999999999997E-2</v>
      </c>
      <c r="BA56">
        <v>0.91206799999999999</v>
      </c>
      <c r="BB56">
        <v>57.2</v>
      </c>
      <c r="BC56" s="19">
        <v>2.94</v>
      </c>
      <c r="BD56" s="19">
        <v>8.32</v>
      </c>
      <c r="BE56" s="19">
        <v>5.65</v>
      </c>
      <c r="BF56" s="19">
        <v>5.01</v>
      </c>
      <c r="BG56" s="19">
        <v>5.07</v>
      </c>
      <c r="BH56" s="19">
        <v>5.35</v>
      </c>
      <c r="BI56" s="20">
        <f t="shared" si="0"/>
        <v>6.0125000000000002</v>
      </c>
    </row>
    <row r="57" spans="1:61" x14ac:dyDescent="0.25">
      <c r="A57">
        <v>3.3696999999999998E-2</v>
      </c>
      <c r="B57">
        <v>12</v>
      </c>
      <c r="C57" t="s">
        <v>298</v>
      </c>
      <c r="D57">
        <v>1975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0.31159999999999999</v>
      </c>
      <c r="AM57">
        <v>0.41560000000000002</v>
      </c>
      <c r="AN57">
        <v>0.66</v>
      </c>
      <c r="AO57">
        <v>0.23980000000000001</v>
      </c>
      <c r="AP57">
        <v>2.1611999999999998E-3</v>
      </c>
      <c r="AQ57">
        <v>6.8814999999999996E-3</v>
      </c>
      <c r="AR57">
        <v>0.42386439999999997</v>
      </c>
      <c r="AS57">
        <v>0.37243290000000001</v>
      </c>
      <c r="AT57">
        <v>3.7204000000000002</v>
      </c>
      <c r="AU57">
        <v>0.45149990000000001</v>
      </c>
      <c r="AV57">
        <v>0.13446540000000001</v>
      </c>
      <c r="AW57">
        <v>3075.2</v>
      </c>
      <c r="AX57">
        <v>0.21675</v>
      </c>
      <c r="AY57">
        <v>6.52</v>
      </c>
      <c r="AZ57">
        <v>5.9423999999999998E-2</v>
      </c>
      <c r="BA57">
        <v>0.52839999999999998</v>
      </c>
      <c r="BB57">
        <v>69.91</v>
      </c>
      <c r="BC57" s="19">
        <v>5.6</v>
      </c>
      <c r="BD57" s="19">
        <v>8.27</v>
      </c>
      <c r="BE57" s="19">
        <v>5.7</v>
      </c>
      <c r="BF57" s="19">
        <v>5.31</v>
      </c>
      <c r="BG57" s="19" t="s">
        <v>49</v>
      </c>
      <c r="BH57" s="19">
        <v>6.57</v>
      </c>
      <c r="BI57" s="20">
        <f t="shared" si="0"/>
        <v>6.4266666666666659</v>
      </c>
    </row>
    <row r="58" spans="1:61" x14ac:dyDescent="0.25">
      <c r="A58">
        <v>3.1416600000000003E-2</v>
      </c>
      <c r="B58">
        <v>12</v>
      </c>
      <c r="C58" t="s">
        <v>298</v>
      </c>
      <c r="D58">
        <v>1980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0.32779999999999998</v>
      </c>
      <c r="AM58">
        <v>0.4391873</v>
      </c>
      <c r="AN58">
        <v>0.65</v>
      </c>
      <c r="AO58">
        <v>0.27894000000000002</v>
      </c>
      <c r="AP58">
        <v>5.4615000000000002E-3</v>
      </c>
      <c r="AQ58">
        <v>1.5094700000000001E-2</v>
      </c>
      <c r="AR58">
        <v>0.4223481</v>
      </c>
      <c r="AS58">
        <v>0.47024949999999999</v>
      </c>
      <c r="AT58">
        <v>3.2557999999999998</v>
      </c>
      <c r="AU58">
        <v>0.58200110000000005</v>
      </c>
      <c r="AV58">
        <v>0.1413538</v>
      </c>
      <c r="AW58">
        <v>3316.6</v>
      </c>
      <c r="AX58">
        <v>0.1938</v>
      </c>
      <c r="AY58">
        <v>6.7</v>
      </c>
      <c r="AZ58">
        <v>8.0507999999999996E-2</v>
      </c>
      <c r="BA58">
        <v>0.54620000000000002</v>
      </c>
      <c r="BB58">
        <v>71.55</v>
      </c>
      <c r="BC58" s="19">
        <v>5.09</v>
      </c>
      <c r="BD58" s="19">
        <v>5.79</v>
      </c>
      <c r="BE58" s="19">
        <v>3.05</v>
      </c>
      <c r="BF58" s="19">
        <v>3.62</v>
      </c>
      <c r="BG58" s="19">
        <v>6.05</v>
      </c>
      <c r="BH58" s="19">
        <v>4.72</v>
      </c>
      <c r="BI58" s="20">
        <f t="shared" si="0"/>
        <v>4.6275000000000004</v>
      </c>
    </row>
    <row r="59" spans="1:61" x14ac:dyDescent="0.25">
      <c r="A59">
        <v>1.7243399999999999E-2</v>
      </c>
      <c r="B59">
        <v>12</v>
      </c>
      <c r="C59" t="s">
        <v>298</v>
      </c>
      <c r="D59">
        <v>1985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0.36940000000000001</v>
      </c>
      <c r="AM59">
        <v>0.51659080000000002</v>
      </c>
      <c r="AN59">
        <v>0.69</v>
      </c>
      <c r="AO59">
        <v>0.2356</v>
      </c>
      <c r="AP59">
        <v>2.5528599999999999E-2</v>
      </c>
      <c r="AQ59">
        <v>8.8202999999999997E-3</v>
      </c>
      <c r="AR59">
        <v>0.4135548</v>
      </c>
      <c r="AS59">
        <v>0.51641899999999996</v>
      </c>
      <c r="AT59">
        <v>2.7749999999999999</v>
      </c>
      <c r="AU59">
        <v>0.56246549999999995</v>
      </c>
      <c r="AV59">
        <v>0.1238224</v>
      </c>
      <c r="AW59">
        <v>3499.2</v>
      </c>
      <c r="AX59">
        <v>0.15160000000000001</v>
      </c>
      <c r="AY59">
        <v>7.6</v>
      </c>
      <c r="AZ59">
        <v>0.13542999999999999</v>
      </c>
      <c r="BA59">
        <v>0.55900000000000005</v>
      </c>
      <c r="BB59">
        <v>78.760000000000005</v>
      </c>
      <c r="BC59" s="19">
        <v>5.0199999999999996</v>
      </c>
      <c r="BD59" s="19">
        <v>7.96</v>
      </c>
      <c r="BE59" s="19">
        <v>2.38</v>
      </c>
      <c r="BF59" s="19">
        <v>5.55</v>
      </c>
      <c r="BG59" s="19">
        <v>6.29</v>
      </c>
      <c r="BH59" s="19">
        <v>5.36</v>
      </c>
      <c r="BI59" s="20">
        <f t="shared" si="0"/>
        <v>5.5449999999999999</v>
      </c>
    </row>
    <row r="60" spans="1:61" x14ac:dyDescent="0.25">
      <c r="A60">
        <v>4.9137E-2</v>
      </c>
      <c r="B60">
        <v>12</v>
      </c>
      <c r="C60" t="s">
        <v>298</v>
      </c>
      <c r="D60">
        <v>1990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0</v>
      </c>
      <c r="AL60">
        <v>0.36759999999999998</v>
      </c>
      <c r="AM60">
        <v>0.46365899999999999</v>
      </c>
      <c r="AN60">
        <v>0.62</v>
      </c>
      <c r="AO60">
        <v>0.16980000000000001</v>
      </c>
      <c r="AP60">
        <v>7.0064000000000003E-3</v>
      </c>
      <c r="AQ60">
        <v>2.3354999999999999E-3</v>
      </c>
      <c r="AR60">
        <v>0.40209040000000001</v>
      </c>
      <c r="AS60">
        <v>0.58339070000000004</v>
      </c>
      <c r="AT60">
        <v>2.226</v>
      </c>
      <c r="AU60">
        <v>0.52685459999999995</v>
      </c>
      <c r="AV60">
        <v>3.3059600000000001E-2</v>
      </c>
      <c r="AW60">
        <v>3526.8</v>
      </c>
      <c r="AX60">
        <v>0.17219999999999999</v>
      </c>
      <c r="AY60">
        <v>7.87</v>
      </c>
      <c r="AZ60">
        <v>0.15559600000000001</v>
      </c>
      <c r="BA60">
        <v>0.56663200000000002</v>
      </c>
      <c r="BB60">
        <v>80.3</v>
      </c>
      <c r="BC60" s="19">
        <v>5.24</v>
      </c>
      <c r="BD60" s="19">
        <v>9.18</v>
      </c>
      <c r="BE60" s="19">
        <v>2.0499999999999998</v>
      </c>
      <c r="BF60" s="19">
        <v>5.57</v>
      </c>
      <c r="BG60" s="19">
        <v>6.3</v>
      </c>
      <c r="BH60" s="19">
        <v>5.56</v>
      </c>
      <c r="BI60" s="20">
        <f t="shared" si="0"/>
        <v>5.7750000000000004</v>
      </c>
    </row>
    <row r="61" spans="1:61" x14ac:dyDescent="0.25">
      <c r="A61">
        <v>5.3167499999999999E-2</v>
      </c>
      <c r="B61">
        <v>12</v>
      </c>
      <c r="C61" t="s">
        <v>298</v>
      </c>
      <c r="D61">
        <v>1995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</v>
      </c>
      <c r="AL61">
        <v>0.3518</v>
      </c>
      <c r="AM61">
        <v>0.42957640000000002</v>
      </c>
      <c r="AN61">
        <v>0.66</v>
      </c>
      <c r="AO61">
        <v>0.15179999999999999</v>
      </c>
      <c r="AP61">
        <v>7.0165000000000002E-3</v>
      </c>
      <c r="AQ61">
        <v>1.6556899999999999E-2</v>
      </c>
      <c r="AR61">
        <v>0.38698729999999998</v>
      </c>
      <c r="AS61">
        <v>0.67604419999999998</v>
      </c>
      <c r="AT61">
        <v>1.954</v>
      </c>
      <c r="AU61">
        <v>0.56038160000000004</v>
      </c>
      <c r="AV61">
        <v>2.47572E-2</v>
      </c>
      <c r="AW61">
        <v>3558.96</v>
      </c>
      <c r="AX61">
        <v>0.20019999999999999</v>
      </c>
      <c r="AY61">
        <v>8.15</v>
      </c>
      <c r="AZ61">
        <v>0.14416799999999999</v>
      </c>
      <c r="BA61">
        <v>0.57260599999999995</v>
      </c>
      <c r="BB61">
        <v>79.11</v>
      </c>
      <c r="BC61" s="19">
        <v>5.91</v>
      </c>
      <c r="BD61" s="19">
        <v>9.73</v>
      </c>
      <c r="BE61" s="19">
        <v>6.79</v>
      </c>
      <c r="BF61" s="19">
        <v>5.92</v>
      </c>
      <c r="BG61" s="19">
        <v>6.66</v>
      </c>
      <c r="BH61" s="19">
        <v>6.95</v>
      </c>
      <c r="BI61" s="20">
        <f t="shared" si="0"/>
        <v>7.2749999999999995</v>
      </c>
    </row>
    <row r="62" spans="1:61" x14ac:dyDescent="0.25">
      <c r="A62">
        <v>4.4190699999999999E-2</v>
      </c>
      <c r="B62">
        <v>13</v>
      </c>
      <c r="C62" t="s">
        <v>299</v>
      </c>
      <c r="D62">
        <v>1975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0.31863249999999999</v>
      </c>
      <c r="AM62">
        <v>0.46289520000000001</v>
      </c>
      <c r="AN62">
        <v>0.66303999999999996</v>
      </c>
      <c r="AO62">
        <v>0.30670360000000002</v>
      </c>
      <c r="AP62">
        <v>2.5045000000000001E-2</v>
      </c>
      <c r="AQ62">
        <v>2.8833000000000001E-2</v>
      </c>
      <c r="AR62">
        <v>0.39815070000000002</v>
      </c>
      <c r="AS62">
        <v>0.26639570000000001</v>
      </c>
      <c r="AT62">
        <v>3.77</v>
      </c>
      <c r="AU62">
        <v>0.45274789999999998</v>
      </c>
      <c r="AV62">
        <v>0.24706</v>
      </c>
      <c r="AW62">
        <v>3265.4</v>
      </c>
      <c r="AX62">
        <v>0.21675</v>
      </c>
      <c r="AY62">
        <v>7.65</v>
      </c>
      <c r="BA62">
        <v>0.85640000000000005</v>
      </c>
      <c r="BB62">
        <v>48.81</v>
      </c>
      <c r="BC62" s="19">
        <v>5.22</v>
      </c>
      <c r="BD62" s="19">
        <v>9.86</v>
      </c>
      <c r="BE62" s="19">
        <v>6.61</v>
      </c>
      <c r="BF62" s="19">
        <v>7.31</v>
      </c>
      <c r="BG62" s="19">
        <v>7</v>
      </c>
      <c r="BH62" s="19">
        <v>7.16</v>
      </c>
      <c r="BI62" s="20">
        <f t="shared" si="0"/>
        <v>7.6949999999999994</v>
      </c>
    </row>
    <row r="63" spans="1:61" x14ac:dyDescent="0.25">
      <c r="A63">
        <v>1.4504599999999999E-2</v>
      </c>
      <c r="B63">
        <v>13</v>
      </c>
      <c r="C63" t="s">
        <v>299</v>
      </c>
      <c r="D63">
        <v>1980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0.43097200000000002</v>
      </c>
      <c r="AM63">
        <v>0.67526390000000003</v>
      </c>
      <c r="AN63">
        <v>0.73129999999999995</v>
      </c>
      <c r="AO63">
        <v>0.2370467</v>
      </c>
      <c r="AP63">
        <v>5.4308999999999998E-3</v>
      </c>
      <c r="AQ63">
        <v>2.8617199999999999E-2</v>
      </c>
      <c r="AR63">
        <v>0.4063097</v>
      </c>
      <c r="AS63">
        <v>0.37731100000000001</v>
      </c>
      <c r="AT63">
        <v>3.3260000000000001</v>
      </c>
      <c r="AU63">
        <v>0.51967229999999998</v>
      </c>
      <c r="AV63">
        <v>0.65290199999999998</v>
      </c>
      <c r="AW63">
        <v>3700</v>
      </c>
      <c r="AX63">
        <v>0.1938</v>
      </c>
      <c r="AY63">
        <v>7.86</v>
      </c>
      <c r="BA63">
        <v>0.878</v>
      </c>
      <c r="BB63">
        <v>50.12</v>
      </c>
      <c r="BC63" s="19">
        <v>4.47</v>
      </c>
      <c r="BD63" s="19">
        <v>7.54</v>
      </c>
      <c r="BE63" s="19">
        <v>5.64</v>
      </c>
      <c r="BF63" s="19">
        <v>7.47</v>
      </c>
      <c r="BG63" s="19">
        <v>6.91</v>
      </c>
      <c r="BH63" s="19">
        <v>6.36</v>
      </c>
      <c r="BI63" s="20">
        <f t="shared" si="0"/>
        <v>6.89</v>
      </c>
    </row>
    <row r="64" spans="1:61" x14ac:dyDescent="0.25">
      <c r="A64">
        <v>1.16516E-2</v>
      </c>
      <c r="B64">
        <v>13</v>
      </c>
      <c r="C64" t="s">
        <v>299</v>
      </c>
      <c r="D64">
        <v>1985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0</v>
      </c>
      <c r="AK64">
        <v>0</v>
      </c>
      <c r="AL64">
        <v>0.44262000000000001</v>
      </c>
      <c r="AM64">
        <v>0.75047169999999996</v>
      </c>
      <c r="AN64">
        <v>0.69720000000000004</v>
      </c>
      <c r="AO64">
        <v>0.21542500000000001</v>
      </c>
      <c r="AP64">
        <v>2.99572E-2</v>
      </c>
      <c r="AQ64">
        <v>2.3440300000000001E-2</v>
      </c>
      <c r="AR64">
        <v>0.41810209999999998</v>
      </c>
      <c r="AS64">
        <v>0.35710249999999999</v>
      </c>
      <c r="AT64">
        <v>3.13</v>
      </c>
      <c r="AU64">
        <v>0.45762219999999998</v>
      </c>
      <c r="AV64">
        <v>2.1233200000000001</v>
      </c>
      <c r="AW64">
        <v>4096.8</v>
      </c>
      <c r="AX64">
        <v>0.15160000000000001</v>
      </c>
      <c r="AY64">
        <v>9.11</v>
      </c>
      <c r="BA64">
        <v>0.8962</v>
      </c>
      <c r="BB64">
        <v>50.51</v>
      </c>
      <c r="BC64" s="19">
        <v>5.01</v>
      </c>
      <c r="BD64" s="19">
        <v>8.3699999999999992</v>
      </c>
      <c r="BE64" s="19">
        <v>5.77</v>
      </c>
      <c r="BF64" s="19">
        <v>7.8</v>
      </c>
      <c r="BG64" s="19">
        <v>7.16</v>
      </c>
      <c r="BH64" s="19">
        <v>6.76</v>
      </c>
      <c r="BI64" s="20">
        <f t="shared" si="0"/>
        <v>7.2749999999999995</v>
      </c>
    </row>
    <row r="65" spans="1:61" x14ac:dyDescent="0.25">
      <c r="A65">
        <v>2.39131E-2</v>
      </c>
      <c r="B65">
        <v>13</v>
      </c>
      <c r="C65" t="s">
        <v>299</v>
      </c>
      <c r="D65">
        <v>1990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0.35077399999999997</v>
      </c>
      <c r="AM65">
        <v>0.50231349999999997</v>
      </c>
      <c r="AN65">
        <v>0.70640999999999998</v>
      </c>
      <c r="AO65">
        <v>0.18463869999999999</v>
      </c>
      <c r="AP65">
        <v>-2.2051000000000002E-3</v>
      </c>
      <c r="AQ65">
        <v>2.3440300000000001E-2</v>
      </c>
      <c r="AR65">
        <v>0.4133947</v>
      </c>
      <c r="AS65">
        <v>0.33545740000000002</v>
      </c>
      <c r="AT65">
        <v>3.01</v>
      </c>
      <c r="AU65">
        <v>0.39233800000000002</v>
      </c>
      <c r="AV65">
        <v>0.24315000000000001</v>
      </c>
      <c r="AW65">
        <v>4454.6000000000004</v>
      </c>
      <c r="AX65">
        <v>0.17219999999999999</v>
      </c>
      <c r="AY65">
        <v>9.01</v>
      </c>
      <c r="BA65">
        <v>0.91080000000000005</v>
      </c>
      <c r="BB65">
        <v>51.23</v>
      </c>
      <c r="BC65" s="19">
        <v>4.57</v>
      </c>
      <c r="BD65" s="19">
        <v>7.86</v>
      </c>
      <c r="BE65" s="19">
        <v>6.63</v>
      </c>
      <c r="BF65" s="19">
        <v>7.73</v>
      </c>
      <c r="BG65" s="19">
        <v>7.5</v>
      </c>
      <c r="BH65" s="19">
        <v>6.81</v>
      </c>
      <c r="BI65" s="20">
        <f t="shared" si="0"/>
        <v>7.43</v>
      </c>
    </row>
    <row r="66" spans="1:61" x14ac:dyDescent="0.25">
      <c r="A66">
        <v>2.94278E-2</v>
      </c>
      <c r="B66">
        <v>13</v>
      </c>
      <c r="C66" t="s">
        <v>299</v>
      </c>
      <c r="D66">
        <v>1995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0.30636600000000003</v>
      </c>
      <c r="AM66">
        <v>0.42519800000000002</v>
      </c>
      <c r="AN66">
        <v>0.69596000000000002</v>
      </c>
      <c r="AO66">
        <v>0.23530680000000001</v>
      </c>
      <c r="AP66">
        <v>6.6500000000000001E-4</v>
      </c>
      <c r="AQ66">
        <v>3.5939899999999997E-2</v>
      </c>
      <c r="AR66">
        <v>0.4034876</v>
      </c>
      <c r="AS66">
        <v>0.29526790000000003</v>
      </c>
      <c r="AT66">
        <v>2.4860000000000002</v>
      </c>
      <c r="AU66">
        <v>0.38274799999999998</v>
      </c>
      <c r="AV66">
        <v>0.12889200000000001</v>
      </c>
      <c r="AW66">
        <v>5258.6</v>
      </c>
      <c r="AX66">
        <v>0.20019999999999999</v>
      </c>
      <c r="AY66">
        <v>9.0399999999999991</v>
      </c>
      <c r="BB66">
        <v>50.9</v>
      </c>
      <c r="BC66" s="19">
        <v>5.97</v>
      </c>
      <c r="BD66" s="19">
        <v>9.14</v>
      </c>
      <c r="BE66" s="19">
        <v>6.77</v>
      </c>
      <c r="BF66" s="19">
        <v>7.69</v>
      </c>
      <c r="BG66" s="19">
        <v>7.68</v>
      </c>
      <c r="BH66" s="19">
        <v>7.39</v>
      </c>
      <c r="BI66" s="20">
        <f t="shared" si="0"/>
        <v>7.82</v>
      </c>
    </row>
    <row r="67" spans="1:61" x14ac:dyDescent="0.25">
      <c r="A67">
        <v>2.1322399999999998E-2</v>
      </c>
      <c r="B67">
        <v>14</v>
      </c>
      <c r="C67" t="s">
        <v>300</v>
      </c>
      <c r="D67">
        <v>1975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0.26019999999999999</v>
      </c>
      <c r="AM67">
        <v>0.37053940000000002</v>
      </c>
      <c r="AN67">
        <v>0.89</v>
      </c>
      <c r="AO67">
        <v>0.20799999999999999</v>
      </c>
      <c r="AP67">
        <v>1.81937E-2</v>
      </c>
      <c r="AQ67">
        <v>4.6673000000000001E-3</v>
      </c>
      <c r="AR67">
        <v>0.35465049999999998</v>
      </c>
      <c r="AS67">
        <v>0.18540699999999999</v>
      </c>
      <c r="AT67">
        <v>2.3296000000000001</v>
      </c>
      <c r="AU67">
        <v>0.19503319999999999</v>
      </c>
      <c r="AV67">
        <v>0.113596</v>
      </c>
      <c r="AW67">
        <v>54751.6</v>
      </c>
      <c r="AX67">
        <v>0.252</v>
      </c>
      <c r="AY67">
        <v>5.22</v>
      </c>
      <c r="AZ67">
        <v>4.3313999999999998E-2</v>
      </c>
      <c r="BA67">
        <v>0.65080000000000005</v>
      </c>
      <c r="BB67">
        <v>51.76</v>
      </c>
      <c r="BC67" s="19">
        <v>2.59</v>
      </c>
      <c r="BD67" s="19">
        <v>7.32</v>
      </c>
      <c r="BE67" s="19">
        <v>6.36</v>
      </c>
      <c r="BF67" s="19">
        <v>4.58</v>
      </c>
      <c r="BG67" s="19">
        <v>4</v>
      </c>
      <c r="BH67" s="19">
        <v>4.92</v>
      </c>
      <c r="BI67" s="20">
        <f t="shared" ref="BI67:BI130" si="1">AVERAGE(BD67:BG67)</f>
        <v>5.5649999999999995</v>
      </c>
    </row>
    <row r="68" spans="1:61" x14ac:dyDescent="0.25">
      <c r="A68">
        <v>4.0846300000000002E-2</v>
      </c>
      <c r="B68">
        <v>14</v>
      </c>
      <c r="C68" t="s">
        <v>300</v>
      </c>
      <c r="D68">
        <v>1980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0.27939999999999998</v>
      </c>
      <c r="AM68">
        <v>0.40366400000000002</v>
      </c>
      <c r="AN68">
        <v>0.91</v>
      </c>
      <c r="AO68">
        <v>0.19439999999999999</v>
      </c>
      <c r="AP68">
        <v>2.6676999999999998E-3</v>
      </c>
      <c r="AQ68">
        <v>1.2227500000000001E-2</v>
      </c>
      <c r="AR68">
        <v>0.3628362</v>
      </c>
      <c r="AS68">
        <v>0.2297855</v>
      </c>
      <c r="AT68">
        <v>1.871</v>
      </c>
      <c r="AU68">
        <v>0.22867670000000001</v>
      </c>
      <c r="AV68">
        <v>0.166876</v>
      </c>
      <c r="AW68">
        <v>56116</v>
      </c>
      <c r="AX68">
        <v>0.25819999999999999</v>
      </c>
      <c r="AY68">
        <v>5.29</v>
      </c>
      <c r="AZ68">
        <v>5.3462000000000003E-2</v>
      </c>
      <c r="BA68">
        <v>0.66200000000000003</v>
      </c>
      <c r="BB68">
        <v>52.04</v>
      </c>
      <c r="BC68" s="19">
        <v>1.9</v>
      </c>
      <c r="BD68" s="19">
        <v>6.97</v>
      </c>
      <c r="BE68" s="19">
        <v>5.07</v>
      </c>
      <c r="BF68" s="19">
        <v>3.93</v>
      </c>
      <c r="BG68" s="19">
        <v>3.99</v>
      </c>
      <c r="BH68" s="19">
        <v>4.29</v>
      </c>
      <c r="BI68" s="20">
        <f t="shared" si="1"/>
        <v>4.99</v>
      </c>
    </row>
    <row r="69" spans="1:61" x14ac:dyDescent="0.25">
      <c r="A69">
        <v>1.4145400000000001E-2</v>
      </c>
      <c r="B69">
        <v>14</v>
      </c>
      <c r="C69" t="s">
        <v>300</v>
      </c>
      <c r="D69">
        <v>1985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0</v>
      </c>
      <c r="AK69">
        <v>0</v>
      </c>
      <c r="AL69">
        <v>0.34179999999999999</v>
      </c>
      <c r="AM69">
        <v>0.47954790000000003</v>
      </c>
      <c r="AN69">
        <v>1</v>
      </c>
      <c r="AO69">
        <v>0.21840000000000001</v>
      </c>
      <c r="AP69">
        <v>1.1317E-3</v>
      </c>
      <c r="AQ69">
        <v>5.7165999999999996E-3</v>
      </c>
      <c r="AR69">
        <v>0.35427219999999998</v>
      </c>
      <c r="AS69">
        <v>0.22798979999999999</v>
      </c>
      <c r="AT69">
        <v>1.5162</v>
      </c>
      <c r="AU69">
        <v>0.2339755</v>
      </c>
      <c r="AV69">
        <v>0.1413092</v>
      </c>
      <c r="AW69">
        <v>56556</v>
      </c>
      <c r="AX69">
        <v>0.221</v>
      </c>
      <c r="AY69">
        <v>5.32</v>
      </c>
      <c r="AZ69">
        <v>7.5992000000000004E-2</v>
      </c>
      <c r="BA69">
        <v>0.66720000000000002</v>
      </c>
      <c r="BB69">
        <v>53.36</v>
      </c>
      <c r="BC69" s="19">
        <v>1.68</v>
      </c>
      <c r="BD69" s="19">
        <v>4.59</v>
      </c>
      <c r="BE69" s="19">
        <v>1.75</v>
      </c>
      <c r="BF69" s="19">
        <v>6.64</v>
      </c>
      <c r="BG69" s="19">
        <v>3.91</v>
      </c>
      <c r="BH69" s="19">
        <v>3.68</v>
      </c>
      <c r="BI69" s="20">
        <f t="shared" si="1"/>
        <v>4.2225000000000001</v>
      </c>
    </row>
    <row r="70" spans="1:61" x14ac:dyDescent="0.25">
      <c r="A70">
        <v>2.94554E-2</v>
      </c>
      <c r="B70">
        <v>14</v>
      </c>
      <c r="C70" t="s">
        <v>300</v>
      </c>
      <c r="D70">
        <v>1990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0</v>
      </c>
      <c r="AL70">
        <v>0.372</v>
      </c>
      <c r="AM70">
        <v>0.50110220000000005</v>
      </c>
      <c r="AN70">
        <v>0.98</v>
      </c>
      <c r="AO70">
        <v>0.20019999999999999</v>
      </c>
      <c r="AP70">
        <v>1.5666800000000002E-2</v>
      </c>
      <c r="AQ70">
        <v>4.7378999999999998E-3</v>
      </c>
      <c r="AR70">
        <v>0.32309650000000001</v>
      </c>
      <c r="AS70">
        <v>0.2003268</v>
      </c>
      <c r="AT70">
        <v>1.296</v>
      </c>
      <c r="AU70">
        <v>0.19534270000000001</v>
      </c>
      <c r="AV70">
        <v>5.6720800000000002E-2</v>
      </c>
      <c r="AW70">
        <v>56643.6</v>
      </c>
      <c r="AX70">
        <v>0.20499999999999999</v>
      </c>
      <c r="AY70">
        <v>5.75</v>
      </c>
      <c r="AZ70">
        <v>9.9872000000000002E-2</v>
      </c>
      <c r="BA70">
        <v>0.66739999999999999</v>
      </c>
      <c r="BB70">
        <v>58.56</v>
      </c>
      <c r="BC70" s="19">
        <v>2.29</v>
      </c>
      <c r="BD70" s="19">
        <v>7.67</v>
      </c>
      <c r="BE70" s="19">
        <v>1.25</v>
      </c>
      <c r="BF70" s="19">
        <v>6.61</v>
      </c>
      <c r="BG70" s="19">
        <v>3.71</v>
      </c>
      <c r="BH70" s="19">
        <v>4.2300000000000004</v>
      </c>
      <c r="BI70" s="20">
        <f t="shared" si="1"/>
        <v>4.8100000000000005</v>
      </c>
    </row>
    <row r="71" spans="1:61" x14ac:dyDescent="0.25">
      <c r="A71">
        <v>9.2860000000000009E-3</v>
      </c>
      <c r="B71">
        <v>14</v>
      </c>
      <c r="C71" t="s">
        <v>300</v>
      </c>
      <c r="D71">
        <v>1995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0.41720000000000002</v>
      </c>
      <c r="AM71">
        <v>0.5354333</v>
      </c>
      <c r="AN71">
        <v>1.02</v>
      </c>
      <c r="AO71">
        <v>0.17899999999999999</v>
      </c>
      <c r="AP71">
        <v>1.38707E-2</v>
      </c>
      <c r="AQ71">
        <v>-3.4651999999999999E-3</v>
      </c>
      <c r="AR71">
        <v>0.31178270000000002</v>
      </c>
      <c r="AS71">
        <v>0.22930120000000001</v>
      </c>
      <c r="AT71">
        <v>1.2475000000000001</v>
      </c>
      <c r="AU71">
        <v>0.20688429999999999</v>
      </c>
      <c r="AV71">
        <v>5.0657199999999999E-2</v>
      </c>
      <c r="AW71">
        <v>56996.6</v>
      </c>
      <c r="AX71">
        <v>0.18540000000000001</v>
      </c>
      <c r="AY71">
        <v>6.16</v>
      </c>
      <c r="AZ71">
        <v>0.101882</v>
      </c>
      <c r="BA71">
        <v>0.66588800000000004</v>
      </c>
      <c r="BB71">
        <v>62.27</v>
      </c>
      <c r="BC71" s="19">
        <v>3.29</v>
      </c>
      <c r="BD71" s="19">
        <v>4.96</v>
      </c>
      <c r="BE71" s="19">
        <v>2.95</v>
      </c>
      <c r="BF71" s="19">
        <v>6.64</v>
      </c>
      <c r="BG71" s="19">
        <v>4.5999999999999996</v>
      </c>
      <c r="BH71" s="19">
        <v>4.49</v>
      </c>
      <c r="BI71" s="20">
        <f t="shared" si="1"/>
        <v>4.7874999999999996</v>
      </c>
    </row>
    <row r="72" spans="1:61" x14ac:dyDescent="0.25">
      <c r="A72">
        <v>3.0358900000000001E-2</v>
      </c>
      <c r="B72">
        <v>15</v>
      </c>
      <c r="C72" t="s">
        <v>301</v>
      </c>
      <c r="D72">
        <v>1975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0.2142</v>
      </c>
      <c r="AM72">
        <v>0.2235055</v>
      </c>
      <c r="AN72">
        <v>0.85</v>
      </c>
      <c r="AO72">
        <v>0.34420000000000001</v>
      </c>
      <c r="AP72">
        <v>-7.7573E-3</v>
      </c>
      <c r="AQ72">
        <v>6.4887E-3</v>
      </c>
      <c r="AR72">
        <v>0.31083850000000002</v>
      </c>
      <c r="AS72">
        <v>0.1174636</v>
      </c>
      <c r="AT72">
        <v>2.0798000000000001</v>
      </c>
      <c r="AU72">
        <v>0.1087465</v>
      </c>
      <c r="AV72">
        <v>0.11524</v>
      </c>
      <c r="AW72">
        <v>108614</v>
      </c>
      <c r="AX72">
        <v>0.36549999999999999</v>
      </c>
      <c r="AY72">
        <v>6.8</v>
      </c>
      <c r="AZ72">
        <v>1.4344000000000001E-2</v>
      </c>
      <c r="BA72">
        <v>0.73899999999999999</v>
      </c>
      <c r="BB72">
        <v>37.46</v>
      </c>
      <c r="BC72" s="19">
        <v>5.37</v>
      </c>
      <c r="BD72" s="19">
        <v>6.86</v>
      </c>
      <c r="BE72" s="19">
        <v>6.33</v>
      </c>
      <c r="BF72" s="19">
        <v>7.08</v>
      </c>
      <c r="BG72" s="19">
        <v>4.74</v>
      </c>
      <c r="BH72" s="19">
        <v>6.06</v>
      </c>
      <c r="BI72" s="20">
        <f t="shared" si="1"/>
        <v>6.2525000000000013</v>
      </c>
    </row>
    <row r="73" spans="1:61" x14ac:dyDescent="0.25">
      <c r="A73">
        <v>3.4223799999999999E-2</v>
      </c>
      <c r="B73">
        <v>15</v>
      </c>
      <c r="C73" t="s">
        <v>301</v>
      </c>
      <c r="D73">
        <v>1980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0.23580000000000001</v>
      </c>
      <c r="AM73">
        <v>0.29042309999999999</v>
      </c>
      <c r="AN73">
        <v>0.89</v>
      </c>
      <c r="AO73">
        <v>0.31340000000000001</v>
      </c>
      <c r="AP73">
        <v>1.40135E-2</v>
      </c>
      <c r="AQ73">
        <v>1.1987899999999999E-2</v>
      </c>
      <c r="AR73">
        <v>0.3219939</v>
      </c>
      <c r="AS73">
        <v>0.1260646</v>
      </c>
      <c r="AT73">
        <v>1.792</v>
      </c>
      <c r="AU73">
        <v>0.1213033</v>
      </c>
      <c r="AV73">
        <v>6.6535800000000006E-2</v>
      </c>
      <c r="AW73">
        <v>114836</v>
      </c>
      <c r="AX73">
        <v>0.31900000000000001</v>
      </c>
      <c r="AY73">
        <v>7.29</v>
      </c>
      <c r="AZ73">
        <v>2.0736000000000001E-2</v>
      </c>
      <c r="BA73">
        <v>0.76</v>
      </c>
      <c r="BB73">
        <v>42.15</v>
      </c>
      <c r="BC73" s="19">
        <v>5.15</v>
      </c>
      <c r="BD73" s="19">
        <v>4.32</v>
      </c>
      <c r="BE73" s="19">
        <v>5.51</v>
      </c>
      <c r="BF73" s="19">
        <v>6.82</v>
      </c>
      <c r="BG73" s="19">
        <v>4.5</v>
      </c>
      <c r="BH73" s="19">
        <v>5.29</v>
      </c>
      <c r="BI73" s="20">
        <f t="shared" si="1"/>
        <v>5.2874999999999996</v>
      </c>
    </row>
    <row r="74" spans="1:61" x14ac:dyDescent="0.25">
      <c r="A74">
        <v>2.68598E-2</v>
      </c>
      <c r="B74">
        <v>15</v>
      </c>
      <c r="C74" t="s">
        <v>301</v>
      </c>
      <c r="D74">
        <v>1985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0</v>
      </c>
      <c r="AK74">
        <v>0</v>
      </c>
      <c r="AL74">
        <v>0.26900000000000002</v>
      </c>
      <c r="AM74">
        <v>0.3209709</v>
      </c>
      <c r="AN74">
        <v>0.94</v>
      </c>
      <c r="AO74">
        <v>0.28720000000000001</v>
      </c>
      <c r="AP74">
        <v>2.3305099999999999E-2</v>
      </c>
      <c r="AQ74">
        <v>1.0851E-2</v>
      </c>
      <c r="AR74">
        <v>0.32598050000000001</v>
      </c>
      <c r="AS74">
        <v>0.14532919999999999</v>
      </c>
      <c r="AT74">
        <v>1.776</v>
      </c>
      <c r="AU74">
        <v>0.12648119999999999</v>
      </c>
      <c r="AV74">
        <v>2.7660199999999999E-2</v>
      </c>
      <c r="AW74">
        <v>119226</v>
      </c>
      <c r="AX74">
        <v>0.30880000000000002</v>
      </c>
      <c r="AY74">
        <v>8.18</v>
      </c>
      <c r="AZ74">
        <v>2.5092E-2</v>
      </c>
      <c r="BA74">
        <v>0.76500000000000001</v>
      </c>
      <c r="BB74">
        <v>44.85</v>
      </c>
      <c r="BC74" s="19">
        <v>3.6</v>
      </c>
      <c r="BD74" s="19">
        <v>6.35</v>
      </c>
      <c r="BE74" s="19">
        <v>5.33</v>
      </c>
      <c r="BF74" s="19">
        <v>7.27</v>
      </c>
      <c r="BG74" s="19">
        <v>4.3899999999999997</v>
      </c>
      <c r="BH74" s="19">
        <v>5.38</v>
      </c>
      <c r="BI74" s="20">
        <f t="shared" si="1"/>
        <v>5.835</v>
      </c>
    </row>
    <row r="75" spans="1:61" x14ac:dyDescent="0.25">
      <c r="A75">
        <v>4.1509299999999999E-2</v>
      </c>
      <c r="B75">
        <v>15</v>
      </c>
      <c r="C75" t="s">
        <v>301</v>
      </c>
      <c r="D75">
        <v>1990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0</v>
      </c>
      <c r="AL75">
        <v>0.30080000000000001</v>
      </c>
      <c r="AM75">
        <v>0.31152679999999999</v>
      </c>
      <c r="AN75">
        <v>1.01</v>
      </c>
      <c r="AO75">
        <v>0.29499999999999998</v>
      </c>
      <c r="AP75">
        <v>6.992E-3</v>
      </c>
      <c r="AQ75">
        <v>1.37214E-2</v>
      </c>
      <c r="AR75">
        <v>0.31816149999999999</v>
      </c>
      <c r="AS75">
        <v>0.1059929</v>
      </c>
      <c r="AT75">
        <v>1.6359999999999999</v>
      </c>
      <c r="AU75">
        <v>8.3054000000000003E-2</v>
      </c>
      <c r="AV75">
        <v>1.3593600000000001E-2</v>
      </c>
      <c r="AW75">
        <v>122570</v>
      </c>
      <c r="AX75">
        <v>0.33</v>
      </c>
      <c r="AY75">
        <v>8.4700000000000006</v>
      </c>
      <c r="AZ75">
        <v>2.5059999999999999E-2</v>
      </c>
      <c r="BA75">
        <v>0.77</v>
      </c>
      <c r="BB75">
        <v>47.22</v>
      </c>
      <c r="BC75" s="19">
        <v>2.96</v>
      </c>
      <c r="BD75" s="19">
        <v>7.56</v>
      </c>
      <c r="BE75" s="19">
        <v>6.2</v>
      </c>
      <c r="BF75" s="19">
        <v>7.23</v>
      </c>
      <c r="BG75" s="19">
        <v>4.5199999999999996</v>
      </c>
      <c r="BH75" s="19">
        <v>5.66</v>
      </c>
      <c r="BI75" s="20">
        <f t="shared" si="1"/>
        <v>6.3775000000000004</v>
      </c>
    </row>
    <row r="76" spans="1:61" x14ac:dyDescent="0.25">
      <c r="A76">
        <v>1.11535E-2</v>
      </c>
      <c r="B76">
        <v>15</v>
      </c>
      <c r="C76" t="s">
        <v>301</v>
      </c>
      <c r="D76">
        <v>1995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0.2908</v>
      </c>
      <c r="AM76">
        <v>0.32491360000000002</v>
      </c>
      <c r="AN76">
        <v>1.1000000000000001</v>
      </c>
      <c r="AO76">
        <v>0.29659999999999997</v>
      </c>
      <c r="AP76">
        <v>1.6671999999999999E-2</v>
      </c>
      <c r="AQ76">
        <v>8.7478E-3</v>
      </c>
      <c r="AR76">
        <v>0.30385299999999998</v>
      </c>
      <c r="AS76">
        <v>9.6589700000000001E-2</v>
      </c>
      <c r="AT76">
        <v>1.498</v>
      </c>
      <c r="AU76">
        <v>7.6355599999999996E-2</v>
      </c>
      <c r="AV76">
        <v>1.3675E-2</v>
      </c>
      <c r="AW76">
        <v>124572</v>
      </c>
      <c r="AX76">
        <v>0.32619999999999999</v>
      </c>
      <c r="AY76">
        <v>9.1999999999999993</v>
      </c>
      <c r="AZ76">
        <v>2.5649999999999999E-2</v>
      </c>
      <c r="BA76">
        <v>0.77467799999999998</v>
      </c>
      <c r="BB76">
        <v>50.07</v>
      </c>
      <c r="BC76" s="19">
        <v>3.33</v>
      </c>
      <c r="BD76" s="19">
        <v>8.6199999999999992</v>
      </c>
      <c r="BE76" s="19">
        <v>9.17</v>
      </c>
      <c r="BF76" s="19">
        <v>7</v>
      </c>
      <c r="BG76" s="19">
        <v>4.97</v>
      </c>
      <c r="BH76" s="19">
        <v>6.57</v>
      </c>
      <c r="BI76" s="20">
        <f t="shared" si="1"/>
        <v>7.4399999999999995</v>
      </c>
    </row>
    <row r="77" spans="1:61" x14ac:dyDescent="0.25">
      <c r="A77">
        <v>6.1972399999999997E-2</v>
      </c>
      <c r="B77">
        <v>16</v>
      </c>
      <c r="C77" t="s">
        <v>302</v>
      </c>
      <c r="D77">
        <v>1975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0.12243</v>
      </c>
      <c r="AM77">
        <v>0.1260792</v>
      </c>
      <c r="AN77">
        <v>0.18944</v>
      </c>
      <c r="AO77">
        <v>0.2293433</v>
      </c>
      <c r="AP77">
        <v>1.4473400000000001E-2</v>
      </c>
      <c r="AQ77">
        <v>3.1395300000000001E-2</v>
      </c>
      <c r="AR77">
        <v>0.45359149999999998</v>
      </c>
      <c r="AS77">
        <v>0.2403805</v>
      </c>
      <c r="AT77">
        <v>4.1100000000000003</v>
      </c>
      <c r="AU77">
        <v>0.31465100000000001</v>
      </c>
      <c r="AV77">
        <v>0.15546199999999999</v>
      </c>
      <c r="AW77">
        <v>33936.800000000003</v>
      </c>
      <c r="AX77">
        <v>0.36549999999999999</v>
      </c>
      <c r="AY77">
        <v>4.76</v>
      </c>
      <c r="BA77">
        <v>0.45079999999999998</v>
      </c>
      <c r="BB77">
        <v>27.23</v>
      </c>
      <c r="BC77" s="19">
        <v>6.43</v>
      </c>
      <c r="BD77" s="19">
        <v>9.33</v>
      </c>
      <c r="BE77" s="19">
        <v>6.84</v>
      </c>
      <c r="BF77" s="19">
        <v>5.66</v>
      </c>
      <c r="BG77" s="19">
        <v>6.12</v>
      </c>
      <c r="BH77" s="19">
        <v>6.85</v>
      </c>
      <c r="BI77" s="20">
        <f t="shared" si="1"/>
        <v>6.9875000000000007</v>
      </c>
    </row>
    <row r="78" spans="1:61" x14ac:dyDescent="0.25">
      <c r="A78">
        <v>5.4122799999999999E-2</v>
      </c>
      <c r="B78">
        <v>16</v>
      </c>
      <c r="C78" t="s">
        <v>302</v>
      </c>
      <c r="D78">
        <v>1980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0.151672</v>
      </c>
      <c r="AM78">
        <v>0.16246099999999999</v>
      </c>
      <c r="AN78">
        <v>0.23430000000000001</v>
      </c>
      <c r="AO78">
        <v>0.30134889999999998</v>
      </c>
      <c r="AP78">
        <v>3.9234999999999999E-2</v>
      </c>
      <c r="AQ78">
        <v>3.1399900000000001E-2</v>
      </c>
      <c r="AR78">
        <v>0.41359370000000001</v>
      </c>
      <c r="AS78">
        <v>0.3107857</v>
      </c>
      <c r="AT78">
        <v>2.68</v>
      </c>
      <c r="AU78">
        <v>0.3479083</v>
      </c>
      <c r="AV78">
        <v>0.17400399999999999</v>
      </c>
      <c r="AW78">
        <v>36977.599999999999</v>
      </c>
      <c r="AX78">
        <v>0.31900000000000001</v>
      </c>
      <c r="AY78">
        <v>5.77</v>
      </c>
      <c r="BA78">
        <v>0.53339999999999999</v>
      </c>
      <c r="BB78">
        <v>31.1</v>
      </c>
      <c r="BC78" s="19">
        <v>5.9</v>
      </c>
      <c r="BD78" s="19">
        <v>7.16</v>
      </c>
      <c r="BE78" s="19">
        <v>7.27</v>
      </c>
      <c r="BF78" s="19">
        <v>5.83</v>
      </c>
      <c r="BG78" s="19">
        <v>6.1</v>
      </c>
      <c r="BH78" s="19">
        <v>6.48</v>
      </c>
      <c r="BI78" s="20">
        <f t="shared" si="1"/>
        <v>6.59</v>
      </c>
    </row>
    <row r="79" spans="1:61" x14ac:dyDescent="0.25">
      <c r="A79">
        <v>6.6267999999999994E-2</v>
      </c>
      <c r="B79">
        <v>16</v>
      </c>
      <c r="C79" t="s">
        <v>302</v>
      </c>
      <c r="D79">
        <v>1985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0</v>
      </c>
      <c r="AL79">
        <v>0.152946</v>
      </c>
      <c r="AM79">
        <v>0.16811309999999999</v>
      </c>
      <c r="AN79">
        <v>0.2772</v>
      </c>
      <c r="AO79">
        <v>0.28689229999999999</v>
      </c>
      <c r="AP79">
        <v>3.3699399999999997E-2</v>
      </c>
      <c r="AQ79">
        <v>2.3664399999999999E-2</v>
      </c>
      <c r="AR79">
        <v>0.37816070000000002</v>
      </c>
      <c r="AS79">
        <v>0.35033059999999999</v>
      </c>
      <c r="AT79">
        <v>2.4</v>
      </c>
      <c r="AU79">
        <v>0.36321759999999997</v>
      </c>
      <c r="AV79">
        <v>7.3289999999999994E-2</v>
      </c>
      <c r="AW79">
        <v>39834.199999999997</v>
      </c>
      <c r="AX79">
        <v>0.30880000000000002</v>
      </c>
      <c r="AY79">
        <v>6.81</v>
      </c>
      <c r="BA79">
        <v>0.61699999999999999</v>
      </c>
      <c r="BB79">
        <v>38.340000000000003</v>
      </c>
      <c r="BC79" s="19">
        <v>5.55</v>
      </c>
      <c r="BD79" s="19">
        <v>9.19</v>
      </c>
      <c r="BE79" s="19">
        <v>8.18</v>
      </c>
      <c r="BF79" s="19">
        <v>5.97</v>
      </c>
      <c r="BG79" s="19">
        <v>6.32</v>
      </c>
      <c r="BH79" s="19">
        <v>7.01</v>
      </c>
      <c r="BI79" s="20">
        <f t="shared" si="1"/>
        <v>7.4149999999999991</v>
      </c>
    </row>
    <row r="80" spans="1:61" x14ac:dyDescent="0.25">
      <c r="A80">
        <v>8.9470400000000005E-2</v>
      </c>
      <c r="B80">
        <v>16</v>
      </c>
      <c r="C80" t="s">
        <v>302</v>
      </c>
      <c r="D80">
        <v>1990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0.15114</v>
      </c>
      <c r="AM80">
        <v>0.15486249999999999</v>
      </c>
      <c r="AN80">
        <v>0.35814000000000001</v>
      </c>
      <c r="AO80">
        <v>0.3117009</v>
      </c>
      <c r="AP80">
        <v>3.3507599999999998E-2</v>
      </c>
      <c r="AQ80">
        <v>2.3664500000000002E-2</v>
      </c>
      <c r="AR80">
        <v>0.34259669999999998</v>
      </c>
      <c r="AS80">
        <v>0.3574755</v>
      </c>
      <c r="AT80">
        <v>1.8</v>
      </c>
      <c r="AU80">
        <v>0.31078220000000001</v>
      </c>
      <c r="AV80">
        <v>5.4462200000000002E-2</v>
      </c>
      <c r="AW80">
        <v>41996.6</v>
      </c>
      <c r="AX80">
        <v>0.33</v>
      </c>
      <c r="AY80">
        <v>8.0299999999999994</v>
      </c>
      <c r="BA80">
        <v>0.70299999999999996</v>
      </c>
      <c r="BB80">
        <v>38.090000000000003</v>
      </c>
      <c r="BC80" s="19">
        <v>5.7</v>
      </c>
      <c r="BD80" s="19">
        <v>8.42</v>
      </c>
      <c r="BE80" s="19">
        <v>8.5</v>
      </c>
      <c r="BF80" s="19">
        <v>6.34</v>
      </c>
      <c r="BG80" s="19">
        <v>6.34</v>
      </c>
      <c r="BH80" s="19">
        <v>7.06</v>
      </c>
      <c r="BI80" s="20">
        <f t="shared" si="1"/>
        <v>7.4</v>
      </c>
    </row>
    <row r="81" spans="1:61" x14ac:dyDescent="0.25">
      <c r="A81">
        <v>6.3978499999999994E-2</v>
      </c>
      <c r="B81">
        <v>16</v>
      </c>
      <c r="C81" t="s">
        <v>302</v>
      </c>
      <c r="D81">
        <v>1995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0.16313800000000001</v>
      </c>
      <c r="AM81">
        <v>0.17134659999999999</v>
      </c>
      <c r="AN81">
        <v>0.51922999999999997</v>
      </c>
      <c r="AO81">
        <v>0.36681360000000002</v>
      </c>
      <c r="AP81">
        <v>2.8691700000000001E-2</v>
      </c>
      <c r="AQ81">
        <v>1.9046299999999999E-2</v>
      </c>
      <c r="AR81">
        <v>0.3085213</v>
      </c>
      <c r="AS81">
        <v>0.29914249999999998</v>
      </c>
      <c r="AT81">
        <v>1.75</v>
      </c>
      <c r="AU81">
        <v>0.30874380000000001</v>
      </c>
      <c r="AV81">
        <v>6.1966599999999997E-2</v>
      </c>
      <c r="AW81">
        <v>44058.2</v>
      </c>
      <c r="AX81">
        <v>0.32619999999999999</v>
      </c>
      <c r="AY81">
        <v>9.25</v>
      </c>
      <c r="BA81">
        <v>0.78340799999999999</v>
      </c>
      <c r="BB81">
        <v>42.74</v>
      </c>
      <c r="BC81" s="19">
        <v>5.93</v>
      </c>
      <c r="BD81" s="19">
        <v>8.98</v>
      </c>
      <c r="BE81" s="19">
        <v>9.7100000000000009</v>
      </c>
      <c r="BF81" s="19">
        <v>6.42</v>
      </c>
      <c r="BG81" s="19">
        <v>6.35</v>
      </c>
      <c r="BH81" s="19">
        <v>7.47</v>
      </c>
      <c r="BI81" s="20">
        <f t="shared" si="1"/>
        <v>7.8650000000000002</v>
      </c>
    </row>
    <row r="82" spans="1:61" x14ac:dyDescent="0.25">
      <c r="A82">
        <v>1.7948100000000002E-2</v>
      </c>
      <c r="B82">
        <v>17</v>
      </c>
      <c r="C82" t="s">
        <v>303</v>
      </c>
      <c r="D82">
        <v>1975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0.32840000000000003</v>
      </c>
      <c r="AM82">
        <v>0.38840000000000002</v>
      </c>
      <c r="AN82">
        <v>1.31</v>
      </c>
      <c r="AO82">
        <v>0.27300000000000002</v>
      </c>
      <c r="AP82">
        <v>3.5998799999999997E-2</v>
      </c>
      <c r="AQ82">
        <v>1.5640399999999999E-2</v>
      </c>
      <c r="AR82">
        <v>0.34167160000000002</v>
      </c>
      <c r="AS82">
        <v>0.89837800000000001</v>
      </c>
      <c r="AT82">
        <v>1.6519999999999999</v>
      </c>
      <c r="AU82">
        <v>0.79476100000000005</v>
      </c>
      <c r="AV82">
        <v>7.2204199999999996E-2</v>
      </c>
      <c r="AW82">
        <v>352.76</v>
      </c>
      <c r="AX82">
        <v>0.39700000000000002</v>
      </c>
      <c r="AY82">
        <v>7.99</v>
      </c>
      <c r="AZ82">
        <v>1.335E-3</v>
      </c>
      <c r="BA82">
        <v>0.71348400000000001</v>
      </c>
      <c r="BB82">
        <v>79.59</v>
      </c>
      <c r="BC82" s="19">
        <v>6.45</v>
      </c>
      <c r="BD82" s="19">
        <v>6.32</v>
      </c>
      <c r="BE82" s="19">
        <v>4.96</v>
      </c>
      <c r="BF82" s="19">
        <v>5.2</v>
      </c>
      <c r="BG82" s="19" t="s">
        <v>49</v>
      </c>
      <c r="BH82" s="19">
        <v>5.4</v>
      </c>
      <c r="BI82" s="20">
        <f t="shared" si="1"/>
        <v>5.4933333333333332</v>
      </c>
    </row>
    <row r="83" spans="1:61" x14ac:dyDescent="0.25">
      <c r="A83">
        <v>1.9853599999999999E-2</v>
      </c>
      <c r="B83">
        <v>17</v>
      </c>
      <c r="C83" t="s">
        <v>303</v>
      </c>
      <c r="D83">
        <v>1980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0.41920000000000002</v>
      </c>
      <c r="AM83">
        <v>0.51919999999999999</v>
      </c>
      <c r="AN83">
        <v>1.31</v>
      </c>
      <c r="AO83">
        <v>0.25159999999999999</v>
      </c>
      <c r="AP83">
        <v>-2.3893999999999999E-3</v>
      </c>
      <c r="AQ83">
        <v>1.6180400000000001E-2</v>
      </c>
      <c r="AR83">
        <v>0.3492094</v>
      </c>
      <c r="AS83">
        <v>0.86432779999999998</v>
      </c>
      <c r="AT83">
        <v>1.48</v>
      </c>
      <c r="AU83">
        <v>0.82622589999999996</v>
      </c>
      <c r="AV83">
        <v>6.0984799999999999E-2</v>
      </c>
      <c r="AW83">
        <v>362.66</v>
      </c>
      <c r="AX83">
        <v>0.37880000000000003</v>
      </c>
      <c r="AY83">
        <v>7.8949999999999996</v>
      </c>
      <c r="AZ83">
        <v>6.2119999999999996E-3</v>
      </c>
      <c r="BA83">
        <v>0.76849800000000001</v>
      </c>
      <c r="BB83">
        <v>79.98</v>
      </c>
      <c r="BC83" s="19">
        <v>6.47</v>
      </c>
      <c r="BD83" s="19">
        <v>5.25</v>
      </c>
      <c r="BE83" s="19">
        <v>4.4400000000000004</v>
      </c>
      <c r="BF83" s="19">
        <v>6.34</v>
      </c>
      <c r="BG83" s="19">
        <v>4.1500000000000004</v>
      </c>
      <c r="BH83" s="19">
        <v>5.33</v>
      </c>
      <c r="BI83" s="20">
        <f t="shared" si="1"/>
        <v>5.0449999999999999</v>
      </c>
    </row>
    <row r="84" spans="1:61" x14ac:dyDescent="0.25">
      <c r="A84">
        <v>2.3421299999999999E-2</v>
      </c>
      <c r="B84">
        <v>17</v>
      </c>
      <c r="C84" t="s">
        <v>303</v>
      </c>
      <c r="D84">
        <v>1985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0</v>
      </c>
      <c r="AK84">
        <v>0</v>
      </c>
      <c r="AL84">
        <v>0.45379999999999998</v>
      </c>
      <c r="AM84">
        <v>0.54579999999999995</v>
      </c>
      <c r="AN84">
        <v>1.28</v>
      </c>
      <c r="AO84">
        <v>0.20780000000000001</v>
      </c>
      <c r="AP84">
        <v>4.7675E-3</v>
      </c>
      <c r="AQ84">
        <v>6.2957000000000004E-3</v>
      </c>
      <c r="AR84">
        <v>0.32493830000000001</v>
      </c>
      <c r="AS84">
        <v>0.93803689999999995</v>
      </c>
      <c r="AT84">
        <v>1.458</v>
      </c>
      <c r="AU84">
        <v>0.92290220000000001</v>
      </c>
      <c r="AV84">
        <v>7.1434600000000001E-2</v>
      </c>
      <c r="AW84">
        <v>366.02</v>
      </c>
      <c r="AX84">
        <v>0.4924</v>
      </c>
      <c r="AY84">
        <v>8.0850000000000009</v>
      </c>
      <c r="AZ84">
        <v>1.4826000000000001E-2</v>
      </c>
      <c r="BA84">
        <v>0.813392</v>
      </c>
      <c r="BB84">
        <v>80.41</v>
      </c>
      <c r="BC84" s="19">
        <v>5.85</v>
      </c>
      <c r="BD84" s="19">
        <v>7.06</v>
      </c>
      <c r="BE84" s="19">
        <v>5.0199999999999996</v>
      </c>
      <c r="BF84" s="19">
        <v>6.06</v>
      </c>
      <c r="BG84" s="19">
        <v>4.34</v>
      </c>
      <c r="BH84" s="19">
        <v>5.63</v>
      </c>
      <c r="BI84" s="20">
        <f t="shared" si="1"/>
        <v>5.6199999999999992</v>
      </c>
    </row>
    <row r="85" spans="1:61" x14ac:dyDescent="0.25">
      <c r="A85">
        <v>5.5848500000000002E-2</v>
      </c>
      <c r="B85">
        <v>17</v>
      </c>
      <c r="C85" t="s">
        <v>303</v>
      </c>
      <c r="D85">
        <v>1990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0.43419999999999997</v>
      </c>
      <c r="AM85">
        <v>0.51</v>
      </c>
      <c r="AN85">
        <v>1.33</v>
      </c>
      <c r="AO85">
        <v>0.22700000000000001</v>
      </c>
      <c r="AP85">
        <v>6.5916000000000004E-3</v>
      </c>
      <c r="AQ85">
        <v>6.3007999999999996E-3</v>
      </c>
      <c r="AR85">
        <v>0.30473860000000003</v>
      </c>
      <c r="AS85">
        <v>0.9825412</v>
      </c>
      <c r="AT85">
        <v>1.498</v>
      </c>
      <c r="AU85">
        <v>0.94847130000000002</v>
      </c>
      <c r="AV85">
        <v>1.7597700000000001E-2</v>
      </c>
      <c r="AW85">
        <v>374.8</v>
      </c>
      <c r="AX85">
        <v>0.49259999999999998</v>
      </c>
      <c r="AY85">
        <v>8.3550000000000004</v>
      </c>
      <c r="AZ85">
        <v>1.4906000000000001E-2</v>
      </c>
      <c r="BA85">
        <v>0.849854</v>
      </c>
      <c r="BB85">
        <v>82.44</v>
      </c>
      <c r="BC85" s="19">
        <v>6.36</v>
      </c>
      <c r="BD85" s="19">
        <v>4.5</v>
      </c>
      <c r="BE85" s="19">
        <v>6.42</v>
      </c>
      <c r="BF85" s="19">
        <v>6.12</v>
      </c>
      <c r="BG85" s="19">
        <v>4.8499999999999996</v>
      </c>
      <c r="BH85" s="19">
        <v>5.67</v>
      </c>
      <c r="BI85" s="20">
        <f t="shared" si="1"/>
        <v>5.4725000000000001</v>
      </c>
    </row>
    <row r="86" spans="1:61" x14ac:dyDescent="0.25">
      <c r="A86">
        <v>3.9661399999999999E-2</v>
      </c>
      <c r="B86">
        <v>17</v>
      </c>
      <c r="C86" t="s">
        <v>303</v>
      </c>
      <c r="D86">
        <v>1995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</v>
      </c>
      <c r="AL86">
        <v>0.43319999999999997</v>
      </c>
      <c r="AN86">
        <v>1.43</v>
      </c>
      <c r="AO86">
        <v>0.2278</v>
      </c>
      <c r="AP86">
        <v>7.0803999999999997E-3</v>
      </c>
      <c r="AQ86">
        <v>1.1873399999999999E-2</v>
      </c>
      <c r="AR86">
        <v>0.30657240000000002</v>
      </c>
      <c r="AS86">
        <v>0.94414580000000004</v>
      </c>
      <c r="AT86">
        <v>1.6719999999999999</v>
      </c>
      <c r="AU86">
        <v>0.89805809999999997</v>
      </c>
      <c r="AV86">
        <v>2.8366800000000001E-2</v>
      </c>
      <c r="AW86">
        <v>398.2</v>
      </c>
      <c r="AX86">
        <v>0.43919999999999998</v>
      </c>
      <c r="AY86">
        <v>8.6549999999999994</v>
      </c>
      <c r="AZ86">
        <v>2.1676000000000001E-2</v>
      </c>
      <c r="BA86">
        <v>0.87936999999999999</v>
      </c>
      <c r="BB86">
        <v>79.790000000000006</v>
      </c>
      <c r="BC86" s="19">
        <v>6.24</v>
      </c>
      <c r="BD86" s="19">
        <v>5.9</v>
      </c>
      <c r="BE86" s="19">
        <v>6.46</v>
      </c>
      <c r="BF86" s="19">
        <v>7.08</v>
      </c>
      <c r="BG86" s="19">
        <v>4.87</v>
      </c>
      <c r="BH86" s="19">
        <v>6.1</v>
      </c>
      <c r="BI86" s="20">
        <f t="shared" si="1"/>
        <v>6.0774999999999997</v>
      </c>
    </row>
    <row r="87" spans="1:61" x14ac:dyDescent="0.25">
      <c r="A87">
        <v>5.3208800000000001E-2</v>
      </c>
      <c r="B87">
        <v>18</v>
      </c>
      <c r="C87" t="s">
        <v>304</v>
      </c>
      <c r="D87">
        <v>1975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0.14191000000000001</v>
      </c>
      <c r="AM87">
        <v>0.1678384</v>
      </c>
      <c r="AN87">
        <v>0.26640000000000003</v>
      </c>
      <c r="AO87">
        <v>0.2287853</v>
      </c>
      <c r="AP87">
        <v>3.9374100000000002E-2</v>
      </c>
      <c r="AQ87">
        <v>3.2020899999999998E-2</v>
      </c>
      <c r="AR87">
        <v>0.46190589999999998</v>
      </c>
      <c r="AS87">
        <v>0.4846068</v>
      </c>
      <c r="AT87">
        <v>3.25</v>
      </c>
      <c r="AU87">
        <v>0.479377</v>
      </c>
      <c r="AV87">
        <v>0.12541540000000001</v>
      </c>
      <c r="AW87">
        <v>860.59199999999998</v>
      </c>
      <c r="AX87">
        <v>0.39700000000000002</v>
      </c>
      <c r="AY87">
        <v>3.36</v>
      </c>
      <c r="BA87">
        <v>0.42840200000000001</v>
      </c>
      <c r="BB87">
        <v>37.94</v>
      </c>
      <c r="BC87" s="19">
        <v>4.8</v>
      </c>
      <c r="BD87" s="19">
        <v>9.8699999999999992</v>
      </c>
      <c r="BE87" s="19">
        <v>8.25</v>
      </c>
      <c r="BF87" s="19">
        <v>8.85</v>
      </c>
      <c r="BG87" s="19">
        <v>7.19</v>
      </c>
      <c r="BH87" s="19">
        <v>7.79</v>
      </c>
      <c r="BI87" s="20">
        <f t="shared" si="1"/>
        <v>8.5399999999999991</v>
      </c>
    </row>
    <row r="88" spans="1:61" x14ac:dyDescent="0.25">
      <c r="A88">
        <v>1.9080799999999998E-2</v>
      </c>
      <c r="B88">
        <v>18</v>
      </c>
      <c r="C88" t="s">
        <v>304</v>
      </c>
      <c r="D88">
        <v>1980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0.18484</v>
      </c>
      <c r="AM88">
        <v>0.27369209999999999</v>
      </c>
      <c r="AN88">
        <v>0.40044000000000002</v>
      </c>
      <c r="AO88">
        <v>0.28081850000000003</v>
      </c>
      <c r="AP88">
        <v>1.1631000000000001E-2</v>
      </c>
      <c r="AQ88">
        <v>3.1784399999999997E-2</v>
      </c>
      <c r="AR88">
        <v>0.42510759999999997</v>
      </c>
      <c r="AS88">
        <v>0.47326560000000001</v>
      </c>
      <c r="AT88">
        <v>2.8839999999999999</v>
      </c>
      <c r="AU88">
        <v>0.57701309999999995</v>
      </c>
      <c r="AV88">
        <v>0.17448420000000001</v>
      </c>
      <c r="AW88">
        <v>931.32799999999997</v>
      </c>
      <c r="AX88">
        <v>0.37880000000000003</v>
      </c>
      <c r="AY88">
        <v>3.56</v>
      </c>
      <c r="BA88">
        <v>0.42803600000000003</v>
      </c>
      <c r="BB88">
        <v>40.159999999999997</v>
      </c>
      <c r="BC88" s="19">
        <v>4.54</v>
      </c>
      <c r="BD88" s="19">
        <v>9.8699999999999992</v>
      </c>
      <c r="BE88" s="19">
        <v>8.9</v>
      </c>
      <c r="BF88" s="19">
        <v>8.39</v>
      </c>
      <c r="BG88" s="19">
        <v>7.19</v>
      </c>
      <c r="BH88" s="19">
        <v>7.75</v>
      </c>
      <c r="BI88" s="20">
        <f t="shared" si="1"/>
        <v>8.5875000000000004</v>
      </c>
    </row>
    <row r="89" spans="1:61" x14ac:dyDescent="0.25">
      <c r="A89">
        <v>3.5916499999999997E-2</v>
      </c>
      <c r="B89">
        <v>18</v>
      </c>
      <c r="C89" t="s">
        <v>304</v>
      </c>
      <c r="D89">
        <v>1985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0</v>
      </c>
      <c r="AL89">
        <v>0.18807399999999999</v>
      </c>
      <c r="AM89">
        <v>0.27309139999999998</v>
      </c>
      <c r="AN89">
        <v>0.36399999999999999</v>
      </c>
      <c r="AO89">
        <v>0.18919639999999999</v>
      </c>
      <c r="AP89">
        <v>4.7978800000000002E-2</v>
      </c>
      <c r="AQ89">
        <v>2.29807E-2</v>
      </c>
      <c r="AR89">
        <v>0.39319880000000001</v>
      </c>
      <c r="AS89">
        <v>0.48143950000000002</v>
      </c>
      <c r="AT89">
        <v>2.4500000000000002</v>
      </c>
      <c r="AU89">
        <v>0.51920230000000001</v>
      </c>
      <c r="AV89">
        <v>9.0782399999999999E-2</v>
      </c>
      <c r="AW89">
        <v>1001.244</v>
      </c>
      <c r="AX89">
        <v>0.4924</v>
      </c>
      <c r="AY89">
        <v>4.5</v>
      </c>
      <c r="BA89">
        <v>0.41888799999999998</v>
      </c>
      <c r="BB89">
        <v>42.55</v>
      </c>
      <c r="BC89" s="19">
        <v>4.41</v>
      </c>
      <c r="BD89" s="19">
        <v>9.25</v>
      </c>
      <c r="BE89" s="19">
        <v>8.89</v>
      </c>
      <c r="BF89" s="19">
        <v>8.65</v>
      </c>
      <c r="BG89" s="19">
        <v>7.19</v>
      </c>
      <c r="BH89" s="19">
        <v>7.66</v>
      </c>
      <c r="BI89" s="20">
        <f t="shared" si="1"/>
        <v>8.4949999999999992</v>
      </c>
    </row>
    <row r="90" spans="1:61" x14ac:dyDescent="0.25">
      <c r="A90">
        <v>6.81398E-2</v>
      </c>
      <c r="B90">
        <v>18</v>
      </c>
      <c r="C90" t="s">
        <v>304</v>
      </c>
      <c r="D90">
        <v>1990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0.19878599999999999</v>
      </c>
      <c r="AM90">
        <v>0.2226997</v>
      </c>
      <c r="AN90">
        <v>0.35954999999999998</v>
      </c>
      <c r="AO90">
        <v>0.25510899999999997</v>
      </c>
      <c r="AP90">
        <v>9.1637999999999997E-3</v>
      </c>
      <c r="AQ90">
        <v>2.29806E-2</v>
      </c>
      <c r="AR90">
        <v>0.362313</v>
      </c>
      <c r="AS90">
        <v>0.63845130000000005</v>
      </c>
      <c r="AT90">
        <v>2.1</v>
      </c>
      <c r="AU90">
        <v>0.66005290000000005</v>
      </c>
      <c r="AV90">
        <v>7.5034900000000002E-2</v>
      </c>
      <c r="AW90">
        <v>1040.54</v>
      </c>
      <c r="AX90">
        <v>0.49259999999999998</v>
      </c>
      <c r="AY90">
        <v>4.71</v>
      </c>
      <c r="BA90">
        <v>0.40965000000000001</v>
      </c>
      <c r="BB90">
        <v>43.07</v>
      </c>
      <c r="BC90" s="19">
        <v>4.8099999999999996</v>
      </c>
      <c r="BD90" s="19">
        <v>9.8699999999999992</v>
      </c>
      <c r="BE90" s="19">
        <v>9.5399999999999991</v>
      </c>
      <c r="BF90" s="19">
        <v>8.84</v>
      </c>
      <c r="BG90" s="19">
        <v>7.19</v>
      </c>
      <c r="BH90" s="19">
        <v>8.0500000000000007</v>
      </c>
      <c r="BI90" s="20">
        <f t="shared" si="1"/>
        <v>8.86</v>
      </c>
    </row>
    <row r="91" spans="1:61" x14ac:dyDescent="0.25">
      <c r="A91">
        <v>3.5823000000000001E-2</v>
      </c>
      <c r="B91">
        <v>18</v>
      </c>
      <c r="C91" t="s">
        <v>304</v>
      </c>
      <c r="D91">
        <v>1995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0.19761200000000001</v>
      </c>
      <c r="AM91">
        <v>0.2263222</v>
      </c>
      <c r="AN91">
        <v>0.44662000000000002</v>
      </c>
      <c r="AO91">
        <v>0.28032590000000002</v>
      </c>
      <c r="AP91">
        <v>1.8022199999999999E-2</v>
      </c>
      <c r="AQ91">
        <v>1.7708000000000002E-2</v>
      </c>
      <c r="AR91">
        <v>0.34965000000000002</v>
      </c>
      <c r="AS91">
        <v>0.59601210000000004</v>
      </c>
      <c r="AT91">
        <v>2.2711000000000001</v>
      </c>
      <c r="AU91">
        <v>0.64653740000000004</v>
      </c>
      <c r="AV91">
        <v>7.1319999999999995E-2</v>
      </c>
      <c r="AW91">
        <v>1097.26</v>
      </c>
      <c r="AX91">
        <v>0.43919999999999998</v>
      </c>
      <c r="AY91">
        <v>5.15</v>
      </c>
      <c r="BA91">
        <v>0.40556599999999998</v>
      </c>
      <c r="BB91">
        <v>43.83</v>
      </c>
      <c r="BC91" s="19">
        <v>4.7300000000000004</v>
      </c>
      <c r="BD91" s="19">
        <v>9.8699999999999992</v>
      </c>
      <c r="BE91" s="19">
        <v>9.32</v>
      </c>
      <c r="BF91" s="19">
        <v>8.6999999999999993</v>
      </c>
      <c r="BG91" s="19">
        <v>7.19</v>
      </c>
      <c r="BH91" s="19">
        <v>7.95</v>
      </c>
      <c r="BI91" s="20">
        <f t="shared" si="1"/>
        <v>8.77</v>
      </c>
    </row>
    <row r="92" spans="1:61" x14ac:dyDescent="0.25">
      <c r="A92">
        <v>2.2377399999999999E-2</v>
      </c>
      <c r="B92">
        <v>19</v>
      </c>
      <c r="C92" t="s">
        <v>305</v>
      </c>
      <c r="D92">
        <v>1975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0.40899999999999997</v>
      </c>
      <c r="AM92">
        <v>0.44910220000000001</v>
      </c>
      <c r="AN92">
        <v>1.01</v>
      </c>
      <c r="AO92">
        <v>0.23080000000000001</v>
      </c>
      <c r="AP92">
        <v>6.3180500000000001E-2</v>
      </c>
      <c r="AQ92">
        <v>3.9887999999999998E-3</v>
      </c>
      <c r="AR92">
        <v>0.37456089999999997</v>
      </c>
      <c r="AS92">
        <v>0.46903800000000001</v>
      </c>
      <c r="AT92">
        <v>1.9708000000000001</v>
      </c>
      <c r="AU92">
        <v>0.44687389999999999</v>
      </c>
      <c r="AV92">
        <v>8.6013199999999998E-2</v>
      </c>
      <c r="AW92">
        <v>13434.8</v>
      </c>
      <c r="AX92">
        <v>0.26274999999999998</v>
      </c>
      <c r="AY92">
        <v>7.58</v>
      </c>
      <c r="AZ92">
        <v>2.3747999999999998E-2</v>
      </c>
      <c r="BA92">
        <v>0.87480000000000002</v>
      </c>
      <c r="BB92">
        <v>70.11</v>
      </c>
      <c r="BC92" s="19">
        <v>5.93</v>
      </c>
      <c r="BD92" s="19" t="s">
        <v>49</v>
      </c>
      <c r="BE92" s="19">
        <v>7.16</v>
      </c>
      <c r="BF92" s="19">
        <v>3.81</v>
      </c>
      <c r="BG92" s="19" t="s">
        <v>49</v>
      </c>
      <c r="BH92" s="19" t="s">
        <v>49</v>
      </c>
      <c r="BI92" s="20">
        <f t="shared" si="1"/>
        <v>5.4850000000000003</v>
      </c>
    </row>
    <row r="93" spans="1:61" x14ac:dyDescent="0.25">
      <c r="A93">
        <v>1.9191900000000001E-2</v>
      </c>
      <c r="B93">
        <v>19</v>
      </c>
      <c r="C93" t="s">
        <v>305</v>
      </c>
      <c r="D93">
        <v>1980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0.43980000000000002</v>
      </c>
      <c r="AM93">
        <v>0.52281279999999997</v>
      </c>
      <c r="AN93">
        <v>1.02</v>
      </c>
      <c r="AO93">
        <v>0.20760000000000001</v>
      </c>
      <c r="AP93">
        <v>4.4457999999999998E-3</v>
      </c>
      <c r="AQ93">
        <v>8.9434000000000007E-3</v>
      </c>
      <c r="AR93">
        <v>0.36133470000000001</v>
      </c>
      <c r="AS93">
        <v>0.4770162</v>
      </c>
      <c r="AT93">
        <v>1.5918000000000001</v>
      </c>
      <c r="AU93">
        <v>0.4702325</v>
      </c>
      <c r="AV93">
        <v>6.0639400000000003E-2</v>
      </c>
      <c r="AW93">
        <v>13952</v>
      </c>
      <c r="AX93">
        <v>0.218</v>
      </c>
      <c r="AY93">
        <v>7.75</v>
      </c>
      <c r="AZ93">
        <v>3.8946000000000001E-2</v>
      </c>
      <c r="BA93">
        <v>0.88400000000000001</v>
      </c>
      <c r="BB93">
        <v>75.09</v>
      </c>
      <c r="BC93" s="19">
        <v>6.24</v>
      </c>
      <c r="BD93" s="19" t="s">
        <v>49</v>
      </c>
      <c r="BE93" s="19">
        <v>3.68</v>
      </c>
      <c r="BF93" s="19">
        <v>4.05</v>
      </c>
      <c r="BG93" s="19">
        <v>5.64</v>
      </c>
      <c r="BH93" s="19">
        <v>5.03</v>
      </c>
      <c r="BI93" s="20">
        <f t="shared" si="1"/>
        <v>4.456666666666667</v>
      </c>
    </row>
    <row r="94" spans="1:61" x14ac:dyDescent="0.25">
      <c r="A94">
        <v>7.8475999999999997E-3</v>
      </c>
      <c r="B94">
        <v>19</v>
      </c>
      <c r="C94" t="s">
        <v>305</v>
      </c>
      <c r="D94">
        <v>1985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</v>
      </c>
      <c r="AJ94">
        <v>0</v>
      </c>
      <c r="AK94">
        <v>0</v>
      </c>
      <c r="AL94">
        <v>0.44779999999999998</v>
      </c>
      <c r="AM94">
        <v>0.57496530000000001</v>
      </c>
      <c r="AN94">
        <v>1.03</v>
      </c>
      <c r="AO94">
        <v>0.1898</v>
      </c>
      <c r="AP94">
        <v>6.3699000000000004E-3</v>
      </c>
      <c r="AQ94">
        <v>5.6793E-3</v>
      </c>
      <c r="AR94">
        <v>0.33839580000000002</v>
      </c>
      <c r="AS94">
        <v>0.57696619999999998</v>
      </c>
      <c r="AT94">
        <v>1.5056</v>
      </c>
      <c r="AU94">
        <v>0.53324499999999997</v>
      </c>
      <c r="AV94">
        <v>4.18228E-2</v>
      </c>
      <c r="AW94">
        <v>14368.6</v>
      </c>
      <c r="AX94">
        <v>0.22559999999999999</v>
      </c>
      <c r="AY94">
        <v>8</v>
      </c>
      <c r="AZ94">
        <v>9.0237999999999999E-2</v>
      </c>
      <c r="BA94">
        <v>0.88460000000000005</v>
      </c>
      <c r="BB94">
        <v>81.180000000000007</v>
      </c>
      <c r="BC94" s="19">
        <v>5.63</v>
      </c>
      <c r="BD94" s="19" t="s">
        <v>49</v>
      </c>
      <c r="BE94" s="19">
        <v>4.84</v>
      </c>
      <c r="BF94" s="19">
        <v>4.07</v>
      </c>
      <c r="BG94" s="19">
        <v>5.74</v>
      </c>
      <c r="BH94" s="19">
        <v>5.16</v>
      </c>
      <c r="BI94" s="20">
        <f t="shared" si="1"/>
        <v>4.8833333333333337</v>
      </c>
    </row>
    <row r="95" spans="1:61" x14ac:dyDescent="0.25">
      <c r="A95">
        <v>2.4678499999999999E-2</v>
      </c>
      <c r="B95">
        <v>19</v>
      </c>
      <c r="C95" t="s">
        <v>305</v>
      </c>
      <c r="D95">
        <v>1990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0</v>
      </c>
      <c r="AL95">
        <v>0.45900000000000002</v>
      </c>
      <c r="AM95">
        <v>0.5523266</v>
      </c>
      <c r="AN95">
        <v>0.95</v>
      </c>
      <c r="AO95">
        <v>0.20979999999999999</v>
      </c>
      <c r="AP95">
        <v>7.1471E-3</v>
      </c>
      <c r="AQ95">
        <v>1.54225E-2</v>
      </c>
      <c r="AR95">
        <v>0.31527050000000001</v>
      </c>
      <c r="AS95">
        <v>0.52454080000000003</v>
      </c>
      <c r="AT95">
        <v>1.5662</v>
      </c>
      <c r="AU95">
        <v>0.48682629999999999</v>
      </c>
      <c r="AV95">
        <v>7.4152000000000003E-3</v>
      </c>
      <c r="AW95">
        <v>14759.6</v>
      </c>
      <c r="AX95">
        <v>0.24640000000000001</v>
      </c>
      <c r="AY95">
        <v>8.2899999999999991</v>
      </c>
      <c r="AZ95">
        <v>7.4085999999999999E-2</v>
      </c>
      <c r="BA95">
        <v>0.88619999999999999</v>
      </c>
      <c r="BB95">
        <v>83.01</v>
      </c>
      <c r="BC95" s="19">
        <v>6.79</v>
      </c>
      <c r="BD95" s="19">
        <v>6.41</v>
      </c>
      <c r="BE95" s="19">
        <v>6.91</v>
      </c>
      <c r="BF95" s="19">
        <v>5.47</v>
      </c>
      <c r="BG95" s="19">
        <v>5.86</v>
      </c>
      <c r="BH95" s="19">
        <v>6.29</v>
      </c>
      <c r="BI95" s="20">
        <f t="shared" si="1"/>
        <v>6.1624999999999996</v>
      </c>
    </row>
    <row r="96" spans="1:61" x14ac:dyDescent="0.25">
      <c r="A96">
        <v>1.41768E-2</v>
      </c>
      <c r="B96">
        <v>19</v>
      </c>
      <c r="C96" t="s">
        <v>305</v>
      </c>
      <c r="D96">
        <v>1995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0.46160000000000001</v>
      </c>
      <c r="AM96">
        <v>0.54652049999999996</v>
      </c>
      <c r="AN96">
        <v>0.94</v>
      </c>
      <c r="AO96">
        <v>0.19539999999999999</v>
      </c>
      <c r="AP96">
        <v>6.4305999999999999E-3</v>
      </c>
      <c r="AQ96">
        <v>1.6912400000000001E-2</v>
      </c>
      <c r="AR96">
        <v>0.31079449999999997</v>
      </c>
      <c r="AS96">
        <v>0.52185079999999995</v>
      </c>
      <c r="AT96">
        <v>1.5887500000000001</v>
      </c>
      <c r="AU96">
        <v>0.46790579999999998</v>
      </c>
      <c r="AV96">
        <v>2.6561600000000001E-2</v>
      </c>
      <c r="AW96">
        <v>15273.6</v>
      </c>
      <c r="AX96">
        <v>0.24199999999999999</v>
      </c>
      <c r="AY96">
        <v>8.56</v>
      </c>
      <c r="AZ96">
        <v>6.4224000000000003E-2</v>
      </c>
      <c r="BA96">
        <v>0.88879600000000003</v>
      </c>
      <c r="BB96">
        <v>82.91</v>
      </c>
      <c r="BC96" s="19">
        <v>6.81</v>
      </c>
      <c r="BD96" s="19">
        <v>6.37</v>
      </c>
      <c r="BE96" s="19">
        <v>6.02</v>
      </c>
      <c r="BF96" s="19">
        <v>5.68</v>
      </c>
      <c r="BG96" s="19">
        <v>5.75</v>
      </c>
      <c r="BH96" s="19">
        <v>6.14</v>
      </c>
      <c r="BI96" s="20">
        <f t="shared" si="1"/>
        <v>5.9550000000000001</v>
      </c>
    </row>
    <row r="97" spans="1:61" x14ac:dyDescent="0.25">
      <c r="A97">
        <v>2.3654700000000001E-2</v>
      </c>
      <c r="B97">
        <v>20</v>
      </c>
      <c r="C97" t="s">
        <v>306</v>
      </c>
      <c r="D97">
        <v>1975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0.29120000000000001</v>
      </c>
      <c r="AN97">
        <v>1.01</v>
      </c>
      <c r="AO97">
        <v>0.23680000000000001</v>
      </c>
      <c r="AP97">
        <v>-1.0637999999999999E-3</v>
      </c>
      <c r="AQ97">
        <v>2.4000199999999999E-2</v>
      </c>
      <c r="AR97">
        <v>0.40184399999999998</v>
      </c>
      <c r="AS97">
        <v>0.2374607</v>
      </c>
      <c r="AT97">
        <v>2.6977500000000001</v>
      </c>
      <c r="AU97">
        <v>0.26820719999999998</v>
      </c>
      <c r="AV97">
        <v>0.1023058</v>
      </c>
      <c r="AW97">
        <v>2964.6</v>
      </c>
      <c r="AY97">
        <v>9.3699999999999992</v>
      </c>
      <c r="AZ97">
        <v>2.6700000000000001E-3</v>
      </c>
      <c r="BA97">
        <v>0.82120000000000004</v>
      </c>
      <c r="BB97">
        <v>58.78</v>
      </c>
      <c r="BC97" s="19">
        <v>4.84</v>
      </c>
      <c r="BD97" s="19">
        <v>9.8699999999999992</v>
      </c>
      <c r="BE97" s="19">
        <v>9.4</v>
      </c>
      <c r="BF97" s="19">
        <v>7.38</v>
      </c>
      <c r="BG97" s="19">
        <v>6.36</v>
      </c>
      <c r="BH97" s="19">
        <v>7.54</v>
      </c>
      <c r="BI97" s="20">
        <f t="shared" si="1"/>
        <v>8.2524999999999995</v>
      </c>
    </row>
    <row r="98" spans="1:61" x14ac:dyDescent="0.25">
      <c r="A98">
        <v>-2.6134999999999999E-3</v>
      </c>
      <c r="B98">
        <v>20</v>
      </c>
      <c r="C98" t="s">
        <v>306</v>
      </c>
      <c r="D98">
        <v>1980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0.32279999999999998</v>
      </c>
      <c r="AN98">
        <v>1.04</v>
      </c>
      <c r="AO98">
        <v>0.20580000000000001</v>
      </c>
      <c r="AP98">
        <v>3.2596399999999998E-2</v>
      </c>
      <c r="AQ98">
        <v>1.2428E-2</v>
      </c>
      <c r="AR98">
        <v>0.38665369999999999</v>
      </c>
      <c r="AS98">
        <v>0.28741270000000002</v>
      </c>
      <c r="AT98">
        <v>2.18486</v>
      </c>
      <c r="AU98">
        <v>0.29960219999999999</v>
      </c>
      <c r="AV98">
        <v>0.14826</v>
      </c>
      <c r="AW98">
        <v>3114.8</v>
      </c>
      <c r="AX98">
        <v>0.193</v>
      </c>
      <c r="AY98">
        <v>11</v>
      </c>
      <c r="AZ98">
        <v>1.3956E-2</v>
      </c>
      <c r="BA98">
        <v>0.83160000000000001</v>
      </c>
      <c r="BB98">
        <v>61.28</v>
      </c>
      <c r="BC98" s="19">
        <v>4.04</v>
      </c>
      <c r="BD98" s="19">
        <v>7.55</v>
      </c>
      <c r="BE98" s="19">
        <v>9</v>
      </c>
      <c r="BF98" s="19">
        <v>7.57</v>
      </c>
      <c r="BG98" s="19">
        <v>6.06</v>
      </c>
      <c r="BH98" s="19">
        <v>6.85</v>
      </c>
      <c r="BI98" s="20">
        <f t="shared" si="1"/>
        <v>7.5449999999999999</v>
      </c>
    </row>
    <row r="99" spans="1:61" x14ac:dyDescent="0.25">
      <c r="A99">
        <v>2.2022099999999999E-2</v>
      </c>
      <c r="B99">
        <v>20</v>
      </c>
      <c r="C99" t="s">
        <v>306</v>
      </c>
      <c r="D99">
        <v>1985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</v>
      </c>
      <c r="AJ99">
        <v>0</v>
      </c>
      <c r="AK99">
        <v>0</v>
      </c>
      <c r="AL99">
        <v>0.33379999999999999</v>
      </c>
      <c r="AN99">
        <v>0.91</v>
      </c>
      <c r="AO99">
        <v>0.25019999999999998</v>
      </c>
      <c r="AP99">
        <v>1.6535000000000001E-2</v>
      </c>
      <c r="AQ99">
        <v>1.5543100000000001E-2</v>
      </c>
      <c r="AR99">
        <v>0.36688080000000001</v>
      </c>
      <c r="AS99">
        <v>0.30517650000000002</v>
      </c>
      <c r="AT99">
        <v>1.9350000000000001</v>
      </c>
      <c r="AU99">
        <v>0.33413860000000001</v>
      </c>
      <c r="AV99">
        <v>0.1209614</v>
      </c>
      <c r="AW99">
        <v>3214.36</v>
      </c>
      <c r="AX99">
        <v>0.19339999999999999</v>
      </c>
      <c r="AY99">
        <v>11.94</v>
      </c>
      <c r="AZ99">
        <v>4.0314000000000003E-2</v>
      </c>
      <c r="BA99">
        <v>0.83586199999999999</v>
      </c>
      <c r="BB99">
        <v>67.27</v>
      </c>
      <c r="BC99" s="19">
        <v>3.57</v>
      </c>
      <c r="BD99" s="19">
        <v>8.84</v>
      </c>
      <c r="BE99" s="19">
        <v>9.3699999999999992</v>
      </c>
      <c r="BF99" s="19">
        <v>8.3000000000000007</v>
      </c>
      <c r="BG99" s="19">
        <v>6.62</v>
      </c>
      <c r="BH99" s="19">
        <v>7.31</v>
      </c>
      <c r="BI99" s="20">
        <f t="shared" si="1"/>
        <v>8.2825000000000006</v>
      </c>
    </row>
    <row r="100" spans="1:61" x14ac:dyDescent="0.25">
      <c r="A100">
        <v>-8.095E-4</v>
      </c>
      <c r="B100">
        <v>20</v>
      </c>
      <c r="C100" t="s">
        <v>306</v>
      </c>
      <c r="D100">
        <v>1990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0</v>
      </c>
      <c r="AL100">
        <v>0.36940000000000001</v>
      </c>
      <c r="AN100">
        <v>0.93</v>
      </c>
      <c r="AO100">
        <v>0.20599999999999999</v>
      </c>
      <c r="AP100">
        <v>-1.0070999999999999E-3</v>
      </c>
      <c r="AQ100">
        <v>-1.5320000000000001E-4</v>
      </c>
      <c r="AR100">
        <v>0.34837230000000002</v>
      </c>
      <c r="AS100">
        <v>0.27028950000000002</v>
      </c>
      <c r="AT100">
        <v>2.1124999999999998</v>
      </c>
      <c r="AU100">
        <v>0.25851970000000002</v>
      </c>
      <c r="AV100">
        <v>9.4153799999999996E-2</v>
      </c>
      <c r="AW100">
        <v>3317.9</v>
      </c>
      <c r="AX100">
        <v>0.16839999999999999</v>
      </c>
      <c r="AY100">
        <v>11.88</v>
      </c>
      <c r="AZ100">
        <v>5.7096000000000001E-2</v>
      </c>
      <c r="BA100">
        <v>0.84362599999999999</v>
      </c>
      <c r="BB100">
        <v>69.319999999999993</v>
      </c>
      <c r="BC100" s="19">
        <v>3.51</v>
      </c>
      <c r="BD100" s="19">
        <v>9.8699999999999992</v>
      </c>
      <c r="BE100" s="19">
        <v>9.49</v>
      </c>
      <c r="BF100" s="19">
        <v>8.44</v>
      </c>
      <c r="BG100" s="19">
        <v>6.26</v>
      </c>
      <c r="BH100" s="19">
        <v>7.47</v>
      </c>
      <c r="BI100" s="20">
        <f t="shared" si="1"/>
        <v>8.5149999999999988</v>
      </c>
    </row>
    <row r="101" spans="1:61" x14ac:dyDescent="0.25">
      <c r="A101">
        <v>1.6560200000000001E-2</v>
      </c>
      <c r="B101">
        <v>20</v>
      </c>
      <c r="C101" t="s">
        <v>306</v>
      </c>
      <c r="D101">
        <v>1995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0.37319999999999998</v>
      </c>
      <c r="AN101">
        <v>0.84</v>
      </c>
      <c r="AO101">
        <v>0.18240000000000001</v>
      </c>
      <c r="AP101">
        <v>-1.20725E-2</v>
      </c>
      <c r="AQ101">
        <v>1.64195E-2</v>
      </c>
      <c r="AR101">
        <v>0.34536800000000001</v>
      </c>
      <c r="AS101">
        <v>0.31025449999999999</v>
      </c>
      <c r="AT101">
        <v>2.1253329999999999</v>
      </c>
      <c r="AU101">
        <v>0.28584549999999997</v>
      </c>
      <c r="AV101">
        <v>2.1151E-2</v>
      </c>
      <c r="AW101">
        <v>3492.2</v>
      </c>
      <c r="AX101">
        <v>0.17080000000000001</v>
      </c>
      <c r="AY101">
        <v>11.18</v>
      </c>
      <c r="AZ101">
        <v>8.9064000000000004E-2</v>
      </c>
      <c r="BA101">
        <v>0.84974400000000005</v>
      </c>
      <c r="BB101">
        <v>72.42</v>
      </c>
      <c r="BC101" s="19">
        <v>4.9400000000000004</v>
      </c>
      <c r="BD101" s="19">
        <v>9.8699999999999992</v>
      </c>
      <c r="BE101" s="19">
        <v>9.57</v>
      </c>
      <c r="BF101" s="19">
        <v>8.1999999999999993</v>
      </c>
      <c r="BG101" s="19">
        <v>6.47</v>
      </c>
      <c r="BH101" s="19">
        <v>7.8</v>
      </c>
      <c r="BI101" s="20">
        <f t="shared" si="1"/>
        <v>8.5274999999999999</v>
      </c>
    </row>
    <row r="102" spans="1:61" x14ac:dyDescent="0.25">
      <c r="A102">
        <v>3.9660300000000002E-2</v>
      </c>
      <c r="B102">
        <v>21</v>
      </c>
      <c r="C102" t="s">
        <v>307</v>
      </c>
      <c r="D102">
        <v>1975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0.3952</v>
      </c>
      <c r="AM102">
        <v>0.40693059999999998</v>
      </c>
      <c r="AN102">
        <v>0.89</v>
      </c>
      <c r="AO102">
        <v>0.30280000000000001</v>
      </c>
      <c r="AP102">
        <v>3.2574600000000002E-2</v>
      </c>
      <c r="AQ102">
        <v>1.2727199999999999E-2</v>
      </c>
      <c r="AR102">
        <v>0.37363940000000001</v>
      </c>
      <c r="AS102">
        <v>0.38799869999999997</v>
      </c>
      <c r="AT102">
        <v>2.2471999999999999</v>
      </c>
      <c r="AU102">
        <v>0.40925319999999998</v>
      </c>
      <c r="AV102">
        <v>8.4651199999999996E-2</v>
      </c>
      <c r="AW102">
        <v>3957.8</v>
      </c>
      <c r="AX102">
        <v>0.28149999999999997</v>
      </c>
      <c r="AY102">
        <v>6.55</v>
      </c>
      <c r="AZ102">
        <v>1.6556000000000001E-2</v>
      </c>
      <c r="BA102">
        <v>0.67079999999999995</v>
      </c>
      <c r="BB102">
        <v>63.77</v>
      </c>
      <c r="BC102" s="19">
        <v>4.7300000000000004</v>
      </c>
      <c r="BD102" s="19">
        <v>9.51</v>
      </c>
      <c r="BE102" s="19">
        <v>6.19</v>
      </c>
      <c r="BF102" s="19">
        <v>6.45</v>
      </c>
      <c r="BG102" s="19">
        <v>7.27</v>
      </c>
      <c r="BH102" s="19">
        <v>6.72</v>
      </c>
      <c r="BI102" s="20">
        <f t="shared" si="1"/>
        <v>7.3549999999999995</v>
      </c>
    </row>
    <row r="103" spans="1:61" x14ac:dyDescent="0.25">
      <c r="A103">
        <v>4.4270799999999999E-2</v>
      </c>
      <c r="B103">
        <v>21</v>
      </c>
      <c r="C103" t="s">
        <v>307</v>
      </c>
      <c r="D103">
        <v>1980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0.41620000000000001</v>
      </c>
      <c r="AM103">
        <v>0.45271980000000001</v>
      </c>
      <c r="AN103">
        <v>0.99</v>
      </c>
      <c r="AO103">
        <v>0.316</v>
      </c>
      <c r="AP103">
        <v>7.8157999999999995E-3</v>
      </c>
      <c r="AQ103">
        <v>1.8329600000000001E-2</v>
      </c>
      <c r="AR103">
        <v>0.37451960000000001</v>
      </c>
      <c r="AS103">
        <v>0.3893974</v>
      </c>
      <c r="AT103">
        <v>1.7762</v>
      </c>
      <c r="AU103">
        <v>0.41026119999999999</v>
      </c>
      <c r="AV103">
        <v>8.3545800000000003E-2</v>
      </c>
      <c r="AW103">
        <v>4058.4</v>
      </c>
      <c r="AX103">
        <v>0.26400000000000001</v>
      </c>
      <c r="AY103">
        <v>6.81</v>
      </c>
      <c r="AZ103">
        <v>1.7281999999999999E-2</v>
      </c>
      <c r="BA103">
        <v>0.69640000000000002</v>
      </c>
      <c r="BB103">
        <v>66.260000000000005</v>
      </c>
      <c r="BC103" s="19">
        <v>4.41</v>
      </c>
      <c r="BD103" s="19">
        <v>6</v>
      </c>
      <c r="BE103" s="19">
        <v>5.82</v>
      </c>
      <c r="BF103" s="19">
        <v>6.74</v>
      </c>
      <c r="BG103" s="19">
        <v>7.18</v>
      </c>
      <c r="BH103" s="19">
        <v>6</v>
      </c>
      <c r="BI103" s="20">
        <f t="shared" si="1"/>
        <v>6.4350000000000005</v>
      </c>
    </row>
    <row r="104" spans="1:61" x14ac:dyDescent="0.25">
      <c r="A104">
        <v>2.7942100000000001E-2</v>
      </c>
      <c r="B104">
        <v>21</v>
      </c>
      <c r="C104" t="s">
        <v>307</v>
      </c>
      <c r="D104">
        <v>1985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0</v>
      </c>
      <c r="AK104">
        <v>0</v>
      </c>
      <c r="AL104">
        <v>0.43099999999999999</v>
      </c>
      <c r="AM104">
        <v>0.4313594</v>
      </c>
      <c r="AN104">
        <v>1.08</v>
      </c>
      <c r="AO104">
        <v>0.25840000000000002</v>
      </c>
      <c r="AP104">
        <v>1.28798E-2</v>
      </c>
      <c r="AQ104">
        <v>1.27983E-2</v>
      </c>
      <c r="AR104">
        <v>0.36932290000000001</v>
      </c>
      <c r="AS104">
        <v>0.42603740000000001</v>
      </c>
      <c r="AT104">
        <v>1.6725000000000001</v>
      </c>
      <c r="AU104">
        <v>0.35378379999999998</v>
      </c>
      <c r="AV104">
        <v>9.1021000000000005E-2</v>
      </c>
      <c r="AW104">
        <v>4128.2</v>
      </c>
      <c r="AX104">
        <v>0.30520000000000003</v>
      </c>
      <c r="AY104">
        <v>7.26</v>
      </c>
      <c r="AZ104">
        <v>2.7647999999999999E-2</v>
      </c>
      <c r="BA104">
        <v>0.71140000000000003</v>
      </c>
      <c r="BB104">
        <v>70.86</v>
      </c>
      <c r="BC104" s="19">
        <v>3.82</v>
      </c>
      <c r="BD104" s="19">
        <v>9.52</v>
      </c>
      <c r="BE104" s="19">
        <v>6.25</v>
      </c>
      <c r="BF104" s="19">
        <v>7.23</v>
      </c>
      <c r="BG104" s="19">
        <v>7.22</v>
      </c>
      <c r="BH104" s="19">
        <v>6.72</v>
      </c>
      <c r="BI104" s="20">
        <f t="shared" si="1"/>
        <v>7.5549999999999997</v>
      </c>
    </row>
    <row r="105" spans="1:61" x14ac:dyDescent="0.25">
      <c r="A105">
        <v>1.2449E-2</v>
      </c>
      <c r="B105">
        <v>21</v>
      </c>
      <c r="C105" t="s">
        <v>307</v>
      </c>
      <c r="D105">
        <v>1990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0</v>
      </c>
      <c r="AL105">
        <v>0.43080000000000002</v>
      </c>
      <c r="AM105">
        <v>0.48948950000000002</v>
      </c>
      <c r="AN105">
        <v>1.1599999999999999</v>
      </c>
      <c r="AO105">
        <v>0.26300000000000001</v>
      </c>
      <c r="AP105">
        <v>8.1311999999999999E-3</v>
      </c>
      <c r="AQ105">
        <v>7.0483000000000004E-3</v>
      </c>
      <c r="AR105">
        <v>0.3571394</v>
      </c>
      <c r="AS105">
        <v>0.35949399999999998</v>
      </c>
      <c r="AT105">
        <v>1.8320000000000001</v>
      </c>
      <c r="AU105">
        <v>0.34960089999999999</v>
      </c>
      <c r="AV105">
        <v>6.2496999999999997E-2</v>
      </c>
      <c r="AW105">
        <v>4206.7</v>
      </c>
      <c r="AX105">
        <v>0.25659999999999999</v>
      </c>
      <c r="AY105">
        <v>7.56</v>
      </c>
      <c r="AZ105">
        <v>3.4818000000000002E-2</v>
      </c>
      <c r="BA105">
        <v>0.71981799999999996</v>
      </c>
      <c r="BB105">
        <v>74.430000000000007</v>
      </c>
      <c r="BC105" s="19">
        <v>3.54</v>
      </c>
      <c r="BD105" s="19">
        <v>9.32</v>
      </c>
      <c r="BE105" s="19">
        <v>6.03</v>
      </c>
      <c r="BF105" s="19">
        <v>7.01</v>
      </c>
      <c r="BG105" s="19">
        <v>7.34</v>
      </c>
      <c r="BH105" s="19">
        <v>6.54</v>
      </c>
      <c r="BI105" s="20">
        <f t="shared" si="1"/>
        <v>7.4249999999999998</v>
      </c>
    </row>
    <row r="106" spans="1:61" x14ac:dyDescent="0.25">
      <c r="A106">
        <v>3.06459E-2</v>
      </c>
      <c r="B106">
        <v>21</v>
      </c>
      <c r="C106" t="s">
        <v>307</v>
      </c>
      <c r="D106">
        <v>1995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</v>
      </c>
      <c r="AL106">
        <v>0.41139999999999999</v>
      </c>
      <c r="AM106">
        <v>0.51194740000000005</v>
      </c>
      <c r="AN106">
        <v>1.0900000000000001</v>
      </c>
      <c r="AO106">
        <v>0.20480000000000001</v>
      </c>
      <c r="AP106">
        <v>9.6022E-3</v>
      </c>
      <c r="AQ106">
        <v>3.7759999999999998E-3</v>
      </c>
      <c r="AR106">
        <v>0.35242250000000003</v>
      </c>
      <c r="AS106">
        <v>0.38766840000000002</v>
      </c>
      <c r="AT106">
        <v>1.88066</v>
      </c>
      <c r="AU106">
        <v>0.32089289999999998</v>
      </c>
      <c r="AV106">
        <v>2.2939000000000001E-2</v>
      </c>
      <c r="AW106">
        <v>4310.1400000000003</v>
      </c>
      <c r="AX106">
        <v>0.25259999999999999</v>
      </c>
      <c r="AY106">
        <v>7.93</v>
      </c>
      <c r="AZ106">
        <v>5.5393999999999999E-2</v>
      </c>
      <c r="BA106">
        <v>0.72837600000000002</v>
      </c>
      <c r="BB106">
        <v>75.739999999999995</v>
      </c>
      <c r="BC106" s="19">
        <v>5.55</v>
      </c>
      <c r="BD106" s="19">
        <v>9.8800000000000008</v>
      </c>
      <c r="BE106" s="19">
        <v>7.28</v>
      </c>
      <c r="BF106" s="19">
        <v>7.93</v>
      </c>
      <c r="BG106" s="19">
        <v>8.2899999999999991</v>
      </c>
      <c r="BH106" s="19">
        <v>7.71</v>
      </c>
      <c r="BI106" s="20">
        <f t="shared" si="1"/>
        <v>8.3449999999999989</v>
      </c>
    </row>
    <row r="107" spans="1:61" x14ac:dyDescent="0.25">
      <c r="A107">
        <v>3.5065899999999997E-2</v>
      </c>
      <c r="B107">
        <v>22</v>
      </c>
      <c r="C107" t="s">
        <v>308</v>
      </c>
      <c r="D107">
        <v>1975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0.20100000000000001</v>
      </c>
      <c r="AM107">
        <v>0.22610440000000001</v>
      </c>
      <c r="AN107">
        <v>0.47</v>
      </c>
      <c r="AO107">
        <v>0.19819999999999999</v>
      </c>
      <c r="AP107">
        <v>2.0924000000000002E-2</v>
      </c>
      <c r="AQ107">
        <v>2.34369E-2</v>
      </c>
      <c r="AR107">
        <v>0.37966870000000003</v>
      </c>
      <c r="AS107">
        <v>0.222306</v>
      </c>
      <c r="AT107">
        <v>2.6534</v>
      </c>
      <c r="AU107">
        <v>0.3022822</v>
      </c>
      <c r="AV107">
        <v>0.15019540000000001</v>
      </c>
      <c r="AW107">
        <v>8751</v>
      </c>
      <c r="AX107">
        <v>0.27224999999999999</v>
      </c>
      <c r="AY107">
        <v>2.44</v>
      </c>
      <c r="AZ107">
        <v>2.3788E-2</v>
      </c>
      <c r="BA107">
        <v>0.26979999999999998</v>
      </c>
      <c r="BB107">
        <v>46.59</v>
      </c>
      <c r="BC107" s="19">
        <v>4.5</v>
      </c>
      <c r="BD107" s="19">
        <v>8.2200000000000006</v>
      </c>
      <c r="BE107" s="19">
        <v>7.11</v>
      </c>
      <c r="BF107" s="19">
        <v>6.64</v>
      </c>
      <c r="BG107" s="19">
        <v>5.13</v>
      </c>
      <c r="BH107" s="19">
        <v>6.32</v>
      </c>
      <c r="BI107" s="20">
        <f t="shared" si="1"/>
        <v>6.7750000000000004</v>
      </c>
    </row>
    <row r="108" spans="1:61" x14ac:dyDescent="0.25">
      <c r="A108">
        <v>3.6099699999999998E-2</v>
      </c>
      <c r="B108">
        <v>22</v>
      </c>
      <c r="C108" t="s">
        <v>308</v>
      </c>
      <c r="D108">
        <v>1980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0.2382</v>
      </c>
      <c r="AM108">
        <v>0.33010509999999998</v>
      </c>
      <c r="AN108">
        <v>0.51</v>
      </c>
      <c r="AO108">
        <v>0.19839999999999999</v>
      </c>
      <c r="AP108">
        <v>1.74155E-2</v>
      </c>
      <c r="AQ108">
        <v>1.9844199999999999E-2</v>
      </c>
      <c r="AR108">
        <v>0.37795010000000001</v>
      </c>
      <c r="AS108">
        <v>0.19432669999999999</v>
      </c>
      <c r="AT108">
        <v>2.31</v>
      </c>
      <c r="AU108">
        <v>0.30941269999999998</v>
      </c>
      <c r="AV108">
        <v>0.216782</v>
      </c>
      <c r="AW108">
        <v>9559</v>
      </c>
      <c r="AX108">
        <v>0.2336</v>
      </c>
      <c r="AY108">
        <v>2.66</v>
      </c>
      <c r="AZ108">
        <v>7.3943999999999996E-2</v>
      </c>
      <c r="BA108">
        <v>0.28720000000000001</v>
      </c>
      <c r="BB108">
        <v>48.32</v>
      </c>
      <c r="BC108" s="19">
        <v>3.48</v>
      </c>
      <c r="BD108" s="19">
        <v>1.58</v>
      </c>
      <c r="BE108" s="19">
        <v>5.55</v>
      </c>
      <c r="BF108" s="19">
        <v>4.53</v>
      </c>
      <c r="BG108" s="19">
        <v>5.1100000000000003</v>
      </c>
      <c r="BH108" s="19">
        <v>4.0999999999999996</v>
      </c>
      <c r="BI108" s="20">
        <f t="shared" si="1"/>
        <v>4.1924999999999999</v>
      </c>
    </row>
    <row r="109" spans="1:61" x14ac:dyDescent="0.25">
      <c r="A109">
        <v>3.9061E-3</v>
      </c>
      <c r="B109">
        <v>22</v>
      </c>
      <c r="C109" t="s">
        <v>308</v>
      </c>
      <c r="D109">
        <v>1985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0</v>
      </c>
      <c r="AK109">
        <v>0</v>
      </c>
      <c r="AL109">
        <v>0.27839999999999998</v>
      </c>
      <c r="AM109">
        <v>0.38650250000000003</v>
      </c>
      <c r="AN109">
        <v>0.54</v>
      </c>
      <c r="AO109">
        <v>0.28799999999999998</v>
      </c>
      <c r="AP109">
        <v>4.2157199999999999E-2</v>
      </c>
      <c r="AQ109">
        <v>9.0802999999999995E-3</v>
      </c>
      <c r="AR109">
        <v>0.3640487</v>
      </c>
      <c r="AS109">
        <v>0.27852290000000002</v>
      </c>
      <c r="AT109">
        <v>1.988</v>
      </c>
      <c r="AU109">
        <v>0.38657970000000003</v>
      </c>
      <c r="AV109">
        <v>0.23266800000000001</v>
      </c>
      <c r="AW109">
        <v>9943.4</v>
      </c>
      <c r="AX109">
        <v>0.21079999999999999</v>
      </c>
      <c r="AY109">
        <v>3.27</v>
      </c>
      <c r="AZ109">
        <v>8.0500000000000002E-2</v>
      </c>
      <c r="BA109">
        <v>0.306006</v>
      </c>
      <c r="BB109">
        <v>52.12</v>
      </c>
      <c r="BC109" s="19">
        <v>3.28</v>
      </c>
      <c r="BD109" s="19">
        <v>9.27</v>
      </c>
      <c r="BE109" s="19">
        <v>5.53</v>
      </c>
      <c r="BF109" s="19">
        <v>6.73</v>
      </c>
      <c r="BG109" s="19">
        <v>5.0999999999999996</v>
      </c>
      <c r="BH109" s="19">
        <v>5.87</v>
      </c>
      <c r="BI109" s="20">
        <f t="shared" si="1"/>
        <v>6.6575000000000006</v>
      </c>
    </row>
    <row r="110" spans="1:61" x14ac:dyDescent="0.25">
      <c r="A110">
        <v>5.2298200000000003E-2</v>
      </c>
      <c r="B110">
        <v>22</v>
      </c>
      <c r="C110" t="s">
        <v>308</v>
      </c>
      <c r="D110">
        <v>1990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0</v>
      </c>
      <c r="AL110">
        <v>0.29780000000000001</v>
      </c>
      <c r="AM110">
        <v>0.39912160000000002</v>
      </c>
      <c r="AN110">
        <v>0.5</v>
      </c>
      <c r="AO110">
        <v>0.26700000000000002</v>
      </c>
      <c r="AP110">
        <v>1.0774499999999999E-2</v>
      </c>
      <c r="AQ110">
        <v>1.0995599999999999E-2</v>
      </c>
      <c r="AR110">
        <v>0.35385080000000002</v>
      </c>
      <c r="AS110">
        <v>0.31208390000000003</v>
      </c>
      <c r="AT110">
        <v>1.5880000000000001</v>
      </c>
      <c r="AU110">
        <v>0.37744630000000001</v>
      </c>
      <c r="AV110">
        <v>0.11330419999999999</v>
      </c>
      <c r="AW110">
        <v>9961.2000000000007</v>
      </c>
      <c r="AX110">
        <v>0.26600000000000001</v>
      </c>
      <c r="AY110">
        <v>3.45</v>
      </c>
      <c r="AZ110">
        <v>6.2514E-2</v>
      </c>
      <c r="BA110">
        <v>0.326602</v>
      </c>
      <c r="BB110">
        <v>55.75</v>
      </c>
      <c r="BC110" s="19">
        <v>3.49</v>
      </c>
      <c r="BD110" s="19">
        <v>7.05</v>
      </c>
      <c r="BE110" s="19">
        <v>5.54</v>
      </c>
      <c r="BF110" s="19">
        <v>6.91</v>
      </c>
      <c r="BG110" s="19">
        <v>5.5</v>
      </c>
      <c r="BH110" s="19">
        <v>5.64</v>
      </c>
      <c r="BI110" s="20">
        <f t="shared" si="1"/>
        <v>6.25</v>
      </c>
    </row>
    <row r="111" spans="1:61" x14ac:dyDescent="0.25">
      <c r="A111">
        <v>1.3672E-2</v>
      </c>
      <c r="B111">
        <v>22</v>
      </c>
      <c r="C111" t="s">
        <v>308</v>
      </c>
      <c r="D111">
        <v>1995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</v>
      </c>
      <c r="AL111">
        <v>0.3266</v>
      </c>
      <c r="AM111">
        <v>0.4410868</v>
      </c>
      <c r="AN111">
        <v>0.59</v>
      </c>
      <c r="AO111">
        <v>0.23980000000000001</v>
      </c>
      <c r="AP111">
        <v>9.1079000000000004E-3</v>
      </c>
      <c r="AQ111">
        <v>-7.4640000000000001E-3</v>
      </c>
      <c r="AR111">
        <v>0.34039009999999997</v>
      </c>
      <c r="AS111">
        <v>0.27394550000000001</v>
      </c>
      <c r="AT111">
        <v>1.5022</v>
      </c>
      <c r="AU111">
        <v>0.36269630000000003</v>
      </c>
      <c r="AV111">
        <v>7.2948399999999997E-2</v>
      </c>
      <c r="AW111">
        <v>9889.2000000000007</v>
      </c>
      <c r="AX111">
        <v>0.2132</v>
      </c>
      <c r="AY111">
        <v>3.61</v>
      </c>
      <c r="AZ111">
        <v>5.586E-2</v>
      </c>
      <c r="BA111">
        <v>0.34760000000000002</v>
      </c>
      <c r="BB111">
        <v>58.03</v>
      </c>
      <c r="BC111" s="19">
        <v>4.72</v>
      </c>
      <c r="BD111" s="19">
        <v>8.9700000000000006</v>
      </c>
      <c r="BE111" s="19">
        <v>5.69</v>
      </c>
      <c r="BF111" s="19">
        <v>7.44</v>
      </c>
      <c r="BG111" s="19">
        <v>5.27</v>
      </c>
      <c r="BH111" s="19">
        <v>6.36</v>
      </c>
      <c r="BI111" s="20">
        <f t="shared" si="1"/>
        <v>6.8425000000000002</v>
      </c>
    </row>
    <row r="112" spans="1:61" x14ac:dyDescent="0.25">
      <c r="A112">
        <v>7.5011700000000001E-2</v>
      </c>
      <c r="B112">
        <v>23</v>
      </c>
      <c r="C112" t="s">
        <v>309</v>
      </c>
      <c r="D112">
        <v>1975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0.152332</v>
      </c>
      <c r="AM112">
        <v>0.16176969999999999</v>
      </c>
      <c r="AN112">
        <v>0.35815999999999998</v>
      </c>
      <c r="AO112">
        <v>0.36229250000000002</v>
      </c>
      <c r="AP112">
        <v>1.55113E-2</v>
      </c>
      <c r="AQ112">
        <v>4.3976500000000002E-2</v>
      </c>
      <c r="AR112">
        <v>0.42130620000000002</v>
      </c>
      <c r="AS112">
        <v>0.89929020000000004</v>
      </c>
      <c r="AT112">
        <v>2.6648000000000001</v>
      </c>
      <c r="AU112">
        <v>1.346489</v>
      </c>
      <c r="AV112">
        <v>9.6700599999999998E-2</v>
      </c>
      <c r="AW112">
        <v>1967.24</v>
      </c>
      <c r="AX112">
        <v>0.27224999999999999</v>
      </c>
      <c r="AY112">
        <v>3.78</v>
      </c>
      <c r="BA112">
        <v>0.99998600000000004</v>
      </c>
      <c r="BB112">
        <v>60.94</v>
      </c>
      <c r="BC112" s="19">
        <v>7.25</v>
      </c>
      <c r="BD112" s="19">
        <v>9</v>
      </c>
      <c r="BE112" s="19">
        <v>7.24</v>
      </c>
      <c r="BF112" s="19">
        <v>8.52</v>
      </c>
      <c r="BG112" s="19">
        <v>7.69</v>
      </c>
      <c r="BH112" s="19">
        <v>7.88</v>
      </c>
      <c r="BI112" s="20">
        <f t="shared" si="1"/>
        <v>8.1125000000000007</v>
      </c>
    </row>
    <row r="113" spans="1:61" x14ac:dyDescent="0.25">
      <c r="A113">
        <v>6.0478999999999998E-2</v>
      </c>
      <c r="B113">
        <v>23</v>
      </c>
      <c r="C113" t="s">
        <v>309</v>
      </c>
      <c r="D113">
        <v>1980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0.16778999999999999</v>
      </c>
      <c r="AM113">
        <v>0.20061999999999999</v>
      </c>
      <c r="AN113">
        <v>0.53391999999999995</v>
      </c>
      <c r="AO113">
        <v>0.36625340000000001</v>
      </c>
      <c r="AP113">
        <v>2.9903300000000001E-2</v>
      </c>
      <c r="AQ113">
        <v>3.2242399999999997E-2</v>
      </c>
      <c r="AR113">
        <v>0.36907220000000002</v>
      </c>
      <c r="AS113">
        <v>1.3623369999999999</v>
      </c>
      <c r="AT113">
        <v>1.8435999999999999</v>
      </c>
      <c r="AU113">
        <v>1.7395700000000001</v>
      </c>
      <c r="AV113">
        <v>3.7574799999999998E-2</v>
      </c>
      <c r="AW113">
        <v>2174.84</v>
      </c>
      <c r="AX113">
        <v>0.2336</v>
      </c>
      <c r="AY113">
        <v>4.38</v>
      </c>
      <c r="BA113">
        <v>0.99997199999999997</v>
      </c>
      <c r="BB113">
        <v>64.2</v>
      </c>
      <c r="BC113" s="19">
        <v>7.03</v>
      </c>
      <c r="BD113" s="19">
        <v>7.69</v>
      </c>
      <c r="BE113" s="19">
        <v>6.61</v>
      </c>
      <c r="BF113" s="19">
        <v>9.26</v>
      </c>
      <c r="BG113" s="19">
        <v>7.87</v>
      </c>
      <c r="BH113" s="19">
        <v>7.63</v>
      </c>
      <c r="BI113" s="20">
        <f t="shared" si="1"/>
        <v>7.8575000000000008</v>
      </c>
    </row>
    <row r="114" spans="1:61" x14ac:dyDescent="0.25">
      <c r="A114">
        <v>4.3649899999999998E-2</v>
      </c>
      <c r="B114">
        <v>23</v>
      </c>
      <c r="C114" t="s">
        <v>309</v>
      </c>
      <c r="D114">
        <v>1985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0</v>
      </c>
      <c r="AK114">
        <v>0</v>
      </c>
      <c r="AL114">
        <v>0.184948</v>
      </c>
      <c r="AM114">
        <v>0.24090780000000001</v>
      </c>
      <c r="AN114">
        <v>0.62019999999999997</v>
      </c>
      <c r="AO114">
        <v>0.4570554</v>
      </c>
      <c r="AP114">
        <v>-3.3703400000000001E-2</v>
      </c>
      <c r="AQ114">
        <v>2.3348500000000001E-2</v>
      </c>
      <c r="AR114">
        <v>0.31831730000000003</v>
      </c>
      <c r="AS114">
        <v>1.3397049999999999</v>
      </c>
      <c r="AT114">
        <v>1.6532</v>
      </c>
      <c r="AU114">
        <v>1.69225</v>
      </c>
      <c r="AV114">
        <v>3.2699699999999998E-2</v>
      </c>
      <c r="AW114">
        <v>2404.6</v>
      </c>
      <c r="AX114">
        <v>0.21079999999999999</v>
      </c>
      <c r="AY114">
        <v>3.69</v>
      </c>
      <c r="BA114">
        <v>1</v>
      </c>
      <c r="BB114">
        <v>76.930000000000007</v>
      </c>
      <c r="BC114" s="19">
        <v>6.98</v>
      </c>
      <c r="BD114" s="19">
        <v>9.48</v>
      </c>
      <c r="BE114" s="19">
        <v>6.41</v>
      </c>
      <c r="BF114" s="19">
        <v>9.2899999999999991</v>
      </c>
      <c r="BG114" s="19">
        <v>7.91</v>
      </c>
      <c r="BH114" s="19">
        <v>7.92</v>
      </c>
      <c r="BI114" s="20">
        <f t="shared" si="1"/>
        <v>8.2725000000000009</v>
      </c>
    </row>
    <row r="115" spans="1:61" x14ac:dyDescent="0.25">
      <c r="A115">
        <v>6.19421E-2</v>
      </c>
      <c r="B115">
        <v>23</v>
      </c>
      <c r="C115" t="s">
        <v>309</v>
      </c>
      <c r="D115">
        <v>1990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</v>
      </c>
      <c r="AK115">
        <v>0</v>
      </c>
      <c r="AL115">
        <v>0.150176</v>
      </c>
      <c r="AM115">
        <v>0.26724330000000002</v>
      </c>
      <c r="AN115">
        <v>0.73319999999999996</v>
      </c>
      <c r="AO115">
        <v>0.32607940000000002</v>
      </c>
      <c r="AP115">
        <v>4.0488400000000001E-2</v>
      </c>
      <c r="AQ115">
        <v>2.3348500000000001E-2</v>
      </c>
      <c r="AR115">
        <v>0.29609340000000001</v>
      </c>
      <c r="AS115">
        <v>1.406434</v>
      </c>
      <c r="AT115">
        <v>1.7258</v>
      </c>
      <c r="AU115">
        <v>1.5886530000000001</v>
      </c>
      <c r="AV115">
        <v>1.3018099999999999E-2</v>
      </c>
      <c r="AW115">
        <v>2605</v>
      </c>
      <c r="AX115">
        <v>0.26600000000000001</v>
      </c>
      <c r="AY115">
        <v>4.5</v>
      </c>
      <c r="BA115">
        <v>1</v>
      </c>
      <c r="BB115">
        <v>76.48</v>
      </c>
      <c r="BC115" s="19">
        <v>7.09</v>
      </c>
      <c r="BD115" s="19">
        <v>8.4499999999999993</v>
      </c>
      <c r="BE115" s="19">
        <v>8.41</v>
      </c>
      <c r="BF115" s="19">
        <v>9.6999999999999993</v>
      </c>
      <c r="BG115" s="19">
        <v>7.92</v>
      </c>
      <c r="BH115" s="19">
        <v>8.27</v>
      </c>
      <c r="BI115" s="20">
        <f t="shared" si="1"/>
        <v>8.6199999999999992</v>
      </c>
    </row>
    <row r="116" spans="1:61" x14ac:dyDescent="0.25">
      <c r="A116">
        <v>6.37215E-2</v>
      </c>
      <c r="B116">
        <v>23</v>
      </c>
      <c r="C116" t="s">
        <v>309</v>
      </c>
      <c r="D116">
        <v>1995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0.16925200000000001</v>
      </c>
      <c r="AM116">
        <v>0.1754645</v>
      </c>
      <c r="AN116">
        <v>0.90283000000000002</v>
      </c>
      <c r="AO116">
        <v>0.34168979999999999</v>
      </c>
      <c r="AP116">
        <v>3.9812300000000002E-2</v>
      </c>
      <c r="AQ116">
        <v>1.7262199999999998E-2</v>
      </c>
      <c r="AR116">
        <v>0.2921627</v>
      </c>
      <c r="AS116">
        <v>1.3279540000000001</v>
      </c>
      <c r="AT116">
        <v>1.7536</v>
      </c>
      <c r="AU116">
        <v>1.4654480000000001</v>
      </c>
      <c r="AV116">
        <v>2.4791899999999999E-2</v>
      </c>
      <c r="AW116">
        <v>2874.3</v>
      </c>
      <c r="AX116">
        <v>0.2132</v>
      </c>
      <c r="AY116">
        <v>5.47</v>
      </c>
      <c r="BA116">
        <v>1.0001</v>
      </c>
      <c r="BB116">
        <v>81.66</v>
      </c>
      <c r="BC116" s="19">
        <v>8.2200000000000006</v>
      </c>
      <c r="BD116" s="19">
        <v>8.4499999999999993</v>
      </c>
      <c r="BE116" s="19">
        <v>9.26</v>
      </c>
      <c r="BF116" s="19">
        <v>9.7100000000000009</v>
      </c>
      <c r="BG116" s="19">
        <v>7.89</v>
      </c>
      <c r="BH116" s="19">
        <v>8.69</v>
      </c>
      <c r="BI116" s="20">
        <f t="shared" si="1"/>
        <v>8.8275000000000006</v>
      </c>
    </row>
    <row r="117" spans="1:61" x14ac:dyDescent="0.25">
      <c r="A117">
        <v>4.3228700000000002E-2</v>
      </c>
      <c r="B117">
        <v>24</v>
      </c>
      <c r="C117" t="s">
        <v>310</v>
      </c>
      <c r="D117">
        <v>1975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0.183</v>
      </c>
      <c r="AM117">
        <v>0.22880139999999999</v>
      </c>
      <c r="AN117">
        <v>0.67</v>
      </c>
      <c r="AO117">
        <v>0.23</v>
      </c>
      <c r="AP117">
        <v>4.6406900000000001E-2</v>
      </c>
      <c r="AQ117">
        <v>8.6575000000000003E-3</v>
      </c>
      <c r="AR117">
        <v>0.37733499999999998</v>
      </c>
      <c r="AS117">
        <v>0.14244770000000001</v>
      </c>
      <c r="AT117">
        <v>2.8355999999999999</v>
      </c>
      <c r="AU117">
        <v>0.1592363</v>
      </c>
      <c r="AV117">
        <v>0.1210878</v>
      </c>
      <c r="AW117">
        <v>34822</v>
      </c>
      <c r="AX117">
        <v>0.27</v>
      </c>
      <c r="AY117">
        <v>4.78</v>
      </c>
      <c r="AZ117">
        <v>3.2531999999999998E-2</v>
      </c>
      <c r="BA117">
        <v>0.68159999999999998</v>
      </c>
      <c r="BB117">
        <v>48.25</v>
      </c>
      <c r="BC117" s="19">
        <v>6.66</v>
      </c>
      <c r="BD117" s="19">
        <v>8.1199999999999992</v>
      </c>
      <c r="BE117" s="19">
        <v>6.86</v>
      </c>
      <c r="BF117" s="19">
        <v>5.87</v>
      </c>
      <c r="BG117" s="19">
        <v>5.45</v>
      </c>
      <c r="BH117" s="19">
        <v>6.55</v>
      </c>
      <c r="BI117" s="20">
        <f t="shared" si="1"/>
        <v>6.5750000000000002</v>
      </c>
    </row>
    <row r="118" spans="1:61" x14ac:dyDescent="0.25">
      <c r="A118">
        <v>8.5661000000000001E-3</v>
      </c>
      <c r="B118">
        <v>24</v>
      </c>
      <c r="C118" t="s">
        <v>310</v>
      </c>
      <c r="D118">
        <v>1980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0.22220000000000001</v>
      </c>
      <c r="AM118">
        <v>0.28569119999999998</v>
      </c>
      <c r="AN118">
        <v>0.75</v>
      </c>
      <c r="AO118">
        <v>0.20100000000000001</v>
      </c>
      <c r="AP118">
        <v>-9.3793000000000001E-3</v>
      </c>
      <c r="AQ118">
        <v>6.4079999999999996E-4</v>
      </c>
      <c r="AR118">
        <v>0.37634800000000002</v>
      </c>
      <c r="AS118">
        <v>0.14807980000000001</v>
      </c>
      <c r="AT118">
        <v>2.5034000000000001</v>
      </c>
      <c r="AU118">
        <v>0.16358500000000001</v>
      </c>
      <c r="AV118">
        <v>0.186636</v>
      </c>
      <c r="AW118">
        <v>36715.199999999997</v>
      </c>
      <c r="AX118">
        <v>0.22800000000000001</v>
      </c>
      <c r="AY118">
        <v>4.5599999999999996</v>
      </c>
      <c r="AZ118">
        <v>7.3623999999999995E-2</v>
      </c>
      <c r="BA118">
        <v>0.71519999999999995</v>
      </c>
      <c r="BB118">
        <v>49.49</v>
      </c>
      <c r="BC118" s="19">
        <v>6.31</v>
      </c>
      <c r="BD118" s="19">
        <v>5.81</v>
      </c>
      <c r="BE118" s="19">
        <v>5.51</v>
      </c>
      <c r="BF118" s="19">
        <v>6.05</v>
      </c>
      <c r="BG118" s="19">
        <v>5.69</v>
      </c>
      <c r="BH118" s="19">
        <v>5.87</v>
      </c>
      <c r="BI118" s="20">
        <f t="shared" si="1"/>
        <v>5.7650000000000006</v>
      </c>
    </row>
    <row r="119" spans="1:61" x14ac:dyDescent="0.25">
      <c r="A119">
        <v>1.0367899999999999E-2</v>
      </c>
      <c r="B119">
        <v>24</v>
      </c>
      <c r="C119" t="s">
        <v>310</v>
      </c>
      <c r="D119">
        <v>1985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</v>
      </c>
      <c r="AJ119">
        <v>0</v>
      </c>
      <c r="AK119">
        <v>0</v>
      </c>
      <c r="AL119">
        <v>0.2722</v>
      </c>
      <c r="AM119">
        <v>0.3666799</v>
      </c>
      <c r="AN119">
        <v>0.69</v>
      </c>
      <c r="AO119">
        <v>0.2036</v>
      </c>
      <c r="AP119">
        <v>3.3626099999999999E-2</v>
      </c>
      <c r="AQ119">
        <v>7.6220999999999997E-3</v>
      </c>
      <c r="AR119">
        <v>0.37243890000000002</v>
      </c>
      <c r="AS119">
        <v>0.20533270000000001</v>
      </c>
      <c r="AT119">
        <v>1.8218000000000001</v>
      </c>
      <c r="AU119">
        <v>0.20699039999999999</v>
      </c>
      <c r="AV119">
        <v>0.12225759999999999</v>
      </c>
      <c r="AW119">
        <v>38097.199999999997</v>
      </c>
      <c r="AX119">
        <v>0.2</v>
      </c>
      <c r="AY119">
        <v>5.38</v>
      </c>
      <c r="AZ119">
        <v>0.18107599999999999</v>
      </c>
      <c r="BA119">
        <v>0.73640000000000005</v>
      </c>
      <c r="BB119">
        <v>53.52</v>
      </c>
      <c r="BC119" s="19">
        <v>4.68</v>
      </c>
      <c r="BD119" s="19">
        <v>7.26</v>
      </c>
      <c r="BE119" s="19">
        <v>5.87</v>
      </c>
      <c r="BF119" s="19">
        <v>6.95</v>
      </c>
      <c r="BG119" s="19">
        <v>5.58</v>
      </c>
      <c r="BH119" s="19">
        <v>6.04</v>
      </c>
      <c r="BI119" s="20">
        <f t="shared" si="1"/>
        <v>6.4149999999999991</v>
      </c>
    </row>
    <row r="120" spans="1:61" x14ac:dyDescent="0.25">
      <c r="A120">
        <v>4.2060100000000003E-2</v>
      </c>
      <c r="B120">
        <v>24</v>
      </c>
      <c r="C120" t="s">
        <v>310</v>
      </c>
      <c r="D120">
        <v>1990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0</v>
      </c>
      <c r="AL120">
        <v>0.32979999999999998</v>
      </c>
      <c r="AM120">
        <v>0.40104970000000001</v>
      </c>
      <c r="AN120">
        <v>0.67</v>
      </c>
      <c r="AO120">
        <v>0.223</v>
      </c>
      <c r="AP120">
        <v>7.3267999999999996E-3</v>
      </c>
      <c r="AQ120">
        <v>1.65094E-2</v>
      </c>
      <c r="AR120">
        <v>0.35086440000000002</v>
      </c>
      <c r="AS120">
        <v>0.18644849999999999</v>
      </c>
      <c r="AT120">
        <v>1.4359999999999999</v>
      </c>
      <c r="AU120">
        <v>0.1973821</v>
      </c>
      <c r="AV120">
        <v>6.47644E-2</v>
      </c>
      <c r="AW120">
        <v>38684.6</v>
      </c>
      <c r="AX120">
        <v>0.21879999999999999</v>
      </c>
      <c r="AY120">
        <v>5.58</v>
      </c>
      <c r="AZ120">
        <v>0.18914</v>
      </c>
      <c r="BA120">
        <v>0.74919999999999998</v>
      </c>
      <c r="BB120">
        <v>59.34</v>
      </c>
      <c r="BC120" s="19">
        <v>4.2</v>
      </c>
      <c r="BD120" s="19">
        <v>7.35</v>
      </c>
      <c r="BE120" s="19">
        <v>6.49</v>
      </c>
      <c r="BF120" s="19">
        <v>7.13</v>
      </c>
      <c r="BG120" s="19">
        <v>5.79</v>
      </c>
      <c r="BH120" s="19">
        <v>6.16</v>
      </c>
      <c r="BI120" s="20">
        <f t="shared" si="1"/>
        <v>6.6899999999999995</v>
      </c>
    </row>
    <row r="121" spans="1:61" x14ac:dyDescent="0.25">
      <c r="A121">
        <v>1.15546E-2</v>
      </c>
      <c r="B121">
        <v>24</v>
      </c>
      <c r="C121" t="s">
        <v>310</v>
      </c>
      <c r="D121">
        <v>1995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0.34899999999999998</v>
      </c>
      <c r="AM121">
        <v>0.4551808</v>
      </c>
      <c r="AN121">
        <v>0.74</v>
      </c>
      <c r="AO121">
        <v>0.2114</v>
      </c>
      <c r="AP121">
        <v>2.2937599999999999E-2</v>
      </c>
      <c r="AQ121">
        <v>6.9086E-3</v>
      </c>
      <c r="AR121">
        <v>0.33105879999999999</v>
      </c>
      <c r="AS121">
        <v>0.20009669999999999</v>
      </c>
      <c r="AT121">
        <v>1.254</v>
      </c>
      <c r="AU121">
        <v>0.21238570000000001</v>
      </c>
      <c r="AV121">
        <v>5.2261799999999997E-2</v>
      </c>
      <c r="AW121">
        <v>39069.4</v>
      </c>
      <c r="AX121">
        <v>0.19819999999999999</v>
      </c>
      <c r="AY121">
        <v>6.25</v>
      </c>
      <c r="AZ121">
        <v>0.20980799999999999</v>
      </c>
      <c r="BA121">
        <v>0.76060000000000005</v>
      </c>
      <c r="BB121">
        <v>67.900000000000006</v>
      </c>
      <c r="BC121" s="19">
        <v>4.67</v>
      </c>
      <c r="BD121" s="19">
        <v>8.19</v>
      </c>
      <c r="BE121" s="19">
        <v>6.14</v>
      </c>
      <c r="BF121" s="19">
        <v>7.57</v>
      </c>
      <c r="BG121" s="19">
        <v>5.96</v>
      </c>
      <c r="BH121" s="19">
        <v>6.46</v>
      </c>
      <c r="BI121" s="20">
        <f t="shared" si="1"/>
        <v>6.9649999999999999</v>
      </c>
    </row>
    <row r="122" spans="1:61" x14ac:dyDescent="0.25">
      <c r="A122">
        <v>2.2090700000000001E-2</v>
      </c>
      <c r="B122">
        <v>25</v>
      </c>
      <c r="C122" s="23" t="s">
        <v>311</v>
      </c>
      <c r="D122">
        <v>1975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0.41899999999999998</v>
      </c>
      <c r="AM122">
        <v>0.4588044</v>
      </c>
      <c r="AN122">
        <v>1.1499999999999999</v>
      </c>
      <c r="AO122">
        <v>0.21759999999999999</v>
      </c>
      <c r="AP122">
        <v>-5.2703999999999997E-3</v>
      </c>
      <c r="AQ122">
        <v>1.08632E-2</v>
      </c>
      <c r="AR122">
        <v>0.34510760000000001</v>
      </c>
      <c r="AS122">
        <v>0.26942319999999997</v>
      </c>
      <c r="AT122">
        <v>1.8904000000000001</v>
      </c>
      <c r="AU122">
        <v>0.26073279999999999</v>
      </c>
      <c r="AV122">
        <v>7.9824400000000004E-2</v>
      </c>
      <c r="AW122">
        <v>8142.2</v>
      </c>
      <c r="AX122">
        <v>0.23474999999999999</v>
      </c>
      <c r="AY122">
        <v>7.47</v>
      </c>
      <c r="AZ122">
        <v>2.2622E-2</v>
      </c>
      <c r="BA122">
        <v>0.8206</v>
      </c>
      <c r="BB122">
        <v>61.36</v>
      </c>
      <c r="BC122" s="19">
        <v>1.89</v>
      </c>
      <c r="BD122" s="19">
        <v>7.61</v>
      </c>
      <c r="BE122" s="19">
        <v>6.48</v>
      </c>
      <c r="BF122" s="19">
        <v>6.29</v>
      </c>
      <c r="BG122" s="19">
        <v>6.66</v>
      </c>
      <c r="BH122" s="19">
        <v>5.75</v>
      </c>
      <c r="BI122" s="20">
        <f t="shared" si="1"/>
        <v>6.76</v>
      </c>
    </row>
    <row r="123" spans="1:61" x14ac:dyDescent="0.25">
      <c r="A123">
        <v>1.0378099999999999E-2</v>
      </c>
      <c r="B123">
        <v>25</v>
      </c>
      <c r="C123" s="23" t="s">
        <v>311</v>
      </c>
      <c r="D123">
        <v>1980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0.49120000000000003</v>
      </c>
      <c r="AM123">
        <v>0.57749499999999998</v>
      </c>
      <c r="AN123">
        <v>1.17</v>
      </c>
      <c r="AO123">
        <v>0.20380000000000001</v>
      </c>
      <c r="AP123">
        <v>2.44751E-2</v>
      </c>
      <c r="AQ123">
        <v>8.9998999999999999E-3</v>
      </c>
      <c r="AR123">
        <v>0.35790309999999997</v>
      </c>
      <c r="AS123">
        <v>0.28363460000000001</v>
      </c>
      <c r="AT123">
        <v>1.6541999999999999</v>
      </c>
      <c r="AU123">
        <v>0.2941106</v>
      </c>
      <c r="AV123">
        <v>0.10518719999999999</v>
      </c>
      <c r="AW123">
        <v>8270.7999999999993</v>
      </c>
      <c r="AX123">
        <v>0.185</v>
      </c>
      <c r="AY123">
        <v>8.43</v>
      </c>
      <c r="AZ123">
        <v>1.9286000000000001E-2</v>
      </c>
      <c r="BA123">
        <v>0.82940000000000003</v>
      </c>
      <c r="BB123">
        <v>67.34</v>
      </c>
      <c r="BC123" s="19">
        <v>2.69</v>
      </c>
      <c r="BD123" s="19">
        <v>5.2</v>
      </c>
      <c r="BE123" s="19">
        <v>7.38</v>
      </c>
      <c r="BF123" s="19">
        <v>6.8</v>
      </c>
      <c r="BG123" s="19">
        <v>5.9</v>
      </c>
      <c r="BH123" s="19">
        <v>5.62</v>
      </c>
      <c r="BI123" s="20">
        <f t="shared" si="1"/>
        <v>6.32</v>
      </c>
    </row>
    <row r="124" spans="1:61" x14ac:dyDescent="0.25">
      <c r="A124">
        <v>1.6392500000000001E-2</v>
      </c>
      <c r="B124">
        <v>25</v>
      </c>
      <c r="C124" s="23" t="s">
        <v>311</v>
      </c>
      <c r="D124">
        <v>1985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0</v>
      </c>
      <c r="AL124">
        <v>0.497</v>
      </c>
      <c r="AM124">
        <v>0.64603940000000004</v>
      </c>
      <c r="AN124">
        <v>1.0900000000000001</v>
      </c>
      <c r="AO124">
        <v>0.18920000000000001</v>
      </c>
      <c r="AP124">
        <v>2.3106499999999999E-2</v>
      </c>
      <c r="AQ124">
        <v>2.1974999999999998E-3</v>
      </c>
      <c r="AR124">
        <v>0.35882069999999999</v>
      </c>
      <c r="AS124">
        <v>0.33864929999999999</v>
      </c>
      <c r="AT124">
        <v>1.665</v>
      </c>
      <c r="AU124">
        <v>0.325212</v>
      </c>
      <c r="AV124">
        <v>9.0107800000000002E-2</v>
      </c>
      <c r="AW124">
        <v>8332.6</v>
      </c>
      <c r="AX124">
        <v>0.16259999999999999</v>
      </c>
      <c r="AY124">
        <v>9.4499999999999993</v>
      </c>
      <c r="AZ124">
        <v>3.0055999999999999E-2</v>
      </c>
      <c r="BA124">
        <v>0.83099999999999996</v>
      </c>
      <c r="BB124">
        <v>70.959999999999994</v>
      </c>
      <c r="BC124" s="19">
        <v>2.13</v>
      </c>
      <c r="BD124" s="19">
        <v>7.78</v>
      </c>
      <c r="BE124" s="19">
        <v>7.58</v>
      </c>
      <c r="BF124" s="19">
        <v>6.71</v>
      </c>
      <c r="BG124" s="19">
        <v>6.21</v>
      </c>
      <c r="BH124" s="19">
        <v>6.05</v>
      </c>
      <c r="BI124" s="20">
        <f t="shared" si="1"/>
        <v>7.07</v>
      </c>
    </row>
    <row r="125" spans="1:61" x14ac:dyDescent="0.25">
      <c r="A125">
        <v>1.7635999999999999E-2</v>
      </c>
      <c r="B125">
        <v>25</v>
      </c>
      <c r="C125" s="23" t="s">
        <v>311</v>
      </c>
      <c r="D125">
        <v>1990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0</v>
      </c>
      <c r="AL125">
        <v>0.54759999999999998</v>
      </c>
      <c r="AM125">
        <v>0.61058690000000004</v>
      </c>
      <c r="AN125">
        <v>1.0900000000000001</v>
      </c>
      <c r="AO125">
        <v>0.20300000000000001</v>
      </c>
      <c r="AP125">
        <v>-1.2731000000000001E-3</v>
      </c>
      <c r="AQ125">
        <v>8.5869999999999991E-3</v>
      </c>
      <c r="AR125">
        <v>0.35389219999999999</v>
      </c>
      <c r="AS125">
        <v>0.31903340000000002</v>
      </c>
      <c r="AT125">
        <v>1.9630000000000001</v>
      </c>
      <c r="AU125">
        <v>0.30381720000000001</v>
      </c>
      <c r="AV125">
        <v>6.2316799999999999E-2</v>
      </c>
      <c r="AW125">
        <v>8451.4</v>
      </c>
      <c r="AX125">
        <v>0.184</v>
      </c>
      <c r="AY125">
        <v>9.39</v>
      </c>
      <c r="AZ125">
        <v>1.9E-2</v>
      </c>
      <c r="BA125">
        <v>0.83099999999999996</v>
      </c>
      <c r="BB125">
        <v>77.05</v>
      </c>
      <c r="BC125" s="19">
        <v>2.61</v>
      </c>
      <c r="BD125" s="19">
        <v>8.7200000000000006</v>
      </c>
      <c r="BE125" s="19">
        <v>8.02</v>
      </c>
      <c r="BF125" s="19">
        <v>7.63</v>
      </c>
      <c r="BG125" s="19">
        <v>6.32</v>
      </c>
      <c r="BH125" s="19">
        <v>6.63</v>
      </c>
      <c r="BI125" s="20">
        <f t="shared" si="1"/>
        <v>7.6725000000000003</v>
      </c>
    </row>
    <row r="126" spans="1:61" x14ac:dyDescent="0.25">
      <c r="A126">
        <v>-1.3083000000000001E-3</v>
      </c>
      <c r="B126">
        <v>25</v>
      </c>
      <c r="C126" s="23" t="s">
        <v>311</v>
      </c>
      <c r="D126">
        <v>1995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</v>
      </c>
      <c r="AL126">
        <v>0.51060000000000005</v>
      </c>
      <c r="AM126">
        <v>0.67438290000000001</v>
      </c>
      <c r="AN126">
        <v>1.06</v>
      </c>
      <c r="AO126">
        <v>0.15759999999999999</v>
      </c>
      <c r="AP126">
        <v>1.9096E-3</v>
      </c>
      <c r="AQ126">
        <v>-1.06125E-2</v>
      </c>
      <c r="AR126">
        <v>0.3570043</v>
      </c>
      <c r="AS126">
        <v>0.3313875</v>
      </c>
      <c r="AT126">
        <v>1.964</v>
      </c>
      <c r="AU126">
        <v>0.30105110000000002</v>
      </c>
      <c r="AV126">
        <v>4.2561399999999999E-2</v>
      </c>
      <c r="AW126">
        <v>8722.94</v>
      </c>
      <c r="AX126">
        <v>0.1426</v>
      </c>
      <c r="AY126">
        <v>9.48</v>
      </c>
      <c r="AZ126">
        <v>6.4257999999999996E-2</v>
      </c>
      <c r="BA126">
        <v>0.83098799999999995</v>
      </c>
      <c r="BB126">
        <v>80.33</v>
      </c>
      <c r="BC126" s="19">
        <v>2.37</v>
      </c>
      <c r="BD126" s="19">
        <v>9.83</v>
      </c>
      <c r="BE126" s="19">
        <v>7.84</v>
      </c>
      <c r="BF126" s="19">
        <v>8.43</v>
      </c>
      <c r="BG126" s="19">
        <v>6.41</v>
      </c>
      <c r="BH126" s="19">
        <v>6.93</v>
      </c>
      <c r="BI126" s="20">
        <f t="shared" si="1"/>
        <v>8.1275000000000013</v>
      </c>
    </row>
    <row r="127" spans="1:61" x14ac:dyDescent="0.25">
      <c r="A127">
        <v>3.7461E-3</v>
      </c>
      <c r="B127">
        <v>26</v>
      </c>
      <c r="C127" t="s">
        <v>312</v>
      </c>
      <c r="D127">
        <v>1975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0.26119999999999999</v>
      </c>
      <c r="AM127">
        <v>0.33683400000000002</v>
      </c>
      <c r="AN127">
        <v>1.54</v>
      </c>
      <c r="AO127">
        <v>0.27979999999999999</v>
      </c>
      <c r="AP127">
        <v>-7.6864000000000004E-3</v>
      </c>
      <c r="AQ127">
        <v>-9.7599999999999998E-4</v>
      </c>
      <c r="AR127">
        <v>0.35145999999999999</v>
      </c>
      <c r="AS127">
        <v>0.3133013</v>
      </c>
      <c r="AT127">
        <v>1.8216000000000001</v>
      </c>
      <c r="AU127">
        <v>0.31856709999999999</v>
      </c>
      <c r="AV127">
        <v>7.6735800000000007E-2</v>
      </c>
      <c r="AW127">
        <v>6397.6</v>
      </c>
      <c r="AX127">
        <v>0.30075000000000002</v>
      </c>
      <c r="AY127">
        <v>6.61</v>
      </c>
      <c r="AZ127">
        <v>6.8199999999999999E-4</v>
      </c>
      <c r="BA127">
        <v>0.55279999999999996</v>
      </c>
      <c r="BB127">
        <v>64.290000000000006</v>
      </c>
      <c r="BC127" s="19">
        <v>7.19</v>
      </c>
      <c r="BD127" s="19">
        <v>9.8699999999999992</v>
      </c>
      <c r="BE127" s="19">
        <v>9.6</v>
      </c>
      <c r="BF127" s="19">
        <v>6.74</v>
      </c>
      <c r="BG127" s="19">
        <v>6.77</v>
      </c>
      <c r="BH127" s="19">
        <v>8.02</v>
      </c>
      <c r="BI127" s="20">
        <f t="shared" si="1"/>
        <v>8.245000000000001</v>
      </c>
    </row>
    <row r="128" spans="1:61" x14ac:dyDescent="0.25">
      <c r="A128">
        <v>1.7460799999999999E-2</v>
      </c>
      <c r="B128">
        <v>26</v>
      </c>
      <c r="C128" t="s">
        <v>312</v>
      </c>
      <c r="D128">
        <v>1980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0.31280000000000002</v>
      </c>
      <c r="AM128">
        <v>0.38425140000000002</v>
      </c>
      <c r="AN128">
        <v>1.43</v>
      </c>
      <c r="AO128">
        <v>0.21659999999999999</v>
      </c>
      <c r="AP128">
        <v>3.3064000000000001E-3</v>
      </c>
      <c r="AQ128">
        <v>3.4903E-3</v>
      </c>
      <c r="AR128">
        <v>0.35000779999999998</v>
      </c>
      <c r="AS128">
        <v>0.3548405</v>
      </c>
      <c r="AT128">
        <v>1.52</v>
      </c>
      <c r="AU128">
        <v>0.34628110000000001</v>
      </c>
      <c r="AV128">
        <v>2.3411999999999999E-2</v>
      </c>
      <c r="AW128">
        <v>6336</v>
      </c>
      <c r="AX128">
        <v>0.2656</v>
      </c>
      <c r="AY128">
        <v>6.72</v>
      </c>
      <c r="AZ128">
        <v>3.8939999999999999E-3</v>
      </c>
      <c r="BA128">
        <v>0.56520000000000004</v>
      </c>
      <c r="BB128">
        <v>64.42</v>
      </c>
      <c r="BC128" s="19">
        <v>6.93</v>
      </c>
      <c r="BD128" s="19">
        <v>9.8699999999999992</v>
      </c>
      <c r="BE128" s="19">
        <v>9.36</v>
      </c>
      <c r="BF128" s="19">
        <v>6.13</v>
      </c>
      <c r="BG128" s="19">
        <v>6.79</v>
      </c>
      <c r="BH128" s="19">
        <v>7.79</v>
      </c>
      <c r="BI128" s="20">
        <f t="shared" si="1"/>
        <v>8.0374999999999996</v>
      </c>
    </row>
    <row r="129" spans="1:61" x14ac:dyDescent="0.25">
      <c r="A129">
        <v>9.3641000000000002E-3</v>
      </c>
      <c r="B129">
        <v>26</v>
      </c>
      <c r="C129" t="s">
        <v>312</v>
      </c>
      <c r="D129">
        <v>1985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1</v>
      </c>
      <c r="AJ129">
        <v>0</v>
      </c>
      <c r="AK129">
        <v>0</v>
      </c>
      <c r="AL129">
        <v>0.315</v>
      </c>
      <c r="AM129">
        <v>0.38922909999999999</v>
      </c>
      <c r="AN129">
        <v>1.38</v>
      </c>
      <c r="AO129">
        <v>0.2356</v>
      </c>
      <c r="AP129">
        <v>6.7143300000000003E-2</v>
      </c>
      <c r="AQ129">
        <v>1.3051500000000001E-2</v>
      </c>
      <c r="AR129">
        <v>0.33586009999999999</v>
      </c>
      <c r="AS129">
        <v>0.36982690000000001</v>
      </c>
      <c r="AT129">
        <v>1.5225</v>
      </c>
      <c r="AU129">
        <v>0.37071100000000001</v>
      </c>
      <c r="AV129">
        <v>4.2929799999999997E-2</v>
      </c>
      <c r="AW129">
        <v>6415.2</v>
      </c>
      <c r="AX129">
        <v>0.28439999999999999</v>
      </c>
      <c r="AY129">
        <v>9.3000000000000007</v>
      </c>
      <c r="AZ129">
        <v>6.7860000000000004E-3</v>
      </c>
      <c r="BA129">
        <v>0.57779999999999998</v>
      </c>
      <c r="BB129">
        <v>75.44</v>
      </c>
      <c r="BC129" s="19">
        <v>6.96</v>
      </c>
      <c r="BD129" s="19">
        <v>9.6199999999999992</v>
      </c>
      <c r="BE129" s="19">
        <v>9.5</v>
      </c>
      <c r="BF129" s="19">
        <v>8.1</v>
      </c>
      <c r="BG129" s="19">
        <v>6.71</v>
      </c>
      <c r="BH129" s="19">
        <v>8.19</v>
      </c>
      <c r="BI129" s="20">
        <f t="shared" si="1"/>
        <v>8.4824999999999999</v>
      </c>
    </row>
    <row r="130" spans="1:61" x14ac:dyDescent="0.25">
      <c r="A130">
        <v>1.8982499999999999E-2</v>
      </c>
      <c r="B130">
        <v>26</v>
      </c>
      <c r="C130" t="s">
        <v>312</v>
      </c>
      <c r="D130">
        <v>1990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</v>
      </c>
      <c r="AK130">
        <v>0</v>
      </c>
      <c r="AL130">
        <v>0.3206</v>
      </c>
      <c r="AM130">
        <v>0.39051750000000002</v>
      </c>
      <c r="AN130">
        <v>1.33</v>
      </c>
      <c r="AO130">
        <v>0.2626</v>
      </c>
      <c r="AP130">
        <v>-6.7574000000000002E-3</v>
      </c>
      <c r="AQ130">
        <v>2.5500200000000001E-2</v>
      </c>
      <c r="AR130">
        <v>0.31641419999999998</v>
      </c>
      <c r="AS130">
        <v>0.36674370000000001</v>
      </c>
      <c r="AT130">
        <v>1.5580000000000001</v>
      </c>
      <c r="AU130">
        <v>0.36130309999999999</v>
      </c>
      <c r="AV130">
        <v>2.5324699999999999E-2</v>
      </c>
      <c r="AW130">
        <v>6595.4</v>
      </c>
      <c r="AX130">
        <v>0.31640000000000001</v>
      </c>
      <c r="AY130">
        <v>8.99</v>
      </c>
      <c r="AZ130">
        <v>5.9899999999999997E-3</v>
      </c>
      <c r="BA130">
        <v>0.59079999999999999</v>
      </c>
      <c r="BB130">
        <v>79.260000000000005</v>
      </c>
      <c r="BC130" s="19">
        <v>6.89</v>
      </c>
      <c r="BD130" s="19">
        <v>9.8699999999999992</v>
      </c>
      <c r="BE130" s="19">
        <v>9.66</v>
      </c>
      <c r="BF130" s="19">
        <v>8.11</v>
      </c>
      <c r="BG130" s="19">
        <v>7.07</v>
      </c>
      <c r="BH130" s="19">
        <v>8.32</v>
      </c>
      <c r="BI130" s="20">
        <f t="shared" si="1"/>
        <v>8.6775000000000002</v>
      </c>
    </row>
    <row r="131" spans="1:61" x14ac:dyDescent="0.25">
      <c r="A131">
        <v>-8.5351000000000003E-3</v>
      </c>
      <c r="B131">
        <v>26</v>
      </c>
      <c r="C131" t="s">
        <v>312</v>
      </c>
      <c r="D131">
        <v>1995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</v>
      </c>
      <c r="AL131">
        <v>0.3276</v>
      </c>
      <c r="AM131">
        <v>0.45219480000000001</v>
      </c>
      <c r="AN131">
        <v>1.33</v>
      </c>
      <c r="AO131">
        <v>0.2268</v>
      </c>
      <c r="AP131">
        <v>-2.6840000000000002E-3</v>
      </c>
      <c r="AQ131">
        <v>5.7073999999999996E-3</v>
      </c>
      <c r="AR131">
        <v>0.31257449999999998</v>
      </c>
      <c r="AS131">
        <v>0.35946980000000001</v>
      </c>
      <c r="AT131">
        <v>1.526</v>
      </c>
      <c r="AU131">
        <v>0.32273550000000001</v>
      </c>
      <c r="AV131">
        <v>3.2052600000000001E-2</v>
      </c>
      <c r="AW131">
        <v>6929.2</v>
      </c>
      <c r="AX131">
        <v>0.28760000000000002</v>
      </c>
      <c r="AY131">
        <v>8.8699999999999992</v>
      </c>
      <c r="AZ131">
        <v>3.3618000000000002E-2</v>
      </c>
      <c r="BA131">
        <v>0.60321800000000003</v>
      </c>
      <c r="BB131">
        <v>81.92</v>
      </c>
      <c r="BC131" s="19">
        <v>6.82</v>
      </c>
      <c r="BD131" s="19">
        <v>9.8699999999999992</v>
      </c>
      <c r="BE131" s="19">
        <v>9.6999999999999993</v>
      </c>
      <c r="BF131" s="19">
        <v>8.01</v>
      </c>
      <c r="BG131" s="19">
        <v>7.08</v>
      </c>
      <c r="BH131" s="19">
        <v>8.3000000000000007</v>
      </c>
      <c r="BI131" s="20">
        <f t="shared" ref="BI131:BI146" si="2">AVERAGE(BD131:BG131)</f>
        <v>8.6649999999999991</v>
      </c>
    </row>
    <row r="132" spans="1:61" x14ac:dyDescent="0.25">
      <c r="A132">
        <v>6.8440799999999996E-2</v>
      </c>
      <c r="B132">
        <v>27</v>
      </c>
      <c r="C132" t="s">
        <v>313</v>
      </c>
      <c r="D132">
        <v>1975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0.1358772</v>
      </c>
      <c r="AM132">
        <v>0.1963916</v>
      </c>
      <c r="AN132">
        <v>0.24864</v>
      </c>
      <c r="AO132">
        <v>0.26297160000000003</v>
      </c>
      <c r="AP132">
        <v>2.9286300000000001E-2</v>
      </c>
      <c r="AQ132">
        <v>4.0099099999999999E-2</v>
      </c>
      <c r="AR132">
        <v>0.35145999999999999</v>
      </c>
      <c r="AS132">
        <v>0.3133013</v>
      </c>
      <c r="AT132">
        <v>1.8216000000000001</v>
      </c>
      <c r="AU132">
        <v>0.31856709999999999</v>
      </c>
      <c r="AV132">
        <v>7.6735800000000007E-2</v>
      </c>
      <c r="AW132">
        <v>6397.6</v>
      </c>
      <c r="AX132">
        <v>0.30075000000000002</v>
      </c>
      <c r="AY132">
        <v>4.3899999999999997</v>
      </c>
      <c r="BC132" s="19">
        <v>4.8600000000000003</v>
      </c>
      <c r="BD132" s="19">
        <v>8.67</v>
      </c>
      <c r="BE132" s="19">
        <v>9.2899999999999991</v>
      </c>
      <c r="BF132" s="19">
        <v>6.33</v>
      </c>
      <c r="BG132" s="19">
        <v>5.32</v>
      </c>
      <c r="BH132" s="19">
        <v>6.86</v>
      </c>
      <c r="BI132" s="20">
        <f t="shared" si="2"/>
        <v>7.4024999999999999</v>
      </c>
    </row>
    <row r="133" spans="1:61" x14ac:dyDescent="0.25">
      <c r="A133">
        <v>8.4539900000000001E-2</v>
      </c>
      <c r="B133">
        <v>27</v>
      </c>
      <c r="C133" t="s">
        <v>313</v>
      </c>
      <c r="D133">
        <v>1980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0.15505140000000001</v>
      </c>
      <c r="AM133">
        <v>0.22352150000000001</v>
      </c>
      <c r="AN133">
        <v>0.31097999999999998</v>
      </c>
      <c r="AO133">
        <v>0.27555809999999997</v>
      </c>
      <c r="AP133">
        <v>2.8000199999999999E-2</v>
      </c>
      <c r="AQ133">
        <v>3.1928499999999999E-2</v>
      </c>
      <c r="AR133">
        <v>0.35000779999999998</v>
      </c>
      <c r="AS133">
        <v>0.3548405</v>
      </c>
      <c r="AT133">
        <v>1.52</v>
      </c>
      <c r="AU133">
        <v>0.34628110000000001</v>
      </c>
      <c r="AV133">
        <v>2.3411999999999999E-2</v>
      </c>
      <c r="AW133">
        <v>6336</v>
      </c>
      <c r="AX133">
        <v>0.2656</v>
      </c>
      <c r="AY133">
        <v>5.04</v>
      </c>
      <c r="BC133" s="19">
        <v>5.0999999999999996</v>
      </c>
      <c r="BD133" s="19">
        <v>5.94</v>
      </c>
      <c r="BE133" s="19">
        <v>7.07</v>
      </c>
      <c r="BF133" s="19">
        <v>6.86</v>
      </c>
      <c r="BG133" s="19">
        <v>5.45</v>
      </c>
      <c r="BH133" s="19">
        <v>6.06</v>
      </c>
      <c r="BI133" s="20">
        <f t="shared" si="2"/>
        <v>6.33</v>
      </c>
    </row>
    <row r="134" spans="1:61" x14ac:dyDescent="0.25">
      <c r="A134">
        <v>5.0519799999999997E-2</v>
      </c>
      <c r="B134">
        <v>27</v>
      </c>
      <c r="C134" t="s">
        <v>313</v>
      </c>
      <c r="D134">
        <v>1985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1</v>
      </c>
      <c r="AJ134">
        <v>0</v>
      </c>
      <c r="AK134">
        <v>0</v>
      </c>
      <c r="AL134">
        <v>0.14997379999999999</v>
      </c>
      <c r="AM134">
        <v>0.23819670000000001</v>
      </c>
      <c r="AN134">
        <v>0.40179999999999999</v>
      </c>
      <c r="AO134">
        <v>0.23300599999999999</v>
      </c>
      <c r="AP134">
        <v>4.79529E-2</v>
      </c>
      <c r="AQ134">
        <v>2.9091599999999999E-2</v>
      </c>
      <c r="AR134">
        <v>0.33586009999999999</v>
      </c>
      <c r="AS134">
        <v>0.36982690000000001</v>
      </c>
      <c r="AT134">
        <v>1.5225</v>
      </c>
      <c r="AU134">
        <v>0.37071100000000001</v>
      </c>
      <c r="AV134">
        <v>4.2929799999999997E-2</v>
      </c>
      <c r="AW134">
        <v>6415.2</v>
      </c>
      <c r="AX134">
        <v>0.28439999999999999</v>
      </c>
      <c r="AY134">
        <v>6.37</v>
      </c>
      <c r="BC134" s="19">
        <v>4.96</v>
      </c>
      <c r="BD134" s="19">
        <v>8.7899999999999991</v>
      </c>
      <c r="BE134" s="19">
        <v>7.86</v>
      </c>
      <c r="BF134" s="19">
        <v>7.66</v>
      </c>
      <c r="BG134" s="19">
        <v>5.43</v>
      </c>
      <c r="BH134" s="19">
        <v>6.9</v>
      </c>
      <c r="BI134" s="20">
        <f t="shared" si="2"/>
        <v>7.4349999999999996</v>
      </c>
    </row>
    <row r="135" spans="1:61" x14ac:dyDescent="0.25">
      <c r="A135">
        <v>7.9369599999999998E-2</v>
      </c>
      <c r="B135">
        <v>27</v>
      </c>
      <c r="C135" t="s">
        <v>313</v>
      </c>
      <c r="D135">
        <v>1990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1</v>
      </c>
      <c r="AK135">
        <v>0</v>
      </c>
      <c r="AL135">
        <v>0.1485939</v>
      </c>
      <c r="AM135">
        <v>0.24502989999999999</v>
      </c>
      <c r="AN135">
        <v>0.46389000000000002</v>
      </c>
      <c r="AO135">
        <v>0.20535400000000001</v>
      </c>
      <c r="AP135">
        <v>1.52277E-2</v>
      </c>
      <c r="AQ135">
        <v>1.9411899999999999E-2</v>
      </c>
      <c r="AR135">
        <v>0.31641419999999998</v>
      </c>
      <c r="AS135">
        <v>0.36674370000000001</v>
      </c>
      <c r="AT135">
        <v>1.5580000000000001</v>
      </c>
      <c r="AU135">
        <v>0.36130309999999999</v>
      </c>
      <c r="AV135">
        <v>2.5324699999999999E-2</v>
      </c>
      <c r="AW135">
        <v>6595.4</v>
      </c>
      <c r="AX135">
        <v>0.31640000000000001</v>
      </c>
      <c r="AY135">
        <v>6.87</v>
      </c>
      <c r="BC135" s="19">
        <v>4.91</v>
      </c>
      <c r="BD135" s="19">
        <v>8.14</v>
      </c>
      <c r="BE135" s="19">
        <v>9.36</v>
      </c>
      <c r="BF135" s="19">
        <v>7.32</v>
      </c>
      <c r="BG135" s="19">
        <v>6.11</v>
      </c>
      <c r="BH135" s="19">
        <v>7.13</v>
      </c>
      <c r="BI135" s="20">
        <f t="shared" si="2"/>
        <v>7.7324999999999999</v>
      </c>
    </row>
    <row r="136" spans="1:61" x14ac:dyDescent="0.25">
      <c r="A136">
        <v>5.6747699999999998E-2</v>
      </c>
      <c r="B136">
        <v>27</v>
      </c>
      <c r="C136" t="s">
        <v>313</v>
      </c>
      <c r="D136">
        <v>1995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</v>
      </c>
      <c r="AL136">
        <v>0.1658963</v>
      </c>
      <c r="AM136">
        <v>0.30582740000000003</v>
      </c>
      <c r="AN136">
        <v>0.61787000000000003</v>
      </c>
      <c r="AO136">
        <v>0.23004579999999999</v>
      </c>
      <c r="AP136">
        <v>1.6069099999999999E-2</v>
      </c>
      <c r="AQ136">
        <v>1.8025300000000001E-2</v>
      </c>
      <c r="AR136">
        <v>0.31257449999999998</v>
      </c>
      <c r="AS136">
        <v>0.35946980000000001</v>
      </c>
      <c r="AT136">
        <v>1.526</v>
      </c>
      <c r="AU136">
        <v>0.32273550000000001</v>
      </c>
      <c r="AV136">
        <v>3.2052600000000001E-2</v>
      </c>
      <c r="AW136">
        <v>6929.2</v>
      </c>
      <c r="AX136">
        <v>0.28760000000000002</v>
      </c>
      <c r="AY136">
        <v>7.44</v>
      </c>
      <c r="BC136" s="19">
        <v>5.4</v>
      </c>
      <c r="BD136" s="19">
        <v>8.14</v>
      </c>
      <c r="BE136" s="19">
        <v>8.99</v>
      </c>
      <c r="BF136" s="19">
        <v>7.9</v>
      </c>
      <c r="BG136" s="19">
        <v>6.17</v>
      </c>
      <c r="BH136" s="19">
        <v>7.29</v>
      </c>
      <c r="BI136" s="20">
        <f t="shared" si="2"/>
        <v>7.8000000000000007</v>
      </c>
    </row>
    <row r="137" spans="1:61" x14ac:dyDescent="0.25">
      <c r="A137">
        <v>1.9244899999999999E-2</v>
      </c>
      <c r="B137">
        <v>28</v>
      </c>
      <c r="C137" t="s">
        <v>314</v>
      </c>
      <c r="D137">
        <v>1975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0.33960000000000001</v>
      </c>
      <c r="AM137">
        <v>0.39561069999999998</v>
      </c>
      <c r="AN137">
        <v>0.98</v>
      </c>
      <c r="AO137">
        <v>0.192</v>
      </c>
      <c r="AP137">
        <v>1.3309100000000001E-2</v>
      </c>
      <c r="AQ137">
        <v>4.5659000000000003E-3</v>
      </c>
      <c r="AR137">
        <v>0.37183640000000001</v>
      </c>
      <c r="AS137">
        <v>0.24513190000000001</v>
      </c>
      <c r="AT137">
        <v>2.0756000000000001</v>
      </c>
      <c r="AU137">
        <v>0.2605075</v>
      </c>
      <c r="AV137">
        <v>0.13185479999999999</v>
      </c>
      <c r="AW137">
        <v>56142</v>
      </c>
      <c r="AX137">
        <v>0.17050000000000001</v>
      </c>
      <c r="AY137">
        <v>7.66</v>
      </c>
      <c r="AZ137">
        <v>2.7706000000000001E-2</v>
      </c>
      <c r="BA137">
        <v>0.88619999999999999</v>
      </c>
      <c r="BB137">
        <v>57.56</v>
      </c>
      <c r="BC137" s="19">
        <v>3.44</v>
      </c>
      <c r="BD137" s="19">
        <v>9.4600000000000009</v>
      </c>
      <c r="BE137" s="19">
        <v>7.51</v>
      </c>
      <c r="BF137" s="19">
        <v>5.57</v>
      </c>
      <c r="BG137" s="19">
        <v>7.55</v>
      </c>
      <c r="BH137" s="19">
        <v>6.48</v>
      </c>
      <c r="BI137" s="20">
        <f t="shared" si="2"/>
        <v>7.5225</v>
      </c>
    </row>
    <row r="138" spans="1:61" x14ac:dyDescent="0.25">
      <c r="A138">
        <v>1.7661300000000001E-2</v>
      </c>
      <c r="B138">
        <v>28</v>
      </c>
      <c r="C138" t="s">
        <v>314</v>
      </c>
      <c r="D138">
        <v>1980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0.34179999999999999</v>
      </c>
      <c r="AM138">
        <v>0.4172341</v>
      </c>
      <c r="AN138">
        <v>0.98</v>
      </c>
      <c r="AO138">
        <v>0.1812</v>
      </c>
      <c r="AP138">
        <v>8.2188999999999995E-3</v>
      </c>
      <c r="AQ138">
        <v>5.6890999999999999E-3</v>
      </c>
      <c r="AR138">
        <v>0.37294129999999998</v>
      </c>
      <c r="AS138">
        <v>0.2849564</v>
      </c>
      <c r="AT138">
        <v>1.786</v>
      </c>
      <c r="AU138">
        <v>0.27757159999999997</v>
      </c>
      <c r="AV138">
        <v>0.14409739999999999</v>
      </c>
      <c r="AW138">
        <v>56231.199999999997</v>
      </c>
      <c r="AX138">
        <v>0.1784</v>
      </c>
      <c r="AY138">
        <v>7.98</v>
      </c>
      <c r="AZ138">
        <v>4.7722000000000001E-2</v>
      </c>
      <c r="BA138">
        <v>0.88759999999999994</v>
      </c>
      <c r="BB138">
        <v>62.61</v>
      </c>
      <c r="BC138" s="19">
        <v>2.87</v>
      </c>
      <c r="BD138" s="19">
        <v>9.82</v>
      </c>
      <c r="BE138" s="19">
        <v>5</v>
      </c>
      <c r="BF138" s="19">
        <v>6.81</v>
      </c>
      <c r="BG138" s="19">
        <v>7.25</v>
      </c>
      <c r="BH138" s="19">
        <v>6.21</v>
      </c>
      <c r="BI138" s="20">
        <f t="shared" si="2"/>
        <v>7.22</v>
      </c>
    </row>
    <row r="139" spans="1:61" x14ac:dyDescent="0.25">
      <c r="A139">
        <v>1.8200299999999999E-2</v>
      </c>
      <c r="B139">
        <v>28</v>
      </c>
      <c r="C139" t="s">
        <v>314</v>
      </c>
      <c r="D139">
        <v>1985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1</v>
      </c>
      <c r="AJ139">
        <v>0</v>
      </c>
      <c r="AK139">
        <v>0</v>
      </c>
      <c r="AL139">
        <v>0.37719999999999998</v>
      </c>
      <c r="AM139">
        <v>0.43997720000000001</v>
      </c>
      <c r="AN139">
        <v>0.95</v>
      </c>
      <c r="AO139">
        <v>0.1648</v>
      </c>
      <c r="AP139">
        <v>3.2371000000000001E-3</v>
      </c>
      <c r="AQ139">
        <v>7.8147000000000008E-3</v>
      </c>
      <c r="AR139">
        <v>0.3595952</v>
      </c>
      <c r="AS139">
        <v>0.27320129999999998</v>
      </c>
      <c r="AT139">
        <v>1.786</v>
      </c>
      <c r="AU139">
        <v>0.26077159999999999</v>
      </c>
      <c r="AV139">
        <v>7.2248800000000002E-2</v>
      </c>
      <c r="AW139">
        <v>56447.6</v>
      </c>
      <c r="AX139">
        <v>0.16980000000000001</v>
      </c>
      <c r="AY139">
        <v>8.11</v>
      </c>
      <c r="AZ139">
        <v>0.100356</v>
      </c>
      <c r="BA139">
        <v>0.88800000000000001</v>
      </c>
      <c r="BB139">
        <v>67.23</v>
      </c>
      <c r="BC139" s="19">
        <v>3.3</v>
      </c>
      <c r="BD139" s="19">
        <v>8.2899999999999991</v>
      </c>
      <c r="BE139" s="19">
        <v>5.82</v>
      </c>
      <c r="BF139" s="19">
        <v>8.26</v>
      </c>
      <c r="BG139" s="19">
        <v>7.3</v>
      </c>
      <c r="BH139" s="19">
        <v>6.53</v>
      </c>
      <c r="BI139" s="20">
        <f t="shared" si="2"/>
        <v>7.4174999999999995</v>
      </c>
    </row>
    <row r="140" spans="1:61" x14ac:dyDescent="0.25">
      <c r="A140">
        <v>3.0107600000000002E-2</v>
      </c>
      <c r="B140">
        <v>28</v>
      </c>
      <c r="C140" t="s">
        <v>314</v>
      </c>
      <c r="D140">
        <v>1990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</v>
      </c>
      <c r="AG140">
        <v>0</v>
      </c>
      <c r="AH140">
        <v>0</v>
      </c>
      <c r="AI140">
        <v>0</v>
      </c>
      <c r="AJ140">
        <v>1</v>
      </c>
      <c r="AK140">
        <v>0</v>
      </c>
      <c r="AL140">
        <v>0.36899999999999999</v>
      </c>
      <c r="AM140">
        <v>0.39593060000000002</v>
      </c>
      <c r="AN140">
        <v>0.96</v>
      </c>
      <c r="AO140">
        <v>0.1888</v>
      </c>
      <c r="AP140">
        <v>6.8116000000000001E-3</v>
      </c>
      <c r="AQ140">
        <v>6.9994000000000002E-3</v>
      </c>
      <c r="AR140">
        <v>0.34353</v>
      </c>
      <c r="AS140">
        <v>0.2441545</v>
      </c>
      <c r="AT140">
        <v>1.8120000000000001</v>
      </c>
      <c r="AU140">
        <v>0.26936080000000001</v>
      </c>
      <c r="AV140">
        <v>5.94786E-2</v>
      </c>
      <c r="AW140">
        <v>57187.6</v>
      </c>
      <c r="AX140">
        <v>0.15459999999999999</v>
      </c>
      <c r="AY140">
        <v>8.39</v>
      </c>
      <c r="AZ140">
        <v>8.0892000000000006E-2</v>
      </c>
      <c r="BA140">
        <v>0.88980000000000004</v>
      </c>
      <c r="BB140">
        <v>69.209999999999994</v>
      </c>
      <c r="BC140" s="19">
        <v>4.17</v>
      </c>
      <c r="BD140" s="19">
        <v>7.83</v>
      </c>
      <c r="BE140" s="19">
        <v>8.91</v>
      </c>
      <c r="BF140" s="19">
        <v>8.32</v>
      </c>
      <c r="BG140" s="19">
        <v>8.06</v>
      </c>
      <c r="BH140" s="19">
        <v>7.45</v>
      </c>
      <c r="BI140" s="20">
        <f t="shared" si="2"/>
        <v>8.2800000000000011</v>
      </c>
    </row>
    <row r="141" spans="1:61" x14ac:dyDescent="0.25">
      <c r="A141">
        <v>9.3474000000000005E-3</v>
      </c>
      <c r="B141">
        <v>28</v>
      </c>
      <c r="C141" t="s">
        <v>314</v>
      </c>
      <c r="D141">
        <v>1995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1</v>
      </c>
      <c r="AL141">
        <v>0.34760000000000002</v>
      </c>
      <c r="AM141">
        <v>0.41884389999999999</v>
      </c>
      <c r="AN141">
        <v>0.99</v>
      </c>
      <c r="AO141">
        <v>0.15540000000000001</v>
      </c>
      <c r="AP141">
        <v>7.2829000000000001E-3</v>
      </c>
      <c r="AQ141">
        <v>-5.0638000000000002E-3</v>
      </c>
      <c r="AR141">
        <v>0.34677989999999997</v>
      </c>
      <c r="AS141">
        <v>0.25452530000000001</v>
      </c>
      <c r="AT141">
        <v>1.77</v>
      </c>
      <c r="AU141">
        <v>0.26601160000000001</v>
      </c>
      <c r="AV141">
        <v>3.37726E-2</v>
      </c>
      <c r="AW141">
        <v>58186.6</v>
      </c>
      <c r="AX141">
        <v>0.13400000000000001</v>
      </c>
      <c r="AY141">
        <v>8.6999999999999993</v>
      </c>
      <c r="AZ141">
        <v>9.1165999999999997E-2</v>
      </c>
      <c r="BA141">
        <v>0.89339999999999997</v>
      </c>
      <c r="BB141">
        <v>71.06</v>
      </c>
      <c r="BC141" s="19">
        <v>5.65</v>
      </c>
      <c r="BD141" s="19">
        <v>9.1</v>
      </c>
      <c r="BE141" s="19">
        <v>8.11</v>
      </c>
      <c r="BF141" s="19">
        <v>8.14</v>
      </c>
      <c r="BG141" s="19">
        <v>8.26</v>
      </c>
      <c r="BH141" s="19">
        <v>7.83</v>
      </c>
      <c r="BI141" s="20">
        <f t="shared" si="2"/>
        <v>8.4024999999999999</v>
      </c>
    </row>
    <row r="142" spans="1:61" x14ac:dyDescent="0.25">
      <c r="A142">
        <v>1.38388E-2</v>
      </c>
      <c r="B142">
        <v>29</v>
      </c>
      <c r="C142" t="s">
        <v>315</v>
      </c>
      <c r="D142">
        <v>1975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0.2656</v>
      </c>
      <c r="AM142">
        <v>0.32930429999999999</v>
      </c>
      <c r="AN142">
        <v>1.48</v>
      </c>
      <c r="AO142">
        <v>0.18260000000000001</v>
      </c>
      <c r="AP142">
        <v>1.1412200000000001E-2</v>
      </c>
      <c r="AQ142">
        <v>2.5204899999999999E-2</v>
      </c>
      <c r="AR142">
        <v>0.38054130000000003</v>
      </c>
      <c r="AS142">
        <v>7.1212999999999999E-2</v>
      </c>
      <c r="AT142">
        <v>1.9528000000000001</v>
      </c>
      <c r="AU142">
        <v>7.0058499999999996E-2</v>
      </c>
      <c r="AV142">
        <v>6.8047200000000002E-2</v>
      </c>
      <c r="AW142">
        <v>211858</v>
      </c>
      <c r="AX142">
        <v>0.19525000000000001</v>
      </c>
      <c r="AY142">
        <v>9.7899999999999991</v>
      </c>
      <c r="AZ142">
        <v>6.1047999999999998E-2</v>
      </c>
      <c r="BA142">
        <v>0.73660000000000003</v>
      </c>
      <c r="BB142">
        <v>59.87</v>
      </c>
      <c r="BC142" s="19">
        <v>4.7</v>
      </c>
      <c r="BD142" s="19">
        <v>9.81</v>
      </c>
      <c r="BE142" s="19">
        <v>9.58</v>
      </c>
      <c r="BF142" s="19">
        <v>7.16</v>
      </c>
      <c r="BG142" s="19">
        <v>7.03</v>
      </c>
      <c r="BH142" s="19">
        <v>7.61</v>
      </c>
      <c r="BI142" s="20">
        <f t="shared" si="2"/>
        <v>8.3949999999999996</v>
      </c>
    </row>
    <row r="143" spans="1:61" x14ac:dyDescent="0.25">
      <c r="A143">
        <v>2.0961400000000002E-2</v>
      </c>
      <c r="B143">
        <v>29</v>
      </c>
      <c r="C143" t="s">
        <v>315</v>
      </c>
      <c r="D143">
        <v>1980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</v>
      </c>
      <c r="AH143">
        <v>1</v>
      </c>
      <c r="AI143">
        <v>0</v>
      </c>
      <c r="AJ143">
        <v>0</v>
      </c>
      <c r="AK143">
        <v>0</v>
      </c>
      <c r="AL143">
        <v>0.26540000000000002</v>
      </c>
      <c r="AM143">
        <v>0.32932349999999999</v>
      </c>
      <c r="AN143">
        <v>1.42</v>
      </c>
      <c r="AO143">
        <v>0.185</v>
      </c>
      <c r="AP143">
        <v>4.4545000000000001E-3</v>
      </c>
      <c r="AQ143">
        <v>2.6698699999999999E-2</v>
      </c>
      <c r="AR143">
        <v>0.35680879999999998</v>
      </c>
      <c r="AS143">
        <v>8.7976299999999993E-2</v>
      </c>
      <c r="AT143">
        <v>1.7871999999999999</v>
      </c>
      <c r="AU143">
        <v>9.6621700000000005E-2</v>
      </c>
      <c r="AV143">
        <v>8.9404600000000001E-2</v>
      </c>
      <c r="AW143">
        <v>222736</v>
      </c>
      <c r="AX143">
        <v>0.1978</v>
      </c>
      <c r="AY143">
        <v>10.01</v>
      </c>
      <c r="AZ143">
        <v>6.7599999999999993E-2</v>
      </c>
      <c r="BA143">
        <v>0.73699999999999999</v>
      </c>
      <c r="BB143">
        <v>61.38</v>
      </c>
      <c r="BC143" s="19">
        <v>4.75</v>
      </c>
      <c r="BD143" s="19">
        <v>9.3000000000000007</v>
      </c>
      <c r="BE143" s="19">
        <v>9.2100000000000009</v>
      </c>
      <c r="BF143" s="19">
        <v>7.78</v>
      </c>
      <c r="BG143" s="19">
        <v>7.9</v>
      </c>
      <c r="BH143" s="19">
        <v>7.74</v>
      </c>
      <c r="BI143" s="20">
        <f t="shared" si="2"/>
        <v>8.5475000000000012</v>
      </c>
    </row>
    <row r="144" spans="1:61" x14ac:dyDescent="0.25">
      <c r="A144">
        <v>1.50557E-2</v>
      </c>
      <c r="B144">
        <v>29</v>
      </c>
      <c r="C144" t="s">
        <v>315</v>
      </c>
      <c r="D144">
        <v>1985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</v>
      </c>
      <c r="AH144">
        <v>0</v>
      </c>
      <c r="AI144">
        <v>1</v>
      </c>
      <c r="AJ144">
        <v>0</v>
      </c>
      <c r="AK144">
        <v>0</v>
      </c>
      <c r="AL144">
        <v>0.26279999999999998</v>
      </c>
      <c r="AM144">
        <v>0.34973860000000001</v>
      </c>
      <c r="AN144">
        <v>1.4</v>
      </c>
      <c r="AO144">
        <v>0.186</v>
      </c>
      <c r="AP144">
        <v>3.5369900000000003E-2</v>
      </c>
      <c r="AQ144">
        <v>1.5397900000000001E-2</v>
      </c>
      <c r="AR144">
        <v>0.33807520000000002</v>
      </c>
      <c r="AS144">
        <v>8.4286200000000006E-2</v>
      </c>
      <c r="AT144">
        <v>1.8222</v>
      </c>
      <c r="AU144">
        <v>0.1018212</v>
      </c>
      <c r="AV144">
        <v>5.5140000000000002E-2</v>
      </c>
      <c r="AW144">
        <v>234748</v>
      </c>
      <c r="AX144">
        <v>0.182</v>
      </c>
      <c r="AY144">
        <v>11.91</v>
      </c>
      <c r="AZ144">
        <v>8.3274000000000001E-2</v>
      </c>
      <c r="BA144">
        <v>0.74180000000000001</v>
      </c>
      <c r="BB144">
        <v>64.14</v>
      </c>
      <c r="BC144" s="19">
        <v>5.08</v>
      </c>
      <c r="BD144" s="19">
        <v>9.81</v>
      </c>
      <c r="BE144" s="19">
        <v>9.15</v>
      </c>
      <c r="BF144" s="19">
        <v>8.09</v>
      </c>
      <c r="BG144" s="19">
        <v>8.1</v>
      </c>
      <c r="BH144" s="19">
        <v>7.99</v>
      </c>
      <c r="BI144" s="20">
        <f t="shared" si="2"/>
        <v>8.7874999999999996</v>
      </c>
    </row>
    <row r="145" spans="1:61" x14ac:dyDescent="0.25">
      <c r="A145">
        <v>1.8064799999999999E-2</v>
      </c>
      <c r="B145">
        <v>29</v>
      </c>
      <c r="C145" t="s">
        <v>315</v>
      </c>
      <c r="D145">
        <v>1990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</v>
      </c>
      <c r="AH145">
        <v>0</v>
      </c>
      <c r="AI145">
        <v>0</v>
      </c>
      <c r="AJ145">
        <v>1</v>
      </c>
      <c r="AK145">
        <v>0</v>
      </c>
      <c r="AL145">
        <v>0.26700000000000002</v>
      </c>
      <c r="AM145">
        <v>0.34654109999999999</v>
      </c>
      <c r="AN145">
        <v>1.41</v>
      </c>
      <c r="AO145">
        <v>0.1804</v>
      </c>
      <c r="AP145">
        <v>-3.3812999999999998E-3</v>
      </c>
      <c r="AQ145">
        <v>1.7380400000000001E-2</v>
      </c>
      <c r="AR145">
        <v>0.33646769999999998</v>
      </c>
      <c r="AS145">
        <v>8.7865200000000004E-2</v>
      </c>
      <c r="AT145">
        <v>1.948</v>
      </c>
      <c r="AU145">
        <v>0.1121423</v>
      </c>
      <c r="AV145">
        <v>3.9548600000000003E-2</v>
      </c>
      <c r="AW145">
        <v>246094</v>
      </c>
      <c r="AX145">
        <v>0.15939999999999999</v>
      </c>
      <c r="AY145">
        <v>11.71</v>
      </c>
      <c r="AZ145">
        <v>5.9125999999999998E-2</v>
      </c>
      <c r="BA145">
        <v>0.74919999999999998</v>
      </c>
      <c r="BB145">
        <v>67</v>
      </c>
      <c r="BC145" s="19">
        <v>5.94</v>
      </c>
      <c r="BD145" s="19">
        <v>9.81</v>
      </c>
      <c r="BE145" s="19">
        <v>9.31</v>
      </c>
      <c r="BF145" s="19">
        <v>7.79</v>
      </c>
      <c r="BG145" s="19">
        <v>8.08</v>
      </c>
      <c r="BH145" s="19">
        <v>8.14</v>
      </c>
      <c r="BI145" s="20">
        <f t="shared" si="2"/>
        <v>8.7475000000000005</v>
      </c>
    </row>
    <row r="146" spans="1:61" x14ac:dyDescent="0.25">
      <c r="A146">
        <v>9.9944000000000005E-3</v>
      </c>
      <c r="B146">
        <v>29</v>
      </c>
      <c r="C146" t="s">
        <v>315</v>
      </c>
      <c r="D146">
        <v>1995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0</v>
      </c>
      <c r="AK146">
        <v>1</v>
      </c>
      <c r="AL146">
        <v>0.27179999999999999</v>
      </c>
      <c r="AM146">
        <v>0.35640339999999998</v>
      </c>
      <c r="AN146">
        <v>1.37</v>
      </c>
      <c r="AO146">
        <v>0.1618</v>
      </c>
      <c r="AP146">
        <v>4.9046999999999997E-3</v>
      </c>
      <c r="AQ146">
        <v>1.0166100000000001E-2</v>
      </c>
      <c r="AR146">
        <v>0.34237329999999999</v>
      </c>
      <c r="AS146">
        <v>0.10670490000000001</v>
      </c>
      <c r="AT146">
        <v>2.0550000000000002</v>
      </c>
      <c r="AU146">
        <v>0.11823740000000001</v>
      </c>
      <c r="AV146">
        <v>3.1928999999999999E-2</v>
      </c>
      <c r="AW146">
        <v>257988</v>
      </c>
      <c r="AX146">
        <v>0.14860000000000001</v>
      </c>
      <c r="AY146">
        <v>12</v>
      </c>
      <c r="AZ146">
        <v>6.5850000000000006E-2</v>
      </c>
      <c r="BA146">
        <v>0.75799399999999995</v>
      </c>
      <c r="BB146">
        <v>68.37</v>
      </c>
      <c r="BC146" s="19">
        <v>6.71</v>
      </c>
      <c r="BD146" s="19">
        <v>9.81</v>
      </c>
      <c r="BE146" s="19">
        <v>9.56</v>
      </c>
      <c r="BF146" s="19">
        <v>7.93</v>
      </c>
      <c r="BG146" s="19">
        <v>8.17</v>
      </c>
      <c r="BH146" s="19">
        <v>8.41</v>
      </c>
      <c r="BI146" s="20">
        <f t="shared" si="2"/>
        <v>8.8674999999999997</v>
      </c>
    </row>
    <row r="147" spans="1:61" x14ac:dyDescent="0.25">
      <c r="BC147" s="19"/>
      <c r="BD147" s="19"/>
      <c r="BE147" s="19"/>
      <c r="BF147" s="19"/>
      <c r="BG147" s="19"/>
      <c r="BH147" s="19"/>
      <c r="BI147" s="20"/>
    </row>
    <row r="148" spans="1:61" x14ac:dyDescent="0.25">
      <c r="BC148" s="19"/>
      <c r="BD148" s="19"/>
      <c r="BE148" s="19"/>
      <c r="BF148" s="19"/>
      <c r="BG148" s="19"/>
      <c r="BH148" s="19"/>
      <c r="BI148" s="2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297"/>
  <sheetViews>
    <sheetView workbookViewId="0">
      <pane xSplit="4230" ySplit="630" topLeftCell="AK173" activePane="bottomRight"/>
      <selection activeCell="AP1" sqref="AP1"/>
      <selection pane="topRight" activeCell="E1" sqref="E1"/>
      <selection pane="bottomLeft" activeCell="A2" sqref="A2"/>
      <selection pane="bottomRight" activeCell="AX203" sqref="AX203"/>
    </sheetView>
  </sheetViews>
  <sheetFormatPr defaultRowHeight="15" x14ac:dyDescent="0.25"/>
  <cols>
    <col min="57" max="62" width="9.140625" style="20"/>
  </cols>
  <sheetData>
    <row r="1" spans="1:68" x14ac:dyDescent="0.25">
      <c r="A1" s="24" t="s">
        <v>57</v>
      </c>
      <c r="B1" s="23" t="s">
        <v>238</v>
      </c>
      <c r="C1" s="23" t="s">
        <v>239</v>
      </c>
      <c r="D1" s="23" t="s">
        <v>240</v>
      </c>
      <c r="E1" s="24" t="s">
        <v>316</v>
      </c>
      <c r="F1" s="24" t="s">
        <v>317</v>
      </c>
      <c r="G1" s="24" t="s">
        <v>318</v>
      </c>
      <c r="H1" s="24" t="s">
        <v>319</v>
      </c>
      <c r="I1" s="24" t="s">
        <v>320</v>
      </c>
      <c r="J1" s="24" t="s">
        <v>321</v>
      </c>
      <c r="K1" s="24" t="s">
        <v>322</v>
      </c>
      <c r="L1" s="24" t="s">
        <v>323</v>
      </c>
      <c r="M1" s="24" t="s">
        <v>324</v>
      </c>
      <c r="N1" s="24" t="s">
        <v>325</v>
      </c>
      <c r="O1" s="24" t="s">
        <v>326</v>
      </c>
      <c r="P1" s="24" t="s">
        <v>327</v>
      </c>
      <c r="Q1" s="24" t="s">
        <v>328</v>
      </c>
      <c r="R1" s="24" t="s">
        <v>329</v>
      </c>
      <c r="S1" s="24" t="s">
        <v>330</v>
      </c>
      <c r="T1" s="24" t="s">
        <v>331</v>
      </c>
      <c r="U1" s="24" t="s">
        <v>332</v>
      </c>
      <c r="V1" s="24" t="s">
        <v>333</v>
      </c>
      <c r="W1" s="24" t="s">
        <v>334</v>
      </c>
      <c r="X1" s="24" t="s">
        <v>335</v>
      </c>
      <c r="Y1" s="24" t="s">
        <v>336</v>
      </c>
      <c r="Z1" s="24" t="s">
        <v>337</v>
      </c>
      <c r="AA1" s="24" t="s">
        <v>338</v>
      </c>
      <c r="AB1" s="24" t="s">
        <v>339</v>
      </c>
      <c r="AC1" s="24" t="s">
        <v>340</v>
      </c>
      <c r="AD1" s="24" t="s">
        <v>341</v>
      </c>
      <c r="AE1" s="24" t="s">
        <v>342</v>
      </c>
      <c r="AF1" s="24" t="s">
        <v>343</v>
      </c>
      <c r="AG1" s="24" t="s">
        <v>344</v>
      </c>
      <c r="AH1" s="24" t="s">
        <v>110</v>
      </c>
      <c r="AI1" s="24" t="s">
        <v>111</v>
      </c>
      <c r="AJ1" s="24" t="s">
        <v>112</v>
      </c>
      <c r="AK1" s="24" t="s">
        <v>113</v>
      </c>
      <c r="AL1" s="24" t="s">
        <v>345</v>
      </c>
      <c r="AM1" s="24" t="s">
        <v>346</v>
      </c>
      <c r="AN1" s="24" t="s">
        <v>58</v>
      </c>
      <c r="AO1" s="24" t="s">
        <v>114</v>
      </c>
      <c r="AP1" s="24" t="s">
        <v>63</v>
      </c>
      <c r="AQ1" s="24" t="s">
        <v>75</v>
      </c>
      <c r="AR1" s="24" t="s">
        <v>87</v>
      </c>
      <c r="AS1" s="24" t="s">
        <v>97</v>
      </c>
      <c r="AT1" s="24" t="s">
        <v>270</v>
      </c>
      <c r="AU1" s="24" t="s">
        <v>271</v>
      </c>
      <c r="AV1" s="24" t="s">
        <v>272</v>
      </c>
      <c r="AW1" s="24" t="s">
        <v>273</v>
      </c>
      <c r="AX1" s="24" t="s">
        <v>274</v>
      </c>
      <c r="AY1" s="24" t="s">
        <v>275</v>
      </c>
      <c r="AZ1" s="24" t="s">
        <v>276</v>
      </c>
      <c r="BA1" s="24" t="s">
        <v>277</v>
      </c>
      <c r="BB1" s="24" t="s">
        <v>278</v>
      </c>
      <c r="BC1" s="24" t="s">
        <v>279</v>
      </c>
      <c r="BD1" s="24" t="s">
        <v>119</v>
      </c>
      <c r="BE1" s="19" t="s">
        <v>280</v>
      </c>
      <c r="BF1" s="19" t="s">
        <v>281</v>
      </c>
      <c r="BG1" s="19" t="s">
        <v>282</v>
      </c>
      <c r="BH1" s="19" t="s">
        <v>283</v>
      </c>
      <c r="BI1" s="19" t="s">
        <v>284</v>
      </c>
      <c r="BJ1" s="19" t="s">
        <v>285</v>
      </c>
      <c r="BK1" s="22" t="s">
        <v>286</v>
      </c>
      <c r="BL1" s="22"/>
      <c r="BM1" s="22" t="s">
        <v>454</v>
      </c>
      <c r="BN1" s="22"/>
      <c r="BO1" s="22"/>
      <c r="BP1" s="22"/>
    </row>
    <row r="2" spans="1:68" x14ac:dyDescent="0.25">
      <c r="A2">
        <v>9.0430000000000007E-3</v>
      </c>
      <c r="B2">
        <v>1</v>
      </c>
      <c r="C2" t="s">
        <v>287</v>
      </c>
      <c r="D2">
        <v>1975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0.235596</v>
      </c>
      <c r="AO2">
        <v>0.30203400000000002</v>
      </c>
      <c r="AP2">
        <v>1.2449380000000001</v>
      </c>
      <c r="AQ2">
        <v>0.27440199999999998</v>
      </c>
      <c r="AR2">
        <v>1.644E-2</v>
      </c>
      <c r="AS2">
        <v>2.3179000000000002E-2</v>
      </c>
      <c r="AT2">
        <v>0.37188100000000002</v>
      </c>
      <c r="AU2">
        <v>0.13789599999999999</v>
      </c>
      <c r="AV2">
        <v>2.5482</v>
      </c>
      <c r="AW2">
        <v>0.131518</v>
      </c>
      <c r="AX2">
        <v>0.103154</v>
      </c>
      <c r="AY2">
        <v>13422</v>
      </c>
      <c r="AZ2">
        <v>0.28083000000000002</v>
      </c>
      <c r="BA2">
        <v>10.09</v>
      </c>
      <c r="BB2">
        <v>2.8443E-2</v>
      </c>
      <c r="BC2">
        <v>0.85660000000000003</v>
      </c>
      <c r="BD2" s="20">
        <v>57.349997999999999</v>
      </c>
      <c r="BE2" s="19">
        <v>5.75</v>
      </c>
      <c r="BF2" s="19">
        <v>9.4700000000000006</v>
      </c>
      <c r="BG2" s="19">
        <v>9.5500000000000007</v>
      </c>
      <c r="BH2" s="19">
        <v>6.3</v>
      </c>
      <c r="BI2" s="19">
        <v>5.66</v>
      </c>
      <c r="BJ2" s="19">
        <v>7.31</v>
      </c>
      <c r="BK2" s="22">
        <v>7.745000000000001</v>
      </c>
      <c r="BM2" s="22" t="str">
        <f>IF(D2=1980,BJ2,"")</f>
        <v/>
      </c>
      <c r="BN2" s="22" t="str">
        <f>IF(OR(C2="SWE",C2="NOR",C2="DEN",C2="FIN"),BM2,"")</f>
        <v/>
      </c>
      <c r="BO2" s="22" t="str">
        <f>IF(D2=2000,BJ2,"")</f>
        <v/>
      </c>
      <c r="BP2" s="22" t="str">
        <f>IF(OR(C2="SWE",C2="NOR",C2="DEN",C2="FIN"),BO2,"")</f>
        <v/>
      </c>
    </row>
    <row r="3" spans="1:68" x14ac:dyDescent="0.25">
      <c r="A3">
        <v>1.8145999999999999E-2</v>
      </c>
      <c r="B3">
        <v>1</v>
      </c>
      <c r="C3" t="s">
        <v>287</v>
      </c>
      <c r="D3">
        <v>1980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0.25785999999999998</v>
      </c>
      <c r="AO3">
        <v>0.35594799999999999</v>
      </c>
      <c r="AP3">
        <v>1.206574</v>
      </c>
      <c r="AQ3">
        <v>0.26186700000000002</v>
      </c>
      <c r="AR3">
        <v>-5.6129999999999999E-3</v>
      </c>
      <c r="AS3">
        <v>1.5984999999999999E-2</v>
      </c>
      <c r="AT3">
        <v>0.36263200000000001</v>
      </c>
      <c r="AU3">
        <v>0.14843100000000001</v>
      </c>
      <c r="AV3">
        <v>1.9628000000000001</v>
      </c>
      <c r="AW3">
        <v>0.15735499999999999</v>
      </c>
      <c r="AX3">
        <v>0.105929</v>
      </c>
      <c r="AY3">
        <v>14357.799805000001</v>
      </c>
      <c r="AZ3">
        <v>0.23527999999999999</v>
      </c>
      <c r="BA3">
        <v>9.81</v>
      </c>
      <c r="BB3">
        <v>5.7837E-2</v>
      </c>
      <c r="BC3">
        <v>0.85840000000000005</v>
      </c>
      <c r="BD3">
        <v>61.799999</v>
      </c>
      <c r="BE3" s="19">
        <v>5.21</v>
      </c>
      <c r="BF3" s="19">
        <v>5.98</v>
      </c>
      <c r="BG3" s="19">
        <v>8.4499999999999993</v>
      </c>
      <c r="BH3" s="19">
        <v>6.01</v>
      </c>
      <c r="BI3" s="19">
        <v>6.15</v>
      </c>
      <c r="BJ3" s="19">
        <v>6.4</v>
      </c>
      <c r="BK3" s="22">
        <v>6.6474999999999991</v>
      </c>
      <c r="BM3" s="22">
        <f t="shared" ref="BM3:BM66" si="0">IF(D3=1980,BJ3,"")</f>
        <v>6.4</v>
      </c>
      <c r="BN3" s="22" t="str">
        <f t="shared" ref="BN3:BN66" si="1">IF(OR(C3="SWE",C3="NOR",C3="DEN",C3="FIN"),BM3,"")</f>
        <v/>
      </c>
      <c r="BO3" s="22" t="str">
        <f t="shared" ref="BO3:BO66" si="2">IF(D3=2000,BJ3,"")</f>
        <v/>
      </c>
      <c r="BP3" s="22" t="str">
        <f t="shared" ref="BP3:BP66" si="3">IF(OR(C3="SWE",C3="NOR",C3="DEN",C3="FIN"),BO3,"")</f>
        <v/>
      </c>
    </row>
    <row r="4" spans="1:68" x14ac:dyDescent="0.25">
      <c r="A4">
        <v>1.5519E-2</v>
      </c>
      <c r="B4">
        <v>1</v>
      </c>
      <c r="C4" t="s">
        <v>287</v>
      </c>
      <c r="D4">
        <v>1985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0.273951</v>
      </c>
      <c r="AO4">
        <v>0.38556400000000002</v>
      </c>
      <c r="AP4">
        <v>1.1344669999999999</v>
      </c>
      <c r="AQ4">
        <v>0.26555000000000001</v>
      </c>
      <c r="AR4">
        <v>4.2449999999999996E-3</v>
      </c>
      <c r="AS4">
        <v>1.7724E-2</v>
      </c>
      <c r="AT4">
        <v>0.34879900000000003</v>
      </c>
      <c r="AU4">
        <v>0.14362800000000001</v>
      </c>
      <c r="AV4">
        <v>1.9101999999999999</v>
      </c>
      <c r="AW4">
        <v>0.168792</v>
      </c>
      <c r="AX4">
        <v>8.3280000000000007E-2</v>
      </c>
      <c r="AY4">
        <v>15355.200194999999</v>
      </c>
      <c r="AZ4">
        <v>0.21673999999999999</v>
      </c>
      <c r="BA4">
        <v>10.02</v>
      </c>
      <c r="BB4">
        <v>7.9656000000000005E-2</v>
      </c>
      <c r="BC4">
        <v>0.85619999999999996</v>
      </c>
      <c r="BD4">
        <v>65.550003000000004</v>
      </c>
      <c r="BE4" s="19">
        <v>5.08</v>
      </c>
      <c r="BF4" s="19">
        <v>8.57</v>
      </c>
      <c r="BG4" s="19">
        <v>8.93</v>
      </c>
      <c r="BH4" s="19">
        <v>6.27</v>
      </c>
      <c r="BI4" s="19">
        <v>6.87</v>
      </c>
      <c r="BJ4" s="19">
        <v>7.12</v>
      </c>
      <c r="BK4" s="22">
        <v>7.66</v>
      </c>
      <c r="BM4" s="22" t="str">
        <f t="shared" si="0"/>
        <v/>
      </c>
      <c r="BN4" s="22" t="str">
        <f t="shared" si="1"/>
        <v/>
      </c>
      <c r="BO4" s="22" t="str">
        <f t="shared" si="2"/>
        <v/>
      </c>
      <c r="BP4" s="22" t="str">
        <f t="shared" si="3"/>
        <v/>
      </c>
    </row>
    <row r="5" spans="1:68" x14ac:dyDescent="0.25">
      <c r="A5">
        <v>1.3278999999999999E-2</v>
      </c>
      <c r="B5">
        <v>1</v>
      </c>
      <c r="C5" t="s">
        <v>287</v>
      </c>
      <c r="D5">
        <v>1990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L5">
        <v>0</v>
      </c>
      <c r="AM5">
        <v>0</v>
      </c>
      <c r="AN5">
        <v>0.28748099999999999</v>
      </c>
      <c r="AO5">
        <v>0.38438899999999998</v>
      </c>
      <c r="AP5">
        <v>1.1074930000000001</v>
      </c>
      <c r="AQ5">
        <v>0.26391399999999998</v>
      </c>
      <c r="AR5">
        <v>7.9699999999999997E-4</v>
      </c>
      <c r="AS5">
        <v>2.8694999999999998E-2</v>
      </c>
      <c r="AT5">
        <v>0.33727099999999999</v>
      </c>
      <c r="AU5">
        <v>0.15742300000000001</v>
      </c>
      <c r="AV5">
        <v>1.8568</v>
      </c>
      <c r="AW5">
        <v>0.170427</v>
      </c>
      <c r="AX5">
        <v>7.9272999999999996E-2</v>
      </c>
      <c r="AY5">
        <v>16538.800781000002</v>
      </c>
      <c r="AZ5">
        <v>0.217835</v>
      </c>
      <c r="BA5">
        <v>10.06</v>
      </c>
      <c r="BB5">
        <v>7.0468000000000003E-2</v>
      </c>
      <c r="BC5">
        <v>0.85440000000000005</v>
      </c>
      <c r="BD5">
        <v>69.699996999999996</v>
      </c>
      <c r="BE5" s="19">
        <v>4.92</v>
      </c>
      <c r="BF5" s="19">
        <v>9.2899999999999991</v>
      </c>
      <c r="BG5" s="19">
        <v>9.32</v>
      </c>
      <c r="BH5" s="19">
        <v>6.9</v>
      </c>
      <c r="BI5" s="19">
        <v>6.96</v>
      </c>
      <c r="BJ5" s="19">
        <v>7.45</v>
      </c>
      <c r="BK5" s="22">
        <v>8.1174999999999997</v>
      </c>
      <c r="BM5" s="22" t="str">
        <f t="shared" si="0"/>
        <v/>
      </c>
      <c r="BN5" s="22" t="str">
        <f t="shared" si="1"/>
        <v/>
      </c>
      <c r="BO5" s="22" t="str">
        <f t="shared" si="2"/>
        <v/>
      </c>
      <c r="BP5" s="22" t="str">
        <f t="shared" si="3"/>
        <v/>
      </c>
    </row>
    <row r="6" spans="1:68" x14ac:dyDescent="0.25">
      <c r="A6">
        <v>2.0871000000000001E-2</v>
      </c>
      <c r="B6">
        <v>1</v>
      </c>
      <c r="C6" t="s">
        <v>287</v>
      </c>
      <c r="D6">
        <v>1995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0.27434599999999998</v>
      </c>
      <c r="AO6">
        <v>0.39584900000000001</v>
      </c>
      <c r="AP6">
        <v>1.019666</v>
      </c>
      <c r="AQ6">
        <v>0.22663</v>
      </c>
      <c r="AR6">
        <v>1.1900000000000001E-3</v>
      </c>
      <c r="AS6">
        <v>1.2786E-2</v>
      </c>
      <c r="AT6">
        <v>0.33050800000000002</v>
      </c>
      <c r="AU6">
        <v>0.179453</v>
      </c>
      <c r="AV6">
        <v>1.8520000000000001</v>
      </c>
      <c r="AW6">
        <v>0.185747</v>
      </c>
      <c r="AX6">
        <v>2.511E-2</v>
      </c>
      <c r="AY6">
        <v>17674.599609000001</v>
      </c>
      <c r="AZ6">
        <v>0.181891</v>
      </c>
      <c r="BA6">
        <v>10.119999999999999</v>
      </c>
      <c r="BB6">
        <v>9.5602999999999994E-2</v>
      </c>
      <c r="BC6">
        <v>0.85819999999999996</v>
      </c>
      <c r="BD6">
        <v>73.550003000000004</v>
      </c>
      <c r="BE6" s="19">
        <v>5.35</v>
      </c>
      <c r="BF6" s="19">
        <v>9.27</v>
      </c>
      <c r="BG6" s="19">
        <v>6.3</v>
      </c>
      <c r="BH6" s="19">
        <v>7.35</v>
      </c>
      <c r="BI6" s="19">
        <v>7.28</v>
      </c>
      <c r="BJ6" s="19">
        <v>7.64</v>
      </c>
      <c r="BK6" s="22">
        <v>7.5500000000000007</v>
      </c>
      <c r="BM6" s="22" t="str">
        <f t="shared" si="0"/>
        <v/>
      </c>
      <c r="BN6" s="22" t="str">
        <f t="shared" si="1"/>
        <v/>
      </c>
      <c r="BO6" s="22" t="str">
        <f t="shared" si="2"/>
        <v/>
      </c>
      <c r="BP6" s="22" t="str">
        <f t="shared" si="3"/>
        <v/>
      </c>
    </row>
    <row r="7" spans="1:68" x14ac:dyDescent="0.25">
      <c r="A7">
        <v>2.7071000000000001E-2</v>
      </c>
      <c r="B7">
        <v>1</v>
      </c>
      <c r="C7" t="s">
        <v>287</v>
      </c>
      <c r="D7">
        <v>2000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</v>
      </c>
      <c r="AM7">
        <v>0</v>
      </c>
      <c r="AN7">
        <v>0.30066900000000002</v>
      </c>
      <c r="AO7">
        <v>0.37296499999999999</v>
      </c>
      <c r="AP7">
        <v>1.067618</v>
      </c>
      <c r="AQ7">
        <v>0.23561499999999999</v>
      </c>
      <c r="AR7">
        <v>3.7269999999999998E-3</v>
      </c>
      <c r="AS7">
        <v>1.2229E-2</v>
      </c>
      <c r="AT7">
        <v>0.33438499999999999</v>
      </c>
      <c r="AU7">
        <v>0.19941200000000001</v>
      </c>
      <c r="AV7">
        <v>1.7694000000000001</v>
      </c>
      <c r="AW7">
        <v>0.209422</v>
      </c>
      <c r="AX7">
        <v>1.9314000000000001E-2</v>
      </c>
      <c r="AY7">
        <v>18723.599609000001</v>
      </c>
      <c r="AZ7">
        <v>0.198544</v>
      </c>
      <c r="BA7">
        <v>10.31</v>
      </c>
      <c r="BB7">
        <v>7.4549000000000004E-2</v>
      </c>
      <c r="BC7">
        <v>0.86760000000000004</v>
      </c>
      <c r="BD7">
        <v>77.75</v>
      </c>
      <c r="BE7" s="19">
        <v>5.68</v>
      </c>
      <c r="BF7" s="19">
        <v>8.9600000000000009</v>
      </c>
      <c r="BG7" s="19">
        <v>6.74</v>
      </c>
      <c r="BH7" s="19">
        <v>7.67</v>
      </c>
      <c r="BI7" s="19">
        <v>7.29</v>
      </c>
      <c r="BJ7" s="19">
        <v>7.8</v>
      </c>
      <c r="BK7" s="22">
        <v>7.665</v>
      </c>
      <c r="BM7" s="22" t="str">
        <f t="shared" si="0"/>
        <v/>
      </c>
      <c r="BN7" s="22" t="str">
        <f t="shared" si="1"/>
        <v/>
      </c>
      <c r="BO7" s="22">
        <f t="shared" si="2"/>
        <v>7.8</v>
      </c>
      <c r="BP7" s="22" t="str">
        <f t="shared" si="3"/>
        <v/>
      </c>
    </row>
    <row r="8" spans="1:68" x14ac:dyDescent="0.25">
      <c r="A8">
        <v>2.0452999999999999E-2</v>
      </c>
      <c r="B8">
        <v>1</v>
      </c>
      <c r="C8" t="s">
        <v>287</v>
      </c>
      <c r="D8">
        <v>2005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0.30579200000000001</v>
      </c>
      <c r="AO8">
        <v>0.36466700000000002</v>
      </c>
      <c r="AP8">
        <v>1.1037840000000001</v>
      </c>
      <c r="AQ8">
        <v>0.25082900000000002</v>
      </c>
      <c r="AR8">
        <v>4.9940000000000002E-3</v>
      </c>
      <c r="AS8">
        <v>1.8700999999999999E-2</v>
      </c>
      <c r="AT8">
        <v>0.33351599999999998</v>
      </c>
      <c r="AU8">
        <v>0.18948899999999999</v>
      </c>
      <c r="AV8">
        <v>1.7580800000000001</v>
      </c>
      <c r="AW8">
        <v>0.20896999999999999</v>
      </c>
      <c r="AX8">
        <v>3.0334E-2</v>
      </c>
      <c r="AY8">
        <v>19869.599609000001</v>
      </c>
      <c r="AZ8">
        <v>0.204653</v>
      </c>
      <c r="BA8">
        <v>10.57</v>
      </c>
      <c r="BB8">
        <v>5.9589000000000003E-2</v>
      </c>
      <c r="BC8">
        <v>0.878</v>
      </c>
      <c r="BD8">
        <v>80.319999999999993</v>
      </c>
      <c r="BE8" s="19">
        <v>6.22</v>
      </c>
      <c r="BF8" s="19">
        <v>9.49</v>
      </c>
      <c r="BG8" s="19">
        <v>9.0500000000000007</v>
      </c>
      <c r="BH8" s="19">
        <v>7.77</v>
      </c>
      <c r="BI8" s="19">
        <v>7.21</v>
      </c>
      <c r="BJ8" s="19">
        <v>8.02</v>
      </c>
      <c r="BK8" s="22">
        <v>8.379999999999999</v>
      </c>
      <c r="BM8" s="22" t="str">
        <f t="shared" si="0"/>
        <v/>
      </c>
      <c r="BN8" s="22" t="str">
        <f t="shared" si="1"/>
        <v/>
      </c>
      <c r="BO8" s="22" t="str">
        <f t="shared" si="2"/>
        <v/>
      </c>
      <c r="BP8" s="22" t="str">
        <f t="shared" si="3"/>
        <v/>
      </c>
    </row>
    <row r="9" spans="1:68" x14ac:dyDescent="0.25">
      <c r="A9">
        <v>3.6235999999999997E-2</v>
      </c>
      <c r="B9">
        <v>2</v>
      </c>
      <c r="C9" t="s">
        <v>288</v>
      </c>
      <c r="D9">
        <v>1975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0.35496</v>
      </c>
      <c r="AO9">
        <v>0.42382700000000001</v>
      </c>
      <c r="AP9">
        <v>1.034653</v>
      </c>
      <c r="AQ9">
        <v>0.26901000000000003</v>
      </c>
      <c r="AR9">
        <v>3.1679999999999998E-3</v>
      </c>
      <c r="AS9">
        <v>1.586E-3</v>
      </c>
      <c r="AT9">
        <v>0.38439600000000002</v>
      </c>
      <c r="AU9">
        <v>0.29644100000000001</v>
      </c>
      <c r="AV9">
        <v>2.0087999999999999</v>
      </c>
      <c r="AW9">
        <v>0.29459099999999999</v>
      </c>
      <c r="AX9">
        <v>7.3114999999999999E-2</v>
      </c>
      <c r="AY9">
        <v>7528.6000979999999</v>
      </c>
      <c r="AZ9">
        <v>0.26616400000000001</v>
      </c>
      <c r="BA9">
        <v>7.01</v>
      </c>
      <c r="BB9">
        <v>1.0425E-2</v>
      </c>
      <c r="BC9">
        <v>0.6552</v>
      </c>
      <c r="BD9">
        <v>59.009998000000003</v>
      </c>
      <c r="BE9" s="19">
        <v>3.91</v>
      </c>
      <c r="BF9" s="19" t="s">
        <v>49</v>
      </c>
      <c r="BG9" s="19">
        <v>8.35</v>
      </c>
      <c r="BH9" s="19">
        <v>6.74</v>
      </c>
      <c r="BI9" s="19">
        <v>5.73</v>
      </c>
      <c r="BJ9" s="19">
        <v>6.46</v>
      </c>
      <c r="BK9" s="22">
        <v>6.94</v>
      </c>
      <c r="BM9" s="22" t="str">
        <f t="shared" si="0"/>
        <v/>
      </c>
      <c r="BN9" s="22" t="str">
        <f t="shared" si="1"/>
        <v/>
      </c>
      <c r="BO9" s="22" t="str">
        <f t="shared" si="2"/>
        <v/>
      </c>
      <c r="BP9" s="22" t="str">
        <f t="shared" si="3"/>
        <v/>
      </c>
    </row>
    <row r="10" spans="1:68" x14ac:dyDescent="0.25">
      <c r="A10">
        <v>3.3583000000000002E-2</v>
      </c>
      <c r="B10">
        <v>2</v>
      </c>
      <c r="C10" t="s">
        <v>288</v>
      </c>
      <c r="D10">
        <v>1980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0.37999300000000003</v>
      </c>
      <c r="AO10">
        <v>0.48734899999999998</v>
      </c>
      <c r="AP10">
        <v>1.1077669999999999</v>
      </c>
      <c r="AQ10">
        <v>0.24520700000000001</v>
      </c>
      <c r="AR10">
        <v>-5.189E-3</v>
      </c>
      <c r="AS10">
        <v>4.1799999999999997E-3</v>
      </c>
      <c r="AT10">
        <v>0.38102900000000001</v>
      </c>
      <c r="AU10">
        <v>0.31825300000000001</v>
      </c>
      <c r="AV10">
        <v>1.6359999999999999</v>
      </c>
      <c r="AW10">
        <v>0.33720299999999997</v>
      </c>
      <c r="AX10">
        <v>5.2810000000000003E-2</v>
      </c>
      <c r="AY10">
        <v>7553.3999020000001</v>
      </c>
      <c r="AZ10">
        <v>0.23549400000000001</v>
      </c>
      <c r="BA10">
        <v>6.83</v>
      </c>
      <c r="BB10">
        <v>1.4597000000000001E-2</v>
      </c>
      <c r="BC10">
        <v>0.65720000000000001</v>
      </c>
      <c r="BD10">
        <v>60.529998999999997</v>
      </c>
      <c r="BE10" s="19">
        <v>3.36</v>
      </c>
      <c r="BF10" s="19" t="s">
        <v>49</v>
      </c>
      <c r="BG10" s="19">
        <v>7.45</v>
      </c>
      <c r="BH10" s="19">
        <v>6.43</v>
      </c>
      <c r="BI10" s="19">
        <v>5.97</v>
      </c>
      <c r="BJ10" s="19">
        <v>6.16</v>
      </c>
      <c r="BK10" s="22">
        <v>6.6166666666666663</v>
      </c>
      <c r="BM10" s="22">
        <f t="shared" si="0"/>
        <v>6.16</v>
      </c>
      <c r="BN10" s="22" t="str">
        <f t="shared" si="1"/>
        <v/>
      </c>
      <c r="BO10" s="22" t="str">
        <f t="shared" si="2"/>
        <v/>
      </c>
      <c r="BP10" s="22" t="str">
        <f t="shared" si="3"/>
        <v/>
      </c>
    </row>
    <row r="11" spans="1:68" x14ac:dyDescent="0.25">
      <c r="A11">
        <v>1.4296E-2</v>
      </c>
      <c r="B11">
        <v>2</v>
      </c>
      <c r="C11" t="s">
        <v>288</v>
      </c>
      <c r="D11">
        <v>1985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0.397422</v>
      </c>
      <c r="AO11">
        <v>0.51879399999999998</v>
      </c>
      <c r="AP11">
        <v>1.147991</v>
      </c>
      <c r="AQ11">
        <v>0.22145599999999999</v>
      </c>
      <c r="AR11">
        <v>4.2744999999999998E-2</v>
      </c>
      <c r="AS11">
        <v>9.2E-5</v>
      </c>
      <c r="AT11">
        <v>0.35821500000000001</v>
      </c>
      <c r="AU11">
        <v>0.34677200000000002</v>
      </c>
      <c r="AV11">
        <v>1.5760000000000001</v>
      </c>
      <c r="AW11">
        <v>0.34912399999999999</v>
      </c>
      <c r="AX11">
        <v>4.8874000000000001E-2</v>
      </c>
      <c r="AY11">
        <v>7559.6000979999999</v>
      </c>
      <c r="AZ11">
        <v>0.21242800000000001</v>
      </c>
      <c r="BA11">
        <v>8.42</v>
      </c>
      <c r="BB11">
        <v>3.0223E-2</v>
      </c>
      <c r="BC11">
        <v>0.65800000000000003</v>
      </c>
      <c r="BD11">
        <v>70.209998999999996</v>
      </c>
      <c r="BE11" s="19">
        <v>2.71</v>
      </c>
      <c r="BF11" s="19">
        <v>9.4700000000000006</v>
      </c>
      <c r="BG11" s="19">
        <v>6.8</v>
      </c>
      <c r="BH11" s="19">
        <v>6.86</v>
      </c>
      <c r="BI11" s="19">
        <v>6.09</v>
      </c>
      <c r="BJ11" s="19">
        <v>6.65</v>
      </c>
      <c r="BK11" s="22">
        <v>7.3049999999999997</v>
      </c>
      <c r="BM11" s="22" t="str">
        <f t="shared" si="0"/>
        <v/>
      </c>
      <c r="BN11" s="22" t="str">
        <f t="shared" si="1"/>
        <v/>
      </c>
      <c r="BO11" s="22" t="str">
        <f t="shared" si="2"/>
        <v/>
      </c>
      <c r="BP11" s="22" t="str">
        <f t="shared" si="3"/>
        <v/>
      </c>
    </row>
    <row r="12" spans="1:68" x14ac:dyDescent="0.25">
      <c r="A12">
        <v>2.759E-2</v>
      </c>
      <c r="B12">
        <v>2</v>
      </c>
      <c r="C12" t="s">
        <v>288</v>
      </c>
      <c r="D12">
        <v>1990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0.401503</v>
      </c>
      <c r="AO12">
        <v>0.53093000000000001</v>
      </c>
      <c r="AP12">
        <v>1.129891</v>
      </c>
      <c r="AQ12">
        <v>0.220718</v>
      </c>
      <c r="AR12">
        <v>-3.8300000000000001E-3</v>
      </c>
      <c r="AS12">
        <v>9.0069999999999994E-3</v>
      </c>
      <c r="AT12">
        <v>0.324907</v>
      </c>
      <c r="AU12">
        <v>0.35529699999999997</v>
      </c>
      <c r="AV12">
        <v>1.444</v>
      </c>
      <c r="AW12">
        <v>0.34862199999999999</v>
      </c>
      <c r="AX12">
        <v>2.1717E-2</v>
      </c>
      <c r="AY12">
        <v>7615.0566410000001</v>
      </c>
      <c r="AZ12">
        <v>0.228935</v>
      </c>
      <c r="BA12">
        <v>8.26</v>
      </c>
      <c r="BB12">
        <v>4.0793999999999997E-2</v>
      </c>
      <c r="BC12">
        <v>0.65800000000000003</v>
      </c>
      <c r="BD12">
        <v>71.690002000000007</v>
      </c>
      <c r="BE12" s="19">
        <v>2.63</v>
      </c>
      <c r="BF12" s="19">
        <v>9.27</v>
      </c>
      <c r="BG12" s="19">
        <v>6.83</v>
      </c>
      <c r="BH12" s="19">
        <v>6.91</v>
      </c>
      <c r="BI12" s="19">
        <v>6.27</v>
      </c>
      <c r="BJ12" s="19">
        <v>6.64</v>
      </c>
      <c r="BK12" s="22">
        <v>7.32</v>
      </c>
      <c r="BM12" s="22" t="str">
        <f t="shared" si="0"/>
        <v/>
      </c>
      <c r="BN12" s="22" t="str">
        <f t="shared" si="1"/>
        <v/>
      </c>
      <c r="BO12" s="22" t="str">
        <f t="shared" si="2"/>
        <v/>
      </c>
      <c r="BP12" s="22" t="str">
        <f t="shared" si="3"/>
        <v/>
      </c>
    </row>
    <row r="13" spans="1:68" x14ac:dyDescent="0.25">
      <c r="A13">
        <v>1.4619E-2</v>
      </c>
      <c r="B13">
        <v>2</v>
      </c>
      <c r="C13" t="s">
        <v>288</v>
      </c>
      <c r="D13">
        <v>1995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0.41204200000000002</v>
      </c>
      <c r="AO13">
        <v>0.54848699999999995</v>
      </c>
      <c r="AP13">
        <v>1.1340410000000001</v>
      </c>
      <c r="AQ13">
        <v>0.22761200000000001</v>
      </c>
      <c r="AR13">
        <v>-9.7000000000000005E-4</v>
      </c>
      <c r="AS13">
        <v>4.346E-3</v>
      </c>
      <c r="AT13">
        <v>0.32369599999999998</v>
      </c>
      <c r="AU13">
        <v>0.346161</v>
      </c>
      <c r="AV13">
        <v>1.462</v>
      </c>
      <c r="AW13">
        <v>0.34659000000000001</v>
      </c>
      <c r="AX13">
        <v>3.2398000000000003E-2</v>
      </c>
      <c r="AY13">
        <v>7878.3955079999996</v>
      </c>
      <c r="AZ13">
        <v>0.218912</v>
      </c>
      <c r="BA13">
        <v>8.2200000000000006</v>
      </c>
      <c r="BB13">
        <v>5.0500999999999997E-2</v>
      </c>
      <c r="BC13">
        <v>0.65800000000000003</v>
      </c>
      <c r="BD13">
        <v>76.379997000000003</v>
      </c>
      <c r="BE13" s="19">
        <v>3.11</v>
      </c>
      <c r="BF13" s="19">
        <v>9.82</v>
      </c>
      <c r="BG13" s="19">
        <v>7.99</v>
      </c>
      <c r="BH13" s="19">
        <v>7.44</v>
      </c>
      <c r="BI13" s="19">
        <v>6.21</v>
      </c>
      <c r="BJ13" s="19">
        <v>7.2</v>
      </c>
      <c r="BK13" s="22">
        <v>7.8650000000000011</v>
      </c>
      <c r="BM13" s="22" t="str">
        <f t="shared" si="0"/>
        <v/>
      </c>
      <c r="BN13" s="22" t="str">
        <f t="shared" si="1"/>
        <v/>
      </c>
      <c r="BO13" s="22" t="str">
        <f t="shared" si="2"/>
        <v/>
      </c>
      <c r="BP13" s="22" t="str">
        <f t="shared" si="3"/>
        <v/>
      </c>
    </row>
    <row r="14" spans="1:68" x14ac:dyDescent="0.25">
      <c r="A14">
        <v>2.7743E-2</v>
      </c>
      <c r="B14">
        <v>2</v>
      </c>
      <c r="C14" t="s">
        <v>288</v>
      </c>
      <c r="D14">
        <v>2000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0</v>
      </c>
      <c r="AN14">
        <v>0.43263400000000002</v>
      </c>
      <c r="AO14">
        <v>0.52767699999999995</v>
      </c>
      <c r="AP14">
        <v>1.149602</v>
      </c>
      <c r="AQ14">
        <v>0.22325999999999999</v>
      </c>
      <c r="AR14">
        <v>5.2960000000000004E-3</v>
      </c>
      <c r="AS14">
        <v>8.1799999999999998E-3</v>
      </c>
      <c r="AT14">
        <v>0.32684800000000003</v>
      </c>
      <c r="AU14">
        <v>0.410806</v>
      </c>
      <c r="AV14">
        <v>1.3640000000000001</v>
      </c>
      <c r="AW14">
        <v>0.40289399999999997</v>
      </c>
      <c r="AX14">
        <v>1.3972E-2</v>
      </c>
      <c r="AY14">
        <v>7986.4580079999996</v>
      </c>
      <c r="AZ14">
        <v>0.21743199999999999</v>
      </c>
      <c r="BA14">
        <v>8.44</v>
      </c>
      <c r="BB14">
        <v>5.3411E-2</v>
      </c>
      <c r="BC14">
        <v>0.65800000000000003</v>
      </c>
      <c r="BD14">
        <v>83.150002000000001</v>
      </c>
      <c r="BE14" s="19">
        <v>2.82</v>
      </c>
      <c r="BF14" s="19">
        <v>8.85</v>
      </c>
      <c r="BG14" s="19">
        <v>8.7799999999999994</v>
      </c>
      <c r="BH14" s="19">
        <v>8.11</v>
      </c>
      <c r="BI14" s="19">
        <v>5.89</v>
      </c>
      <c r="BJ14" s="19">
        <v>7.04</v>
      </c>
      <c r="BK14" s="22">
        <v>7.9074999999999998</v>
      </c>
      <c r="BM14" s="22" t="str">
        <f t="shared" si="0"/>
        <v/>
      </c>
      <c r="BN14" s="22" t="str">
        <f t="shared" si="1"/>
        <v/>
      </c>
      <c r="BO14" s="22">
        <f t="shared" si="2"/>
        <v>7.04</v>
      </c>
      <c r="BP14" s="22" t="str">
        <f t="shared" si="3"/>
        <v/>
      </c>
    </row>
    <row r="15" spans="1:68" x14ac:dyDescent="0.25">
      <c r="A15">
        <v>8.9789999999999991E-3</v>
      </c>
      <c r="B15">
        <v>2</v>
      </c>
      <c r="C15" t="s">
        <v>288</v>
      </c>
      <c r="D15">
        <v>2005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0.43117899999999998</v>
      </c>
      <c r="AO15">
        <v>0.49377599999999999</v>
      </c>
      <c r="AP15">
        <v>1.14086</v>
      </c>
      <c r="AQ15">
        <v>0.210258</v>
      </c>
      <c r="AR15">
        <v>8.3890000000000006E-3</v>
      </c>
      <c r="AS15">
        <v>2.8019999999999998E-3</v>
      </c>
      <c r="AT15">
        <v>0.32153500000000002</v>
      </c>
      <c r="AU15">
        <v>0.49823499999999998</v>
      </c>
      <c r="AV15">
        <v>1.3879999999999999</v>
      </c>
      <c r="AW15">
        <v>0.45593499999999998</v>
      </c>
      <c r="AX15">
        <v>2.0367E-2</v>
      </c>
      <c r="AY15">
        <v>8130.4912109999996</v>
      </c>
      <c r="AZ15">
        <v>0.23172999999999999</v>
      </c>
      <c r="BA15">
        <v>8.8000000000000007</v>
      </c>
      <c r="BB15">
        <v>5.4349000000000001E-2</v>
      </c>
      <c r="BC15">
        <v>0.65920000000000001</v>
      </c>
      <c r="BD15">
        <v>90.870002999999997</v>
      </c>
      <c r="BE15" s="19">
        <v>4.7699999999999996</v>
      </c>
      <c r="BF15" s="19">
        <v>9.34</v>
      </c>
      <c r="BG15" s="19" t="s">
        <v>49</v>
      </c>
      <c r="BH15" s="19">
        <v>8.51</v>
      </c>
      <c r="BI15" s="19">
        <v>6.53</v>
      </c>
      <c r="BJ15" s="19">
        <v>7.76</v>
      </c>
      <c r="BK15" s="22">
        <v>8.1266666666666669</v>
      </c>
      <c r="BM15" s="22" t="str">
        <f t="shared" si="0"/>
        <v/>
      </c>
      <c r="BN15" s="22" t="str">
        <f t="shared" si="1"/>
        <v/>
      </c>
      <c r="BO15" s="22" t="str">
        <f t="shared" si="2"/>
        <v/>
      </c>
      <c r="BP15" s="22" t="str">
        <f t="shared" si="3"/>
        <v/>
      </c>
    </row>
    <row r="16" spans="1:68" x14ac:dyDescent="0.25">
      <c r="A16">
        <v>3.2333000000000001E-2</v>
      </c>
      <c r="B16">
        <v>3</v>
      </c>
      <c r="C16" t="s">
        <v>289</v>
      </c>
      <c r="D16">
        <v>1975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0.36457099999999998</v>
      </c>
      <c r="AO16">
        <v>0.46487800000000001</v>
      </c>
      <c r="AP16">
        <v>1.056044</v>
      </c>
      <c r="AQ16">
        <v>0.236568</v>
      </c>
      <c r="AR16">
        <v>1.8349000000000001E-2</v>
      </c>
      <c r="AS16">
        <v>7.5919999999999998E-3</v>
      </c>
      <c r="AT16">
        <v>0.36975200000000003</v>
      </c>
      <c r="AU16">
        <v>0.529362</v>
      </c>
      <c r="AV16">
        <v>1.9628000000000001</v>
      </c>
      <c r="AW16">
        <v>0.512096</v>
      </c>
      <c r="AX16">
        <v>8.4378999999999996E-2</v>
      </c>
      <c r="AY16">
        <v>9736.5996090000008</v>
      </c>
      <c r="AZ16">
        <v>0.281833</v>
      </c>
      <c r="BA16">
        <v>8.4</v>
      </c>
      <c r="BB16">
        <v>1.9408999999999999E-2</v>
      </c>
      <c r="BC16">
        <v>0.94220000000000004</v>
      </c>
      <c r="BD16">
        <v>71.389999000000003</v>
      </c>
      <c r="BE16" s="19">
        <v>4.55</v>
      </c>
      <c r="BF16" s="19">
        <v>9.57</v>
      </c>
      <c r="BG16" s="19">
        <v>5.31</v>
      </c>
      <c r="BH16" s="19">
        <v>9.0500000000000007</v>
      </c>
      <c r="BI16" s="19">
        <v>5.57</v>
      </c>
      <c r="BJ16" s="19">
        <v>7.66</v>
      </c>
      <c r="BK16" s="22">
        <v>7.375</v>
      </c>
      <c r="BM16" s="22" t="str">
        <f t="shared" si="0"/>
        <v/>
      </c>
      <c r="BN16" s="22" t="str">
        <f t="shared" si="1"/>
        <v/>
      </c>
      <c r="BO16" s="22" t="str">
        <f t="shared" si="2"/>
        <v/>
      </c>
      <c r="BP16" s="22" t="str">
        <f t="shared" si="3"/>
        <v/>
      </c>
    </row>
    <row r="17" spans="1:68" x14ac:dyDescent="0.25">
      <c r="A17">
        <v>3.0644000000000001E-2</v>
      </c>
      <c r="B17">
        <v>3</v>
      </c>
      <c r="C17" t="s">
        <v>289</v>
      </c>
      <c r="D17">
        <v>1980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0.41577599999999998</v>
      </c>
      <c r="AO17">
        <v>0.54369500000000004</v>
      </c>
      <c r="AP17">
        <v>1.1095390000000001</v>
      </c>
      <c r="AQ17">
        <v>0.22915199999999999</v>
      </c>
      <c r="AR17">
        <v>-1.2699E-2</v>
      </c>
      <c r="AS17">
        <v>6.9579999999999998E-3</v>
      </c>
      <c r="AT17">
        <v>0.36141499999999999</v>
      </c>
      <c r="AU17">
        <v>0.54541099999999998</v>
      </c>
      <c r="AV17">
        <v>1.6963999999999999</v>
      </c>
      <c r="AW17">
        <v>0.55852599999999997</v>
      </c>
      <c r="AX17">
        <v>6.3719999999999999E-2</v>
      </c>
      <c r="AY17">
        <v>9829.4003909999992</v>
      </c>
      <c r="AZ17">
        <v>0.23030700000000001</v>
      </c>
      <c r="BA17">
        <v>7.88</v>
      </c>
      <c r="BB17">
        <v>5.8776000000000002E-2</v>
      </c>
      <c r="BC17">
        <v>0.95040000000000002</v>
      </c>
      <c r="BD17">
        <v>71.900002000000001</v>
      </c>
      <c r="BE17" s="19">
        <v>3.77</v>
      </c>
      <c r="BF17" s="19">
        <v>8.44</v>
      </c>
      <c r="BG17" s="19">
        <v>7.31</v>
      </c>
      <c r="BH17" s="19">
        <v>8.58</v>
      </c>
      <c r="BI17" s="19">
        <v>5.38</v>
      </c>
      <c r="BJ17" s="19">
        <v>6.96</v>
      </c>
      <c r="BK17" s="22">
        <v>7.4274999999999993</v>
      </c>
      <c r="BM17" s="22">
        <f t="shared" si="0"/>
        <v>6.96</v>
      </c>
      <c r="BN17" s="22" t="str">
        <f t="shared" si="1"/>
        <v/>
      </c>
      <c r="BO17" s="22" t="str">
        <f t="shared" si="2"/>
        <v/>
      </c>
      <c r="BP17" s="22" t="str">
        <f t="shared" si="3"/>
        <v/>
      </c>
    </row>
    <row r="18" spans="1:68" x14ac:dyDescent="0.25">
      <c r="A18">
        <v>8.9709999999999998E-3</v>
      </c>
      <c r="B18">
        <v>3</v>
      </c>
      <c r="C18" t="s">
        <v>289</v>
      </c>
      <c r="D18">
        <v>1985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0.43313699999999999</v>
      </c>
      <c r="AO18">
        <v>0.602626</v>
      </c>
      <c r="AP18">
        <v>1.1335729999999999</v>
      </c>
      <c r="AQ18">
        <v>0.17749100000000001</v>
      </c>
      <c r="AR18">
        <v>-7.6300000000000001E-4</v>
      </c>
      <c r="AS18">
        <v>-5.9999999999999995E-4</v>
      </c>
      <c r="AT18">
        <v>0.34397899999999998</v>
      </c>
      <c r="AU18">
        <v>0.67522499999999996</v>
      </c>
      <c r="AV18">
        <v>1.585</v>
      </c>
      <c r="AW18">
        <v>0.67956000000000005</v>
      </c>
      <c r="AX18">
        <v>7.0465E-2</v>
      </c>
      <c r="AY18">
        <v>9855</v>
      </c>
      <c r="AZ18">
        <v>0.16924</v>
      </c>
      <c r="BA18">
        <v>7.85</v>
      </c>
      <c r="BB18">
        <v>0.100198</v>
      </c>
      <c r="BC18">
        <v>0.95699999999999996</v>
      </c>
      <c r="BD18">
        <v>76.360000999999997</v>
      </c>
      <c r="BE18" s="19">
        <v>3.42</v>
      </c>
      <c r="BF18" s="19">
        <v>8.9700000000000006</v>
      </c>
      <c r="BG18" s="19">
        <v>4.58</v>
      </c>
      <c r="BH18" s="19">
        <v>8.6300000000000008</v>
      </c>
      <c r="BI18" s="19">
        <v>5.75</v>
      </c>
      <c r="BJ18" s="19">
        <v>7.22</v>
      </c>
      <c r="BK18" s="22">
        <v>6.9824999999999999</v>
      </c>
      <c r="BM18" s="22" t="str">
        <f t="shared" si="0"/>
        <v/>
      </c>
      <c r="BN18" s="22" t="str">
        <f t="shared" si="1"/>
        <v/>
      </c>
      <c r="BO18" s="22" t="str">
        <f t="shared" si="2"/>
        <v/>
      </c>
      <c r="BP18" s="22" t="str">
        <f t="shared" si="3"/>
        <v/>
      </c>
    </row>
    <row r="19" spans="1:68" x14ac:dyDescent="0.25">
      <c r="A19">
        <v>2.8562000000000001E-2</v>
      </c>
      <c r="B19">
        <v>3</v>
      </c>
      <c r="C19" t="s">
        <v>289</v>
      </c>
      <c r="D19">
        <v>1990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0</v>
      </c>
      <c r="AL19">
        <v>0</v>
      </c>
      <c r="AM19">
        <v>0</v>
      </c>
      <c r="AN19">
        <v>0.431649</v>
      </c>
      <c r="AO19">
        <v>0.55409600000000003</v>
      </c>
      <c r="AP19">
        <v>1.0867169999999999</v>
      </c>
      <c r="AQ19">
        <v>0.19184000000000001</v>
      </c>
      <c r="AR19">
        <v>7.7759999999999999E-3</v>
      </c>
      <c r="AS19">
        <v>4.065E-3</v>
      </c>
      <c r="AT19">
        <v>0.32621099999999997</v>
      </c>
      <c r="AU19">
        <v>0.67141399999999996</v>
      </c>
      <c r="AV19">
        <v>1.57</v>
      </c>
      <c r="AW19">
        <v>0.64823200000000003</v>
      </c>
      <c r="AX19">
        <v>2.1141E-2</v>
      </c>
      <c r="AY19">
        <v>9907.8798829999996</v>
      </c>
      <c r="AZ19">
        <v>0.21421100000000001</v>
      </c>
      <c r="BA19">
        <v>8.16</v>
      </c>
      <c r="BB19">
        <v>8.5245000000000001E-2</v>
      </c>
      <c r="BC19">
        <v>0.96199999999999997</v>
      </c>
      <c r="BD19">
        <v>81.779999000000004</v>
      </c>
      <c r="BE19" s="19">
        <v>3.4</v>
      </c>
      <c r="BF19" s="19">
        <v>9.0299999999999994</v>
      </c>
      <c r="BG19" s="19">
        <v>7.08</v>
      </c>
      <c r="BH19" s="19">
        <v>8.84</v>
      </c>
      <c r="BI19" s="19">
        <v>5.62</v>
      </c>
      <c r="BJ19" s="19">
        <v>7.25</v>
      </c>
      <c r="BK19" s="22">
        <v>7.6425000000000001</v>
      </c>
      <c r="BM19" s="22" t="str">
        <f t="shared" si="0"/>
        <v/>
      </c>
      <c r="BN19" s="22" t="str">
        <f t="shared" si="1"/>
        <v/>
      </c>
      <c r="BO19" s="22" t="str">
        <f t="shared" si="2"/>
        <v/>
      </c>
      <c r="BP19" s="22" t="str">
        <f t="shared" si="3"/>
        <v/>
      </c>
    </row>
    <row r="20" spans="1:68" x14ac:dyDescent="0.25">
      <c r="A20">
        <v>1.2524E-2</v>
      </c>
      <c r="B20">
        <v>3</v>
      </c>
      <c r="C20" t="s">
        <v>289</v>
      </c>
      <c r="D20">
        <v>1995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0.42891000000000001</v>
      </c>
      <c r="AO20">
        <v>0.54203000000000001</v>
      </c>
      <c r="AP20">
        <v>1.0958760000000001</v>
      </c>
      <c r="AQ20">
        <v>0.19578200000000001</v>
      </c>
      <c r="AR20">
        <v>6.5319999999999996E-3</v>
      </c>
      <c r="AS20">
        <v>6.5199999999999998E-3</v>
      </c>
      <c r="AT20">
        <v>0.33043699999999998</v>
      </c>
      <c r="AU20">
        <v>0.662273</v>
      </c>
      <c r="AV20">
        <v>1.5720000000000001</v>
      </c>
      <c r="AW20">
        <v>0.628521</v>
      </c>
      <c r="AX20">
        <v>2.4473999999999999E-2</v>
      </c>
      <c r="AY20">
        <v>10077.280273</v>
      </c>
      <c r="AZ20">
        <v>0.24202699999999999</v>
      </c>
      <c r="BA20">
        <v>8.43</v>
      </c>
      <c r="BB20">
        <v>8.3232E-2</v>
      </c>
      <c r="BC20">
        <v>0.96640000000000004</v>
      </c>
      <c r="BD20">
        <v>83.279999000000004</v>
      </c>
      <c r="BE20" s="19">
        <v>4.1900000000000004</v>
      </c>
      <c r="BF20" s="19">
        <v>9.57</v>
      </c>
      <c r="BG20" s="19">
        <v>5.66</v>
      </c>
      <c r="BH20" s="19">
        <v>8.7200000000000006</v>
      </c>
      <c r="BI20" s="19">
        <v>5.72</v>
      </c>
      <c r="BJ20" s="19">
        <v>7.52</v>
      </c>
      <c r="BK20" s="22">
        <v>7.4175000000000004</v>
      </c>
      <c r="BM20" s="22" t="str">
        <f t="shared" si="0"/>
        <v/>
      </c>
      <c r="BN20" s="22" t="str">
        <f t="shared" si="1"/>
        <v/>
      </c>
      <c r="BO20" s="22" t="str">
        <f t="shared" si="2"/>
        <v/>
      </c>
      <c r="BP20" s="22" t="str">
        <f t="shared" si="3"/>
        <v/>
      </c>
    </row>
    <row r="21" spans="1:68" x14ac:dyDescent="0.25">
      <c r="A21">
        <v>2.4473999999999999E-2</v>
      </c>
      <c r="B21">
        <v>3</v>
      </c>
      <c r="C21" t="s">
        <v>289</v>
      </c>
      <c r="D21">
        <v>2000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0.44756200000000002</v>
      </c>
      <c r="AO21">
        <v>0.51144199999999995</v>
      </c>
      <c r="AP21">
        <v>1.0994919999999999</v>
      </c>
      <c r="AQ21">
        <v>0.20200699999999999</v>
      </c>
      <c r="AR21">
        <v>2.8310000000000002E-3</v>
      </c>
      <c r="AS21">
        <v>5.1780000000000003E-3</v>
      </c>
      <c r="AT21">
        <v>0.33866600000000002</v>
      </c>
      <c r="AU21">
        <v>0.75661299999999998</v>
      </c>
      <c r="AV21">
        <v>1.6040000000000001</v>
      </c>
      <c r="AW21">
        <v>0.71665299999999998</v>
      </c>
      <c r="AX21">
        <v>1.6608000000000001E-2</v>
      </c>
      <c r="AY21">
        <v>10203.799805000001</v>
      </c>
      <c r="AZ21">
        <v>0.25660500000000003</v>
      </c>
      <c r="BA21">
        <v>8.5500000000000007</v>
      </c>
      <c r="BB21">
        <v>8.6906999999999998E-2</v>
      </c>
      <c r="BC21">
        <v>0.9698</v>
      </c>
      <c r="BD21">
        <v>90.010002</v>
      </c>
      <c r="BE21" s="19">
        <v>4.04</v>
      </c>
      <c r="BF21" s="19">
        <v>7.52</v>
      </c>
      <c r="BG21" s="19">
        <v>5.2</v>
      </c>
      <c r="BH21" s="19">
        <v>8.66</v>
      </c>
      <c r="BI21" s="19">
        <v>6.11</v>
      </c>
      <c r="BJ21" s="19">
        <v>7.21</v>
      </c>
      <c r="BK21" s="22">
        <v>6.8724999999999996</v>
      </c>
      <c r="BM21" s="22" t="str">
        <f t="shared" si="0"/>
        <v/>
      </c>
      <c r="BN21" s="22" t="str">
        <f t="shared" si="1"/>
        <v/>
      </c>
      <c r="BO21" s="22">
        <f t="shared" si="2"/>
        <v>7.21</v>
      </c>
      <c r="BP21" s="22" t="str">
        <f t="shared" si="3"/>
        <v/>
      </c>
    </row>
    <row r="22" spans="1:68" x14ac:dyDescent="0.25">
      <c r="A22">
        <v>1.0129000000000001E-2</v>
      </c>
      <c r="B22">
        <v>3</v>
      </c>
      <c r="C22" t="s">
        <v>289</v>
      </c>
      <c r="D22">
        <v>2005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0.45001200000000002</v>
      </c>
      <c r="AO22">
        <v>0.50612500000000005</v>
      </c>
      <c r="AP22">
        <v>1.0955649999999999</v>
      </c>
      <c r="AQ22">
        <v>0.19523399999999999</v>
      </c>
      <c r="AR22">
        <v>4.176E-3</v>
      </c>
      <c r="AS22">
        <v>9.2069999999999999E-3</v>
      </c>
      <c r="AT22">
        <v>0.343364</v>
      </c>
      <c r="AU22">
        <v>0.83874800000000005</v>
      </c>
      <c r="AV22">
        <v>1.66</v>
      </c>
      <c r="AW22">
        <v>0.80061300000000002</v>
      </c>
      <c r="AX22">
        <v>2.1170999999999999E-2</v>
      </c>
      <c r="AY22">
        <v>10379.169921999999</v>
      </c>
      <c r="AZ22">
        <v>0.239373</v>
      </c>
      <c r="BA22">
        <v>8.73</v>
      </c>
      <c r="BB22">
        <v>7.8232999999999997E-2</v>
      </c>
      <c r="BC22">
        <v>0.97160000000000002</v>
      </c>
      <c r="BD22">
        <v>92.639999000000003</v>
      </c>
      <c r="BE22" s="19">
        <v>4.57</v>
      </c>
      <c r="BF22" s="19">
        <v>8.2899999999999991</v>
      </c>
      <c r="BG22" s="19">
        <v>8.85</v>
      </c>
      <c r="BH22" s="19">
        <v>8.9499999999999993</v>
      </c>
      <c r="BI22" s="19">
        <v>6.96</v>
      </c>
      <c r="BJ22" s="19">
        <v>7.68</v>
      </c>
      <c r="BK22" s="22">
        <v>8.2624999999999993</v>
      </c>
      <c r="BM22" s="22" t="str">
        <f t="shared" si="0"/>
        <v/>
      </c>
      <c r="BN22" s="22" t="str">
        <f t="shared" si="1"/>
        <v/>
      </c>
      <c r="BO22" s="22" t="str">
        <f t="shared" si="2"/>
        <v/>
      </c>
      <c r="BP22" s="22" t="str">
        <f t="shared" si="3"/>
        <v/>
      </c>
    </row>
    <row r="23" spans="1:68" x14ac:dyDescent="0.25">
      <c r="A23">
        <v>2.6987000000000001E-2</v>
      </c>
      <c r="B23">
        <v>4</v>
      </c>
      <c r="C23" t="s">
        <v>290</v>
      </c>
      <c r="D23">
        <v>1975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0.312695</v>
      </c>
      <c r="AO23">
        <v>0.39558399999999999</v>
      </c>
      <c r="AP23">
        <v>1.2140439999999999</v>
      </c>
      <c r="AQ23">
        <v>0.22795199999999999</v>
      </c>
      <c r="AR23">
        <v>1.7471E-2</v>
      </c>
      <c r="AS23">
        <v>3.4897999999999998E-2</v>
      </c>
      <c r="AT23">
        <v>0.38001699999999999</v>
      </c>
      <c r="AU23">
        <v>0.22863</v>
      </c>
      <c r="AV23">
        <v>1.9343999999999999</v>
      </c>
      <c r="AW23">
        <v>0.224047</v>
      </c>
      <c r="AX23">
        <v>7.3802000000000006E-2</v>
      </c>
      <c r="AY23">
        <v>22398.332031000002</v>
      </c>
      <c r="AZ23">
        <v>0.22978399999999999</v>
      </c>
      <c r="BA23">
        <v>8.8000000000000007</v>
      </c>
      <c r="BB23">
        <v>6.0467E-2</v>
      </c>
      <c r="BC23">
        <v>0.75639999999999996</v>
      </c>
      <c r="BD23">
        <v>72.730002999999996</v>
      </c>
      <c r="BE23" s="19">
        <v>4.8899999999999997</v>
      </c>
      <c r="BF23" s="19">
        <v>9.84</v>
      </c>
      <c r="BG23" s="19">
        <v>3.81</v>
      </c>
      <c r="BH23" s="19">
        <v>8.35</v>
      </c>
      <c r="BI23" s="19">
        <v>7.5</v>
      </c>
      <c r="BJ23" s="19">
        <v>7.97</v>
      </c>
      <c r="BK23" s="22">
        <v>7.375</v>
      </c>
      <c r="BM23" s="22" t="str">
        <f t="shared" si="0"/>
        <v/>
      </c>
      <c r="BN23" s="22" t="str">
        <f t="shared" si="1"/>
        <v/>
      </c>
      <c r="BO23" s="22" t="str">
        <f t="shared" si="2"/>
        <v/>
      </c>
      <c r="BP23" s="22" t="str">
        <f t="shared" si="3"/>
        <v/>
      </c>
    </row>
    <row r="24" spans="1:68" x14ac:dyDescent="0.25">
      <c r="A24">
        <v>2.5226999999999999E-2</v>
      </c>
      <c r="B24">
        <v>4</v>
      </c>
      <c r="C24" t="s">
        <v>290</v>
      </c>
      <c r="D24">
        <v>1980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0.307423</v>
      </c>
      <c r="AO24">
        <v>0.42366199999999998</v>
      </c>
      <c r="AP24">
        <v>1.242853</v>
      </c>
      <c r="AQ24">
        <v>0.229408</v>
      </c>
      <c r="AR24">
        <v>1.6278999999999998E-2</v>
      </c>
      <c r="AS24">
        <v>3.5582000000000003E-2</v>
      </c>
      <c r="AT24">
        <v>0.346327</v>
      </c>
      <c r="AU24">
        <v>0.25271399999999999</v>
      </c>
      <c r="AV24">
        <v>1.772667</v>
      </c>
      <c r="AW24">
        <v>0.249496</v>
      </c>
      <c r="AX24">
        <v>8.7479000000000001E-2</v>
      </c>
      <c r="AY24">
        <v>24044</v>
      </c>
      <c r="AZ24">
        <v>0.217754</v>
      </c>
      <c r="BA24">
        <v>9.5399999999999991</v>
      </c>
      <c r="BB24">
        <v>7.7107999999999996E-2</v>
      </c>
      <c r="BC24">
        <v>0.75660000000000005</v>
      </c>
      <c r="BD24">
        <v>74.599997999999999</v>
      </c>
      <c r="BE24" s="19">
        <v>5.23</v>
      </c>
      <c r="BF24" s="19">
        <v>6.88</v>
      </c>
      <c r="BG24" s="19">
        <v>5.87</v>
      </c>
      <c r="BH24" s="19">
        <v>7.44</v>
      </c>
      <c r="BI24" s="19">
        <v>7.17</v>
      </c>
      <c r="BJ24" s="19">
        <v>7.14</v>
      </c>
      <c r="BK24" s="22">
        <v>6.84</v>
      </c>
      <c r="BM24" s="22">
        <f t="shared" si="0"/>
        <v>7.14</v>
      </c>
      <c r="BN24" s="22" t="str">
        <f t="shared" si="1"/>
        <v/>
      </c>
      <c r="BO24" s="22" t="str">
        <f t="shared" si="2"/>
        <v/>
      </c>
      <c r="BP24" s="22" t="str">
        <f t="shared" si="3"/>
        <v/>
      </c>
    </row>
    <row r="25" spans="1:68" x14ac:dyDescent="0.25">
      <c r="A25">
        <v>1.6698000000000001E-2</v>
      </c>
      <c r="B25">
        <v>4</v>
      </c>
      <c r="C25" t="s">
        <v>290</v>
      </c>
      <c r="D25">
        <v>1985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0.32788699999999998</v>
      </c>
      <c r="AO25">
        <v>0.47711199999999998</v>
      </c>
      <c r="AP25">
        <v>1.236753</v>
      </c>
      <c r="AQ25">
        <v>0.213363</v>
      </c>
      <c r="AR25">
        <v>1.4064E-2</v>
      </c>
      <c r="AS25">
        <v>1.8411E-2</v>
      </c>
      <c r="AT25">
        <v>0.32143699999999997</v>
      </c>
      <c r="AU25">
        <v>0.271343</v>
      </c>
      <c r="AV25">
        <v>1.6779999999999999</v>
      </c>
      <c r="AW25">
        <v>0.244837</v>
      </c>
      <c r="AX25">
        <v>7.4743000000000004E-2</v>
      </c>
      <c r="AY25">
        <v>25440.400390999999</v>
      </c>
      <c r="AZ25">
        <v>0.20530999999999999</v>
      </c>
      <c r="BA25">
        <v>10.23</v>
      </c>
      <c r="BB25">
        <v>0.105461</v>
      </c>
      <c r="BC25">
        <v>0.76119999999999999</v>
      </c>
      <c r="BD25">
        <v>79.75</v>
      </c>
      <c r="BE25" s="19">
        <v>4.87</v>
      </c>
      <c r="BF25" s="19">
        <v>8.4600000000000009</v>
      </c>
      <c r="BG25" s="19">
        <v>7.11</v>
      </c>
      <c r="BH25" s="19">
        <v>7.69</v>
      </c>
      <c r="BI25" s="19">
        <v>7.65</v>
      </c>
      <c r="BJ25" s="19">
        <v>7.58</v>
      </c>
      <c r="BK25" s="22">
        <v>7.7275000000000009</v>
      </c>
      <c r="BM25" s="22" t="str">
        <f t="shared" si="0"/>
        <v/>
      </c>
      <c r="BN25" s="22" t="str">
        <f t="shared" si="1"/>
        <v/>
      </c>
      <c r="BO25" s="22" t="str">
        <f t="shared" si="2"/>
        <v/>
      </c>
      <c r="BP25" s="22" t="str">
        <f t="shared" si="3"/>
        <v/>
      </c>
    </row>
    <row r="26" spans="1:68" x14ac:dyDescent="0.25">
      <c r="A26">
        <v>1.4625000000000001E-2</v>
      </c>
      <c r="B26">
        <v>4</v>
      </c>
      <c r="C26" t="s">
        <v>290</v>
      </c>
      <c r="D26">
        <v>1990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0.34353299999999998</v>
      </c>
      <c r="AO26">
        <v>0.48078500000000002</v>
      </c>
      <c r="AP26">
        <v>1.2317359999999999</v>
      </c>
      <c r="AQ26">
        <v>0.216943</v>
      </c>
      <c r="AR26">
        <v>3.3019999999999998E-3</v>
      </c>
      <c r="AS26">
        <v>1.8297999999999998E-2</v>
      </c>
      <c r="AT26">
        <v>0.31547700000000001</v>
      </c>
      <c r="AU26">
        <v>0.26790000000000003</v>
      </c>
      <c r="AV26">
        <v>1.74</v>
      </c>
      <c r="AW26">
        <v>0.26256699999999999</v>
      </c>
      <c r="AX26">
        <v>4.4642000000000001E-2</v>
      </c>
      <c r="AY26">
        <v>26963.800781000002</v>
      </c>
      <c r="AZ26">
        <v>0.191634</v>
      </c>
      <c r="BA26">
        <v>10.4</v>
      </c>
      <c r="BB26">
        <v>8.3901000000000003E-2</v>
      </c>
      <c r="BC26">
        <v>0.76519999999999999</v>
      </c>
      <c r="BD26">
        <v>78.819999999999993</v>
      </c>
      <c r="BE26" s="19">
        <v>4.74</v>
      </c>
      <c r="BF26" s="19">
        <v>9.2899999999999991</v>
      </c>
      <c r="BG26" s="19">
        <v>8.9499999999999993</v>
      </c>
      <c r="BH26" s="19">
        <v>7.68</v>
      </c>
      <c r="BI26" s="19">
        <v>7.63</v>
      </c>
      <c r="BJ26" s="19">
        <v>7.65</v>
      </c>
      <c r="BK26" s="22">
        <v>8.3874999999999993</v>
      </c>
      <c r="BM26" s="22" t="str">
        <f t="shared" si="0"/>
        <v/>
      </c>
      <c r="BN26" s="22" t="str">
        <f t="shared" si="1"/>
        <v/>
      </c>
      <c r="BO26" s="22" t="str">
        <f t="shared" si="2"/>
        <v/>
      </c>
      <c r="BP26" s="22" t="str">
        <f t="shared" si="3"/>
        <v/>
      </c>
    </row>
    <row r="27" spans="1:68" x14ac:dyDescent="0.25">
      <c r="A27">
        <v>5.8129999999999996E-3</v>
      </c>
      <c r="B27">
        <v>4</v>
      </c>
      <c r="C27" t="s">
        <v>290</v>
      </c>
      <c r="D27">
        <v>1995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0.35708699999999999</v>
      </c>
      <c r="AO27">
        <v>0.52945600000000004</v>
      </c>
      <c r="AP27">
        <v>1.160215</v>
      </c>
      <c r="AQ27">
        <v>0.185639</v>
      </c>
      <c r="AR27">
        <v>1.916E-3</v>
      </c>
      <c r="AS27">
        <v>6.1219999999999998E-3</v>
      </c>
      <c r="AT27">
        <v>0.31961400000000001</v>
      </c>
      <c r="AU27">
        <v>0.31065100000000001</v>
      </c>
      <c r="AV27">
        <v>1.6872499999999999</v>
      </c>
      <c r="AW27">
        <v>0.30439500000000003</v>
      </c>
      <c r="AX27">
        <v>2.2631999999999999E-2</v>
      </c>
      <c r="AY27">
        <v>28798.119140999999</v>
      </c>
      <c r="AZ27">
        <v>0.15327499999999999</v>
      </c>
      <c r="BA27">
        <v>10.5</v>
      </c>
      <c r="BB27">
        <v>0.105557</v>
      </c>
      <c r="BC27">
        <v>0.77259999999999995</v>
      </c>
      <c r="BD27">
        <v>78.629997000000003</v>
      </c>
      <c r="BE27" s="19">
        <v>5.31</v>
      </c>
      <c r="BF27" s="19">
        <v>9.84</v>
      </c>
      <c r="BG27" s="19">
        <v>8.52</v>
      </c>
      <c r="BH27" s="19">
        <v>7.59</v>
      </c>
      <c r="BI27" s="19">
        <v>7.63</v>
      </c>
      <c r="BJ27" s="19">
        <v>7.97</v>
      </c>
      <c r="BK27" s="22">
        <v>8.3949999999999996</v>
      </c>
      <c r="BM27" s="22" t="str">
        <f t="shared" si="0"/>
        <v/>
      </c>
      <c r="BN27" s="22" t="str">
        <f t="shared" si="1"/>
        <v/>
      </c>
      <c r="BO27" s="22" t="str">
        <f t="shared" si="2"/>
        <v/>
      </c>
      <c r="BP27" s="22" t="str">
        <f t="shared" si="3"/>
        <v/>
      </c>
    </row>
    <row r="28" spans="1:68" x14ac:dyDescent="0.25">
      <c r="A28">
        <v>3.1734999999999999E-2</v>
      </c>
      <c r="B28">
        <v>4</v>
      </c>
      <c r="C28" t="s">
        <v>290</v>
      </c>
      <c r="D28">
        <v>2000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0.36271399999999998</v>
      </c>
      <c r="AO28">
        <v>0.45518500000000001</v>
      </c>
      <c r="AP28">
        <v>1.125977</v>
      </c>
      <c r="AQ28">
        <v>0.193103</v>
      </c>
      <c r="AR28">
        <v>1.2629E-2</v>
      </c>
      <c r="AS28">
        <v>1.533E-2</v>
      </c>
      <c r="AT28">
        <v>0.32361099999999998</v>
      </c>
      <c r="AU28">
        <v>0.42094599999999999</v>
      </c>
      <c r="AV28">
        <v>1.544</v>
      </c>
      <c r="AW28">
        <v>0.386264</v>
      </c>
      <c r="AX28">
        <v>1.7305000000000001E-2</v>
      </c>
      <c r="AY28">
        <v>30235.179688</v>
      </c>
      <c r="AZ28">
        <v>0.20360800000000001</v>
      </c>
      <c r="BA28">
        <v>11.18</v>
      </c>
      <c r="BB28">
        <v>8.2893999999999995E-2</v>
      </c>
      <c r="BC28">
        <v>0.78720000000000001</v>
      </c>
      <c r="BD28">
        <v>84.279999000000004</v>
      </c>
      <c r="BE28" s="19">
        <v>5.3</v>
      </c>
      <c r="BF28" s="19">
        <v>8.9499999999999993</v>
      </c>
      <c r="BG28" s="19">
        <v>8.09</v>
      </c>
      <c r="BH28" s="19">
        <v>7.5</v>
      </c>
      <c r="BI28" s="19">
        <v>7.64</v>
      </c>
      <c r="BJ28" s="19">
        <v>7.8</v>
      </c>
      <c r="BK28" s="22">
        <v>8.0449999999999999</v>
      </c>
      <c r="BM28" s="22" t="str">
        <f t="shared" si="0"/>
        <v/>
      </c>
      <c r="BN28" s="22" t="str">
        <f t="shared" si="1"/>
        <v/>
      </c>
      <c r="BO28" s="22">
        <f t="shared" si="2"/>
        <v>7.8</v>
      </c>
      <c r="BP28" s="22" t="str">
        <f t="shared" si="3"/>
        <v/>
      </c>
    </row>
    <row r="29" spans="1:68" x14ac:dyDescent="0.25">
      <c r="A29">
        <v>1.5298000000000001E-2</v>
      </c>
      <c r="B29">
        <v>4</v>
      </c>
      <c r="C29" t="s">
        <v>290</v>
      </c>
      <c r="D29">
        <v>2005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0.33822200000000002</v>
      </c>
      <c r="AO29">
        <v>0.42327100000000001</v>
      </c>
      <c r="AP29">
        <v>1.144668</v>
      </c>
      <c r="AQ29">
        <v>0.19938</v>
      </c>
      <c r="AR29">
        <v>4.4330000000000003E-3</v>
      </c>
      <c r="AS29">
        <v>1.8155999999999999E-2</v>
      </c>
      <c r="AT29">
        <v>0.31698900000000002</v>
      </c>
      <c r="AU29">
        <v>0.40741300000000003</v>
      </c>
      <c r="AV29">
        <v>1.5222500000000001</v>
      </c>
      <c r="AW29">
        <v>0.36197400000000002</v>
      </c>
      <c r="AX29">
        <v>2.3226E-2</v>
      </c>
      <c r="AY29">
        <v>31672.380859000001</v>
      </c>
      <c r="AZ29">
        <v>0.22215299999999999</v>
      </c>
      <c r="BA29">
        <v>11.43</v>
      </c>
      <c r="BB29">
        <v>7.2815000000000005E-2</v>
      </c>
      <c r="BC29">
        <v>0.79820000000000002</v>
      </c>
      <c r="BD29">
        <v>88.470000999999996</v>
      </c>
      <c r="BE29" s="19">
        <v>5.97</v>
      </c>
      <c r="BF29" s="19">
        <v>9.27</v>
      </c>
      <c r="BG29" s="19">
        <v>9.32</v>
      </c>
      <c r="BH29" s="19">
        <v>8.2899999999999991</v>
      </c>
      <c r="BI29" s="19">
        <v>7.61</v>
      </c>
      <c r="BJ29" s="19">
        <v>8.1199999999999992</v>
      </c>
      <c r="BK29" s="22">
        <v>8.6225000000000005</v>
      </c>
      <c r="BM29" s="22" t="str">
        <f t="shared" si="0"/>
        <v/>
      </c>
      <c r="BN29" s="22" t="str">
        <f t="shared" si="1"/>
        <v/>
      </c>
      <c r="BO29" s="22" t="str">
        <f t="shared" si="2"/>
        <v/>
      </c>
      <c r="BP29" s="22" t="str">
        <f t="shared" si="3"/>
        <v/>
      </c>
    </row>
    <row r="30" spans="1:68" x14ac:dyDescent="0.25">
      <c r="A30">
        <v>1.2577E-2</v>
      </c>
      <c r="B30">
        <v>5</v>
      </c>
      <c r="C30" t="s">
        <v>291</v>
      </c>
      <c r="D30">
        <v>1975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0.40809699999999999</v>
      </c>
      <c r="AO30">
        <v>0.43597399999999997</v>
      </c>
      <c r="AP30">
        <v>1.158612</v>
      </c>
      <c r="AQ30">
        <v>0.24431800000000001</v>
      </c>
      <c r="AR30">
        <v>-1.812E-3</v>
      </c>
      <c r="AS30">
        <v>8.3829999999999998E-3</v>
      </c>
      <c r="AT30">
        <v>0.35566399999999998</v>
      </c>
      <c r="AU30">
        <v>0.29338399999999998</v>
      </c>
      <c r="AV30">
        <v>1.9610000000000001</v>
      </c>
      <c r="AW30">
        <v>0.31352099999999999</v>
      </c>
      <c r="AX30">
        <v>9.3232999999999996E-2</v>
      </c>
      <c r="AY30">
        <v>5016.3999020000001</v>
      </c>
      <c r="AZ30">
        <v>0.22776399999999999</v>
      </c>
      <c r="BA30">
        <v>8.7799999999999994</v>
      </c>
      <c r="BB30">
        <v>1.8147E-2</v>
      </c>
      <c r="BC30">
        <v>0.81140000000000001</v>
      </c>
      <c r="BD30">
        <v>66.720000999999996</v>
      </c>
      <c r="BE30" s="19">
        <v>4.29</v>
      </c>
      <c r="BF30" s="19">
        <v>9.74</v>
      </c>
      <c r="BG30" s="19">
        <v>8.27</v>
      </c>
      <c r="BH30" s="19">
        <v>7.45</v>
      </c>
      <c r="BI30" s="19">
        <v>7.42</v>
      </c>
      <c r="BJ30" s="19">
        <v>7.08</v>
      </c>
      <c r="BK30" s="22">
        <v>8.2199999999999989</v>
      </c>
      <c r="BM30" s="22" t="str">
        <f t="shared" si="0"/>
        <v/>
      </c>
      <c r="BN30" s="22" t="str">
        <f>IF(OR(C30="SWE",C30="NOR",C30="DEN",C30="FIN"),BM30,"")</f>
        <v/>
      </c>
      <c r="BO30" s="22" t="str">
        <f t="shared" si="2"/>
        <v/>
      </c>
      <c r="BP30" s="22" t="str">
        <f t="shared" si="3"/>
        <v/>
      </c>
    </row>
    <row r="31" spans="1:68" x14ac:dyDescent="0.25">
      <c r="A31">
        <v>2.5059000000000001E-2</v>
      </c>
      <c r="B31">
        <v>5</v>
      </c>
      <c r="C31" t="s">
        <v>291</v>
      </c>
      <c r="D31">
        <v>1980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0.412632</v>
      </c>
      <c r="AO31">
        <v>0.49464000000000002</v>
      </c>
      <c r="AP31">
        <v>1.1051949999999999</v>
      </c>
      <c r="AQ31">
        <v>0.22203500000000001</v>
      </c>
      <c r="AR31">
        <v>3.8430000000000001E-3</v>
      </c>
      <c r="AS31">
        <v>8.1349999999999999E-3</v>
      </c>
      <c r="AT31">
        <v>0.35988999999999999</v>
      </c>
      <c r="AU31">
        <v>0.29946800000000001</v>
      </c>
      <c r="AV31">
        <v>1.6446000000000001</v>
      </c>
      <c r="AW31">
        <v>0.33534599999999998</v>
      </c>
      <c r="AX31">
        <v>0.104129</v>
      </c>
      <c r="AY31">
        <v>5101</v>
      </c>
      <c r="AZ31">
        <v>0.18757799999999999</v>
      </c>
      <c r="BA31">
        <v>8.9499999999999993</v>
      </c>
      <c r="BB31">
        <v>5.0122E-2</v>
      </c>
      <c r="BC31">
        <v>0.8306</v>
      </c>
      <c r="BD31">
        <v>67.489998</v>
      </c>
      <c r="BE31" s="19">
        <v>3.63</v>
      </c>
      <c r="BF31" s="19">
        <v>7.29</v>
      </c>
      <c r="BH31" s="19">
        <v>7.28</v>
      </c>
      <c r="BI31" s="19">
        <v>7.37</v>
      </c>
      <c r="BJ31" s="19">
        <v>6.31</v>
      </c>
      <c r="BK31" s="22">
        <v>7.3133333333333335</v>
      </c>
      <c r="BM31" s="22">
        <f t="shared" si="0"/>
        <v>6.31</v>
      </c>
      <c r="BN31" s="22">
        <f t="shared" si="1"/>
        <v>6.31</v>
      </c>
      <c r="BO31" s="22" t="str">
        <f t="shared" si="2"/>
        <v/>
      </c>
      <c r="BP31" s="22" t="str">
        <f t="shared" si="3"/>
        <v/>
      </c>
    </row>
    <row r="32" spans="1:68" x14ac:dyDescent="0.25">
      <c r="A32">
        <v>2.7604E-2</v>
      </c>
      <c r="B32">
        <v>5</v>
      </c>
      <c r="C32" t="s">
        <v>291</v>
      </c>
      <c r="D32">
        <v>1985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0.44140699999999999</v>
      </c>
      <c r="AO32">
        <v>0.58205300000000004</v>
      </c>
      <c r="AP32">
        <v>1.0988709999999999</v>
      </c>
      <c r="AQ32">
        <v>0.18085399999999999</v>
      </c>
      <c r="AR32">
        <v>4.6490000000000004E-3</v>
      </c>
      <c r="AS32">
        <v>8.3339999999999994E-3</v>
      </c>
      <c r="AT32">
        <v>0.352574</v>
      </c>
      <c r="AU32">
        <v>0.37353199999999998</v>
      </c>
      <c r="AV32">
        <v>1.4176</v>
      </c>
      <c r="AW32">
        <v>0.37223400000000001</v>
      </c>
      <c r="AX32">
        <v>7.9527E-2</v>
      </c>
      <c r="AY32">
        <v>5116</v>
      </c>
      <c r="AZ32">
        <v>0.15406500000000001</v>
      </c>
      <c r="BA32">
        <v>9.16</v>
      </c>
      <c r="BB32">
        <v>7.6337000000000002E-2</v>
      </c>
      <c r="BC32">
        <v>0.84119999999999995</v>
      </c>
      <c r="BD32">
        <v>70.459998999999996</v>
      </c>
      <c r="BE32" s="19">
        <v>3.06</v>
      </c>
      <c r="BF32" s="19">
        <v>8.48</v>
      </c>
      <c r="BG32" s="19">
        <v>8.51</v>
      </c>
      <c r="BH32" s="19">
        <v>7.35</v>
      </c>
      <c r="BI32" s="19">
        <v>7.31</v>
      </c>
      <c r="BJ32" s="19">
        <v>6.52</v>
      </c>
      <c r="BK32" s="22">
        <v>7.9125000000000005</v>
      </c>
      <c r="BM32" s="22" t="str">
        <f t="shared" si="0"/>
        <v/>
      </c>
      <c r="BN32" s="22" t="str">
        <f t="shared" si="1"/>
        <v/>
      </c>
      <c r="BO32" s="22" t="str">
        <f t="shared" si="2"/>
        <v/>
      </c>
      <c r="BP32" s="22" t="str">
        <f>IF(OR(C32="SWE",C32="NOR",C32="DEN",C32="FIN"),BO32,"")</f>
        <v/>
      </c>
    </row>
    <row r="33" spans="1:68" x14ac:dyDescent="0.25">
      <c r="A33">
        <v>1.3072E-2</v>
      </c>
      <c r="B33">
        <v>5</v>
      </c>
      <c r="C33" t="s">
        <v>291</v>
      </c>
      <c r="D33">
        <v>1990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0</v>
      </c>
      <c r="AL33">
        <v>0</v>
      </c>
      <c r="AM33">
        <v>0</v>
      </c>
      <c r="AN33">
        <v>0.48440800000000001</v>
      </c>
      <c r="AO33">
        <v>0.56774500000000006</v>
      </c>
      <c r="AP33">
        <v>1.1543810000000001</v>
      </c>
      <c r="AQ33">
        <v>0.207399</v>
      </c>
      <c r="AR33">
        <v>5.6129999999999999E-3</v>
      </c>
      <c r="AS33">
        <v>4.1200000000000004E-3</v>
      </c>
      <c r="AT33">
        <v>0.33526</v>
      </c>
      <c r="AU33">
        <v>0.34693400000000002</v>
      </c>
      <c r="AV33">
        <v>1.5660000000000001</v>
      </c>
      <c r="AW33">
        <v>0.32819900000000002</v>
      </c>
      <c r="AX33">
        <v>3.9386999999999998E-2</v>
      </c>
      <c r="AY33">
        <v>5130.2001950000003</v>
      </c>
      <c r="AZ33">
        <v>0.18847800000000001</v>
      </c>
      <c r="BA33">
        <v>9.42</v>
      </c>
      <c r="BB33">
        <v>5.9050999999999999E-2</v>
      </c>
      <c r="BC33">
        <v>0.84640000000000004</v>
      </c>
      <c r="BD33">
        <v>74.809997999999993</v>
      </c>
      <c r="BE33" s="19">
        <v>3.14</v>
      </c>
      <c r="BF33" s="19">
        <v>9.31</v>
      </c>
      <c r="BG33" s="19">
        <v>8.09</v>
      </c>
      <c r="BH33" s="19">
        <v>7.51</v>
      </c>
      <c r="BI33" s="19">
        <v>7.21</v>
      </c>
      <c r="BJ33" s="19">
        <v>6.66</v>
      </c>
      <c r="BK33" s="22">
        <v>8.0299999999999994</v>
      </c>
      <c r="BM33" s="22" t="str">
        <f t="shared" si="0"/>
        <v/>
      </c>
      <c r="BN33" s="22" t="str">
        <f t="shared" si="1"/>
        <v/>
      </c>
      <c r="BO33" s="22" t="str">
        <f t="shared" si="2"/>
        <v/>
      </c>
      <c r="BP33" s="22" t="str">
        <f t="shared" si="3"/>
        <v/>
      </c>
    </row>
    <row r="34" spans="1:68" x14ac:dyDescent="0.25">
      <c r="A34">
        <v>1.9834000000000001E-2</v>
      </c>
      <c r="B34">
        <v>5</v>
      </c>
      <c r="C34" t="s">
        <v>291</v>
      </c>
      <c r="D34">
        <v>1995</v>
      </c>
      <c r="E34">
        <v>0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0.47743099999999999</v>
      </c>
      <c r="AO34">
        <v>0.60545800000000005</v>
      </c>
      <c r="AP34">
        <v>1.079053</v>
      </c>
      <c r="AQ34">
        <v>0.177509</v>
      </c>
      <c r="AR34">
        <v>1.4638999999999999E-2</v>
      </c>
      <c r="AS34">
        <v>-2.2910000000000001E-3</v>
      </c>
      <c r="AT34">
        <v>0.326297</v>
      </c>
      <c r="AU34">
        <v>0.37817899999999999</v>
      </c>
      <c r="AV34">
        <v>1.7605999999999999</v>
      </c>
      <c r="AW34">
        <v>0.32277099999999997</v>
      </c>
      <c r="AX34">
        <v>1.9626999999999999E-2</v>
      </c>
      <c r="AY34">
        <v>5189.2001950000003</v>
      </c>
      <c r="AZ34">
        <v>0.19672200000000001</v>
      </c>
      <c r="BA34">
        <v>10.130000000000001</v>
      </c>
      <c r="BB34">
        <v>8.0754000000000006E-2</v>
      </c>
      <c r="BC34">
        <v>0.84919999999999995</v>
      </c>
      <c r="BD34">
        <v>75.319999999999993</v>
      </c>
      <c r="BE34" s="19">
        <v>2.92</v>
      </c>
      <c r="BF34" s="19">
        <v>9.86</v>
      </c>
      <c r="BG34" s="19">
        <v>8.41</v>
      </c>
      <c r="BH34" s="19">
        <v>7.32</v>
      </c>
      <c r="BI34" s="19">
        <v>7.3</v>
      </c>
      <c r="BJ34" s="19">
        <v>7.34</v>
      </c>
      <c r="BK34" s="22">
        <v>8.2225000000000001</v>
      </c>
      <c r="BM34" s="22" t="str">
        <f t="shared" si="0"/>
        <v/>
      </c>
      <c r="BN34" s="22" t="str">
        <f t="shared" si="1"/>
        <v/>
      </c>
      <c r="BO34" s="22" t="str">
        <f t="shared" si="2"/>
        <v/>
      </c>
      <c r="BP34" s="22" t="str">
        <f t="shared" si="3"/>
        <v/>
      </c>
    </row>
    <row r="35" spans="1:68" x14ac:dyDescent="0.25">
      <c r="A35">
        <v>2.4358000000000001E-2</v>
      </c>
      <c r="B35">
        <v>5</v>
      </c>
      <c r="C35" t="s">
        <v>291</v>
      </c>
      <c r="D35">
        <v>2000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0</v>
      </c>
      <c r="AN35">
        <v>0.49552499999999999</v>
      </c>
      <c r="AO35">
        <v>0.58081499999999997</v>
      </c>
      <c r="AP35">
        <v>1.122263</v>
      </c>
      <c r="AQ35">
        <v>0.19717199999999999</v>
      </c>
      <c r="AR35">
        <v>-5.3880000000000004E-3</v>
      </c>
      <c r="AS35">
        <v>4.9220000000000002E-3</v>
      </c>
      <c r="AT35">
        <v>0.32619199999999998</v>
      </c>
      <c r="AU35">
        <v>0.40476200000000001</v>
      </c>
      <c r="AV35">
        <v>1.7458</v>
      </c>
      <c r="AW35">
        <v>0.36120400000000003</v>
      </c>
      <c r="AX35">
        <v>2.3127999999999999E-2</v>
      </c>
      <c r="AY35">
        <v>5300.7348629999997</v>
      </c>
      <c r="AZ35">
        <v>0.21395700000000001</v>
      </c>
      <c r="BA35">
        <v>9.86</v>
      </c>
      <c r="BB35">
        <v>5.1085999999999999E-2</v>
      </c>
      <c r="BC35">
        <v>0.85060000000000002</v>
      </c>
      <c r="BD35">
        <v>83.510002</v>
      </c>
      <c r="BE35" s="19">
        <v>3.07</v>
      </c>
      <c r="BF35" s="19">
        <v>9.09</v>
      </c>
      <c r="BG35" s="19">
        <v>9.77</v>
      </c>
      <c r="BH35" s="19">
        <v>7.93</v>
      </c>
      <c r="BI35" s="19">
        <v>7.45</v>
      </c>
      <c r="BJ35" s="19">
        <v>7.46</v>
      </c>
      <c r="BK35" s="22">
        <v>8.56</v>
      </c>
      <c r="BM35" s="22" t="str">
        <f t="shared" si="0"/>
        <v/>
      </c>
      <c r="BN35" s="22" t="str">
        <f t="shared" si="1"/>
        <v/>
      </c>
      <c r="BO35" s="22">
        <f t="shared" si="2"/>
        <v>7.46</v>
      </c>
      <c r="BP35" s="22">
        <f t="shared" si="3"/>
        <v>7.46</v>
      </c>
    </row>
    <row r="36" spans="1:68" x14ac:dyDescent="0.25">
      <c r="A36">
        <v>1.0385E-2</v>
      </c>
      <c r="B36">
        <v>5</v>
      </c>
      <c r="C36" t="s">
        <v>291</v>
      </c>
      <c r="D36">
        <v>2005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0.48629699999999998</v>
      </c>
      <c r="AO36">
        <v>0.56027499999999997</v>
      </c>
      <c r="AP36">
        <v>1.1671959999999999</v>
      </c>
      <c r="AQ36">
        <v>0.19694900000000001</v>
      </c>
      <c r="AR36">
        <v>4.6220000000000002E-3</v>
      </c>
      <c r="AS36">
        <v>1.387E-3</v>
      </c>
      <c r="AT36">
        <v>0.33304600000000001</v>
      </c>
      <c r="AU36">
        <v>0.46693899999999999</v>
      </c>
      <c r="AV36">
        <v>1.7612000000000001</v>
      </c>
      <c r="AW36">
        <v>0.41057399999999999</v>
      </c>
      <c r="AX36">
        <v>1.9671999999999999E-2</v>
      </c>
      <c r="AY36">
        <v>5386.7333980000003</v>
      </c>
      <c r="AZ36">
        <v>0.23366600000000001</v>
      </c>
      <c r="BA36">
        <v>10.09</v>
      </c>
      <c r="BB36">
        <v>4.9204999999999999E-2</v>
      </c>
      <c r="BC36">
        <v>0.85399999999999998</v>
      </c>
      <c r="BD36">
        <v>89.559997999999993</v>
      </c>
      <c r="BE36" s="19">
        <v>4.2300000000000004</v>
      </c>
      <c r="BF36" s="19">
        <v>9.5399999999999991</v>
      </c>
      <c r="BG36" s="19">
        <v>9.7100000000000009</v>
      </c>
      <c r="BH36" s="19">
        <v>8.23</v>
      </c>
      <c r="BI36" s="19">
        <v>7.2</v>
      </c>
      <c r="BJ36" s="19">
        <v>7.78</v>
      </c>
      <c r="BK36" s="22">
        <v>8.67</v>
      </c>
      <c r="BM36" s="22" t="str">
        <f t="shared" si="0"/>
        <v/>
      </c>
      <c r="BN36" s="22" t="str">
        <f t="shared" si="1"/>
        <v/>
      </c>
      <c r="BO36" s="22" t="str">
        <f t="shared" si="2"/>
        <v/>
      </c>
      <c r="BP36" s="22" t="str">
        <f t="shared" si="3"/>
        <v/>
      </c>
    </row>
    <row r="37" spans="1:68" x14ac:dyDescent="0.25">
      <c r="A37">
        <v>3.9253000000000003E-2</v>
      </c>
      <c r="B37">
        <v>6</v>
      </c>
      <c r="C37" t="s">
        <v>292</v>
      </c>
      <c r="D37">
        <v>1975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0.34477200000000002</v>
      </c>
      <c r="AO37">
        <v>0.34033099999999999</v>
      </c>
      <c r="AP37">
        <v>0.94500600000000001</v>
      </c>
      <c r="AQ37">
        <v>0.29764800000000002</v>
      </c>
      <c r="AR37">
        <v>2.3758000000000001E-2</v>
      </c>
      <c r="AS37">
        <v>9.7599999999999996E-3</v>
      </c>
      <c r="AT37">
        <v>0.33760299999999999</v>
      </c>
      <c r="AU37">
        <v>0.238538</v>
      </c>
      <c r="AV37">
        <v>1.6226</v>
      </c>
      <c r="AW37">
        <v>0.26897799999999999</v>
      </c>
      <c r="AX37">
        <v>0.118188</v>
      </c>
      <c r="AY37">
        <v>4664.7998049999997</v>
      </c>
      <c r="AZ37">
        <v>0.293933</v>
      </c>
      <c r="BA37">
        <v>6.5</v>
      </c>
      <c r="BB37">
        <v>2.2259000000000001E-2</v>
      </c>
      <c r="BC37">
        <v>0.55100000000000005</v>
      </c>
      <c r="BD37">
        <v>56.369999</v>
      </c>
      <c r="BE37" s="19">
        <v>5.27</v>
      </c>
      <c r="BF37" s="19">
        <v>8.41</v>
      </c>
      <c r="BG37" s="19">
        <v>7.96</v>
      </c>
      <c r="BH37" s="19">
        <v>6.8</v>
      </c>
      <c r="BI37" s="19">
        <v>7.23</v>
      </c>
      <c r="BJ37" s="19">
        <v>7.12</v>
      </c>
      <c r="BK37" s="22">
        <v>7.6000000000000005</v>
      </c>
      <c r="BM37" s="22" t="str">
        <f t="shared" si="0"/>
        <v/>
      </c>
      <c r="BN37" s="22" t="str">
        <f t="shared" si="1"/>
        <v/>
      </c>
      <c r="BO37" s="22" t="str">
        <f t="shared" si="2"/>
        <v/>
      </c>
      <c r="BP37" s="22" t="str">
        <f t="shared" si="3"/>
        <v/>
      </c>
    </row>
    <row r="38" spans="1:68" x14ac:dyDescent="0.25">
      <c r="A38">
        <v>2.7267E-2</v>
      </c>
      <c r="B38">
        <v>6</v>
      </c>
      <c r="C38" t="s">
        <v>292</v>
      </c>
      <c r="D38">
        <v>1980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0.37791400000000003</v>
      </c>
      <c r="AO38">
        <v>0.41640700000000003</v>
      </c>
      <c r="AP38">
        <v>1.026602</v>
      </c>
      <c r="AQ38">
        <v>0.26450499999999999</v>
      </c>
      <c r="AR38">
        <v>2.1516E-2</v>
      </c>
      <c r="AS38">
        <v>1.4552000000000001E-2</v>
      </c>
      <c r="AT38">
        <v>0.32627899999999999</v>
      </c>
      <c r="AU38">
        <v>0.28032000000000001</v>
      </c>
      <c r="AV38">
        <v>1.6668000000000001</v>
      </c>
      <c r="AW38">
        <v>0.278476</v>
      </c>
      <c r="AX38">
        <v>0.107724</v>
      </c>
      <c r="AY38">
        <v>4752.6000979999999</v>
      </c>
      <c r="AZ38">
        <v>0.26142199999999999</v>
      </c>
      <c r="BA38">
        <v>7.23</v>
      </c>
      <c r="BB38">
        <v>5.4508000000000001E-2</v>
      </c>
      <c r="BC38">
        <v>0.59199999999999997</v>
      </c>
      <c r="BD38">
        <v>58.110000999999997</v>
      </c>
      <c r="BE38" s="19">
        <v>4.9000000000000004</v>
      </c>
      <c r="BF38" s="19">
        <v>5.89</v>
      </c>
      <c r="BG38" s="19">
        <v>6.62</v>
      </c>
      <c r="BH38" s="19">
        <v>6.57</v>
      </c>
      <c r="BI38" s="19">
        <v>7.19</v>
      </c>
      <c r="BJ38" s="19">
        <v>6.25</v>
      </c>
      <c r="BK38" s="22">
        <v>6.5674999999999999</v>
      </c>
      <c r="BM38" s="22">
        <f t="shared" si="0"/>
        <v>6.25</v>
      </c>
      <c r="BN38" s="22">
        <f>IF(OR(C38="SWE",C38="NOR",C38="DEN",C38="FIN"),BM38,"")</f>
        <v>6.25</v>
      </c>
      <c r="BO38" s="22" t="str">
        <f t="shared" si="2"/>
        <v/>
      </c>
      <c r="BP38" s="22" t="str">
        <f>IF(OR(C38="SWE",C38="NOR",C38="DEN",C38="FIN"),BO38,"")</f>
        <v/>
      </c>
    </row>
    <row r="39" spans="1:68" x14ac:dyDescent="0.25">
      <c r="A39">
        <v>2.1939E-2</v>
      </c>
      <c r="B39">
        <v>6</v>
      </c>
      <c r="C39" t="s">
        <v>292</v>
      </c>
      <c r="D39">
        <v>1985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0.37962099999999999</v>
      </c>
      <c r="AO39">
        <v>0.45193499999999998</v>
      </c>
      <c r="AP39">
        <v>1.031768</v>
      </c>
      <c r="AQ39">
        <v>0.25808300000000001</v>
      </c>
      <c r="AR39">
        <v>2.8729999999999999E-2</v>
      </c>
      <c r="AS39">
        <v>1.0031999999999999E-2</v>
      </c>
      <c r="AT39">
        <v>0.32285399999999997</v>
      </c>
      <c r="AU39">
        <v>0.29689500000000002</v>
      </c>
      <c r="AV39">
        <v>1.69</v>
      </c>
      <c r="AW39">
        <v>0.29074</v>
      </c>
      <c r="AX39">
        <v>8.5750999999999994E-2</v>
      </c>
      <c r="AY39">
        <v>4853.3999020000001</v>
      </c>
      <c r="AZ39">
        <v>0.25305100000000003</v>
      </c>
      <c r="BA39">
        <v>8.33</v>
      </c>
      <c r="BB39">
        <v>5.246E-2</v>
      </c>
      <c r="BC39">
        <v>0.59799999999999998</v>
      </c>
      <c r="BD39">
        <v>60.84</v>
      </c>
      <c r="BE39" s="19">
        <v>4.53</v>
      </c>
      <c r="BF39" s="19">
        <v>8.09</v>
      </c>
      <c r="BG39" s="19">
        <v>7.81</v>
      </c>
      <c r="BH39" s="19">
        <v>6.88</v>
      </c>
      <c r="BI39" s="19">
        <v>7.19</v>
      </c>
      <c r="BJ39" s="19">
        <v>6.9</v>
      </c>
      <c r="BK39" s="22">
        <v>7.4924999999999997</v>
      </c>
      <c r="BM39" s="22" t="str">
        <f t="shared" si="0"/>
        <v/>
      </c>
      <c r="BN39" s="22" t="str">
        <f t="shared" si="1"/>
        <v/>
      </c>
      <c r="BO39" s="22" t="str">
        <f t="shared" si="2"/>
        <v/>
      </c>
      <c r="BP39" s="22" t="str">
        <f t="shared" si="3"/>
        <v/>
      </c>
    </row>
    <row r="40" spans="1:68" x14ac:dyDescent="0.25">
      <c r="A40">
        <v>2.9877999999999998E-2</v>
      </c>
      <c r="B40">
        <v>6</v>
      </c>
      <c r="C40" t="s">
        <v>292</v>
      </c>
      <c r="D40">
        <v>1990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0.42044999999999999</v>
      </c>
      <c r="AO40">
        <v>0.48313099999999998</v>
      </c>
      <c r="AP40">
        <v>1.054341</v>
      </c>
      <c r="AQ40">
        <v>0.26660099999999998</v>
      </c>
      <c r="AR40">
        <v>-9.2949999999999994E-3</v>
      </c>
      <c r="AS40">
        <v>1.4059999999999999E-3</v>
      </c>
      <c r="AT40">
        <v>0.318942</v>
      </c>
      <c r="AU40">
        <v>0.24146799999999999</v>
      </c>
      <c r="AV40">
        <v>1.6759999999999999</v>
      </c>
      <c r="AW40">
        <v>0.24962400000000001</v>
      </c>
      <c r="AX40">
        <v>4.9629E-2</v>
      </c>
      <c r="AY40">
        <v>4950</v>
      </c>
      <c r="AZ40">
        <v>0.247615</v>
      </c>
      <c r="BA40">
        <v>7.95</v>
      </c>
      <c r="BB40">
        <v>4.8118000000000001E-2</v>
      </c>
      <c r="BC40">
        <v>0.60760000000000003</v>
      </c>
      <c r="BD40">
        <v>66.120002999999997</v>
      </c>
      <c r="BE40" s="19">
        <v>4.28</v>
      </c>
      <c r="BF40" s="19">
        <v>9.34</v>
      </c>
      <c r="BG40" s="19">
        <v>7.78</v>
      </c>
      <c r="BH40" s="19">
        <v>6.8</v>
      </c>
      <c r="BI40" s="19">
        <v>7.29</v>
      </c>
      <c r="BJ40" s="19">
        <v>7.06</v>
      </c>
      <c r="BK40" s="22">
        <v>7.8025000000000002</v>
      </c>
      <c r="BM40" s="22" t="str">
        <f t="shared" si="0"/>
        <v/>
      </c>
      <c r="BN40" s="22" t="str">
        <f t="shared" si="1"/>
        <v/>
      </c>
      <c r="BO40" s="22" t="str">
        <f t="shared" si="2"/>
        <v/>
      </c>
      <c r="BP40" s="22" t="str">
        <f t="shared" si="3"/>
        <v/>
      </c>
    </row>
    <row r="41" spans="1:68" x14ac:dyDescent="0.25">
      <c r="A41">
        <v>-1.2385999999999999E-2</v>
      </c>
      <c r="B41">
        <v>6</v>
      </c>
      <c r="C41" t="s">
        <v>292</v>
      </c>
      <c r="D41">
        <v>1995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0.454565</v>
      </c>
      <c r="AO41">
        <v>0.628054</v>
      </c>
      <c r="AP41">
        <v>1.0700480000000001</v>
      </c>
      <c r="AQ41">
        <v>0.18440899999999999</v>
      </c>
      <c r="AR41">
        <v>3.5829E-2</v>
      </c>
      <c r="AS41">
        <v>-8.0909999999999992E-3</v>
      </c>
      <c r="AT41">
        <v>0.32699400000000001</v>
      </c>
      <c r="AU41">
        <v>0.300398</v>
      </c>
      <c r="AV41">
        <v>1.8240000000000001</v>
      </c>
      <c r="AW41">
        <v>0.26587499999999997</v>
      </c>
      <c r="AX41">
        <v>2.1780000000000001E-2</v>
      </c>
      <c r="AY41">
        <v>5063.7998049999997</v>
      </c>
      <c r="AZ41">
        <v>0.17022899999999999</v>
      </c>
      <c r="BA41">
        <v>9.48</v>
      </c>
      <c r="BB41">
        <v>0.146537</v>
      </c>
      <c r="BC41">
        <v>0.61399999999999999</v>
      </c>
      <c r="BD41">
        <v>66.639999000000003</v>
      </c>
      <c r="BE41" s="19">
        <v>4.1500000000000004</v>
      </c>
      <c r="BF41" s="19">
        <v>9.89</v>
      </c>
      <c r="BG41" s="19">
        <v>9.2799999999999994</v>
      </c>
      <c r="BH41" s="19">
        <v>6.42</v>
      </c>
      <c r="BI41" s="19">
        <v>7.26</v>
      </c>
      <c r="BJ41" s="19">
        <v>7.37</v>
      </c>
      <c r="BK41" s="22">
        <v>8.2125000000000004</v>
      </c>
      <c r="BM41" s="22" t="str">
        <f t="shared" si="0"/>
        <v/>
      </c>
      <c r="BN41" s="22" t="str">
        <f t="shared" si="1"/>
        <v/>
      </c>
      <c r="BO41" s="22" t="str">
        <f t="shared" si="2"/>
        <v/>
      </c>
      <c r="BP41" s="22" t="str">
        <f t="shared" si="3"/>
        <v/>
      </c>
    </row>
    <row r="42" spans="1:68" x14ac:dyDescent="0.25">
      <c r="A42">
        <v>4.4935000000000003E-2</v>
      </c>
      <c r="B42">
        <v>6</v>
      </c>
      <c r="C42" t="s">
        <v>292</v>
      </c>
      <c r="D42">
        <v>2000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0</v>
      </c>
      <c r="AN42">
        <v>0.46635799999999999</v>
      </c>
      <c r="AO42">
        <v>0.554373</v>
      </c>
      <c r="AP42">
        <v>0.94785600000000003</v>
      </c>
      <c r="AQ42">
        <v>0.18548200000000001</v>
      </c>
      <c r="AR42">
        <v>7.0720000000000002E-3</v>
      </c>
      <c r="AS42">
        <v>8.5810000000000001E-3</v>
      </c>
      <c r="AT42">
        <v>0.33244800000000002</v>
      </c>
      <c r="AU42">
        <v>0.388461</v>
      </c>
      <c r="AV42">
        <v>1.736</v>
      </c>
      <c r="AW42">
        <v>0.30527199999999999</v>
      </c>
      <c r="AX42">
        <v>1.5474999999999999E-2</v>
      </c>
      <c r="AY42">
        <v>5151.8959960000002</v>
      </c>
      <c r="AZ42">
        <v>0.251002</v>
      </c>
      <c r="BA42">
        <v>9.82</v>
      </c>
      <c r="BB42">
        <v>0.120244</v>
      </c>
      <c r="BC42">
        <v>0.61219999999999997</v>
      </c>
      <c r="BD42">
        <v>76.389999000000003</v>
      </c>
      <c r="BE42" s="19">
        <v>3.69</v>
      </c>
      <c r="BF42" s="19">
        <v>9.2799999999999994</v>
      </c>
      <c r="BG42" s="19">
        <v>9.5500000000000007</v>
      </c>
      <c r="BH42" s="19">
        <v>8.2200000000000006</v>
      </c>
      <c r="BI42" s="19">
        <v>7.04</v>
      </c>
      <c r="BJ42" s="19">
        <v>7.56</v>
      </c>
      <c r="BK42" s="22">
        <v>8.5224999999999991</v>
      </c>
      <c r="BM42" s="22" t="str">
        <f t="shared" si="0"/>
        <v/>
      </c>
      <c r="BN42" s="22" t="str">
        <f t="shared" si="1"/>
        <v/>
      </c>
      <c r="BO42" s="22">
        <f t="shared" si="2"/>
        <v>7.56</v>
      </c>
      <c r="BP42" s="22">
        <f t="shared" si="3"/>
        <v>7.56</v>
      </c>
    </row>
    <row r="43" spans="1:68" x14ac:dyDescent="0.25">
      <c r="A43">
        <v>2.2653E-2</v>
      </c>
      <c r="B43">
        <v>6</v>
      </c>
      <c r="C43" t="s">
        <v>292</v>
      </c>
      <c r="D43">
        <v>2005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0.449104</v>
      </c>
      <c r="AO43">
        <v>0.51269399999999998</v>
      </c>
      <c r="AP43">
        <v>1.0798760000000001</v>
      </c>
      <c r="AQ43">
        <v>0.18540699999999999</v>
      </c>
      <c r="AR43">
        <v>6.4339999999999996E-3</v>
      </c>
      <c r="AS43">
        <v>2.4520000000000002E-3</v>
      </c>
      <c r="AT43">
        <v>0.33060200000000001</v>
      </c>
      <c r="AU43">
        <v>0.38307000000000002</v>
      </c>
      <c r="AV43">
        <v>1.762</v>
      </c>
      <c r="AW43">
        <v>0.320436</v>
      </c>
      <c r="AX43">
        <v>1.2108000000000001E-2</v>
      </c>
      <c r="AY43">
        <v>5215.1660160000001</v>
      </c>
      <c r="AZ43">
        <v>0.26749800000000001</v>
      </c>
      <c r="BA43">
        <v>10.14</v>
      </c>
      <c r="BB43">
        <v>8.9189000000000004E-2</v>
      </c>
      <c r="BC43">
        <v>0.61099999999999999</v>
      </c>
      <c r="BD43">
        <v>86.190002000000007</v>
      </c>
      <c r="BE43" s="19">
        <v>4.5</v>
      </c>
      <c r="BF43" s="19">
        <v>9.49</v>
      </c>
      <c r="BG43" s="19">
        <v>9.5500000000000007</v>
      </c>
      <c r="BH43" s="19">
        <v>8.34</v>
      </c>
      <c r="BI43" s="19">
        <v>7.1</v>
      </c>
      <c r="BJ43" s="19">
        <v>7.8</v>
      </c>
      <c r="BK43" s="22">
        <v>8.6199999999999992</v>
      </c>
      <c r="BM43" s="22" t="str">
        <f t="shared" si="0"/>
        <v/>
      </c>
      <c r="BN43" s="22" t="str">
        <f t="shared" si="1"/>
        <v/>
      </c>
      <c r="BO43" s="22" t="str">
        <f t="shared" si="2"/>
        <v/>
      </c>
      <c r="BP43" s="22" t="str">
        <f t="shared" si="3"/>
        <v/>
      </c>
    </row>
    <row r="44" spans="1:68" x14ac:dyDescent="0.25">
      <c r="A44">
        <v>2.7045E-2</v>
      </c>
      <c r="B44">
        <v>7</v>
      </c>
      <c r="C44" t="s">
        <v>293</v>
      </c>
      <c r="D44">
        <v>1975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0.33999400000000002</v>
      </c>
      <c r="AO44">
        <v>0.40668300000000002</v>
      </c>
      <c r="AP44">
        <v>1.0409710000000001</v>
      </c>
      <c r="AQ44">
        <v>0.24415600000000001</v>
      </c>
      <c r="AR44">
        <v>0</v>
      </c>
      <c r="AS44">
        <v>8.7799999999999996E-3</v>
      </c>
      <c r="AT44">
        <v>0.37695299999999998</v>
      </c>
      <c r="AU44">
        <v>0.17772099999999999</v>
      </c>
      <c r="AV44">
        <v>2.2618</v>
      </c>
      <c r="AW44">
        <v>0.17565600000000001</v>
      </c>
      <c r="AX44">
        <v>8.8353000000000001E-2</v>
      </c>
      <c r="AY44">
        <v>52045.800780999998</v>
      </c>
      <c r="AZ44">
        <v>0.23841699999999999</v>
      </c>
      <c r="BA44">
        <v>5.86</v>
      </c>
      <c r="BB44">
        <v>3.0998000000000001E-2</v>
      </c>
      <c r="BC44">
        <v>0.7218</v>
      </c>
      <c r="BD44">
        <v>58.330002</v>
      </c>
      <c r="BE44" s="19">
        <v>4.83</v>
      </c>
      <c r="BF44" s="19">
        <v>8.49</v>
      </c>
      <c r="BG44" s="19">
        <v>7.07</v>
      </c>
      <c r="BH44" s="19">
        <v>6.83</v>
      </c>
      <c r="BI44" s="19">
        <v>5.72</v>
      </c>
      <c r="BJ44" s="19">
        <v>6.58</v>
      </c>
      <c r="BK44" s="22">
        <v>7.0274999999999999</v>
      </c>
      <c r="BM44" s="22" t="str">
        <f t="shared" si="0"/>
        <v/>
      </c>
      <c r="BN44" s="22" t="str">
        <f t="shared" si="1"/>
        <v/>
      </c>
      <c r="BO44" s="22" t="str">
        <f t="shared" si="2"/>
        <v/>
      </c>
      <c r="BP44" s="22" t="str">
        <f t="shared" si="3"/>
        <v/>
      </c>
    </row>
    <row r="45" spans="1:68" x14ac:dyDescent="0.25">
      <c r="A45">
        <v>2.7664999999999999E-2</v>
      </c>
      <c r="B45">
        <v>7</v>
      </c>
      <c r="C45" t="s">
        <v>293</v>
      </c>
      <c r="D45">
        <v>1980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0.38077800000000001</v>
      </c>
      <c r="AO45">
        <v>0.45732699999999998</v>
      </c>
      <c r="AP45">
        <v>1.065974</v>
      </c>
      <c r="AQ45">
        <v>0.225693</v>
      </c>
      <c r="AR45">
        <v>7.3980000000000001E-3</v>
      </c>
      <c r="AS45">
        <v>9.8469999999999999E-3</v>
      </c>
      <c r="AT45">
        <v>0.37373499999999998</v>
      </c>
      <c r="AU45">
        <v>0.20213300000000001</v>
      </c>
      <c r="AV45">
        <v>1.8620000000000001</v>
      </c>
      <c r="AW45">
        <v>0.207589</v>
      </c>
      <c r="AX45">
        <v>0.105113</v>
      </c>
      <c r="AY45">
        <v>53383.199219000002</v>
      </c>
      <c r="AZ45">
        <v>0.221222</v>
      </c>
      <c r="BA45">
        <v>6.08</v>
      </c>
      <c r="BB45">
        <v>5.5567999999999999E-2</v>
      </c>
      <c r="BC45">
        <v>0.73140000000000005</v>
      </c>
      <c r="BD45">
        <v>58.77</v>
      </c>
      <c r="BE45" s="19">
        <v>4.18</v>
      </c>
      <c r="BF45" s="19">
        <v>5.56</v>
      </c>
      <c r="BG45" s="19">
        <v>6.17</v>
      </c>
      <c r="BH45" s="19">
        <v>6.83</v>
      </c>
      <c r="BI45" s="19">
        <v>6.07</v>
      </c>
      <c r="BJ45" s="19">
        <v>5.79</v>
      </c>
      <c r="BK45" s="22">
        <v>6.1575000000000006</v>
      </c>
      <c r="BM45" s="22">
        <f t="shared" si="0"/>
        <v>5.79</v>
      </c>
      <c r="BN45" s="22" t="str">
        <f t="shared" si="1"/>
        <v/>
      </c>
      <c r="BO45" s="22" t="str">
        <f t="shared" si="2"/>
        <v/>
      </c>
      <c r="BP45" s="22" t="str">
        <f t="shared" si="3"/>
        <v/>
      </c>
    </row>
    <row r="46" spans="1:68" x14ac:dyDescent="0.25">
      <c r="A46">
        <v>1.4716999999999999E-2</v>
      </c>
      <c r="B46">
        <v>7</v>
      </c>
      <c r="C46" t="s">
        <v>293</v>
      </c>
      <c r="D46">
        <v>1985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0.41549999999999998</v>
      </c>
      <c r="AO46">
        <v>0.51805800000000002</v>
      </c>
      <c r="AP46">
        <v>1.0734170000000001</v>
      </c>
      <c r="AQ46">
        <v>0.20499300000000001</v>
      </c>
      <c r="AR46">
        <v>2.1732000000000001E-2</v>
      </c>
      <c r="AS46">
        <v>5.6779999999999999E-3</v>
      </c>
      <c r="AT46">
        <v>0.36246699999999998</v>
      </c>
      <c r="AU46">
        <v>0.225685</v>
      </c>
      <c r="AV46">
        <v>1.8548</v>
      </c>
      <c r="AW46">
        <v>0.24127699999999999</v>
      </c>
      <c r="AX46">
        <v>9.6553E-2</v>
      </c>
      <c r="AY46">
        <v>54701.398437999997</v>
      </c>
      <c r="AZ46">
        <v>0.17909800000000001</v>
      </c>
      <c r="BA46">
        <v>6.77</v>
      </c>
      <c r="BB46">
        <v>8.9635000000000006E-2</v>
      </c>
      <c r="BC46">
        <v>0.73540000000000005</v>
      </c>
      <c r="BD46">
        <v>64.029999000000004</v>
      </c>
      <c r="BE46" s="19">
        <v>3.47</v>
      </c>
      <c r="BF46" s="19">
        <v>7.82</v>
      </c>
      <c r="BG46" s="19">
        <v>6.34</v>
      </c>
      <c r="BH46" s="19">
        <v>6.81</v>
      </c>
      <c r="BI46" s="19">
        <v>5.97</v>
      </c>
      <c r="BJ46" s="19">
        <v>6.06</v>
      </c>
      <c r="BK46" s="22">
        <v>6.7349999999999994</v>
      </c>
      <c r="BM46" s="22" t="str">
        <f t="shared" si="0"/>
        <v/>
      </c>
      <c r="BN46" s="22" t="str">
        <f t="shared" si="1"/>
        <v/>
      </c>
      <c r="BO46" s="22" t="str">
        <f t="shared" si="2"/>
        <v/>
      </c>
      <c r="BP46" s="22" t="str">
        <f>IF(OR(C46="SWE",C46="NOR",C46="DEN",C46="FIN"),BO46,"")</f>
        <v/>
      </c>
    </row>
    <row r="47" spans="1:68" x14ac:dyDescent="0.25">
      <c r="A47">
        <v>2.6433999999999999E-2</v>
      </c>
      <c r="B47">
        <v>7</v>
      </c>
      <c r="C47" t="s">
        <v>293</v>
      </c>
      <c r="D47">
        <v>1990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</v>
      </c>
      <c r="AK47">
        <v>0</v>
      </c>
      <c r="AL47">
        <v>0</v>
      </c>
      <c r="AM47">
        <v>0</v>
      </c>
      <c r="AN47">
        <v>0.42139900000000002</v>
      </c>
      <c r="AO47">
        <v>0.51329999999999998</v>
      </c>
      <c r="AP47">
        <v>1.0586869999999999</v>
      </c>
      <c r="AQ47">
        <v>0.20549500000000001</v>
      </c>
      <c r="AR47">
        <v>1.5467E-2</v>
      </c>
      <c r="AS47">
        <v>5.2360000000000002E-3</v>
      </c>
      <c r="AT47">
        <v>0.34153499999999998</v>
      </c>
      <c r="AU47">
        <v>0.20804</v>
      </c>
      <c r="AV47">
        <v>1.8026</v>
      </c>
      <c r="AW47">
        <v>0.217449</v>
      </c>
      <c r="AX47">
        <v>3.0813E-2</v>
      </c>
      <c r="AY47">
        <v>56015.800780999998</v>
      </c>
      <c r="AZ47">
        <v>0.19686600000000001</v>
      </c>
      <c r="BA47">
        <v>7.31</v>
      </c>
      <c r="BB47">
        <v>9.9055000000000004E-2</v>
      </c>
      <c r="BC47">
        <v>0.73939999999999995</v>
      </c>
      <c r="BD47">
        <v>68.860000999999997</v>
      </c>
      <c r="BE47" s="19">
        <v>2.92</v>
      </c>
      <c r="BF47" s="19">
        <v>8.3000000000000007</v>
      </c>
      <c r="BG47" s="19">
        <v>6.58</v>
      </c>
      <c r="BH47" s="19">
        <v>6.83</v>
      </c>
      <c r="BI47" s="19">
        <v>5.92</v>
      </c>
      <c r="BJ47" s="19">
        <v>6.06</v>
      </c>
      <c r="BK47" s="22">
        <v>6.9075000000000006</v>
      </c>
      <c r="BM47" s="22" t="str">
        <f t="shared" si="0"/>
        <v/>
      </c>
      <c r="BN47" s="22" t="str">
        <f t="shared" si="1"/>
        <v/>
      </c>
      <c r="BO47" s="22" t="str">
        <f t="shared" si="2"/>
        <v/>
      </c>
      <c r="BP47" s="22" t="str">
        <f t="shared" si="3"/>
        <v/>
      </c>
    </row>
    <row r="48" spans="1:68" x14ac:dyDescent="0.25">
      <c r="A48">
        <v>7.9869999999999993E-3</v>
      </c>
      <c r="B48">
        <v>7</v>
      </c>
      <c r="C48" t="s">
        <v>293</v>
      </c>
      <c r="D48">
        <v>1995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0.42835699999999999</v>
      </c>
      <c r="AO48">
        <v>0.54612099999999997</v>
      </c>
      <c r="AP48">
        <v>1.056611</v>
      </c>
      <c r="AQ48">
        <v>0.19315099999999999</v>
      </c>
      <c r="AR48">
        <v>6.7479999999999997E-3</v>
      </c>
      <c r="AS48">
        <v>4.8630000000000001E-3</v>
      </c>
      <c r="AT48">
        <v>0.342331</v>
      </c>
      <c r="AU48">
        <v>0.21782399999999999</v>
      </c>
      <c r="AV48">
        <v>1.7025999999999999</v>
      </c>
      <c r="AW48">
        <v>0.21368200000000001</v>
      </c>
      <c r="AX48">
        <v>2.2255E-2</v>
      </c>
      <c r="AY48">
        <v>57438.898437999997</v>
      </c>
      <c r="AZ48">
        <v>0.19184100000000001</v>
      </c>
      <c r="BA48">
        <v>7.56</v>
      </c>
      <c r="BB48">
        <v>0.110143</v>
      </c>
      <c r="BC48">
        <v>0.74580000000000002</v>
      </c>
      <c r="BD48">
        <v>72.169998000000007</v>
      </c>
      <c r="BE48" s="19">
        <v>3.53</v>
      </c>
      <c r="BF48" s="19">
        <v>8.86</v>
      </c>
      <c r="BG48" s="19">
        <v>9.6199999999999992</v>
      </c>
      <c r="BH48" s="19">
        <v>7.45</v>
      </c>
      <c r="BI48" s="19">
        <v>5.94</v>
      </c>
      <c r="BJ48" s="19">
        <v>7.06</v>
      </c>
      <c r="BK48" s="22">
        <v>7.9674999999999994</v>
      </c>
      <c r="BM48" s="22" t="str">
        <f t="shared" si="0"/>
        <v/>
      </c>
      <c r="BN48" s="22" t="str">
        <f t="shared" si="1"/>
        <v/>
      </c>
      <c r="BO48" s="22" t="str">
        <f t="shared" si="2"/>
        <v/>
      </c>
      <c r="BP48" s="22" t="str">
        <f t="shared" si="3"/>
        <v/>
      </c>
    </row>
    <row r="49" spans="1:68" x14ac:dyDescent="0.25">
      <c r="A49">
        <v>2.3576E-2</v>
      </c>
      <c r="B49">
        <v>7</v>
      </c>
      <c r="C49" t="s">
        <v>293</v>
      </c>
      <c r="D49">
        <v>2000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0</v>
      </c>
      <c r="AN49">
        <v>0.44703999999999999</v>
      </c>
      <c r="AO49">
        <v>0.54582600000000003</v>
      </c>
      <c r="AP49">
        <v>1.0365580000000001</v>
      </c>
      <c r="AQ49">
        <v>0.18301100000000001</v>
      </c>
      <c r="AR49">
        <v>9.8569999999999994E-3</v>
      </c>
      <c r="AS49">
        <v>1.1276E-2</v>
      </c>
      <c r="AT49">
        <v>0.34894500000000001</v>
      </c>
      <c r="AU49">
        <v>0.25964300000000001</v>
      </c>
      <c r="AV49">
        <v>1.7791999999999999</v>
      </c>
      <c r="AW49">
        <v>0.239735</v>
      </c>
      <c r="AX49">
        <v>1.2146000000000001E-2</v>
      </c>
      <c r="AY49">
        <v>58430.007812999997</v>
      </c>
      <c r="AZ49">
        <v>0.206124</v>
      </c>
      <c r="BA49">
        <v>7.94</v>
      </c>
      <c r="BB49">
        <v>0.111885</v>
      </c>
      <c r="BC49">
        <v>0.75439999999999996</v>
      </c>
      <c r="BD49">
        <v>77.449996999999996</v>
      </c>
      <c r="BE49" s="19">
        <v>3.22</v>
      </c>
      <c r="BF49" s="19">
        <v>7.49</v>
      </c>
      <c r="BG49" s="19">
        <v>9.83</v>
      </c>
      <c r="BH49" s="19">
        <v>7.45</v>
      </c>
      <c r="BI49" s="19">
        <v>5.99</v>
      </c>
      <c r="BJ49" s="19">
        <v>6.8</v>
      </c>
      <c r="BK49" s="22">
        <v>7.6899999999999995</v>
      </c>
      <c r="BM49" s="22" t="str">
        <f t="shared" si="0"/>
        <v/>
      </c>
      <c r="BN49" s="22" t="str">
        <f t="shared" si="1"/>
        <v/>
      </c>
      <c r="BO49" s="22">
        <f t="shared" si="2"/>
        <v>6.8</v>
      </c>
      <c r="BP49" s="22" t="str">
        <f t="shared" si="3"/>
        <v/>
      </c>
    </row>
    <row r="50" spans="1:68" x14ac:dyDescent="0.25">
      <c r="A50">
        <v>8.4139999999999996E-3</v>
      </c>
      <c r="B50">
        <v>7</v>
      </c>
      <c r="C50" t="s">
        <v>293</v>
      </c>
      <c r="D50">
        <v>2005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  <c r="AN50">
        <v>0.43812899999999999</v>
      </c>
      <c r="AO50">
        <v>0.54522300000000001</v>
      </c>
      <c r="AP50">
        <v>1.064365</v>
      </c>
      <c r="AQ50">
        <v>0.19242100000000001</v>
      </c>
      <c r="AR50">
        <v>1.0604000000000001E-2</v>
      </c>
      <c r="AS50">
        <v>6.862E-3</v>
      </c>
      <c r="AT50">
        <v>0.34952100000000003</v>
      </c>
      <c r="AU50">
        <v>0.26529599999999998</v>
      </c>
      <c r="AV50">
        <v>1.8959999999999999</v>
      </c>
      <c r="AW50">
        <v>0.25896200000000003</v>
      </c>
      <c r="AX50">
        <v>1.9982E-2</v>
      </c>
      <c r="AY50">
        <v>60068</v>
      </c>
      <c r="AZ50">
        <v>0.19522500000000001</v>
      </c>
      <c r="BA50">
        <v>8.3699999999999992</v>
      </c>
      <c r="BB50">
        <v>9.4765000000000002E-2</v>
      </c>
      <c r="BC50">
        <v>0.76339999999999997</v>
      </c>
      <c r="BD50">
        <v>83.18</v>
      </c>
      <c r="BE50" s="19">
        <v>2.56</v>
      </c>
      <c r="BF50" s="19">
        <v>8.09</v>
      </c>
      <c r="BG50" s="19">
        <v>9.59</v>
      </c>
      <c r="BH50" s="19">
        <v>8.1199999999999992</v>
      </c>
      <c r="BI50" s="19">
        <v>6.84</v>
      </c>
      <c r="BJ50" s="19">
        <v>7.04</v>
      </c>
      <c r="BK50" s="22">
        <v>8.16</v>
      </c>
      <c r="BM50" s="22" t="str">
        <f t="shared" si="0"/>
        <v/>
      </c>
      <c r="BN50" s="22" t="str">
        <f t="shared" si="1"/>
        <v/>
      </c>
      <c r="BO50" s="22" t="str">
        <f t="shared" si="2"/>
        <v/>
      </c>
      <c r="BP50" s="22" t="str">
        <f t="shared" si="3"/>
        <v/>
      </c>
    </row>
    <row r="51" spans="1:68" x14ac:dyDescent="0.25">
      <c r="A51">
        <v>2.1706E-2</v>
      </c>
      <c r="B51">
        <v>8</v>
      </c>
      <c r="C51" t="s">
        <v>294</v>
      </c>
      <c r="D51">
        <v>1975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0.34751599999999999</v>
      </c>
      <c r="AO51">
        <v>0.42736000000000002</v>
      </c>
      <c r="AP51">
        <v>1.0297609999999999</v>
      </c>
      <c r="AQ51">
        <v>0.25359799999999999</v>
      </c>
      <c r="AR51">
        <v>4.84E-4</v>
      </c>
      <c r="AS51">
        <v>1.263E-3</v>
      </c>
      <c r="AT51">
        <v>0.36911899999999997</v>
      </c>
      <c r="AU51">
        <v>0.17061299999999999</v>
      </c>
      <c r="AV51">
        <v>1.6259999999999999</v>
      </c>
      <c r="AW51">
        <v>0.18492700000000001</v>
      </c>
      <c r="AX51">
        <v>6.13E-2</v>
      </c>
      <c r="AY51">
        <v>78738.398438000004</v>
      </c>
      <c r="AZ51">
        <v>0.25934600000000002</v>
      </c>
      <c r="BA51">
        <v>8.27</v>
      </c>
      <c r="BB51">
        <v>1.0914E-2</v>
      </c>
      <c r="BC51">
        <v>0.7278</v>
      </c>
      <c r="BD51">
        <v>49.43</v>
      </c>
      <c r="BE51" s="19">
        <v>5.07</v>
      </c>
      <c r="BF51" s="19">
        <v>9.8699999999999992</v>
      </c>
      <c r="BG51" s="19">
        <v>9.4700000000000006</v>
      </c>
      <c r="BH51" s="19">
        <v>7.99</v>
      </c>
      <c r="BI51" s="19">
        <v>6.18</v>
      </c>
      <c r="BJ51" s="19">
        <v>7.7</v>
      </c>
      <c r="BK51" s="22">
        <v>8.3774999999999995</v>
      </c>
      <c r="BM51" s="22" t="str">
        <f t="shared" si="0"/>
        <v/>
      </c>
      <c r="BN51" s="22" t="str">
        <f t="shared" si="1"/>
        <v/>
      </c>
      <c r="BO51" s="22" t="str">
        <f t="shared" si="2"/>
        <v/>
      </c>
      <c r="BP51" s="22" t="str">
        <f t="shared" si="3"/>
        <v/>
      </c>
    </row>
    <row r="52" spans="1:68" x14ac:dyDescent="0.25">
      <c r="A52">
        <v>3.465E-2</v>
      </c>
      <c r="B52">
        <v>8</v>
      </c>
      <c r="C52" t="s">
        <v>294</v>
      </c>
      <c r="D52">
        <v>1980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0.37059799999999998</v>
      </c>
      <c r="AO52">
        <v>0.46982800000000002</v>
      </c>
      <c r="AP52">
        <v>1.027371</v>
      </c>
      <c r="AQ52">
        <v>0.22942899999999999</v>
      </c>
      <c r="AR52">
        <v>-1.3414000000000001E-2</v>
      </c>
      <c r="AS52">
        <v>7.6410000000000002E-3</v>
      </c>
      <c r="AT52">
        <v>0.36358099999999999</v>
      </c>
      <c r="AU52">
        <v>0.19203600000000001</v>
      </c>
      <c r="AV52">
        <v>1.41</v>
      </c>
      <c r="AW52">
        <v>0.22378700000000001</v>
      </c>
      <c r="AX52">
        <v>4.0300000000000002E-2</v>
      </c>
      <c r="AY52">
        <v>78194.601563000004</v>
      </c>
      <c r="AZ52">
        <v>0.227497</v>
      </c>
      <c r="BA52">
        <v>7.73</v>
      </c>
      <c r="BB52">
        <v>2.0390999999999999E-2</v>
      </c>
      <c r="BC52">
        <v>0.72640000000000005</v>
      </c>
      <c r="BD52">
        <v>54.209999000000003</v>
      </c>
      <c r="BE52" s="19">
        <v>4.59</v>
      </c>
      <c r="BF52" s="19">
        <v>7.81</v>
      </c>
      <c r="BG52" s="19">
        <v>9.32</v>
      </c>
      <c r="BH52" s="19">
        <v>8.0299999999999994</v>
      </c>
      <c r="BI52" s="19">
        <v>5.94</v>
      </c>
      <c r="BJ52" s="19">
        <v>7.17</v>
      </c>
      <c r="BK52" s="22">
        <v>7.7749999999999995</v>
      </c>
      <c r="BM52" s="22">
        <f t="shared" si="0"/>
        <v>7.17</v>
      </c>
      <c r="BN52" s="22" t="str">
        <f t="shared" si="1"/>
        <v/>
      </c>
      <c r="BO52" s="22" t="str">
        <f t="shared" si="2"/>
        <v/>
      </c>
      <c r="BP52" s="22" t="str">
        <f t="shared" si="3"/>
        <v/>
      </c>
    </row>
    <row r="53" spans="1:68" x14ac:dyDescent="0.25">
      <c r="A53">
        <v>1.5299E-2</v>
      </c>
      <c r="B53">
        <v>8</v>
      </c>
      <c r="C53" t="s">
        <v>294</v>
      </c>
      <c r="D53">
        <v>1985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0</v>
      </c>
      <c r="AK53">
        <v>0</v>
      </c>
      <c r="AL53">
        <v>0</v>
      </c>
      <c r="AM53">
        <v>0</v>
      </c>
      <c r="AN53">
        <v>0.36867499999999997</v>
      </c>
      <c r="AO53">
        <v>0.467333</v>
      </c>
      <c r="AP53">
        <v>1.0701860000000001</v>
      </c>
      <c r="AQ53">
        <v>0.21961700000000001</v>
      </c>
      <c r="AR53">
        <v>1.7004999999999999E-2</v>
      </c>
      <c r="AS53">
        <v>1.1769E-2</v>
      </c>
      <c r="AT53">
        <v>0.34084700000000001</v>
      </c>
      <c r="AU53">
        <v>0.22789300000000001</v>
      </c>
      <c r="AV53">
        <v>1.3660000000000001</v>
      </c>
      <c r="AW53">
        <v>0.25982100000000002</v>
      </c>
      <c r="AX53">
        <v>3.8800000000000001E-2</v>
      </c>
      <c r="AY53">
        <v>78083.796875</v>
      </c>
      <c r="AZ53">
        <v>0.21535499999999999</v>
      </c>
      <c r="BA53">
        <v>8.41</v>
      </c>
      <c r="BB53">
        <v>5.4198000000000003E-2</v>
      </c>
      <c r="BC53">
        <v>0.7248</v>
      </c>
      <c r="BD53">
        <v>56.650002000000001</v>
      </c>
      <c r="BE53" s="19">
        <v>4.59</v>
      </c>
      <c r="BF53" s="19">
        <v>9.1</v>
      </c>
      <c r="BG53" s="19">
        <v>9.43</v>
      </c>
      <c r="BH53" s="19">
        <v>7.85</v>
      </c>
      <c r="BI53" s="19">
        <v>6.12</v>
      </c>
      <c r="BJ53" s="19">
        <v>7.42</v>
      </c>
      <c r="BK53" s="22">
        <v>8.125</v>
      </c>
      <c r="BM53" s="22" t="str">
        <f t="shared" si="0"/>
        <v/>
      </c>
      <c r="BN53" s="22" t="str">
        <f t="shared" si="1"/>
        <v/>
      </c>
      <c r="BO53" s="22" t="str">
        <f t="shared" si="2"/>
        <v/>
      </c>
      <c r="BP53" s="22" t="str">
        <f t="shared" si="3"/>
        <v/>
      </c>
    </row>
    <row r="54" spans="1:68" x14ac:dyDescent="0.25">
      <c r="A54">
        <v>2.8556000000000002E-2</v>
      </c>
      <c r="B54">
        <v>8</v>
      </c>
      <c r="C54" t="s">
        <v>294</v>
      </c>
      <c r="D54">
        <v>1990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0</v>
      </c>
      <c r="AL54">
        <v>0</v>
      </c>
      <c r="AM54">
        <v>0</v>
      </c>
      <c r="AN54">
        <v>0.36698500000000001</v>
      </c>
      <c r="AO54">
        <v>0.44750499999999999</v>
      </c>
      <c r="AP54">
        <v>1.0585310000000001</v>
      </c>
      <c r="AQ54">
        <v>0.21698200000000001</v>
      </c>
      <c r="AR54">
        <v>1.3202E-2</v>
      </c>
      <c r="AS54">
        <v>1.4755000000000001E-2</v>
      </c>
      <c r="AT54">
        <v>0.305751</v>
      </c>
      <c r="AU54">
        <v>0.23063800000000001</v>
      </c>
      <c r="AV54">
        <v>1.4379999999999999</v>
      </c>
      <c r="AW54">
        <v>0.236204</v>
      </c>
      <c r="AX54">
        <v>1.38E-2</v>
      </c>
      <c r="AY54">
        <v>78379.398438000004</v>
      </c>
      <c r="AZ54">
        <v>0.24601700000000001</v>
      </c>
      <c r="BA54">
        <v>8.98</v>
      </c>
      <c r="BB54">
        <v>5.4356000000000002E-2</v>
      </c>
      <c r="BC54">
        <v>0.73</v>
      </c>
      <c r="BD54">
        <v>61.110000999999997</v>
      </c>
      <c r="BE54" s="19">
        <v>4.26</v>
      </c>
      <c r="BF54" s="19">
        <v>8.85</v>
      </c>
      <c r="BG54" s="19">
        <v>9.64</v>
      </c>
      <c r="BH54" s="19">
        <v>8.25</v>
      </c>
      <c r="BI54" s="19">
        <v>6.12</v>
      </c>
      <c r="BJ54" s="19">
        <v>7.43</v>
      </c>
      <c r="BK54" s="22">
        <v>8.2149999999999999</v>
      </c>
      <c r="BM54" s="22" t="str">
        <f t="shared" si="0"/>
        <v/>
      </c>
      <c r="BN54" s="22" t="str">
        <f t="shared" si="1"/>
        <v/>
      </c>
      <c r="BO54" s="22" t="str">
        <f t="shared" si="2"/>
        <v/>
      </c>
      <c r="BP54" s="22" t="str">
        <f t="shared" si="3"/>
        <v/>
      </c>
    </row>
    <row r="55" spans="1:68" x14ac:dyDescent="0.25">
      <c r="A55">
        <v>1.617E-2</v>
      </c>
      <c r="B55">
        <v>8</v>
      </c>
      <c r="C55" t="s">
        <v>294</v>
      </c>
      <c r="D55">
        <v>1995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0</v>
      </c>
      <c r="AN55">
        <v>0.36873600000000001</v>
      </c>
      <c r="AO55">
        <v>0.478684</v>
      </c>
      <c r="AP55">
        <v>1.067423</v>
      </c>
      <c r="AQ55">
        <v>0.22753799999999999</v>
      </c>
      <c r="AR55">
        <v>1.7750000000000001E-3</v>
      </c>
      <c r="AS55">
        <v>4.9179E-2</v>
      </c>
      <c r="AT55">
        <v>0.31041600000000003</v>
      </c>
      <c r="AU55">
        <v>0.23835799999999999</v>
      </c>
      <c r="AV55">
        <v>1.278</v>
      </c>
      <c r="AW55">
        <v>0.23888599999999999</v>
      </c>
      <c r="AX55">
        <v>3.4799999999999998E-2</v>
      </c>
      <c r="AY55">
        <v>80990.398438000004</v>
      </c>
      <c r="AZ55">
        <v>0.216222</v>
      </c>
      <c r="BA55">
        <v>9.06</v>
      </c>
      <c r="BB55">
        <v>6.4001000000000002E-2</v>
      </c>
      <c r="BC55">
        <v>0.74360000000000004</v>
      </c>
      <c r="BD55">
        <v>60.349997999999999</v>
      </c>
      <c r="BE55" s="19">
        <v>4.9000000000000004</v>
      </c>
      <c r="BF55" s="19">
        <v>9.8699999999999992</v>
      </c>
      <c r="BG55" s="19">
        <v>9.26</v>
      </c>
      <c r="BH55" s="19">
        <v>8.18</v>
      </c>
      <c r="BI55" s="19">
        <v>6.14</v>
      </c>
      <c r="BJ55" s="19">
        <v>7.66</v>
      </c>
      <c r="BK55" s="22">
        <v>8.3624999999999989</v>
      </c>
      <c r="BM55" s="22" t="str">
        <f t="shared" si="0"/>
        <v/>
      </c>
      <c r="BN55" s="22" t="str">
        <f t="shared" si="1"/>
        <v/>
      </c>
      <c r="BO55" s="22" t="str">
        <f t="shared" si="2"/>
        <v/>
      </c>
      <c r="BP55" s="22" t="str">
        <f t="shared" si="3"/>
        <v/>
      </c>
    </row>
    <row r="56" spans="1:68" x14ac:dyDescent="0.25">
      <c r="A56">
        <v>1.8762999999999998E-2</v>
      </c>
      <c r="B56">
        <v>8</v>
      </c>
      <c r="C56" t="s">
        <v>294</v>
      </c>
      <c r="D56">
        <v>2000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0</v>
      </c>
      <c r="AN56">
        <v>0.36687999999999998</v>
      </c>
      <c r="AO56">
        <v>0.48765999999999998</v>
      </c>
      <c r="AP56">
        <v>1.090365</v>
      </c>
      <c r="AQ56">
        <v>0.21230299999999999</v>
      </c>
      <c r="AR56">
        <v>1.1013E-2</v>
      </c>
      <c r="AS56">
        <v>7.574E-3</v>
      </c>
      <c r="AT56">
        <v>0.317139</v>
      </c>
      <c r="AU56">
        <v>0.287601</v>
      </c>
      <c r="AV56">
        <v>1.35</v>
      </c>
      <c r="AW56">
        <v>0.27814100000000003</v>
      </c>
      <c r="AX56">
        <v>1.06E-2</v>
      </c>
      <c r="AY56">
        <v>82065.398438000004</v>
      </c>
      <c r="AZ56">
        <v>0.20508999999999999</v>
      </c>
      <c r="BA56">
        <v>9.57</v>
      </c>
      <c r="BB56">
        <v>7.7423000000000006E-2</v>
      </c>
      <c r="BC56">
        <v>0.75060000000000004</v>
      </c>
      <c r="BD56">
        <v>71.889999000000003</v>
      </c>
      <c r="BE56" s="19">
        <v>4.3600000000000003</v>
      </c>
      <c r="BF56" s="19">
        <v>9.1300000000000008</v>
      </c>
      <c r="BG56" s="19">
        <v>9.56</v>
      </c>
      <c r="BH56" s="19">
        <v>8.3000000000000007</v>
      </c>
      <c r="BI56" s="19">
        <v>6.15</v>
      </c>
      <c r="BJ56" s="19">
        <v>7.5</v>
      </c>
      <c r="BK56" s="22">
        <v>8.2850000000000001</v>
      </c>
      <c r="BM56" s="22" t="str">
        <f t="shared" si="0"/>
        <v/>
      </c>
      <c r="BN56" s="22" t="str">
        <f t="shared" si="1"/>
        <v/>
      </c>
      <c r="BO56" s="22">
        <f t="shared" si="2"/>
        <v>7.5</v>
      </c>
      <c r="BP56" s="22" t="str">
        <f t="shared" si="3"/>
        <v/>
      </c>
    </row>
    <row r="57" spans="1:68" x14ac:dyDescent="0.25">
      <c r="A57">
        <v>5.7229999999999998E-3</v>
      </c>
      <c r="B57">
        <v>8</v>
      </c>
      <c r="C57" t="s">
        <v>294</v>
      </c>
      <c r="D57">
        <v>2005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</v>
      </c>
      <c r="AN57">
        <v>0.352937</v>
      </c>
      <c r="AO57">
        <v>0.47719299999999998</v>
      </c>
      <c r="AP57">
        <v>1.028243</v>
      </c>
      <c r="AQ57">
        <v>0.181648</v>
      </c>
      <c r="AR57">
        <v>3.7339999999999999E-3</v>
      </c>
      <c r="AS57">
        <v>3.2720000000000002E-3</v>
      </c>
      <c r="AT57">
        <v>0.31982899999999997</v>
      </c>
      <c r="AU57">
        <v>0.36875599999999997</v>
      </c>
      <c r="AV57">
        <v>1.3460000000000001</v>
      </c>
      <c r="AW57">
        <v>0.32772800000000002</v>
      </c>
      <c r="AX57">
        <v>1.6E-2</v>
      </c>
      <c r="AY57">
        <v>82473.53125</v>
      </c>
      <c r="AZ57">
        <v>0.201436</v>
      </c>
      <c r="BA57">
        <v>9.75</v>
      </c>
      <c r="BB57">
        <v>8.3122000000000001E-2</v>
      </c>
      <c r="BC57">
        <v>0.75160000000000005</v>
      </c>
      <c r="BD57">
        <v>81.959998999999996</v>
      </c>
      <c r="BE57" s="19">
        <v>3.96</v>
      </c>
      <c r="BF57" s="19">
        <v>9.14</v>
      </c>
      <c r="BG57" s="19">
        <v>9.5500000000000007</v>
      </c>
      <c r="BH57" s="19">
        <v>8.67</v>
      </c>
      <c r="BI57" s="19">
        <v>6.15</v>
      </c>
      <c r="BJ57" s="19">
        <v>7.49</v>
      </c>
      <c r="BK57" s="22">
        <v>8.3774999999999995</v>
      </c>
      <c r="BM57" s="22" t="str">
        <f t="shared" si="0"/>
        <v/>
      </c>
      <c r="BN57" s="22" t="str">
        <f t="shared" si="1"/>
        <v/>
      </c>
      <c r="BO57" s="22" t="str">
        <f t="shared" si="2"/>
        <v/>
      </c>
      <c r="BP57" s="22" t="str">
        <f t="shared" si="3"/>
        <v/>
      </c>
    </row>
    <row r="58" spans="1:68" x14ac:dyDescent="0.25">
      <c r="A58">
        <v>4.4332000000000003E-2</v>
      </c>
      <c r="B58">
        <v>9</v>
      </c>
      <c r="C58" s="21" t="s">
        <v>295</v>
      </c>
      <c r="D58" s="21">
        <v>1975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0.21035799999999999</v>
      </c>
      <c r="AO58">
        <v>0.22209300000000001</v>
      </c>
      <c r="AP58">
        <v>0.92220100000000005</v>
      </c>
      <c r="AQ58">
        <v>0.26888800000000002</v>
      </c>
      <c r="AR58">
        <v>9.5139999999999999E-3</v>
      </c>
      <c r="AS58">
        <v>5.6400000000000005E-4</v>
      </c>
      <c r="AT58">
        <v>0.36012699999999997</v>
      </c>
      <c r="AU58">
        <v>0.13696</v>
      </c>
      <c r="AV58">
        <v>2.3290000000000002</v>
      </c>
      <c r="AW58">
        <v>0.20588300000000001</v>
      </c>
      <c r="AX58">
        <v>0.12617200000000001</v>
      </c>
      <c r="AY58">
        <v>8931.5996090000008</v>
      </c>
      <c r="AZ58">
        <v>0.25622</v>
      </c>
      <c r="BA58">
        <v>5.19</v>
      </c>
      <c r="BB58">
        <v>2.6526000000000001E-2</v>
      </c>
      <c r="BC58">
        <v>0.54179999999999995</v>
      </c>
      <c r="BD58">
        <v>47.080002</v>
      </c>
      <c r="BE58" s="22">
        <v>7.17</v>
      </c>
      <c r="BF58" s="22">
        <v>6.2</v>
      </c>
      <c r="BG58" s="22">
        <v>8.2799999999999994</v>
      </c>
      <c r="BH58" s="22">
        <v>5.31</v>
      </c>
      <c r="BI58" s="22">
        <v>4.76</v>
      </c>
      <c r="BJ58" s="22">
        <v>6.37</v>
      </c>
      <c r="BK58" s="22">
        <v>6.1374999999999993</v>
      </c>
      <c r="BM58" s="22" t="str">
        <f t="shared" si="0"/>
        <v/>
      </c>
      <c r="BN58" s="22" t="str">
        <f t="shared" si="1"/>
        <v/>
      </c>
      <c r="BO58" s="22" t="str">
        <f t="shared" si="2"/>
        <v/>
      </c>
      <c r="BP58" s="22" t="str">
        <f>IF(OR(C58="SWE",C58="NOR",C58="DEN",C58="FIN"),BO58,"")</f>
        <v/>
      </c>
    </row>
    <row r="59" spans="1:68" x14ac:dyDescent="0.25">
      <c r="A59">
        <v>2.8469000000000001E-2</v>
      </c>
      <c r="B59">
        <v>9</v>
      </c>
      <c r="C59" s="21" t="s">
        <v>295</v>
      </c>
      <c r="D59" s="21">
        <v>1980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0.23605899999999999</v>
      </c>
      <c r="AO59">
        <v>0.250919</v>
      </c>
      <c r="AP59">
        <v>1.0265470000000001</v>
      </c>
      <c r="AQ59">
        <v>0.284136</v>
      </c>
      <c r="AR59">
        <v>1.7847999999999999E-2</v>
      </c>
      <c r="AS59">
        <v>9.3769999999999999E-3</v>
      </c>
      <c r="AT59">
        <v>0.361149</v>
      </c>
      <c r="AU59">
        <v>0.18212900000000001</v>
      </c>
      <c r="AV59">
        <v>2.2824</v>
      </c>
      <c r="AW59">
        <v>0.23379</v>
      </c>
      <c r="AX59">
        <v>0.16387099999999999</v>
      </c>
      <c r="AY59">
        <v>9419.4003909999992</v>
      </c>
      <c r="AZ59">
        <v>0.23245399999999999</v>
      </c>
      <c r="BA59">
        <v>5.67</v>
      </c>
      <c r="BB59">
        <v>2.0181000000000001E-2</v>
      </c>
      <c r="BC59">
        <v>0.56740000000000002</v>
      </c>
      <c r="BD59">
        <v>48.330002</v>
      </c>
      <c r="BE59" s="22">
        <v>6.29</v>
      </c>
      <c r="BF59" s="22">
        <v>6.06</v>
      </c>
      <c r="BG59" s="22">
        <v>6.76</v>
      </c>
      <c r="BH59" s="22">
        <v>5.73</v>
      </c>
      <c r="BI59" s="22">
        <v>4.41</v>
      </c>
      <c r="BJ59" s="22">
        <v>5.86</v>
      </c>
      <c r="BK59" s="22">
        <v>5.74</v>
      </c>
      <c r="BM59" s="22">
        <f t="shared" si="0"/>
        <v>5.86</v>
      </c>
      <c r="BN59" s="22" t="str">
        <f t="shared" si="1"/>
        <v/>
      </c>
      <c r="BO59" s="22" t="str">
        <f t="shared" si="2"/>
        <v/>
      </c>
      <c r="BP59" s="22" t="str">
        <f t="shared" si="3"/>
        <v/>
      </c>
    </row>
    <row r="60" spans="1:68" x14ac:dyDescent="0.25">
      <c r="A60">
        <v>-4.5779999999999996E-3</v>
      </c>
      <c r="B60">
        <v>9</v>
      </c>
      <c r="C60" s="21" t="s">
        <v>295</v>
      </c>
      <c r="D60" s="21">
        <v>1985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0.267955</v>
      </c>
      <c r="AO60">
        <v>0.31860500000000003</v>
      </c>
      <c r="AP60">
        <v>1.0377639999999999</v>
      </c>
      <c r="AQ60">
        <v>0.230515</v>
      </c>
      <c r="AR60">
        <v>2.9590000000000002E-2</v>
      </c>
      <c r="AS60">
        <v>2.4343E-2</v>
      </c>
      <c r="AT60">
        <v>0.359541</v>
      </c>
      <c r="AU60">
        <v>0.21041199999999999</v>
      </c>
      <c r="AV60">
        <v>1.911</v>
      </c>
      <c r="AW60">
        <v>0.2707</v>
      </c>
      <c r="AX60">
        <v>0.20674200000000001</v>
      </c>
      <c r="AY60">
        <v>9839.2001949999994</v>
      </c>
      <c r="AZ60">
        <v>0.198771</v>
      </c>
      <c r="BA60">
        <v>6.56</v>
      </c>
      <c r="BB60">
        <v>6.7296999999999996E-2</v>
      </c>
      <c r="BC60">
        <v>0.58120000000000005</v>
      </c>
      <c r="BD60">
        <v>50.09</v>
      </c>
      <c r="BE60" s="22">
        <v>5.26</v>
      </c>
      <c r="BF60" s="22">
        <v>6.24</v>
      </c>
      <c r="BG60" s="22">
        <v>6.93</v>
      </c>
      <c r="BH60" s="22">
        <v>6.1</v>
      </c>
      <c r="BI60" s="22">
        <v>4.59</v>
      </c>
      <c r="BJ60" s="22">
        <v>5.83</v>
      </c>
      <c r="BK60" s="22">
        <v>5.9649999999999999</v>
      </c>
      <c r="BM60" s="22" t="str">
        <f t="shared" si="0"/>
        <v/>
      </c>
      <c r="BN60" s="22" t="str">
        <f t="shared" si="1"/>
        <v/>
      </c>
      <c r="BO60" s="22" t="str">
        <f t="shared" si="2"/>
        <v/>
      </c>
      <c r="BP60" s="22" t="str">
        <f t="shared" si="3"/>
        <v/>
      </c>
    </row>
    <row r="61" spans="1:68" x14ac:dyDescent="0.25">
      <c r="A61">
        <v>7.8309999999999994E-3</v>
      </c>
      <c r="B61">
        <v>9</v>
      </c>
      <c r="C61" s="21" t="s">
        <v>295</v>
      </c>
      <c r="D61" s="21">
        <v>1990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</v>
      </c>
      <c r="AK61">
        <v>0</v>
      </c>
      <c r="AL61">
        <v>0</v>
      </c>
      <c r="AM61">
        <v>0</v>
      </c>
      <c r="AN61">
        <v>0.28211700000000001</v>
      </c>
      <c r="AO61">
        <v>0.35439300000000001</v>
      </c>
      <c r="AP61">
        <v>0.92984199999999995</v>
      </c>
      <c r="AQ61">
        <v>0.21923100000000001</v>
      </c>
      <c r="AR61">
        <v>1.1617000000000001E-2</v>
      </c>
      <c r="AS61">
        <v>5.489E-3</v>
      </c>
      <c r="AT61">
        <v>0.34592299999999998</v>
      </c>
      <c r="AU61">
        <v>0.19809499999999999</v>
      </c>
      <c r="AV61">
        <v>1.4850000000000001</v>
      </c>
      <c r="AW61">
        <v>0.26893400000000001</v>
      </c>
      <c r="AX61">
        <v>0.17407500000000001</v>
      </c>
      <c r="AY61">
        <v>10050.599609000001</v>
      </c>
      <c r="AZ61">
        <v>0.18102099999999999</v>
      </c>
      <c r="BA61">
        <v>6.95</v>
      </c>
      <c r="BB61">
        <v>7.3813000000000004E-2</v>
      </c>
      <c r="BC61">
        <v>0.58640000000000003</v>
      </c>
      <c r="BD61">
        <v>51.080002</v>
      </c>
      <c r="BE61" s="22">
        <v>3.74</v>
      </c>
      <c r="BF61" s="22">
        <v>6.3</v>
      </c>
      <c r="BG61" s="22">
        <v>6.8</v>
      </c>
      <c r="BH61" s="22">
        <v>5.37</v>
      </c>
      <c r="BI61" s="22">
        <v>4.5599999999999996</v>
      </c>
      <c r="BJ61" s="22">
        <v>5.34</v>
      </c>
      <c r="BK61" s="22">
        <v>5.7574999999999994</v>
      </c>
      <c r="BM61" s="22" t="str">
        <f t="shared" si="0"/>
        <v/>
      </c>
      <c r="BN61" s="22" t="str">
        <f t="shared" si="1"/>
        <v/>
      </c>
      <c r="BO61" s="22" t="str">
        <f t="shared" si="2"/>
        <v/>
      </c>
      <c r="BP61" s="22" t="str">
        <f t="shared" si="3"/>
        <v/>
      </c>
    </row>
    <row r="62" spans="1:68" x14ac:dyDescent="0.25">
      <c r="A62">
        <v>6.7320000000000001E-3</v>
      </c>
      <c r="B62">
        <v>9</v>
      </c>
      <c r="C62" s="21" t="s">
        <v>295</v>
      </c>
      <c r="D62" s="21">
        <v>1995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0</v>
      </c>
      <c r="AM62">
        <v>0</v>
      </c>
      <c r="AN62">
        <v>0.30213299999999998</v>
      </c>
      <c r="AO62">
        <v>0.381471</v>
      </c>
      <c r="AP62">
        <v>0.84691700000000003</v>
      </c>
      <c r="AQ62">
        <v>0.199071</v>
      </c>
      <c r="AR62">
        <v>1.9644999999999999E-2</v>
      </c>
      <c r="AS62">
        <v>9.8849999999999997E-3</v>
      </c>
      <c r="AT62">
        <v>0.32936199999999999</v>
      </c>
      <c r="AU62">
        <v>0.17213000000000001</v>
      </c>
      <c r="AV62">
        <v>1.3560000000000001</v>
      </c>
      <c r="AW62">
        <v>0.25375199999999998</v>
      </c>
      <c r="AX62">
        <v>0.13922599999999999</v>
      </c>
      <c r="AY62">
        <v>10456.599609000001</v>
      </c>
      <c r="AZ62">
        <v>0.174736</v>
      </c>
      <c r="BA62">
        <v>7.66</v>
      </c>
      <c r="BB62">
        <v>8.9338000000000001E-2</v>
      </c>
      <c r="BC62">
        <v>0.58860000000000001</v>
      </c>
      <c r="BD62">
        <v>49.669998</v>
      </c>
      <c r="BE62" s="22">
        <v>4.8099999999999996</v>
      </c>
      <c r="BF62" s="22">
        <v>7.59</v>
      </c>
      <c r="BG62" s="22">
        <v>6.71</v>
      </c>
      <c r="BH62" s="22">
        <v>6.14</v>
      </c>
      <c r="BI62" s="22">
        <v>4.87</v>
      </c>
      <c r="BJ62" s="22">
        <v>6</v>
      </c>
      <c r="BK62" s="22">
        <v>6.3275000000000006</v>
      </c>
      <c r="BM62" s="22" t="str">
        <f t="shared" si="0"/>
        <v/>
      </c>
      <c r="BN62" s="22" t="str">
        <f t="shared" si="1"/>
        <v/>
      </c>
      <c r="BO62" s="22" t="str">
        <f t="shared" si="2"/>
        <v/>
      </c>
      <c r="BP62" s="22" t="str">
        <f t="shared" si="3"/>
        <v/>
      </c>
    </row>
    <row r="63" spans="1:68" x14ac:dyDescent="0.25">
      <c r="A63">
        <v>2.9069999999999999E-2</v>
      </c>
      <c r="B63">
        <v>9</v>
      </c>
      <c r="C63" s="21" t="s">
        <v>295</v>
      </c>
      <c r="D63" s="21">
        <v>2000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1</v>
      </c>
      <c r="AM63">
        <v>0</v>
      </c>
      <c r="AN63">
        <v>0.36206100000000002</v>
      </c>
      <c r="AO63">
        <v>0.38879599999999997</v>
      </c>
      <c r="AP63">
        <v>0.82568299999999994</v>
      </c>
      <c r="AQ63">
        <v>0.20946899999999999</v>
      </c>
      <c r="AR63">
        <v>9.9819999999999996E-3</v>
      </c>
      <c r="AS63">
        <v>1.1941E-2</v>
      </c>
      <c r="AT63">
        <v>0.32003399999999999</v>
      </c>
      <c r="AU63">
        <v>0.205567</v>
      </c>
      <c r="AV63">
        <v>1.294</v>
      </c>
      <c r="AW63">
        <v>0.29463</v>
      </c>
      <c r="AX63">
        <v>4.8608999999999999E-2</v>
      </c>
      <c r="AY63">
        <v>10824.299805000001</v>
      </c>
      <c r="AZ63">
        <v>0.161606</v>
      </c>
      <c r="BA63">
        <v>8.0500000000000007</v>
      </c>
      <c r="BB63">
        <v>0.110114</v>
      </c>
      <c r="BC63">
        <v>0.58840000000000003</v>
      </c>
      <c r="BD63">
        <v>66.260002</v>
      </c>
      <c r="BE63" s="22">
        <v>5.73</v>
      </c>
      <c r="BF63" s="22">
        <v>6.69</v>
      </c>
      <c r="BG63" s="22">
        <v>7.34</v>
      </c>
      <c r="BH63" s="22">
        <v>6.7</v>
      </c>
      <c r="BI63" s="22">
        <v>4.96</v>
      </c>
      <c r="BJ63" s="22">
        <v>6.29</v>
      </c>
      <c r="BK63" s="22">
        <v>6.4225000000000003</v>
      </c>
      <c r="BM63" s="22" t="str">
        <f t="shared" si="0"/>
        <v/>
      </c>
      <c r="BN63" s="22" t="str">
        <f t="shared" si="1"/>
        <v/>
      </c>
      <c r="BO63" s="22">
        <f t="shared" si="2"/>
        <v>6.29</v>
      </c>
      <c r="BP63" s="22" t="str">
        <f t="shared" si="3"/>
        <v/>
      </c>
    </row>
    <row r="64" spans="1:68" x14ac:dyDescent="0.25">
      <c r="A64">
        <v>3.9801999999999997E-2</v>
      </c>
      <c r="B64">
        <v>9</v>
      </c>
      <c r="C64" s="21" t="s">
        <v>295</v>
      </c>
      <c r="D64" s="21">
        <v>2005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</v>
      </c>
      <c r="AN64">
        <v>0.36182999999999998</v>
      </c>
      <c r="AO64">
        <v>0.390685</v>
      </c>
      <c r="AP64">
        <v>0.86412999999999995</v>
      </c>
      <c r="AQ64">
        <v>0.235599</v>
      </c>
      <c r="AR64">
        <v>1.1176E-2</v>
      </c>
      <c r="AS64">
        <v>9.5029999999999993E-3</v>
      </c>
      <c r="AT64">
        <v>0.31998599999999999</v>
      </c>
      <c r="AU64">
        <v>0.21049300000000001</v>
      </c>
      <c r="AV64">
        <v>1.278</v>
      </c>
      <c r="AW64">
        <v>0.30067199999999999</v>
      </c>
      <c r="AX64">
        <v>3.3930000000000002E-2</v>
      </c>
      <c r="AY64">
        <v>11025.360352</v>
      </c>
      <c r="AZ64">
        <v>0.151695</v>
      </c>
      <c r="BA64">
        <v>8.51</v>
      </c>
      <c r="BB64">
        <v>0.10763300000000001</v>
      </c>
      <c r="BC64">
        <v>0.58919999999999995</v>
      </c>
      <c r="BD64">
        <v>73.470000999999996</v>
      </c>
      <c r="BE64" s="22">
        <v>5.95</v>
      </c>
      <c r="BF64" s="22">
        <v>5.7</v>
      </c>
      <c r="BG64" s="22">
        <v>9.32</v>
      </c>
      <c r="BH64" s="22">
        <v>7.86</v>
      </c>
      <c r="BI64" s="22">
        <v>5.38</v>
      </c>
      <c r="BJ64" s="22">
        <v>6.84</v>
      </c>
      <c r="BK64" s="22">
        <v>7.0649999999999995</v>
      </c>
      <c r="BM64" s="22" t="str">
        <f t="shared" si="0"/>
        <v/>
      </c>
      <c r="BN64" s="22" t="str">
        <f t="shared" si="1"/>
        <v/>
      </c>
      <c r="BO64" s="22" t="str">
        <f t="shared" si="2"/>
        <v/>
      </c>
      <c r="BP64" s="22" t="str">
        <f t="shared" si="3"/>
        <v/>
      </c>
    </row>
    <row r="65" spans="1:68" x14ac:dyDescent="0.25">
      <c r="A65">
        <v>4.0909000000000001E-2</v>
      </c>
      <c r="B65">
        <v>10</v>
      </c>
      <c r="C65" t="s">
        <v>296</v>
      </c>
      <c r="D65">
        <v>1975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P65">
        <v>0.52390300000000001</v>
      </c>
      <c r="AQ65">
        <v>0.22689699999999999</v>
      </c>
      <c r="AR65">
        <v>8.4279999999999997E-3</v>
      </c>
      <c r="AT65">
        <v>0.40975699999999998</v>
      </c>
      <c r="AU65">
        <v>0.86083399999999999</v>
      </c>
      <c r="AV65">
        <v>3.1168</v>
      </c>
      <c r="AW65">
        <v>0.803261</v>
      </c>
      <c r="AX65">
        <v>8.9940000000000006E-2</v>
      </c>
      <c r="AY65">
        <v>4241.2597660000001</v>
      </c>
      <c r="AZ65">
        <v>0.28341499999999997</v>
      </c>
      <c r="BA65">
        <v>5.1100000000000003</v>
      </c>
      <c r="BC65">
        <v>0.88900000000000001</v>
      </c>
      <c r="BE65" s="19">
        <v>9.68</v>
      </c>
      <c r="BF65" s="19">
        <v>8.9700000000000006</v>
      </c>
      <c r="BG65" s="19">
        <v>8.76</v>
      </c>
      <c r="BH65" s="19">
        <v>8.7799999999999994</v>
      </c>
      <c r="BI65" s="19">
        <v>8.85</v>
      </c>
      <c r="BJ65" s="19">
        <v>8.98</v>
      </c>
      <c r="BK65" s="22">
        <v>8.84</v>
      </c>
      <c r="BM65" s="22" t="str">
        <f t="shared" si="0"/>
        <v/>
      </c>
      <c r="BN65" s="22" t="str">
        <f t="shared" si="1"/>
        <v/>
      </c>
      <c r="BO65" s="22" t="str">
        <f t="shared" si="2"/>
        <v/>
      </c>
      <c r="BP65" s="22" t="str">
        <f t="shared" si="3"/>
        <v/>
      </c>
    </row>
    <row r="66" spans="1:68" x14ac:dyDescent="0.25">
      <c r="A66">
        <v>9.2008999999999994E-2</v>
      </c>
      <c r="B66">
        <v>10</v>
      </c>
      <c r="C66" t="s">
        <v>296</v>
      </c>
      <c r="D66">
        <v>1980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P66">
        <v>0.591866</v>
      </c>
      <c r="AQ66">
        <v>0.26836700000000002</v>
      </c>
      <c r="AR66">
        <v>2.0655E-2</v>
      </c>
      <c r="AT66">
        <v>0.357545</v>
      </c>
      <c r="AU66">
        <v>0.87443800000000005</v>
      </c>
      <c r="AV66">
        <v>2.2589999999999999</v>
      </c>
      <c r="AW66">
        <v>0.83633599999999997</v>
      </c>
      <c r="AX66">
        <v>6.2700000000000006E-2</v>
      </c>
      <c r="AY66">
        <v>4752.3999020000001</v>
      </c>
      <c r="AZ66">
        <v>0.32717400000000002</v>
      </c>
      <c r="BA66">
        <v>5.66</v>
      </c>
      <c r="BB66">
        <v>3.6999999999999998E-2</v>
      </c>
      <c r="BC66">
        <v>0.90780000000000005</v>
      </c>
      <c r="BE66" s="19">
        <v>9.67</v>
      </c>
      <c r="BF66" s="19">
        <v>7.67</v>
      </c>
      <c r="BG66" s="19">
        <v>9.16</v>
      </c>
      <c r="BH66" s="19">
        <v>9.5299999999999994</v>
      </c>
      <c r="BI66" s="19">
        <v>8.85</v>
      </c>
      <c r="BJ66" s="19">
        <v>8.98</v>
      </c>
      <c r="BK66" s="22">
        <v>8.8025000000000002</v>
      </c>
      <c r="BM66" s="22">
        <f t="shared" si="0"/>
        <v>8.98</v>
      </c>
      <c r="BN66" s="22" t="str">
        <f t="shared" si="1"/>
        <v/>
      </c>
      <c r="BO66" s="22" t="str">
        <f t="shared" si="2"/>
        <v/>
      </c>
      <c r="BP66" s="22" t="str">
        <f t="shared" si="3"/>
        <v/>
      </c>
    </row>
    <row r="67" spans="1:68" x14ac:dyDescent="0.25">
      <c r="A67">
        <v>4.0293000000000002E-2</v>
      </c>
      <c r="B67">
        <v>10</v>
      </c>
      <c r="C67" t="s">
        <v>296</v>
      </c>
      <c r="D67">
        <v>1985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0</v>
      </c>
      <c r="AL67">
        <v>0</v>
      </c>
      <c r="AM67">
        <v>0</v>
      </c>
      <c r="AP67">
        <v>0.82452000000000003</v>
      </c>
      <c r="AQ67">
        <v>0.265013</v>
      </c>
      <c r="AR67">
        <v>3.5236999999999997E-2</v>
      </c>
      <c r="AS67">
        <v>2.3567999999999999E-2</v>
      </c>
      <c r="AT67">
        <v>0.31986799999999999</v>
      </c>
      <c r="AU67">
        <v>0.97579099999999996</v>
      </c>
      <c r="AV67">
        <v>1.7130000000000001</v>
      </c>
      <c r="AW67">
        <v>0.93729099999999999</v>
      </c>
      <c r="AX67">
        <v>8.5199999999999998E-2</v>
      </c>
      <c r="AY67">
        <v>5329.419922</v>
      </c>
      <c r="AZ67">
        <v>0.29982399999999998</v>
      </c>
      <c r="BA67">
        <v>6.73</v>
      </c>
      <c r="BB67">
        <v>3.6999999999999998E-2</v>
      </c>
      <c r="BC67">
        <v>0.9234</v>
      </c>
      <c r="BE67" s="19">
        <v>9.75</v>
      </c>
      <c r="BF67" s="19">
        <v>9.4499999999999993</v>
      </c>
      <c r="BG67" s="19">
        <v>8.51</v>
      </c>
      <c r="BH67" s="19">
        <v>9.75</v>
      </c>
      <c r="BI67" s="19">
        <v>8.85</v>
      </c>
      <c r="BJ67" s="19">
        <v>9.23</v>
      </c>
      <c r="BK67" s="22">
        <v>9.14</v>
      </c>
      <c r="BM67" s="22" t="str">
        <f t="shared" ref="BM67:BM130" si="4">IF(D67=1980,BJ67,"")</f>
        <v/>
      </c>
      <c r="BN67" s="22" t="str">
        <f t="shared" ref="BN67:BN130" si="5">IF(OR(C67="SWE",C67="NOR",C67="DEN",C67="FIN"),BM67,"")</f>
        <v/>
      </c>
      <c r="BO67" s="22" t="str">
        <f t="shared" ref="BO67:BO130" si="6">IF(D67=2000,BJ67,"")</f>
        <v/>
      </c>
      <c r="BP67" s="22" t="str">
        <f t="shared" ref="BP67:BP78" si="7">IF(OR(C67="SWE",C67="NOR",C67="DEN",C67="FIN"),BO67,"")</f>
        <v/>
      </c>
    </row>
    <row r="68" spans="1:68" x14ac:dyDescent="0.25">
      <c r="A68">
        <v>6.2472E-2</v>
      </c>
      <c r="B68">
        <v>10</v>
      </c>
      <c r="C68" t="s">
        <v>296</v>
      </c>
      <c r="D68">
        <v>1990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</v>
      </c>
      <c r="AK68">
        <v>0</v>
      </c>
      <c r="AL68">
        <v>0</v>
      </c>
      <c r="AM68">
        <v>0</v>
      </c>
      <c r="AP68">
        <v>0.94869400000000004</v>
      </c>
      <c r="AQ68">
        <v>0.24862000000000001</v>
      </c>
      <c r="AR68">
        <v>2.2173999999999999E-2</v>
      </c>
      <c r="AS68">
        <v>9.2700000000000005E-3</v>
      </c>
      <c r="AT68">
        <v>0.30876799999999999</v>
      </c>
      <c r="AU68">
        <v>1.2406079999999999</v>
      </c>
      <c r="AV68">
        <v>1.3291999999999999</v>
      </c>
      <c r="AW68">
        <v>1.142693</v>
      </c>
      <c r="AX68">
        <v>7.5200000000000003E-2</v>
      </c>
      <c r="AY68">
        <v>5626.6801759999998</v>
      </c>
      <c r="AZ68">
        <v>0.33697300000000002</v>
      </c>
      <c r="BA68">
        <v>7.51</v>
      </c>
      <c r="BB68">
        <v>1.66E-2</v>
      </c>
      <c r="BC68">
        <v>0.96860000000000002</v>
      </c>
      <c r="BE68" s="19">
        <v>9.39</v>
      </c>
      <c r="BF68" s="19">
        <v>7.34</v>
      </c>
      <c r="BG68" s="19">
        <v>9.33</v>
      </c>
      <c r="BH68" s="19">
        <v>9.75</v>
      </c>
      <c r="BI68" s="19">
        <v>8.85</v>
      </c>
      <c r="BJ68" s="19">
        <v>8.94</v>
      </c>
      <c r="BK68" s="22">
        <v>8.8175000000000008</v>
      </c>
      <c r="BM68" s="22" t="str">
        <f t="shared" si="4"/>
        <v/>
      </c>
      <c r="BN68" s="22" t="str">
        <f t="shared" si="5"/>
        <v/>
      </c>
      <c r="BO68" s="22" t="str">
        <f t="shared" si="6"/>
        <v/>
      </c>
      <c r="BP68" s="22" t="str">
        <f t="shared" si="7"/>
        <v/>
      </c>
    </row>
    <row r="69" spans="1:68" x14ac:dyDescent="0.25">
      <c r="A69">
        <v>3.9793000000000002E-2</v>
      </c>
      <c r="B69">
        <v>10</v>
      </c>
      <c r="C69" t="s">
        <v>296</v>
      </c>
      <c r="D69">
        <v>1995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0</v>
      </c>
      <c r="AM69">
        <v>0</v>
      </c>
      <c r="AP69">
        <v>1.1224130000000001</v>
      </c>
      <c r="AQ69">
        <v>0.28047699999999998</v>
      </c>
      <c r="AR69">
        <v>2.1919999999999999E-2</v>
      </c>
      <c r="AS69">
        <v>1.4566000000000001E-2</v>
      </c>
      <c r="AT69">
        <v>0.29960500000000001</v>
      </c>
      <c r="AU69">
        <v>1.36972</v>
      </c>
      <c r="AV69">
        <v>1.3240000000000001</v>
      </c>
      <c r="AW69">
        <v>1.338192</v>
      </c>
      <c r="AX69">
        <v>9.4799999999999995E-2</v>
      </c>
      <c r="AY69">
        <v>5929</v>
      </c>
      <c r="AZ69">
        <v>0.32219900000000001</v>
      </c>
      <c r="BA69">
        <v>8.3699999999999992</v>
      </c>
      <c r="BB69">
        <v>2.18E-2</v>
      </c>
      <c r="BC69">
        <v>0.998</v>
      </c>
      <c r="BE69" s="19">
        <v>9.31</v>
      </c>
      <c r="BF69" s="19">
        <v>6.91</v>
      </c>
      <c r="BG69" s="19">
        <v>9.02</v>
      </c>
      <c r="BH69" s="19">
        <v>9.76</v>
      </c>
      <c r="BI69" s="19">
        <v>8.85</v>
      </c>
      <c r="BJ69" s="19">
        <v>8.7799999999999994</v>
      </c>
      <c r="BK69" s="22">
        <v>8.6349999999999998</v>
      </c>
      <c r="BM69" s="22" t="str">
        <f t="shared" si="4"/>
        <v/>
      </c>
      <c r="BN69" s="22" t="str">
        <f t="shared" si="5"/>
        <v/>
      </c>
      <c r="BO69" s="22" t="str">
        <f t="shared" si="6"/>
        <v/>
      </c>
      <c r="BP69" s="22" t="str">
        <f t="shared" si="7"/>
        <v/>
      </c>
    </row>
    <row r="70" spans="1:68" x14ac:dyDescent="0.25">
      <c r="A70">
        <v>1.8506000000000002E-2</v>
      </c>
      <c r="B70">
        <v>10</v>
      </c>
      <c r="C70" t="s">
        <v>296</v>
      </c>
      <c r="D70">
        <v>2000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</v>
      </c>
      <c r="AM70">
        <v>0</v>
      </c>
      <c r="AP70">
        <v>1.2385930000000001</v>
      </c>
      <c r="AQ70">
        <v>0.29212700000000003</v>
      </c>
      <c r="AR70">
        <v>2.1954000000000001E-2</v>
      </c>
      <c r="AS70">
        <v>2.0102999999999999E-2</v>
      </c>
      <c r="AT70">
        <v>0.287966</v>
      </c>
      <c r="AU70">
        <v>1.3219559999999999</v>
      </c>
      <c r="AV70">
        <v>1.0704</v>
      </c>
      <c r="AW70">
        <v>1.3110040000000001</v>
      </c>
      <c r="AX70">
        <v>1.46E-2</v>
      </c>
      <c r="AY70">
        <v>6548</v>
      </c>
      <c r="AZ70">
        <v>0.31582199999999999</v>
      </c>
      <c r="BA70">
        <v>9.33</v>
      </c>
      <c r="BB70">
        <v>4.1399999999999999E-2</v>
      </c>
      <c r="BC70">
        <v>1</v>
      </c>
      <c r="BE70" s="19">
        <v>9.4700000000000006</v>
      </c>
      <c r="BF70" s="19">
        <v>8.17</v>
      </c>
      <c r="BG70" s="19">
        <v>9.44</v>
      </c>
      <c r="BH70" s="19">
        <v>9.77</v>
      </c>
      <c r="BI70" s="19">
        <v>8.84</v>
      </c>
      <c r="BJ70" s="19">
        <v>9.14</v>
      </c>
      <c r="BK70" s="22">
        <v>9.0549999999999997</v>
      </c>
      <c r="BM70" s="22" t="str">
        <f t="shared" si="4"/>
        <v/>
      </c>
      <c r="BN70" s="22" t="str">
        <f t="shared" si="5"/>
        <v/>
      </c>
      <c r="BO70" s="22">
        <f t="shared" si="6"/>
        <v>9.14</v>
      </c>
      <c r="BP70" s="22" t="str">
        <f t="shared" si="7"/>
        <v/>
      </c>
    </row>
    <row r="71" spans="1:68" x14ac:dyDescent="0.25">
      <c r="A71">
        <v>3.4126999999999998E-2</v>
      </c>
      <c r="B71">
        <v>10</v>
      </c>
      <c r="C71" t="s">
        <v>296</v>
      </c>
      <c r="D71">
        <v>2005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</v>
      </c>
      <c r="AP71">
        <v>1.085437</v>
      </c>
      <c r="AQ71">
        <v>0.22281000000000001</v>
      </c>
      <c r="AR71">
        <v>2.983E-3</v>
      </c>
      <c r="AS71">
        <v>1.5889E-2</v>
      </c>
      <c r="AT71">
        <v>0.27552100000000002</v>
      </c>
      <c r="AU71">
        <v>1.6950890000000001</v>
      </c>
      <c r="AV71">
        <v>0.93300000000000005</v>
      </c>
      <c r="AW71">
        <v>1.608352</v>
      </c>
      <c r="AX71">
        <v>-1.34E-2</v>
      </c>
      <c r="AY71">
        <v>6828.2402339999999</v>
      </c>
      <c r="AZ71">
        <v>0.32549899999999998</v>
      </c>
      <c r="BA71">
        <v>9.4700000000000006</v>
      </c>
      <c r="BB71">
        <v>6.7750000000000005E-2</v>
      </c>
      <c r="BC71">
        <v>1</v>
      </c>
      <c r="BE71" s="19">
        <v>9.35</v>
      </c>
      <c r="BF71" s="19">
        <v>7.23</v>
      </c>
      <c r="BG71" s="19">
        <v>9.11</v>
      </c>
      <c r="BH71" s="19">
        <v>9.7799999999999994</v>
      </c>
      <c r="BI71" s="19">
        <v>8.76</v>
      </c>
      <c r="BJ71" s="19">
        <v>8.85</v>
      </c>
      <c r="BK71" s="22">
        <v>8.7199999999999989</v>
      </c>
      <c r="BM71" s="22" t="str">
        <f t="shared" si="4"/>
        <v/>
      </c>
      <c r="BN71" s="22" t="str">
        <f t="shared" si="5"/>
        <v/>
      </c>
      <c r="BO71" s="22" t="str">
        <f t="shared" si="6"/>
        <v/>
      </c>
      <c r="BP71" s="22" t="str">
        <f t="shared" si="7"/>
        <v/>
      </c>
    </row>
    <row r="72" spans="1:68" x14ac:dyDescent="0.25">
      <c r="A72">
        <v>5.0110000000000002E-2</v>
      </c>
      <c r="B72">
        <v>11</v>
      </c>
      <c r="C72" t="s">
        <v>297</v>
      </c>
      <c r="D72">
        <v>1975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0.29948599999999997</v>
      </c>
      <c r="AO72">
        <v>0.38725399999999999</v>
      </c>
      <c r="AP72">
        <v>1.00034</v>
      </c>
      <c r="AQ72">
        <v>0.32381100000000002</v>
      </c>
      <c r="AR72">
        <v>1.0962E-2</v>
      </c>
      <c r="AS72">
        <v>2.9232999999999999E-2</v>
      </c>
      <c r="AT72">
        <v>0.41223199999999999</v>
      </c>
      <c r="AU72">
        <v>0.345412</v>
      </c>
      <c r="AV72">
        <v>2.8368000000000002</v>
      </c>
      <c r="AW72">
        <v>0.40190199999999998</v>
      </c>
      <c r="AX72">
        <v>0.25910300000000003</v>
      </c>
      <c r="AY72">
        <v>212</v>
      </c>
      <c r="AZ72">
        <v>0.26804099999999997</v>
      </c>
      <c r="BA72">
        <v>6.22</v>
      </c>
      <c r="BB72">
        <v>1.2652E-2</v>
      </c>
      <c r="BC72">
        <v>0.85980000000000001</v>
      </c>
      <c r="BD72">
        <v>44.389999000000003</v>
      </c>
      <c r="BE72" s="19">
        <v>2.52</v>
      </c>
      <c r="BF72" s="19" t="s">
        <v>49</v>
      </c>
      <c r="BG72" s="19">
        <v>6.72</v>
      </c>
      <c r="BH72" s="19" t="s">
        <v>49</v>
      </c>
      <c r="BI72" s="19" t="s">
        <v>49</v>
      </c>
      <c r="BJ72" s="19" t="s">
        <v>49</v>
      </c>
      <c r="BK72" s="22">
        <v>6.72</v>
      </c>
      <c r="BM72" s="22" t="str">
        <f t="shared" si="4"/>
        <v/>
      </c>
      <c r="BN72" s="22" t="str">
        <f t="shared" si="5"/>
        <v/>
      </c>
      <c r="BO72" s="22" t="str">
        <f t="shared" si="6"/>
        <v/>
      </c>
      <c r="BP72" s="22" t="str">
        <f t="shared" si="7"/>
        <v/>
      </c>
    </row>
    <row r="73" spans="1:68" x14ac:dyDescent="0.25">
      <c r="A73">
        <v>5.3122000000000003E-2</v>
      </c>
      <c r="B73">
        <v>11</v>
      </c>
      <c r="C73" t="s">
        <v>297</v>
      </c>
      <c r="D73">
        <v>1980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0.29601499999999997</v>
      </c>
      <c r="AO73">
        <v>0.347883</v>
      </c>
      <c r="AP73">
        <v>1.1446730000000001</v>
      </c>
      <c r="AQ73">
        <v>0.26877299999999998</v>
      </c>
      <c r="AR73">
        <v>1.3459E-2</v>
      </c>
      <c r="AS73">
        <v>2.1680999999999999E-2</v>
      </c>
      <c r="AT73">
        <v>0.39220100000000002</v>
      </c>
      <c r="AU73">
        <v>0.354856</v>
      </c>
      <c r="AV73">
        <v>2.4346000000000001</v>
      </c>
      <c r="AW73">
        <v>0.34724699999999997</v>
      </c>
      <c r="AX73">
        <v>0.42286899999999999</v>
      </c>
      <c r="AY73">
        <v>224</v>
      </c>
      <c r="AZ73">
        <v>0.258988</v>
      </c>
      <c r="BA73">
        <v>6.65</v>
      </c>
      <c r="BB73">
        <v>1.1553000000000001E-2</v>
      </c>
      <c r="BC73">
        <v>0.87660000000000005</v>
      </c>
      <c r="BD73">
        <v>47.349997999999999</v>
      </c>
      <c r="BE73" s="19">
        <v>2.52</v>
      </c>
      <c r="BF73" s="19" t="s">
        <v>49</v>
      </c>
      <c r="BG73" s="19">
        <v>6.65</v>
      </c>
      <c r="BH73" s="19" t="s">
        <v>49</v>
      </c>
      <c r="BI73" s="19" t="s">
        <v>49</v>
      </c>
      <c r="BJ73" s="19" t="s">
        <v>49</v>
      </c>
      <c r="BK73" s="22">
        <v>6.65</v>
      </c>
      <c r="BM73" s="22" t="str">
        <f t="shared" si="4"/>
        <v/>
      </c>
      <c r="BN73" s="22" t="str">
        <f t="shared" si="5"/>
        <v/>
      </c>
      <c r="BO73" s="22" t="str">
        <f t="shared" si="6"/>
        <v/>
      </c>
      <c r="BP73" s="22" t="str">
        <f t="shared" si="7"/>
        <v/>
      </c>
    </row>
    <row r="74" spans="1:68" x14ac:dyDescent="0.25">
      <c r="A74">
        <v>1.1623E-2</v>
      </c>
      <c r="B74">
        <v>11</v>
      </c>
      <c r="C74" t="s">
        <v>297</v>
      </c>
      <c r="D74">
        <v>1985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0</v>
      </c>
      <c r="AK74">
        <v>0</v>
      </c>
      <c r="AL74">
        <v>0</v>
      </c>
      <c r="AM74">
        <v>0</v>
      </c>
      <c r="AN74">
        <v>0.29571599999999998</v>
      </c>
      <c r="AO74">
        <v>0.37190899999999999</v>
      </c>
      <c r="AP74">
        <v>1.3026789999999999</v>
      </c>
      <c r="AQ74">
        <v>0.23588400000000001</v>
      </c>
      <c r="AR74">
        <v>1.3467E-2</v>
      </c>
      <c r="AS74">
        <v>2.7959000000000001E-2</v>
      </c>
      <c r="AT74">
        <v>0.37372</v>
      </c>
      <c r="AU74">
        <v>0.36951400000000001</v>
      </c>
      <c r="AV74">
        <v>2.1680000000000001</v>
      </c>
      <c r="AW74">
        <v>0.37717400000000001</v>
      </c>
      <c r="AX74">
        <v>0.493842</v>
      </c>
      <c r="AY74">
        <v>236.39999399999999</v>
      </c>
      <c r="AZ74">
        <v>0.19520999999999999</v>
      </c>
      <c r="BA74">
        <v>7.11</v>
      </c>
      <c r="BB74">
        <v>1.6295E-2</v>
      </c>
      <c r="BC74">
        <v>0.89080000000000004</v>
      </c>
      <c r="BD74">
        <v>51.68</v>
      </c>
      <c r="BE74" s="19">
        <v>2.58</v>
      </c>
      <c r="BF74" s="19" t="s">
        <v>49</v>
      </c>
      <c r="BG74" s="19">
        <v>6.48</v>
      </c>
      <c r="BH74" s="19">
        <v>4.3899999999999997</v>
      </c>
      <c r="BI74" s="19">
        <v>4.29</v>
      </c>
      <c r="BJ74" s="19">
        <v>4.6100000000000003</v>
      </c>
      <c r="BK74" s="22">
        <v>5.0533333333333337</v>
      </c>
      <c r="BM74" s="22" t="str">
        <f t="shared" si="4"/>
        <v/>
      </c>
      <c r="BN74" s="22" t="str">
        <f t="shared" si="5"/>
        <v/>
      </c>
      <c r="BO74" s="22" t="str">
        <f t="shared" si="6"/>
        <v/>
      </c>
      <c r="BP74" s="22" t="str">
        <f t="shared" si="7"/>
        <v/>
      </c>
    </row>
    <row r="75" spans="1:68" x14ac:dyDescent="0.25">
      <c r="A75">
        <v>2.0643000000000002E-2</v>
      </c>
      <c r="B75">
        <v>11</v>
      </c>
      <c r="C75" t="s">
        <v>297</v>
      </c>
      <c r="D75">
        <v>1990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0.30148900000000001</v>
      </c>
      <c r="AO75">
        <v>0.39494600000000002</v>
      </c>
      <c r="AP75">
        <v>1.2653319999999999</v>
      </c>
      <c r="AQ75">
        <v>0.19839300000000001</v>
      </c>
      <c r="AR75">
        <v>1.2081E-2</v>
      </c>
      <c r="AS75">
        <v>1.0286999999999999E-2</v>
      </c>
      <c r="AT75">
        <v>0.36509399999999997</v>
      </c>
      <c r="AU75">
        <v>0.34367900000000001</v>
      </c>
      <c r="AV75">
        <v>2.1379999999999999</v>
      </c>
      <c r="AW75">
        <v>0.332625</v>
      </c>
      <c r="AX75">
        <v>0.20335700000000001</v>
      </c>
      <c r="AY75">
        <v>249.279999</v>
      </c>
      <c r="AZ75">
        <v>0.17666299999999999</v>
      </c>
      <c r="BA75">
        <v>7.55</v>
      </c>
      <c r="BB75">
        <v>1.8048999999999999E-2</v>
      </c>
      <c r="BC75">
        <v>0.9032</v>
      </c>
      <c r="BD75">
        <v>57.889999000000003</v>
      </c>
      <c r="BE75" s="19">
        <v>2.64</v>
      </c>
      <c r="BF75" s="19">
        <v>7.79</v>
      </c>
      <c r="BG75" s="19">
        <v>6.82</v>
      </c>
      <c r="BH75" s="19">
        <v>4.51</v>
      </c>
      <c r="BI75" s="19">
        <v>4.4400000000000004</v>
      </c>
      <c r="BJ75" s="19">
        <v>5.23</v>
      </c>
      <c r="BK75" s="22">
        <v>5.89</v>
      </c>
      <c r="BM75" s="22" t="str">
        <f t="shared" si="4"/>
        <v/>
      </c>
      <c r="BN75" s="22" t="str">
        <f t="shared" si="5"/>
        <v/>
      </c>
      <c r="BO75" s="22" t="str">
        <f t="shared" si="6"/>
        <v/>
      </c>
      <c r="BP75" s="22" t="str">
        <f t="shared" si="7"/>
        <v/>
      </c>
    </row>
    <row r="76" spans="1:68" x14ac:dyDescent="0.25">
      <c r="A76">
        <v>-6.9950000000000003E-3</v>
      </c>
      <c r="B76">
        <v>11</v>
      </c>
      <c r="C76" t="s">
        <v>297</v>
      </c>
      <c r="D76">
        <v>1995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0</v>
      </c>
      <c r="AM76">
        <v>0</v>
      </c>
      <c r="AN76">
        <v>0.31267800000000001</v>
      </c>
      <c r="AO76">
        <v>0.42927300000000002</v>
      </c>
      <c r="AP76">
        <v>1.2276290000000001</v>
      </c>
      <c r="AQ76">
        <v>0.171537</v>
      </c>
      <c r="AR76">
        <v>1.0632000000000001E-2</v>
      </c>
      <c r="AS76">
        <v>1.1816999999999999E-2</v>
      </c>
      <c r="AT76">
        <v>0.35592400000000002</v>
      </c>
      <c r="AU76">
        <v>0.33145400000000003</v>
      </c>
      <c r="AV76">
        <v>2.1680000000000001</v>
      </c>
      <c r="AW76">
        <v>0.31018699999999999</v>
      </c>
      <c r="AX76">
        <v>3.6114E-2</v>
      </c>
      <c r="AY76">
        <v>263.38000499999998</v>
      </c>
      <c r="AZ76">
        <v>0.16884099999999999</v>
      </c>
      <c r="BA76">
        <v>7.96</v>
      </c>
      <c r="BB76">
        <v>4.4184000000000001E-2</v>
      </c>
      <c r="BC76">
        <v>0.91279999999999994</v>
      </c>
      <c r="BD76">
        <v>57.200001</v>
      </c>
      <c r="BE76" s="19">
        <v>2.94</v>
      </c>
      <c r="BF76" s="19">
        <v>8.32</v>
      </c>
      <c r="BG76" s="19">
        <v>5.65</v>
      </c>
      <c r="BH76" s="19">
        <v>5.01</v>
      </c>
      <c r="BI76" s="19">
        <v>5.07</v>
      </c>
      <c r="BJ76" s="19">
        <v>5.35</v>
      </c>
      <c r="BK76" s="22">
        <v>6.0125000000000002</v>
      </c>
      <c r="BM76" s="22" t="str">
        <f t="shared" si="4"/>
        <v/>
      </c>
      <c r="BN76" s="22" t="str">
        <f t="shared" si="5"/>
        <v/>
      </c>
      <c r="BO76" s="22" t="str">
        <f t="shared" si="6"/>
        <v/>
      </c>
      <c r="BP76" s="22" t="str">
        <f t="shared" si="7"/>
        <v/>
      </c>
    </row>
    <row r="77" spans="1:68" x14ac:dyDescent="0.25">
      <c r="A77">
        <v>3.7392000000000002E-2</v>
      </c>
      <c r="B77">
        <v>11</v>
      </c>
      <c r="C77" t="s">
        <v>297</v>
      </c>
      <c r="D77">
        <v>2000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</v>
      </c>
      <c r="AM77">
        <v>0</v>
      </c>
      <c r="AN77">
        <v>0.353634</v>
      </c>
      <c r="AO77">
        <v>0.417213</v>
      </c>
      <c r="AP77">
        <v>1.1174519999999999</v>
      </c>
      <c r="AQ77">
        <v>0.21485699999999999</v>
      </c>
      <c r="AR77">
        <v>9.6120000000000008E-3</v>
      </c>
      <c r="AS77">
        <v>1.4425E-2</v>
      </c>
      <c r="AT77">
        <v>0.35659400000000002</v>
      </c>
      <c r="AU77">
        <v>0.35030899999999998</v>
      </c>
      <c r="AV77">
        <v>2.0568</v>
      </c>
      <c r="AW77">
        <v>0.38114300000000001</v>
      </c>
      <c r="AX77">
        <v>2.8292000000000001E-2</v>
      </c>
      <c r="AY77">
        <v>274.89999399999999</v>
      </c>
      <c r="AZ77">
        <v>0.161331</v>
      </c>
      <c r="BA77">
        <v>8.35</v>
      </c>
      <c r="BB77">
        <v>2.9312999999999999E-2</v>
      </c>
      <c r="BC77">
        <v>0.92020000000000002</v>
      </c>
      <c r="BD77">
        <v>67.580001999999993</v>
      </c>
      <c r="BE77" s="19">
        <v>4.7300000000000004</v>
      </c>
      <c r="BF77" s="19">
        <v>7.6</v>
      </c>
      <c r="BG77" s="19">
        <v>6.24</v>
      </c>
      <c r="BH77" s="19">
        <v>7.16</v>
      </c>
      <c r="BI77" s="19">
        <v>6.06</v>
      </c>
      <c r="BJ77" s="19">
        <v>6.36</v>
      </c>
      <c r="BK77" s="22">
        <v>6.7649999999999997</v>
      </c>
      <c r="BM77" s="22" t="str">
        <f t="shared" si="4"/>
        <v/>
      </c>
      <c r="BN77" s="22" t="str">
        <f t="shared" si="5"/>
        <v/>
      </c>
      <c r="BO77" s="22">
        <f t="shared" si="6"/>
        <v>6.36</v>
      </c>
      <c r="BP77" s="22" t="str">
        <f t="shared" si="7"/>
        <v/>
      </c>
    </row>
    <row r="78" spans="1:68" x14ac:dyDescent="0.25">
      <c r="A78">
        <v>3.1345999999999999E-2</v>
      </c>
      <c r="B78">
        <v>11</v>
      </c>
      <c r="C78" t="s">
        <v>297</v>
      </c>
      <c r="D78">
        <v>2005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</v>
      </c>
      <c r="AN78">
        <v>0.38365100000000002</v>
      </c>
      <c r="AO78">
        <v>0.43466399999999999</v>
      </c>
      <c r="AP78">
        <v>1.180374</v>
      </c>
      <c r="AQ78">
        <v>0.22290699999999999</v>
      </c>
      <c r="AR78">
        <v>9.4020000000000006E-3</v>
      </c>
      <c r="AS78">
        <v>6.8269999999999997E-3</v>
      </c>
      <c r="AT78">
        <v>0.34836</v>
      </c>
      <c r="AU78">
        <v>0.35664400000000002</v>
      </c>
      <c r="AV78">
        <v>1.99</v>
      </c>
      <c r="AW78">
        <v>0.40021400000000001</v>
      </c>
      <c r="AX78">
        <v>4.1162999999999998E-2</v>
      </c>
      <c r="AY78">
        <v>290.27880900000002</v>
      </c>
      <c r="AZ78">
        <v>0.15442400000000001</v>
      </c>
      <c r="BA78">
        <v>8.75</v>
      </c>
      <c r="BB78">
        <v>2.9073000000000002E-2</v>
      </c>
      <c r="BC78">
        <v>0.92600000000000005</v>
      </c>
      <c r="BD78">
        <v>79.089995999999999</v>
      </c>
      <c r="BE78" s="19">
        <v>4.8499999999999996</v>
      </c>
      <c r="BF78" s="19">
        <v>7.01</v>
      </c>
      <c r="BG78" s="19">
        <v>7.16</v>
      </c>
      <c r="BH78" s="19">
        <v>7.69</v>
      </c>
      <c r="BI78" s="19">
        <v>6.99</v>
      </c>
      <c r="BJ78" s="19">
        <v>6.74</v>
      </c>
      <c r="BK78" s="22">
        <v>7.2125000000000004</v>
      </c>
      <c r="BM78" s="22" t="str">
        <f t="shared" si="4"/>
        <v/>
      </c>
      <c r="BN78" s="22" t="str">
        <f t="shared" si="5"/>
        <v/>
      </c>
      <c r="BO78" s="22" t="str">
        <f t="shared" si="6"/>
        <v/>
      </c>
      <c r="BP78" s="22" t="str">
        <f t="shared" si="7"/>
        <v/>
      </c>
    </row>
    <row r="79" spans="1:68" x14ac:dyDescent="0.25">
      <c r="A79">
        <v>3.3702999999999997E-2</v>
      </c>
      <c r="B79">
        <v>12</v>
      </c>
      <c r="C79" t="s">
        <v>298</v>
      </c>
      <c r="D79">
        <v>1975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0.28741100000000003</v>
      </c>
      <c r="AO79">
        <v>0.40063399999999999</v>
      </c>
      <c r="AP79">
        <v>0.64319099999999996</v>
      </c>
      <c r="AQ79">
        <v>0.22816700000000001</v>
      </c>
      <c r="AR79">
        <v>2.1610000000000002E-3</v>
      </c>
      <c r="AS79">
        <v>1.1557E-2</v>
      </c>
      <c r="AT79">
        <v>0.42350399999999999</v>
      </c>
      <c r="AU79">
        <v>0.35965599999999998</v>
      </c>
      <c r="AV79">
        <v>3.7204000000000002</v>
      </c>
      <c r="AW79">
        <v>0.44312099999999999</v>
      </c>
      <c r="AX79">
        <v>0.13366900000000001</v>
      </c>
      <c r="AY79">
        <v>3075.1999510000001</v>
      </c>
      <c r="AZ79">
        <v>0.16330900000000001</v>
      </c>
      <c r="BA79">
        <v>6.52</v>
      </c>
      <c r="BB79">
        <v>7.1384000000000003E-2</v>
      </c>
      <c r="BC79">
        <v>0.52839999999999998</v>
      </c>
      <c r="BD79">
        <v>69.910004000000001</v>
      </c>
      <c r="BE79" s="19">
        <v>5.6</v>
      </c>
      <c r="BF79" s="19">
        <v>8.27</v>
      </c>
      <c r="BG79" s="19">
        <v>5.7</v>
      </c>
      <c r="BH79" s="19">
        <v>5.31</v>
      </c>
      <c r="BI79" s="19" t="s">
        <v>49</v>
      </c>
      <c r="BJ79" s="19">
        <v>6.57</v>
      </c>
      <c r="BK79" s="22">
        <v>6.4266666666666659</v>
      </c>
      <c r="BM79" s="22" t="str">
        <f t="shared" si="4"/>
        <v/>
      </c>
      <c r="BN79" s="22" t="str">
        <f t="shared" si="5"/>
        <v/>
      </c>
      <c r="BO79" s="22" t="str">
        <f t="shared" si="6"/>
        <v/>
      </c>
      <c r="BP79" s="22" t="str">
        <f>IF(OR(C79="SWE",C79="NOR",C79="DEN",C79="FIN"),BO79,"")</f>
        <v/>
      </c>
    </row>
    <row r="80" spans="1:68" x14ac:dyDescent="0.25">
      <c r="A80">
        <v>3.141E-2</v>
      </c>
      <c r="B80">
        <v>12</v>
      </c>
      <c r="C80" t="s">
        <v>298</v>
      </c>
      <c r="D80">
        <v>1980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0.30072300000000002</v>
      </c>
      <c r="AO80">
        <v>0.44801200000000002</v>
      </c>
      <c r="AP80">
        <v>0.68026500000000001</v>
      </c>
      <c r="AQ80">
        <v>0.259739</v>
      </c>
      <c r="AR80">
        <v>5.4609999999999997E-3</v>
      </c>
      <c r="AS80">
        <v>1.0499E-2</v>
      </c>
      <c r="AT80">
        <v>0.42223500000000003</v>
      </c>
      <c r="AU80">
        <v>0.45410200000000001</v>
      </c>
      <c r="AV80">
        <v>3.2557999999999998</v>
      </c>
      <c r="AW80">
        <v>0.57114399999999999</v>
      </c>
      <c r="AX80">
        <v>0.14143900000000001</v>
      </c>
      <c r="AY80">
        <v>3316.6000979999999</v>
      </c>
      <c r="AZ80">
        <v>0.159105</v>
      </c>
      <c r="BA80">
        <v>6.7</v>
      </c>
      <c r="BB80">
        <v>8.8242000000000001E-2</v>
      </c>
      <c r="BC80">
        <v>0.54620000000000002</v>
      </c>
      <c r="BD80">
        <v>71.550003000000004</v>
      </c>
      <c r="BE80" s="19">
        <v>5.09</v>
      </c>
      <c r="BF80" s="19">
        <v>5.79</v>
      </c>
      <c r="BG80" s="19">
        <v>3.05</v>
      </c>
      <c r="BH80" s="19">
        <v>3.62</v>
      </c>
      <c r="BI80" s="19">
        <v>6.05</v>
      </c>
      <c r="BJ80" s="19">
        <v>4.72</v>
      </c>
      <c r="BK80" s="22">
        <v>4.6275000000000004</v>
      </c>
      <c r="BM80" s="22">
        <f t="shared" si="4"/>
        <v>4.72</v>
      </c>
      <c r="BN80" s="22" t="str">
        <f t="shared" si="5"/>
        <v/>
      </c>
      <c r="BO80" s="22" t="str">
        <f t="shared" si="6"/>
        <v/>
      </c>
      <c r="BP80" s="22" t="str">
        <f t="shared" ref="BP80:BP143" si="8">IF(OR(C80="SWE",C80="NOR",C80="DEN",C80="FIN"),BO80,"")</f>
        <v/>
      </c>
    </row>
    <row r="81" spans="1:68" x14ac:dyDescent="0.25">
      <c r="A81">
        <v>1.7250000000000001E-2</v>
      </c>
      <c r="B81">
        <v>12</v>
      </c>
      <c r="C81" t="s">
        <v>298</v>
      </c>
      <c r="D81">
        <v>1985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0</v>
      </c>
      <c r="AL81">
        <v>0</v>
      </c>
      <c r="AM81">
        <v>0</v>
      </c>
      <c r="AN81">
        <v>0.34178900000000001</v>
      </c>
      <c r="AO81">
        <v>0.530443</v>
      </c>
      <c r="AP81">
        <v>0.69758699999999996</v>
      </c>
      <c r="AQ81">
        <v>0.22784099999999999</v>
      </c>
      <c r="AR81">
        <v>2.5529E-2</v>
      </c>
      <c r="AS81">
        <v>1.372E-2</v>
      </c>
      <c r="AT81">
        <v>0.41347099999999998</v>
      </c>
      <c r="AU81">
        <v>0.49866899999999997</v>
      </c>
      <c r="AV81">
        <v>2.7749999999999999</v>
      </c>
      <c r="AW81">
        <v>0.551952</v>
      </c>
      <c r="AX81">
        <v>0.123963</v>
      </c>
      <c r="AY81">
        <v>3499.1999510000001</v>
      </c>
      <c r="AZ81">
        <v>0.135407</v>
      </c>
      <c r="BA81">
        <v>7.6</v>
      </c>
      <c r="BB81">
        <v>0.14418600000000001</v>
      </c>
      <c r="BC81">
        <v>0.55900000000000005</v>
      </c>
      <c r="BD81">
        <v>78.760002</v>
      </c>
      <c r="BE81" s="19">
        <v>5.0199999999999996</v>
      </c>
      <c r="BF81" s="19">
        <v>7.96</v>
      </c>
      <c r="BG81" s="19">
        <v>2.38</v>
      </c>
      <c r="BH81" s="19">
        <v>5.55</v>
      </c>
      <c r="BI81" s="19">
        <v>6.29</v>
      </c>
      <c r="BJ81" s="19">
        <v>5.36</v>
      </c>
      <c r="BK81" s="22">
        <v>5.5449999999999999</v>
      </c>
      <c r="BM81" s="22" t="str">
        <f t="shared" si="4"/>
        <v/>
      </c>
      <c r="BN81" s="22" t="str">
        <f t="shared" si="5"/>
        <v/>
      </c>
      <c r="BO81" s="22" t="str">
        <f t="shared" si="6"/>
        <v/>
      </c>
      <c r="BP81" s="22" t="str">
        <f t="shared" si="8"/>
        <v/>
      </c>
    </row>
    <row r="82" spans="1:68" x14ac:dyDescent="0.25">
      <c r="A82">
        <v>4.9140999999999997E-2</v>
      </c>
      <c r="B82">
        <v>12</v>
      </c>
      <c r="C82" t="s">
        <v>298</v>
      </c>
      <c r="D82">
        <v>1990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</v>
      </c>
      <c r="AK82">
        <v>0</v>
      </c>
      <c r="AL82">
        <v>0</v>
      </c>
      <c r="AM82">
        <v>0</v>
      </c>
      <c r="AN82">
        <v>0.34867599999999999</v>
      </c>
      <c r="AO82">
        <v>0.47850999999999999</v>
      </c>
      <c r="AP82">
        <v>0.69664499999999996</v>
      </c>
      <c r="AQ82">
        <v>0.17076</v>
      </c>
      <c r="AR82">
        <v>7.0060000000000001E-3</v>
      </c>
      <c r="AS82">
        <v>-1.03E-4</v>
      </c>
      <c r="AT82">
        <v>0.40237699999999998</v>
      </c>
      <c r="AU82">
        <v>0.56092500000000001</v>
      </c>
      <c r="AV82">
        <v>2.226</v>
      </c>
      <c r="AW82">
        <v>0.51444100000000004</v>
      </c>
      <c r="AX82">
        <v>3.2979000000000001E-2</v>
      </c>
      <c r="AY82">
        <v>3526.8000489999999</v>
      </c>
      <c r="AZ82">
        <v>0.149538</v>
      </c>
      <c r="BA82">
        <v>7.87</v>
      </c>
      <c r="BB82">
        <v>0.15936900000000001</v>
      </c>
      <c r="BC82">
        <v>0.56659999999999999</v>
      </c>
      <c r="BD82">
        <v>80.300003000000004</v>
      </c>
      <c r="BE82" s="19">
        <v>5.24</v>
      </c>
      <c r="BF82" s="19">
        <v>9.18</v>
      </c>
      <c r="BG82" s="19">
        <v>2.0499999999999998</v>
      </c>
      <c r="BH82" s="19">
        <v>5.57</v>
      </c>
      <c r="BI82" s="19">
        <v>6.3</v>
      </c>
      <c r="BJ82" s="19">
        <v>5.56</v>
      </c>
      <c r="BK82" s="22">
        <v>5.7750000000000004</v>
      </c>
      <c r="BM82" s="22" t="str">
        <f t="shared" si="4"/>
        <v/>
      </c>
      <c r="BN82" s="22" t="str">
        <f t="shared" si="5"/>
        <v/>
      </c>
      <c r="BO82" s="22" t="str">
        <f t="shared" si="6"/>
        <v/>
      </c>
      <c r="BP82" s="22" t="str">
        <f t="shared" si="8"/>
        <v/>
      </c>
    </row>
    <row r="83" spans="1:68" x14ac:dyDescent="0.25">
      <c r="A83">
        <v>4.0749E-2</v>
      </c>
      <c r="B83">
        <v>12</v>
      </c>
      <c r="C83" t="s">
        <v>298</v>
      </c>
      <c r="D83">
        <v>1995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0.33853499999999997</v>
      </c>
      <c r="AO83">
        <v>0.43613400000000002</v>
      </c>
      <c r="AP83">
        <v>0.77566299999999999</v>
      </c>
      <c r="AQ83">
        <v>0.165298</v>
      </c>
      <c r="AR83">
        <v>1.5521E-2</v>
      </c>
      <c r="AS83">
        <v>1.8301000000000001E-2</v>
      </c>
      <c r="AT83">
        <v>0.38681199999999999</v>
      </c>
      <c r="AU83">
        <v>0.66050399999999998</v>
      </c>
      <c r="AV83">
        <v>1.954</v>
      </c>
      <c r="AW83">
        <v>0.56907099999999999</v>
      </c>
      <c r="AX83">
        <v>2.5238E-2</v>
      </c>
      <c r="AY83">
        <v>3563.530029</v>
      </c>
      <c r="AZ83">
        <v>0.17722099999999999</v>
      </c>
      <c r="BA83">
        <v>8.5</v>
      </c>
      <c r="BB83">
        <v>0.14812400000000001</v>
      </c>
      <c r="BC83">
        <v>0.57499999999999996</v>
      </c>
      <c r="BD83">
        <v>79.110000999999997</v>
      </c>
      <c r="BE83" s="19">
        <v>5.91</v>
      </c>
      <c r="BF83" s="19">
        <v>9.73</v>
      </c>
      <c r="BG83" s="19">
        <v>6.79</v>
      </c>
      <c r="BH83" s="19">
        <v>5.92</v>
      </c>
      <c r="BI83" s="19">
        <v>6.66</v>
      </c>
      <c r="BJ83" s="19">
        <v>6.95</v>
      </c>
      <c r="BK83" s="22">
        <v>7.2749999999999995</v>
      </c>
      <c r="BM83" s="22" t="str">
        <f t="shared" si="4"/>
        <v/>
      </c>
      <c r="BN83" s="22" t="str">
        <f t="shared" si="5"/>
        <v/>
      </c>
      <c r="BO83" s="22" t="str">
        <f t="shared" si="6"/>
        <v/>
      </c>
      <c r="BP83" s="22" t="str">
        <f t="shared" si="8"/>
        <v/>
      </c>
    </row>
    <row r="84" spans="1:68" x14ac:dyDescent="0.25">
      <c r="A84">
        <v>8.5318000000000005E-2</v>
      </c>
      <c r="B84">
        <v>12</v>
      </c>
      <c r="C84" t="s">
        <v>298</v>
      </c>
      <c r="D84">
        <v>2000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</v>
      </c>
      <c r="AM84">
        <v>0</v>
      </c>
      <c r="AN84">
        <v>0.31737799999999999</v>
      </c>
      <c r="AO84">
        <v>0.34571499999999999</v>
      </c>
      <c r="AP84">
        <v>0.89290800000000004</v>
      </c>
      <c r="AQ84">
        <v>0.21987899999999999</v>
      </c>
      <c r="AR84">
        <v>6.7320000000000001E-3</v>
      </c>
      <c r="AS84">
        <v>3.4814999999999999E-2</v>
      </c>
      <c r="AT84">
        <v>0.35703200000000002</v>
      </c>
      <c r="AU84">
        <v>0.86172199999999999</v>
      </c>
      <c r="AV84">
        <v>1.9059999999999999</v>
      </c>
      <c r="AW84">
        <v>0.73242499999999999</v>
      </c>
      <c r="AX84">
        <v>2.5547E-2</v>
      </c>
      <c r="AY84">
        <v>3717.030029</v>
      </c>
      <c r="AZ84">
        <v>0.242753</v>
      </c>
      <c r="BA84">
        <v>8.7899999999999991</v>
      </c>
      <c r="BB84">
        <v>8.0647999999999997E-2</v>
      </c>
      <c r="BC84">
        <v>0.58620000000000005</v>
      </c>
      <c r="BD84">
        <v>86.010002</v>
      </c>
      <c r="BE84" s="19">
        <v>5.6</v>
      </c>
      <c r="BF84" s="19">
        <v>8.3000000000000007</v>
      </c>
      <c r="BG84" s="19">
        <v>9.4499999999999993</v>
      </c>
      <c r="BH84" s="19">
        <v>6.62</v>
      </c>
      <c r="BI84" s="19">
        <v>6.91</v>
      </c>
      <c r="BJ84" s="19">
        <v>7.38</v>
      </c>
      <c r="BK84" s="22">
        <v>7.82</v>
      </c>
      <c r="BM84" s="22" t="str">
        <f t="shared" si="4"/>
        <v/>
      </c>
      <c r="BN84" s="22" t="str">
        <f t="shared" si="5"/>
        <v/>
      </c>
      <c r="BO84" s="22">
        <f t="shared" si="6"/>
        <v>7.38</v>
      </c>
      <c r="BP84" s="22" t="str">
        <f t="shared" si="8"/>
        <v/>
      </c>
    </row>
    <row r="85" spans="1:68" x14ac:dyDescent="0.25">
      <c r="A85">
        <v>3.3668999999999998E-2</v>
      </c>
      <c r="B85">
        <v>12</v>
      </c>
      <c r="C85" t="s">
        <v>298</v>
      </c>
      <c r="D85">
        <v>2005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0.29386499999999999</v>
      </c>
      <c r="AO85">
        <v>0.33604600000000001</v>
      </c>
      <c r="AP85">
        <v>1.2009160000000001</v>
      </c>
      <c r="AQ85">
        <v>0.24032700000000001</v>
      </c>
      <c r="AR85">
        <v>5.1789999999999996E-3</v>
      </c>
      <c r="AS85">
        <v>2.9180999999999999E-2</v>
      </c>
      <c r="AT85">
        <v>0.32845999999999997</v>
      </c>
      <c r="AU85">
        <v>0.89989600000000003</v>
      </c>
      <c r="AV85">
        <v>1.952</v>
      </c>
      <c r="AW85">
        <v>0.73978200000000005</v>
      </c>
      <c r="AX85">
        <v>3.5261000000000001E-2</v>
      </c>
      <c r="AY85">
        <v>4004.3000489999999</v>
      </c>
      <c r="AZ85">
        <v>0.235515</v>
      </c>
      <c r="BA85">
        <v>9.02</v>
      </c>
      <c r="BB85">
        <v>4.3392E-2</v>
      </c>
      <c r="BC85">
        <v>0.59940000000000004</v>
      </c>
      <c r="BD85">
        <v>91.860000999999997</v>
      </c>
      <c r="BE85" s="19">
        <v>6.07</v>
      </c>
      <c r="BF85" s="19">
        <v>9.0299999999999994</v>
      </c>
      <c r="BG85" s="19">
        <v>9.18</v>
      </c>
      <c r="BH85" s="19">
        <v>6.88</v>
      </c>
      <c r="BI85" s="19">
        <v>7.56</v>
      </c>
      <c r="BJ85" s="19">
        <v>7.75</v>
      </c>
      <c r="BK85" s="22">
        <v>8.1624999999999996</v>
      </c>
      <c r="BM85" s="22" t="str">
        <f t="shared" si="4"/>
        <v/>
      </c>
      <c r="BN85" s="22" t="str">
        <f t="shared" si="5"/>
        <v/>
      </c>
      <c r="BO85" s="22" t="str">
        <f t="shared" si="6"/>
        <v/>
      </c>
      <c r="BP85" s="22" t="str">
        <f t="shared" si="8"/>
        <v/>
      </c>
    </row>
    <row r="86" spans="1:68" x14ac:dyDescent="0.25">
      <c r="A86">
        <v>4.4188999999999999E-2</v>
      </c>
      <c r="B86">
        <v>13</v>
      </c>
      <c r="C86" t="s">
        <v>299</v>
      </c>
      <c r="D86">
        <v>1975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O86">
        <v>0</v>
      </c>
      <c r="AP86">
        <v>0.80881899999999995</v>
      </c>
      <c r="AQ86">
        <v>0.30669099999999999</v>
      </c>
      <c r="AR86">
        <v>2.5045000000000001E-2</v>
      </c>
      <c r="AT86">
        <v>0.397781</v>
      </c>
      <c r="AU86">
        <v>0.309693</v>
      </c>
      <c r="AV86">
        <v>3.77</v>
      </c>
      <c r="AW86">
        <v>0.57098899999999997</v>
      </c>
      <c r="AX86">
        <v>0.24774599999999999</v>
      </c>
      <c r="AY86">
        <v>3265.3999020000001</v>
      </c>
      <c r="AZ86">
        <v>0.17685300000000001</v>
      </c>
      <c r="BA86">
        <v>7.65</v>
      </c>
      <c r="BC86">
        <v>0.85640000000000005</v>
      </c>
      <c r="BD86">
        <v>48.810001</v>
      </c>
      <c r="BE86" s="19">
        <v>5.22</v>
      </c>
      <c r="BF86" s="19">
        <v>9.86</v>
      </c>
      <c r="BG86" s="19">
        <v>6.61</v>
      </c>
      <c r="BH86" s="19">
        <v>7.31</v>
      </c>
      <c r="BI86" s="19">
        <v>7</v>
      </c>
      <c r="BJ86" s="19">
        <v>7.16</v>
      </c>
      <c r="BK86" s="22">
        <v>7.6949999999999994</v>
      </c>
      <c r="BM86" s="22" t="str">
        <f t="shared" si="4"/>
        <v/>
      </c>
      <c r="BN86" s="22" t="str">
        <f t="shared" si="5"/>
        <v/>
      </c>
      <c r="BO86" s="22" t="str">
        <f t="shared" si="6"/>
        <v/>
      </c>
      <c r="BP86" s="22" t="str">
        <f t="shared" si="8"/>
        <v/>
      </c>
    </row>
    <row r="87" spans="1:68" x14ac:dyDescent="0.25">
      <c r="A87">
        <v>1.4503E-2</v>
      </c>
      <c r="B87">
        <v>13</v>
      </c>
      <c r="C87" t="s">
        <v>299</v>
      </c>
      <c r="D87">
        <v>1980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O87">
        <v>0</v>
      </c>
      <c r="AP87">
        <v>0.91796699999999998</v>
      </c>
      <c r="AQ87">
        <v>0.23702200000000001</v>
      </c>
      <c r="AR87">
        <v>5.4310000000000001E-3</v>
      </c>
      <c r="AT87">
        <v>0.406252</v>
      </c>
      <c r="AU87">
        <v>0.44859900000000003</v>
      </c>
      <c r="AV87">
        <v>3.3260000000000001</v>
      </c>
      <c r="AW87">
        <v>0.68263300000000005</v>
      </c>
      <c r="AX87">
        <v>0.65589500000000001</v>
      </c>
      <c r="AY87">
        <v>3700</v>
      </c>
      <c r="AZ87">
        <v>0.142266</v>
      </c>
      <c r="BA87">
        <v>7.86</v>
      </c>
      <c r="BB87">
        <v>4.8000000000000001E-2</v>
      </c>
      <c r="BC87">
        <v>0.878</v>
      </c>
      <c r="BD87">
        <v>50.119999</v>
      </c>
      <c r="BE87" s="19">
        <v>4.47</v>
      </c>
      <c r="BF87" s="19">
        <v>7.54</v>
      </c>
      <c r="BG87" s="19">
        <v>5.64</v>
      </c>
      <c r="BH87" s="19">
        <v>7.47</v>
      </c>
      <c r="BI87" s="19">
        <v>6.91</v>
      </c>
      <c r="BJ87" s="19">
        <v>6.36</v>
      </c>
      <c r="BK87" s="22">
        <v>6.89</v>
      </c>
      <c r="BM87" s="22">
        <f t="shared" si="4"/>
        <v>6.36</v>
      </c>
      <c r="BN87" s="22" t="str">
        <f t="shared" si="5"/>
        <v/>
      </c>
      <c r="BO87" s="22" t="str">
        <f t="shared" si="6"/>
        <v/>
      </c>
      <c r="BP87" s="22" t="str">
        <f t="shared" si="8"/>
        <v/>
      </c>
    </row>
    <row r="88" spans="1:68" x14ac:dyDescent="0.25">
      <c r="A88">
        <v>1.1653999999999999E-2</v>
      </c>
      <c r="B88">
        <v>13</v>
      </c>
      <c r="C88" t="s">
        <v>299</v>
      </c>
      <c r="D88">
        <v>1985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0</v>
      </c>
      <c r="AK88">
        <v>0</v>
      </c>
      <c r="AL88">
        <v>0</v>
      </c>
      <c r="AM88">
        <v>0</v>
      </c>
      <c r="AO88">
        <v>0</v>
      </c>
      <c r="AP88">
        <v>0.81692900000000002</v>
      </c>
      <c r="AQ88">
        <v>0.215417</v>
      </c>
      <c r="AR88">
        <v>2.9957000000000001E-2</v>
      </c>
      <c r="AS88">
        <v>2.1218000000000001E-2</v>
      </c>
      <c r="AT88">
        <v>0.41820600000000002</v>
      </c>
      <c r="AU88">
        <v>0.40254400000000001</v>
      </c>
      <c r="AV88">
        <v>3.0939999999999999</v>
      </c>
      <c r="AW88">
        <v>0.56892900000000002</v>
      </c>
      <c r="AX88">
        <v>2.1226379999999998</v>
      </c>
      <c r="AY88">
        <v>4096.7998049999997</v>
      </c>
      <c r="AZ88">
        <v>0.14479900000000001</v>
      </c>
      <c r="BA88">
        <v>9.11</v>
      </c>
      <c r="BB88">
        <v>5.4199999999999998E-2</v>
      </c>
      <c r="BC88">
        <v>0.89319999999999999</v>
      </c>
      <c r="BD88">
        <v>50.509998000000003</v>
      </c>
      <c r="BE88" s="19">
        <v>5.01</v>
      </c>
      <c r="BF88" s="19">
        <v>8.3699999999999992</v>
      </c>
      <c r="BG88" s="19">
        <v>5.77</v>
      </c>
      <c r="BH88" s="19">
        <v>7.8</v>
      </c>
      <c r="BI88" s="19">
        <v>7.16</v>
      </c>
      <c r="BJ88" s="19">
        <v>6.76</v>
      </c>
      <c r="BK88" s="22">
        <v>7.2749999999999995</v>
      </c>
      <c r="BM88" s="22" t="str">
        <f t="shared" si="4"/>
        <v/>
      </c>
      <c r="BN88" s="22" t="str">
        <f t="shared" si="5"/>
        <v/>
      </c>
      <c r="BO88" s="22" t="str">
        <f t="shared" si="6"/>
        <v/>
      </c>
      <c r="BP88" s="22" t="str">
        <f t="shared" si="8"/>
        <v/>
      </c>
    </row>
    <row r="89" spans="1:68" x14ac:dyDescent="0.25">
      <c r="A89">
        <v>2.325E-2</v>
      </c>
      <c r="B89">
        <v>13</v>
      </c>
      <c r="C89" t="s">
        <v>299</v>
      </c>
      <c r="D89">
        <v>1990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</v>
      </c>
      <c r="AK89">
        <v>0</v>
      </c>
      <c r="AL89">
        <v>0</v>
      </c>
      <c r="AM89">
        <v>0</v>
      </c>
      <c r="AO89">
        <v>0</v>
      </c>
      <c r="AP89">
        <v>0.781524</v>
      </c>
      <c r="AQ89">
        <v>0.185278</v>
      </c>
      <c r="AR89">
        <v>-2.2049999999999999E-3</v>
      </c>
      <c r="AS89">
        <v>2.5603999999999998E-2</v>
      </c>
      <c r="AT89">
        <v>0.41355199999999998</v>
      </c>
      <c r="AU89">
        <v>0.37051899999999999</v>
      </c>
      <c r="AV89">
        <v>2.9169999999999998</v>
      </c>
      <c r="AW89">
        <v>0.49743500000000002</v>
      </c>
      <c r="AX89">
        <v>0.24319299999999999</v>
      </c>
      <c r="AY89">
        <v>4457.6000979999999</v>
      </c>
      <c r="AZ89">
        <v>0.159409</v>
      </c>
      <c r="BA89">
        <v>9.01</v>
      </c>
      <c r="BB89">
        <v>7.5999999999999998E-2</v>
      </c>
      <c r="BC89">
        <v>0.90159999999999996</v>
      </c>
      <c r="BD89">
        <v>51.23</v>
      </c>
      <c r="BE89" s="19">
        <v>4.57</v>
      </c>
      <c r="BF89" s="19">
        <v>7.86</v>
      </c>
      <c r="BG89" s="19">
        <v>6.63</v>
      </c>
      <c r="BH89" s="19">
        <v>7.73</v>
      </c>
      <c r="BI89" s="19">
        <v>7.5</v>
      </c>
      <c r="BJ89" s="19">
        <v>6.81</v>
      </c>
      <c r="BK89" s="22">
        <v>7.43</v>
      </c>
      <c r="BM89" s="22" t="str">
        <f t="shared" si="4"/>
        <v/>
      </c>
      <c r="BN89" s="22" t="str">
        <f t="shared" si="5"/>
        <v/>
      </c>
      <c r="BO89" s="22" t="str">
        <f t="shared" si="6"/>
        <v/>
      </c>
      <c r="BP89" s="22" t="str">
        <f t="shared" si="8"/>
        <v/>
      </c>
    </row>
    <row r="90" spans="1:68" x14ac:dyDescent="0.25">
      <c r="A90">
        <v>2.8551E-2</v>
      </c>
      <c r="B90">
        <v>13</v>
      </c>
      <c r="C90" t="s">
        <v>299</v>
      </c>
      <c r="D90">
        <v>1995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0</v>
      </c>
      <c r="AM90">
        <v>0</v>
      </c>
      <c r="AO90">
        <v>0</v>
      </c>
      <c r="AP90">
        <v>0.80510400000000004</v>
      </c>
      <c r="AQ90">
        <v>0.23977599999999999</v>
      </c>
      <c r="AR90">
        <v>4.44E-4</v>
      </c>
      <c r="AS90">
        <v>4.9121999999999999E-2</v>
      </c>
      <c r="AT90">
        <v>0.40377600000000002</v>
      </c>
      <c r="AU90">
        <v>0.312778</v>
      </c>
      <c r="AV90">
        <v>2.8333330000000001</v>
      </c>
      <c r="AW90">
        <v>0.46275100000000002</v>
      </c>
      <c r="AX90">
        <v>0.12856000000000001</v>
      </c>
      <c r="AY90">
        <v>5255.3999020000001</v>
      </c>
      <c r="AZ90">
        <v>0.163886</v>
      </c>
      <c r="BA90">
        <v>9.0299999999999994</v>
      </c>
      <c r="BB90">
        <v>9.2999999999999999E-2</v>
      </c>
      <c r="BC90">
        <v>0.90700000000000003</v>
      </c>
      <c r="BD90">
        <v>50.900002000000001</v>
      </c>
      <c r="BE90" s="19">
        <v>5.97</v>
      </c>
      <c r="BF90" s="19">
        <v>9.14</v>
      </c>
      <c r="BG90" s="19">
        <v>6.77</v>
      </c>
      <c r="BH90" s="19">
        <v>7.69</v>
      </c>
      <c r="BI90" s="19">
        <v>7.68</v>
      </c>
      <c r="BJ90" s="19">
        <v>7.39</v>
      </c>
      <c r="BK90" s="22">
        <v>7.82</v>
      </c>
      <c r="BM90" s="22" t="str">
        <f t="shared" si="4"/>
        <v/>
      </c>
      <c r="BN90" s="22" t="str">
        <f t="shared" si="5"/>
        <v/>
      </c>
      <c r="BO90" s="22" t="str">
        <f t="shared" si="6"/>
        <v/>
      </c>
      <c r="BP90" s="22" t="str">
        <f t="shared" si="8"/>
        <v/>
      </c>
    </row>
    <row r="91" spans="1:68" x14ac:dyDescent="0.25">
      <c r="A91">
        <v>1.9202E-2</v>
      </c>
      <c r="B91">
        <v>13</v>
      </c>
      <c r="C91" t="s">
        <v>299</v>
      </c>
      <c r="D91">
        <v>2000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0</v>
      </c>
      <c r="AO91">
        <v>0</v>
      </c>
      <c r="AP91">
        <v>0.88304199999999999</v>
      </c>
      <c r="AQ91">
        <v>0.21441499999999999</v>
      </c>
      <c r="AR91">
        <v>6.6399999999999999E-4</v>
      </c>
      <c r="AS91">
        <v>3.2011999999999999E-2</v>
      </c>
      <c r="AT91">
        <v>0.39090000000000003</v>
      </c>
      <c r="AU91">
        <v>0.335872</v>
      </c>
      <c r="AV91">
        <v>2.9424999999999999</v>
      </c>
      <c r="AW91">
        <v>0.42439199999999999</v>
      </c>
      <c r="AX91">
        <v>6.4088999999999993E-2</v>
      </c>
      <c r="AY91">
        <v>5982.6000979999999</v>
      </c>
      <c r="AZ91">
        <v>0.14691699999999999</v>
      </c>
      <c r="BA91">
        <v>9.06</v>
      </c>
      <c r="BB91">
        <v>8.1199999999999994E-2</v>
      </c>
      <c r="BC91">
        <v>0.91200000000000003</v>
      </c>
      <c r="BD91">
        <v>60.970001000000003</v>
      </c>
      <c r="BE91" s="19">
        <v>6.18</v>
      </c>
      <c r="BF91" s="19">
        <v>9.09</v>
      </c>
      <c r="BG91" s="19">
        <v>9.6</v>
      </c>
      <c r="BH91" s="19">
        <v>8.75</v>
      </c>
      <c r="BI91" s="19">
        <v>7.74</v>
      </c>
      <c r="BJ91" s="19">
        <v>8.2799999999999994</v>
      </c>
      <c r="BK91" s="22">
        <v>8.7949999999999999</v>
      </c>
      <c r="BM91" s="22" t="str">
        <f t="shared" si="4"/>
        <v/>
      </c>
      <c r="BN91" s="22" t="str">
        <f t="shared" si="5"/>
        <v/>
      </c>
      <c r="BO91" s="22">
        <f t="shared" si="6"/>
        <v>8.2799999999999994</v>
      </c>
      <c r="BP91" s="22" t="str">
        <f t="shared" si="8"/>
        <v/>
      </c>
    </row>
    <row r="92" spans="1:68" x14ac:dyDescent="0.25">
      <c r="A92">
        <v>4.1E-5</v>
      </c>
      <c r="B92">
        <v>13</v>
      </c>
      <c r="C92" t="s">
        <v>299</v>
      </c>
      <c r="D92">
        <v>2005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</v>
      </c>
      <c r="AO92">
        <v>0</v>
      </c>
      <c r="AP92">
        <v>0.86308099999999999</v>
      </c>
      <c r="AQ92">
        <v>0.17441899999999999</v>
      </c>
      <c r="AR92">
        <v>3.725E-3</v>
      </c>
      <c r="AS92">
        <v>2.1635000000000001E-2</v>
      </c>
      <c r="AT92">
        <v>0.38195499999999999</v>
      </c>
      <c r="AU92">
        <v>0.40233000000000002</v>
      </c>
      <c r="AV92">
        <v>2.89</v>
      </c>
      <c r="AW92">
        <v>0.46665299999999998</v>
      </c>
      <c r="AX92">
        <v>1.6740999999999999E-2</v>
      </c>
      <c r="AY92">
        <v>6685.1601559999999</v>
      </c>
      <c r="AZ92">
        <v>9.4631000000000007E-2</v>
      </c>
      <c r="BA92">
        <v>9.23</v>
      </c>
      <c r="BB92">
        <v>0.10100000000000001</v>
      </c>
      <c r="BC92">
        <v>0.91520000000000001</v>
      </c>
      <c r="BD92">
        <v>70.25</v>
      </c>
      <c r="BE92" s="19">
        <v>6.59</v>
      </c>
      <c r="BF92" s="19">
        <v>8.9700000000000006</v>
      </c>
      <c r="BG92" s="19">
        <v>9.43</v>
      </c>
      <c r="BH92" s="19">
        <v>9.0500000000000007</v>
      </c>
      <c r="BI92" s="19">
        <v>7.01</v>
      </c>
      <c r="BJ92" s="19">
        <v>8.1999999999999993</v>
      </c>
      <c r="BK92" s="22">
        <v>8.6150000000000002</v>
      </c>
      <c r="BM92" s="22" t="str">
        <f t="shared" si="4"/>
        <v/>
      </c>
      <c r="BN92" s="22" t="str">
        <f t="shared" si="5"/>
        <v/>
      </c>
      <c r="BO92" s="22" t="str">
        <f t="shared" si="6"/>
        <v/>
      </c>
      <c r="BP92" s="22" t="str">
        <f t="shared" si="8"/>
        <v/>
      </c>
    </row>
    <row r="93" spans="1:68" x14ac:dyDescent="0.25">
      <c r="A93">
        <v>2.5493999999999999E-2</v>
      </c>
      <c r="B93">
        <v>14</v>
      </c>
      <c r="C93" t="s">
        <v>300</v>
      </c>
      <c r="D93">
        <v>1975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0.25393399999999999</v>
      </c>
      <c r="AO93">
        <v>0.36729200000000001</v>
      </c>
      <c r="AP93">
        <v>0.95915499999999998</v>
      </c>
      <c r="AQ93">
        <v>0.255357</v>
      </c>
      <c r="AR93">
        <v>1.8193999999999998E-2</v>
      </c>
      <c r="AS93">
        <v>4.6670000000000001E-3</v>
      </c>
      <c r="AT93">
        <v>0.354659</v>
      </c>
      <c r="AU93">
        <v>0.17771000000000001</v>
      </c>
      <c r="AV93">
        <v>2.3296000000000001</v>
      </c>
      <c r="AW93">
        <v>0.185782</v>
      </c>
      <c r="AX93">
        <v>0.11548799999999999</v>
      </c>
      <c r="AY93">
        <v>54751.601562999997</v>
      </c>
      <c r="AZ93">
        <v>0.24628800000000001</v>
      </c>
      <c r="BA93">
        <v>5.22</v>
      </c>
      <c r="BB93">
        <v>4.3311000000000002E-2</v>
      </c>
      <c r="BC93">
        <v>0.65080000000000005</v>
      </c>
      <c r="BD93">
        <v>51.759998000000003</v>
      </c>
      <c r="BE93" s="19">
        <v>2.59</v>
      </c>
      <c r="BF93" s="19">
        <v>7.32</v>
      </c>
      <c r="BG93" s="19">
        <v>6.36</v>
      </c>
      <c r="BH93" s="19">
        <v>4.58</v>
      </c>
      <c r="BI93" s="19">
        <v>4</v>
      </c>
      <c r="BJ93" s="19">
        <v>4.92</v>
      </c>
      <c r="BK93" s="22">
        <v>5.5649999999999995</v>
      </c>
      <c r="BM93" s="22" t="str">
        <f t="shared" si="4"/>
        <v/>
      </c>
      <c r="BN93" s="22" t="str">
        <f t="shared" si="5"/>
        <v/>
      </c>
      <c r="BO93" s="22" t="str">
        <f t="shared" si="6"/>
        <v/>
      </c>
      <c r="BP93" s="22" t="str">
        <f t="shared" si="8"/>
        <v/>
      </c>
    </row>
    <row r="94" spans="1:68" x14ac:dyDescent="0.25">
      <c r="A94">
        <v>4.0780999999999998E-2</v>
      </c>
      <c r="B94">
        <v>14</v>
      </c>
      <c r="C94" t="s">
        <v>300</v>
      </c>
      <c r="D94">
        <v>1980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0.27189000000000002</v>
      </c>
      <c r="AO94">
        <v>0.39647900000000003</v>
      </c>
      <c r="AP94">
        <v>0.97479800000000005</v>
      </c>
      <c r="AQ94">
        <v>0.246502</v>
      </c>
      <c r="AR94">
        <v>2.2880000000000001E-3</v>
      </c>
      <c r="AS94">
        <v>1.2227E-2</v>
      </c>
      <c r="AT94">
        <v>0.362817</v>
      </c>
      <c r="AU94">
        <v>0.220273</v>
      </c>
      <c r="AV94">
        <v>1.871</v>
      </c>
      <c r="AW94">
        <v>0.219191</v>
      </c>
      <c r="AX94">
        <v>0.16405800000000001</v>
      </c>
      <c r="AY94">
        <v>56116</v>
      </c>
      <c r="AZ94">
        <v>0.25387500000000002</v>
      </c>
      <c r="BA94">
        <v>5.28</v>
      </c>
      <c r="BB94">
        <v>5.3463999999999998E-2</v>
      </c>
      <c r="BC94">
        <v>0.66200000000000003</v>
      </c>
      <c r="BD94">
        <v>52.040000999999997</v>
      </c>
      <c r="BE94" s="19">
        <v>1.9</v>
      </c>
      <c r="BF94" s="19">
        <v>6.97</v>
      </c>
      <c r="BG94" s="19">
        <v>5.07</v>
      </c>
      <c r="BH94" s="19">
        <v>3.93</v>
      </c>
      <c r="BI94" s="19">
        <v>3.99</v>
      </c>
      <c r="BJ94" s="19">
        <v>4.29</v>
      </c>
      <c r="BK94" s="22">
        <v>4.99</v>
      </c>
      <c r="BM94" s="22">
        <f t="shared" si="4"/>
        <v>4.29</v>
      </c>
      <c r="BN94" s="22" t="str">
        <f t="shared" si="5"/>
        <v/>
      </c>
      <c r="BO94" s="22" t="str">
        <f t="shared" si="6"/>
        <v/>
      </c>
      <c r="BP94" s="22" t="str">
        <f t="shared" si="8"/>
        <v/>
      </c>
    </row>
    <row r="95" spans="1:68" x14ac:dyDescent="0.25">
      <c r="A95">
        <v>1.6268000000000001E-2</v>
      </c>
      <c r="B95">
        <v>14</v>
      </c>
      <c r="C95" t="s">
        <v>300</v>
      </c>
      <c r="D95">
        <v>1985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0</v>
      </c>
      <c r="AK95">
        <v>0</v>
      </c>
      <c r="AL95">
        <v>0</v>
      </c>
      <c r="AM95">
        <v>0</v>
      </c>
      <c r="AN95">
        <v>0.33334200000000003</v>
      </c>
      <c r="AO95">
        <v>0.47804200000000002</v>
      </c>
      <c r="AP95">
        <v>1.045865</v>
      </c>
      <c r="AQ95">
        <v>0.23543700000000001</v>
      </c>
      <c r="AR95">
        <v>1.511E-3</v>
      </c>
      <c r="AS95">
        <v>5.7169999999999999E-3</v>
      </c>
      <c r="AT95">
        <v>0.35421399999999997</v>
      </c>
      <c r="AU95">
        <v>0.219358</v>
      </c>
      <c r="AV95">
        <v>1.5162</v>
      </c>
      <c r="AW95">
        <v>0.22655900000000001</v>
      </c>
      <c r="AX95">
        <v>0.137713</v>
      </c>
      <c r="AY95">
        <v>56556</v>
      </c>
      <c r="AZ95">
        <v>0.22292400000000001</v>
      </c>
      <c r="BA95">
        <v>5.32</v>
      </c>
      <c r="BB95">
        <v>7.5992000000000004E-2</v>
      </c>
      <c r="BC95">
        <v>0.66720000000000002</v>
      </c>
      <c r="BD95">
        <v>53.360000999999997</v>
      </c>
      <c r="BE95" s="19">
        <v>1.68</v>
      </c>
      <c r="BF95" s="19">
        <v>4.59</v>
      </c>
      <c r="BG95" s="19">
        <v>1.75</v>
      </c>
      <c r="BH95" s="19">
        <v>6.64</v>
      </c>
      <c r="BI95" s="19">
        <v>3.91</v>
      </c>
      <c r="BJ95" s="19">
        <v>3.68</v>
      </c>
      <c r="BK95" s="22">
        <v>4.2225000000000001</v>
      </c>
      <c r="BM95" s="22" t="str">
        <f t="shared" si="4"/>
        <v/>
      </c>
      <c r="BN95" s="22" t="str">
        <f t="shared" si="5"/>
        <v/>
      </c>
      <c r="BO95" s="22" t="str">
        <f t="shared" si="6"/>
        <v/>
      </c>
      <c r="BP95" s="22" t="str">
        <f t="shared" si="8"/>
        <v/>
      </c>
    </row>
    <row r="96" spans="1:68" x14ac:dyDescent="0.25">
      <c r="A96">
        <v>3.0891999999999999E-2</v>
      </c>
      <c r="B96">
        <v>14</v>
      </c>
      <c r="C96" t="s">
        <v>300</v>
      </c>
      <c r="D96">
        <v>1990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</v>
      </c>
      <c r="AK96">
        <v>0</v>
      </c>
      <c r="AL96">
        <v>0</v>
      </c>
      <c r="AM96">
        <v>0</v>
      </c>
      <c r="AN96">
        <v>0.36186000000000001</v>
      </c>
      <c r="AO96">
        <v>0.50445700000000004</v>
      </c>
      <c r="AP96">
        <v>1.0394209999999999</v>
      </c>
      <c r="AQ96">
        <v>0.21781400000000001</v>
      </c>
      <c r="AR96">
        <v>1.602E-2</v>
      </c>
      <c r="AS96">
        <v>4.738E-3</v>
      </c>
      <c r="AT96">
        <v>0.32319999999999999</v>
      </c>
      <c r="AU96">
        <v>0.19015899999999999</v>
      </c>
      <c r="AV96">
        <v>1.296</v>
      </c>
      <c r="AW96">
        <v>0.18610299999999999</v>
      </c>
      <c r="AX96">
        <v>5.6721000000000001E-2</v>
      </c>
      <c r="AY96">
        <v>56643.601562999997</v>
      </c>
      <c r="AZ96">
        <v>0.21524299999999999</v>
      </c>
      <c r="BA96">
        <v>5.76</v>
      </c>
      <c r="BB96">
        <v>9.9873000000000003E-2</v>
      </c>
      <c r="BC96">
        <v>0.66739999999999999</v>
      </c>
      <c r="BD96">
        <v>58.560001</v>
      </c>
      <c r="BE96" s="19">
        <v>2.29</v>
      </c>
      <c r="BF96" s="19">
        <v>7.67</v>
      </c>
      <c r="BG96" s="19">
        <v>1.25</v>
      </c>
      <c r="BH96" s="19">
        <v>6.61</v>
      </c>
      <c r="BI96" s="19">
        <v>3.71</v>
      </c>
      <c r="BJ96" s="19">
        <v>4.2300000000000004</v>
      </c>
      <c r="BK96" s="22">
        <v>4.8100000000000005</v>
      </c>
      <c r="BM96" s="22" t="str">
        <f t="shared" si="4"/>
        <v/>
      </c>
      <c r="BN96" s="22" t="str">
        <f t="shared" si="5"/>
        <v/>
      </c>
      <c r="BO96" s="22" t="str">
        <f t="shared" si="6"/>
        <v/>
      </c>
      <c r="BP96" s="22" t="str">
        <f t="shared" si="8"/>
        <v/>
      </c>
    </row>
    <row r="97" spans="1:68" x14ac:dyDescent="0.25">
      <c r="A97">
        <v>1.2267E-2</v>
      </c>
      <c r="B97">
        <v>14</v>
      </c>
      <c r="C97" t="s">
        <v>300</v>
      </c>
      <c r="D97">
        <v>1995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</v>
      </c>
      <c r="AL97">
        <v>0</v>
      </c>
      <c r="AM97">
        <v>0</v>
      </c>
      <c r="AN97">
        <v>0.40285900000000002</v>
      </c>
      <c r="AO97">
        <v>0.54215800000000003</v>
      </c>
      <c r="AP97">
        <v>1.060106</v>
      </c>
      <c r="AQ97">
        <v>0.19833100000000001</v>
      </c>
      <c r="AR97">
        <v>1.3518000000000001E-2</v>
      </c>
      <c r="AS97">
        <v>-6.4710000000000002E-3</v>
      </c>
      <c r="AT97">
        <v>0.31190200000000001</v>
      </c>
      <c r="AU97">
        <v>0.212175</v>
      </c>
      <c r="AV97">
        <v>1.244</v>
      </c>
      <c r="AW97">
        <v>0.191607</v>
      </c>
      <c r="AX97">
        <v>5.0256000000000002E-2</v>
      </c>
      <c r="AY97">
        <v>56815.960937999997</v>
      </c>
      <c r="AZ97">
        <v>0.201322</v>
      </c>
      <c r="BA97">
        <v>6.16</v>
      </c>
      <c r="BB97">
        <v>9.8885000000000001E-2</v>
      </c>
      <c r="BC97">
        <v>0.66820000000000002</v>
      </c>
      <c r="BD97">
        <v>62.27</v>
      </c>
      <c r="BE97" s="19">
        <v>3.29</v>
      </c>
      <c r="BF97" s="19">
        <v>4.96</v>
      </c>
      <c r="BG97" s="19">
        <v>2.95</v>
      </c>
      <c r="BH97" s="19">
        <v>6.64</v>
      </c>
      <c r="BI97" s="19">
        <v>4.5999999999999996</v>
      </c>
      <c r="BJ97" s="19">
        <v>4.49</v>
      </c>
      <c r="BK97" s="22">
        <v>4.7874999999999996</v>
      </c>
      <c r="BM97" s="22" t="str">
        <f t="shared" si="4"/>
        <v/>
      </c>
      <c r="BN97" s="22" t="str">
        <f t="shared" si="5"/>
        <v/>
      </c>
      <c r="BO97" s="22" t="str">
        <f t="shared" si="6"/>
        <v/>
      </c>
      <c r="BP97" s="22" t="str">
        <f t="shared" si="8"/>
        <v/>
      </c>
    </row>
    <row r="98" spans="1:68" x14ac:dyDescent="0.25">
      <c r="A98">
        <v>1.8707999999999999E-2</v>
      </c>
      <c r="B98">
        <v>14</v>
      </c>
      <c r="C98" t="s">
        <v>300</v>
      </c>
      <c r="D98">
        <v>2000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</v>
      </c>
      <c r="AM98">
        <v>0</v>
      </c>
      <c r="AN98">
        <v>0.42321799999999998</v>
      </c>
      <c r="AO98">
        <v>0.49651299999999998</v>
      </c>
      <c r="AP98">
        <v>1.0622560000000001</v>
      </c>
      <c r="AQ98">
        <v>0.194213</v>
      </c>
      <c r="AR98">
        <v>1.3894E-2</v>
      </c>
      <c r="AS98">
        <v>7.6210000000000002E-3</v>
      </c>
      <c r="AT98">
        <v>0.31572899999999998</v>
      </c>
      <c r="AU98">
        <v>0.25333600000000001</v>
      </c>
      <c r="AV98">
        <v>1.218</v>
      </c>
      <c r="AW98">
        <v>0.22454499999999999</v>
      </c>
      <c r="AX98">
        <v>2.4348000000000002E-2</v>
      </c>
      <c r="AY98">
        <v>56907.539062999997</v>
      </c>
      <c r="AZ98">
        <v>0.21531</v>
      </c>
      <c r="BA98">
        <v>6.6</v>
      </c>
      <c r="BB98">
        <v>0.111303</v>
      </c>
      <c r="BC98">
        <v>0.67079999999999995</v>
      </c>
      <c r="BD98">
        <v>69.879997000000003</v>
      </c>
      <c r="BE98" s="19">
        <v>2.83</v>
      </c>
      <c r="BF98" s="19">
        <v>6.98</v>
      </c>
      <c r="BG98" s="19">
        <v>7.43</v>
      </c>
      <c r="BH98" s="19">
        <v>6.8</v>
      </c>
      <c r="BI98" s="19">
        <v>5.03</v>
      </c>
      <c r="BJ98" s="19">
        <v>5.81</v>
      </c>
      <c r="BK98" s="22">
        <v>6.5600000000000005</v>
      </c>
      <c r="BM98" s="22" t="str">
        <f t="shared" si="4"/>
        <v/>
      </c>
      <c r="BN98" s="22" t="str">
        <f t="shared" si="5"/>
        <v/>
      </c>
      <c r="BO98" s="22">
        <f t="shared" si="6"/>
        <v>5.81</v>
      </c>
      <c r="BP98" s="22" t="str">
        <f t="shared" si="8"/>
        <v/>
      </c>
    </row>
    <row r="99" spans="1:68" x14ac:dyDescent="0.25">
      <c r="A99">
        <v>1.122E-3</v>
      </c>
      <c r="B99">
        <v>14</v>
      </c>
      <c r="C99" t="s">
        <v>300</v>
      </c>
      <c r="D99">
        <v>2005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</v>
      </c>
      <c r="AN99">
        <v>0.41448400000000002</v>
      </c>
      <c r="AO99">
        <v>0.478852</v>
      </c>
      <c r="AP99">
        <v>1.0463979999999999</v>
      </c>
      <c r="AQ99">
        <v>0.20531099999999999</v>
      </c>
      <c r="AR99">
        <v>1.1838E-2</v>
      </c>
      <c r="AS99">
        <v>7.8799999999999999E-3</v>
      </c>
      <c r="AT99">
        <v>0.32522200000000001</v>
      </c>
      <c r="AU99">
        <v>0.25805899999999998</v>
      </c>
      <c r="AV99">
        <v>1.29</v>
      </c>
      <c r="AW99">
        <v>0.251</v>
      </c>
      <c r="AX99">
        <v>2.4230000000000002E-2</v>
      </c>
      <c r="AY99">
        <v>57705.019530999998</v>
      </c>
      <c r="AZ99">
        <v>0.202318</v>
      </c>
      <c r="BA99">
        <v>7</v>
      </c>
      <c r="BB99">
        <v>8.4862000000000007E-2</v>
      </c>
      <c r="BC99">
        <v>0.6744</v>
      </c>
      <c r="BD99">
        <v>78.709998999999996</v>
      </c>
      <c r="BE99" s="19">
        <v>2.65</v>
      </c>
      <c r="BF99" s="19">
        <v>8.01</v>
      </c>
      <c r="BG99" s="19">
        <v>8.09</v>
      </c>
      <c r="BH99" s="19">
        <v>7.87</v>
      </c>
      <c r="BI99" s="19">
        <v>5.91</v>
      </c>
      <c r="BJ99" s="19">
        <v>6.51</v>
      </c>
      <c r="BK99" s="22">
        <v>7.4700000000000006</v>
      </c>
      <c r="BM99" s="22" t="str">
        <f t="shared" si="4"/>
        <v/>
      </c>
      <c r="BN99" s="22" t="str">
        <f t="shared" si="5"/>
        <v/>
      </c>
      <c r="BO99" s="22" t="str">
        <f t="shared" si="6"/>
        <v/>
      </c>
      <c r="BP99" s="22" t="str">
        <f t="shared" si="8"/>
        <v/>
      </c>
    </row>
    <row r="100" spans="1:68" x14ac:dyDescent="0.25">
      <c r="A100">
        <v>3.0367000000000002E-2</v>
      </c>
      <c r="B100">
        <v>15</v>
      </c>
      <c r="C100" t="s">
        <v>301</v>
      </c>
      <c r="D100">
        <v>1975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0.21317700000000001</v>
      </c>
      <c r="AO100">
        <v>0.24596599999999999</v>
      </c>
      <c r="AP100">
        <v>0.91949899999999996</v>
      </c>
      <c r="AQ100">
        <v>0.35091899999999998</v>
      </c>
      <c r="AR100">
        <v>-9.6010000000000002E-3</v>
      </c>
      <c r="AS100">
        <v>6.4229999999999999E-3</v>
      </c>
      <c r="AT100">
        <v>0.31096200000000002</v>
      </c>
      <c r="AU100">
        <v>0.11766500000000001</v>
      </c>
      <c r="AV100">
        <v>2.0798000000000001</v>
      </c>
      <c r="AW100">
        <v>0.109164</v>
      </c>
      <c r="AX100">
        <v>0.115568</v>
      </c>
      <c r="AY100">
        <v>108613.203125</v>
      </c>
      <c r="AZ100">
        <v>0.37364799999999998</v>
      </c>
      <c r="BA100">
        <v>6.88</v>
      </c>
      <c r="BB100">
        <v>1.4314E-2</v>
      </c>
      <c r="BC100">
        <v>0.55359999999999998</v>
      </c>
      <c r="BD100">
        <v>37.459999000000003</v>
      </c>
      <c r="BE100" s="19">
        <v>5.37</v>
      </c>
      <c r="BF100" s="19">
        <v>6.86</v>
      </c>
      <c r="BG100" s="19">
        <v>6.33</v>
      </c>
      <c r="BH100" s="19">
        <v>7.08</v>
      </c>
      <c r="BI100" s="19">
        <v>4.74</v>
      </c>
      <c r="BJ100" s="19">
        <v>6.06</v>
      </c>
      <c r="BK100" s="22">
        <v>6.2525000000000013</v>
      </c>
      <c r="BM100" s="22" t="str">
        <f t="shared" si="4"/>
        <v/>
      </c>
      <c r="BN100" s="22" t="str">
        <f t="shared" si="5"/>
        <v/>
      </c>
      <c r="BO100" s="22" t="str">
        <f t="shared" si="6"/>
        <v/>
      </c>
      <c r="BP100" s="22" t="str">
        <f t="shared" si="8"/>
        <v/>
      </c>
    </row>
    <row r="101" spans="1:68" x14ac:dyDescent="0.25">
      <c r="A101">
        <v>3.4221000000000001E-2</v>
      </c>
      <c r="B101">
        <v>15</v>
      </c>
      <c r="C101" t="s">
        <v>301</v>
      </c>
      <c r="D101">
        <v>1980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0.235288</v>
      </c>
      <c r="AO101">
        <v>0.30488100000000001</v>
      </c>
      <c r="AP101">
        <v>0.95691099999999996</v>
      </c>
      <c r="AQ101">
        <v>0.31623000000000001</v>
      </c>
      <c r="AR101">
        <v>1.358E-2</v>
      </c>
      <c r="AS101">
        <v>1.2038E-2</v>
      </c>
      <c r="AT101">
        <v>0.32189499999999999</v>
      </c>
      <c r="AU101">
        <v>0.126279</v>
      </c>
      <c r="AV101">
        <v>1.792</v>
      </c>
      <c r="AW101">
        <v>0.121768</v>
      </c>
      <c r="AX101">
        <v>6.6535999999999998E-2</v>
      </c>
      <c r="AY101">
        <v>114836.796875</v>
      </c>
      <c r="AZ101">
        <v>0.32451099999999999</v>
      </c>
      <c r="BA101">
        <v>7.36</v>
      </c>
      <c r="BB101">
        <v>2.0697E-2</v>
      </c>
      <c r="BC101">
        <v>0.58479999999999999</v>
      </c>
      <c r="BD101">
        <v>42.150002000000001</v>
      </c>
      <c r="BE101" s="19">
        <v>5.15</v>
      </c>
      <c r="BF101" s="19">
        <v>4.32</v>
      </c>
      <c r="BG101" s="19">
        <v>5.51</v>
      </c>
      <c r="BH101" s="19">
        <v>6.82</v>
      </c>
      <c r="BI101" s="19">
        <v>4.5</v>
      </c>
      <c r="BJ101" s="19">
        <v>5.29</v>
      </c>
      <c r="BK101" s="22">
        <v>5.2874999999999996</v>
      </c>
      <c r="BM101" s="22">
        <f t="shared" si="4"/>
        <v>5.29</v>
      </c>
      <c r="BN101" s="22" t="str">
        <f t="shared" si="5"/>
        <v/>
      </c>
      <c r="BO101" s="22" t="str">
        <f t="shared" si="6"/>
        <v/>
      </c>
      <c r="BP101" s="22" t="str">
        <f t="shared" si="8"/>
        <v/>
      </c>
    </row>
    <row r="102" spans="1:68" x14ac:dyDescent="0.25">
      <c r="A102">
        <v>2.3987000000000001E-2</v>
      </c>
      <c r="B102">
        <v>15</v>
      </c>
      <c r="C102" t="s">
        <v>301</v>
      </c>
      <c r="D102">
        <v>1985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0</v>
      </c>
      <c r="AL102">
        <v>0</v>
      </c>
      <c r="AM102">
        <v>0</v>
      </c>
      <c r="AN102">
        <v>0.26761699999999999</v>
      </c>
      <c r="AO102">
        <v>0.33385500000000001</v>
      </c>
      <c r="AP102">
        <v>0.99472000000000005</v>
      </c>
      <c r="AQ102">
        <v>0.29091400000000001</v>
      </c>
      <c r="AR102">
        <v>2.2596999999999999E-2</v>
      </c>
      <c r="AS102">
        <v>1.0845E-2</v>
      </c>
      <c r="AT102">
        <v>0.32594899999999999</v>
      </c>
      <c r="AU102">
        <v>0.14513499999999999</v>
      </c>
      <c r="AV102">
        <v>1.776</v>
      </c>
      <c r="AW102">
        <v>0.126554</v>
      </c>
      <c r="AX102">
        <v>2.7678999999999999E-2</v>
      </c>
      <c r="AY102">
        <v>119225.601563</v>
      </c>
      <c r="AZ102">
        <v>0.30995099999999998</v>
      </c>
      <c r="BA102">
        <v>8.23</v>
      </c>
      <c r="BB102">
        <v>2.5127E-2</v>
      </c>
      <c r="BC102">
        <v>0.60199999999999998</v>
      </c>
      <c r="BD102">
        <v>44.849997999999999</v>
      </c>
      <c r="BE102" s="19">
        <v>3.6</v>
      </c>
      <c r="BF102" s="19">
        <v>6.35</v>
      </c>
      <c r="BG102" s="19">
        <v>5.33</v>
      </c>
      <c r="BH102" s="19">
        <v>7.27</v>
      </c>
      <c r="BI102" s="19">
        <v>4.3899999999999997</v>
      </c>
      <c r="BJ102" s="19">
        <v>5.38</v>
      </c>
      <c r="BK102" s="22">
        <v>5.835</v>
      </c>
      <c r="BM102" s="22" t="str">
        <f t="shared" si="4"/>
        <v/>
      </c>
      <c r="BN102" s="22" t="str">
        <f t="shared" si="5"/>
        <v/>
      </c>
      <c r="BO102" s="22" t="str">
        <f t="shared" si="6"/>
        <v/>
      </c>
      <c r="BP102" s="22" t="str">
        <f t="shared" si="8"/>
        <v/>
      </c>
    </row>
    <row r="103" spans="1:68" x14ac:dyDescent="0.25">
      <c r="A103">
        <v>4.3421000000000001E-2</v>
      </c>
      <c r="B103">
        <v>15</v>
      </c>
      <c r="C103" t="s">
        <v>301</v>
      </c>
      <c r="D103">
        <v>1990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</v>
      </c>
      <c r="AK103">
        <v>0</v>
      </c>
      <c r="AL103">
        <v>0</v>
      </c>
      <c r="AM103">
        <v>0</v>
      </c>
      <c r="AN103">
        <v>0.29156599999999999</v>
      </c>
      <c r="AO103">
        <v>0.32105499999999998</v>
      </c>
      <c r="AP103">
        <v>1.0267090000000001</v>
      </c>
      <c r="AQ103">
        <v>0.30298599999999998</v>
      </c>
      <c r="AR103">
        <v>6.7140000000000003E-3</v>
      </c>
      <c r="AS103">
        <v>1.3695000000000001E-2</v>
      </c>
      <c r="AT103">
        <v>0.31817299999999998</v>
      </c>
      <c r="AU103">
        <v>0.105022</v>
      </c>
      <c r="AV103">
        <v>1.6359999999999999</v>
      </c>
      <c r="AW103">
        <v>8.1726999999999994E-2</v>
      </c>
      <c r="AX103">
        <v>1.3474E-2</v>
      </c>
      <c r="AY103">
        <v>122569.796875</v>
      </c>
      <c r="AZ103">
        <v>0.32555000000000001</v>
      </c>
      <c r="BA103">
        <v>8.51</v>
      </c>
      <c r="BB103">
        <v>2.4969000000000002E-2</v>
      </c>
      <c r="BC103">
        <v>0.621</v>
      </c>
      <c r="BD103">
        <v>47.220001000000003</v>
      </c>
      <c r="BE103" s="19">
        <v>2.96</v>
      </c>
      <c r="BF103" s="19">
        <v>7.56</v>
      </c>
      <c r="BG103" s="19">
        <v>6.2</v>
      </c>
      <c r="BH103" s="19">
        <v>7.23</v>
      </c>
      <c r="BI103" s="19">
        <v>4.5199999999999996</v>
      </c>
      <c r="BJ103" s="19">
        <v>5.66</v>
      </c>
      <c r="BK103" s="22">
        <v>6.3775000000000004</v>
      </c>
      <c r="BM103" s="22" t="str">
        <f t="shared" si="4"/>
        <v/>
      </c>
      <c r="BN103" s="22" t="str">
        <f t="shared" si="5"/>
        <v/>
      </c>
      <c r="BO103" s="22" t="str">
        <f t="shared" si="6"/>
        <v/>
      </c>
      <c r="BP103" s="22" t="str">
        <f t="shared" si="8"/>
        <v/>
      </c>
    </row>
    <row r="104" spans="1:68" x14ac:dyDescent="0.25">
      <c r="A104">
        <v>1.1950000000000001E-2</v>
      </c>
      <c r="B104">
        <v>15</v>
      </c>
      <c r="C104" t="s">
        <v>301</v>
      </c>
      <c r="D104">
        <v>1995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0</v>
      </c>
      <c r="AM104">
        <v>0</v>
      </c>
      <c r="AN104">
        <v>0.271976</v>
      </c>
      <c r="AO104">
        <v>0.33676400000000001</v>
      </c>
      <c r="AP104">
        <v>1.112341</v>
      </c>
      <c r="AQ104">
        <v>0.29766500000000001</v>
      </c>
      <c r="AR104">
        <v>1.6156E-2</v>
      </c>
      <c r="AS104">
        <v>8.7460000000000003E-3</v>
      </c>
      <c r="AT104">
        <v>0.30386999999999997</v>
      </c>
      <c r="AU104">
        <v>9.4784999999999994E-2</v>
      </c>
      <c r="AV104">
        <v>1.4823999999999999</v>
      </c>
      <c r="AW104">
        <v>7.5817999999999997E-2</v>
      </c>
      <c r="AX104">
        <v>1.3639999999999999E-2</v>
      </c>
      <c r="AY104">
        <v>124617.203125</v>
      </c>
      <c r="AZ104">
        <v>0.31812299999999999</v>
      </c>
      <c r="BA104">
        <v>9.2200000000000006</v>
      </c>
      <c r="BB104">
        <v>2.5602E-2</v>
      </c>
      <c r="BC104">
        <v>0.64</v>
      </c>
      <c r="BD104">
        <v>50.07</v>
      </c>
      <c r="BE104" s="19">
        <v>3.33</v>
      </c>
      <c r="BF104" s="19">
        <v>8.6199999999999992</v>
      </c>
      <c r="BG104" s="19">
        <v>9.17</v>
      </c>
      <c r="BH104" s="19">
        <v>7</v>
      </c>
      <c r="BI104" s="19">
        <v>4.97</v>
      </c>
      <c r="BJ104" s="19">
        <v>6.57</v>
      </c>
      <c r="BK104" s="22">
        <v>7.4399999999999995</v>
      </c>
      <c r="BM104" s="22" t="str">
        <f t="shared" si="4"/>
        <v/>
      </c>
      <c r="BN104" s="22" t="str">
        <f t="shared" si="5"/>
        <v/>
      </c>
      <c r="BO104" s="22" t="str">
        <f t="shared" si="6"/>
        <v/>
      </c>
      <c r="BP104" s="22" t="str">
        <f t="shared" si="8"/>
        <v/>
      </c>
    </row>
    <row r="105" spans="1:68" x14ac:dyDescent="0.25">
      <c r="A105">
        <v>7.5649999999999997E-3</v>
      </c>
      <c r="B105">
        <v>15</v>
      </c>
      <c r="C105" t="s">
        <v>301</v>
      </c>
      <c r="D105">
        <v>2000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</v>
      </c>
      <c r="AM105">
        <v>0</v>
      </c>
      <c r="AN105">
        <v>0.26931500000000003</v>
      </c>
      <c r="AO105">
        <v>0.37609199999999998</v>
      </c>
      <c r="AP105">
        <v>1.1128309999999999</v>
      </c>
      <c r="AQ105">
        <v>0.265183</v>
      </c>
      <c r="AR105">
        <v>4.7270000000000003E-3</v>
      </c>
      <c r="AS105">
        <v>2.9429999999999999E-3</v>
      </c>
      <c r="AT105">
        <v>0.305118</v>
      </c>
      <c r="AU105">
        <v>0.106215</v>
      </c>
      <c r="AV105">
        <v>1.3795999999999999</v>
      </c>
      <c r="AW105">
        <v>9.3093999999999996E-2</v>
      </c>
      <c r="AX105">
        <v>3.0479999999999999E-3</v>
      </c>
      <c r="AY105">
        <v>126356.398438</v>
      </c>
      <c r="AZ105">
        <v>0.285993</v>
      </c>
      <c r="BA105">
        <v>9.44</v>
      </c>
      <c r="BB105">
        <v>4.0534000000000001E-2</v>
      </c>
      <c r="BC105">
        <v>0.64959999999999996</v>
      </c>
      <c r="BD105">
        <v>52.970001000000003</v>
      </c>
      <c r="BE105" s="19">
        <v>3.75</v>
      </c>
      <c r="BF105" s="19">
        <v>6.47</v>
      </c>
      <c r="BG105" s="19">
        <v>9.58</v>
      </c>
      <c r="BH105" s="19">
        <v>7.84</v>
      </c>
      <c r="BI105" s="19">
        <v>4.87</v>
      </c>
      <c r="BJ105" s="19">
        <v>6.5</v>
      </c>
      <c r="BK105" s="22">
        <v>7.19</v>
      </c>
      <c r="BM105" s="22" t="str">
        <f t="shared" si="4"/>
        <v/>
      </c>
      <c r="BN105" s="22" t="str">
        <f t="shared" si="5"/>
        <v/>
      </c>
      <c r="BO105" s="22">
        <f t="shared" si="6"/>
        <v>6.5</v>
      </c>
      <c r="BP105" s="22" t="str">
        <f t="shared" si="8"/>
        <v/>
      </c>
    </row>
    <row r="106" spans="1:68" x14ac:dyDescent="0.25">
      <c r="A106">
        <v>1.1480000000000001E-2</v>
      </c>
      <c r="B106">
        <v>15</v>
      </c>
      <c r="C106" t="s">
        <v>301</v>
      </c>
      <c r="D106">
        <v>2005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</v>
      </c>
      <c r="AN106">
        <v>0.26610400000000001</v>
      </c>
      <c r="AO106">
        <v>0.39202999999999999</v>
      </c>
      <c r="AP106">
        <v>1.0222370000000001</v>
      </c>
      <c r="AQ106">
        <v>0.23316200000000001</v>
      </c>
      <c r="AR106">
        <v>5.8630000000000002E-3</v>
      </c>
      <c r="AS106">
        <v>-3.4390000000000002E-3</v>
      </c>
      <c r="AT106">
        <v>0.31849899999999998</v>
      </c>
      <c r="AU106">
        <v>0.118376</v>
      </c>
      <c r="AV106">
        <v>1.298</v>
      </c>
      <c r="AW106">
        <v>0.104589</v>
      </c>
      <c r="AX106">
        <v>-4.3689999999999996E-3</v>
      </c>
      <c r="AY106">
        <v>127570.398438</v>
      </c>
      <c r="AZ106">
        <v>0.257075</v>
      </c>
      <c r="BA106">
        <v>9.7200000000000006</v>
      </c>
      <c r="BB106">
        <v>4.9584999999999997E-2</v>
      </c>
      <c r="BC106">
        <v>0.65559999999999996</v>
      </c>
      <c r="BD106">
        <v>61.75</v>
      </c>
      <c r="BE106" s="19">
        <v>4.62</v>
      </c>
      <c r="BF106" s="19">
        <v>7.66</v>
      </c>
      <c r="BG106" s="19">
        <v>9.4700000000000006</v>
      </c>
      <c r="BH106" s="19">
        <v>8.17</v>
      </c>
      <c r="BI106" s="19">
        <v>5.5</v>
      </c>
      <c r="BJ106" s="19">
        <v>7.08</v>
      </c>
      <c r="BK106" s="22">
        <v>7.7000000000000011</v>
      </c>
      <c r="BM106" s="22" t="str">
        <f t="shared" si="4"/>
        <v/>
      </c>
      <c r="BN106" s="22" t="str">
        <f t="shared" si="5"/>
        <v/>
      </c>
      <c r="BO106" s="22" t="str">
        <f t="shared" si="6"/>
        <v/>
      </c>
      <c r="BP106" s="22" t="str">
        <f t="shared" si="8"/>
        <v/>
      </c>
    </row>
    <row r="107" spans="1:68" x14ac:dyDescent="0.25">
      <c r="A107">
        <v>5.6240999999999999E-2</v>
      </c>
      <c r="B107">
        <v>16</v>
      </c>
      <c r="C107" t="s">
        <v>302</v>
      </c>
      <c r="D107">
        <v>1975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0.13245199999999999</v>
      </c>
      <c r="AO107">
        <v>0.19595399999999999</v>
      </c>
      <c r="AP107">
        <v>0.21983900000000001</v>
      </c>
      <c r="AQ107">
        <v>0.24463799999999999</v>
      </c>
      <c r="AR107">
        <v>1.4473E-2</v>
      </c>
      <c r="AS107">
        <v>3.9167E-2</v>
      </c>
      <c r="AT107">
        <v>0.45367400000000002</v>
      </c>
      <c r="AU107">
        <v>0.233324</v>
      </c>
      <c r="AV107">
        <v>4.0119999999999996</v>
      </c>
      <c r="AW107">
        <v>0.30985200000000002</v>
      </c>
      <c r="AX107">
        <v>0.15587899999999999</v>
      </c>
      <c r="AY107">
        <v>33936.640625</v>
      </c>
      <c r="AZ107">
        <v>0.194909</v>
      </c>
      <c r="BA107">
        <v>4.76</v>
      </c>
      <c r="BB107">
        <v>4.1924000000000003E-2</v>
      </c>
      <c r="BC107">
        <v>0.45079999999999998</v>
      </c>
      <c r="BD107">
        <v>27.23</v>
      </c>
      <c r="BE107" s="19">
        <v>6.43</v>
      </c>
      <c r="BF107" s="19">
        <v>9.33</v>
      </c>
      <c r="BG107" s="19">
        <v>6.84</v>
      </c>
      <c r="BH107" s="19">
        <v>5.66</v>
      </c>
      <c r="BI107" s="19">
        <v>6.12</v>
      </c>
      <c r="BJ107" s="19">
        <v>6.85</v>
      </c>
      <c r="BK107" s="22">
        <v>6.9875000000000007</v>
      </c>
      <c r="BM107" s="22" t="str">
        <f t="shared" si="4"/>
        <v/>
      </c>
      <c r="BN107" s="22" t="str">
        <f t="shared" si="5"/>
        <v/>
      </c>
      <c r="BO107" s="22" t="str">
        <f t="shared" si="6"/>
        <v/>
      </c>
      <c r="BP107" s="22" t="str">
        <f t="shared" si="8"/>
        <v/>
      </c>
    </row>
    <row r="108" spans="1:68" x14ac:dyDescent="0.25">
      <c r="A108">
        <v>5.2907999999999997E-2</v>
      </c>
      <c r="B108">
        <v>16</v>
      </c>
      <c r="C108" t="s">
        <v>302</v>
      </c>
      <c r="D108">
        <v>1980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0.16755500000000001</v>
      </c>
      <c r="AO108">
        <v>0.195327</v>
      </c>
      <c r="AP108">
        <v>0.25898900000000002</v>
      </c>
      <c r="AQ108">
        <v>0.30568000000000001</v>
      </c>
      <c r="AR108">
        <v>3.9234999999999999E-2</v>
      </c>
      <c r="AS108">
        <v>3.4278000000000003E-2</v>
      </c>
      <c r="AT108">
        <v>0.413578</v>
      </c>
      <c r="AU108">
        <v>0.294902</v>
      </c>
      <c r="AV108">
        <v>2.89</v>
      </c>
      <c r="AW108">
        <v>0.337976</v>
      </c>
      <c r="AX108">
        <v>0.17379500000000001</v>
      </c>
      <c r="AY108">
        <v>36977.601562999997</v>
      </c>
      <c r="AZ108">
        <v>0.280997</v>
      </c>
      <c r="BA108">
        <v>5.77</v>
      </c>
      <c r="BB108">
        <v>3.9614000000000003E-2</v>
      </c>
      <c r="BC108">
        <v>0.53220000000000001</v>
      </c>
      <c r="BD108">
        <v>31.1</v>
      </c>
      <c r="BE108" s="19">
        <v>5.9</v>
      </c>
      <c r="BF108" s="19">
        <v>7.16</v>
      </c>
      <c r="BG108" s="19">
        <v>7.27</v>
      </c>
      <c r="BH108" s="19">
        <v>5.83</v>
      </c>
      <c r="BI108" s="19">
        <v>6.1</v>
      </c>
      <c r="BJ108" s="19">
        <v>6.48</v>
      </c>
      <c r="BK108" s="22">
        <v>6.59</v>
      </c>
      <c r="BM108" s="22">
        <f t="shared" si="4"/>
        <v>6.48</v>
      </c>
      <c r="BN108" s="22" t="str">
        <f t="shared" si="5"/>
        <v/>
      </c>
      <c r="BO108" s="22" t="str">
        <f t="shared" si="6"/>
        <v/>
      </c>
      <c r="BP108" s="22" t="str">
        <f t="shared" si="8"/>
        <v/>
      </c>
    </row>
    <row r="109" spans="1:68" x14ac:dyDescent="0.25">
      <c r="A109">
        <v>6.3656000000000004E-2</v>
      </c>
      <c r="B109">
        <v>16</v>
      </c>
      <c r="C109" t="s">
        <v>302</v>
      </c>
      <c r="D109">
        <v>1985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0</v>
      </c>
      <c r="AK109">
        <v>0</v>
      </c>
      <c r="AL109">
        <v>0</v>
      </c>
      <c r="AM109">
        <v>0</v>
      </c>
      <c r="AN109">
        <v>0.170296</v>
      </c>
      <c r="AO109">
        <v>0.210894</v>
      </c>
      <c r="AP109">
        <v>0.29443999999999998</v>
      </c>
      <c r="AQ109">
        <v>0.28833399999999998</v>
      </c>
      <c r="AR109">
        <v>3.3699E-2</v>
      </c>
      <c r="AS109">
        <v>1.5596E-2</v>
      </c>
      <c r="AT109">
        <v>0.37808199999999997</v>
      </c>
      <c r="AU109">
        <v>0.33161600000000002</v>
      </c>
      <c r="AV109">
        <v>2.1579999999999999</v>
      </c>
      <c r="AW109">
        <v>0.34904099999999999</v>
      </c>
      <c r="AX109">
        <v>7.3437000000000002E-2</v>
      </c>
      <c r="AY109">
        <v>39834.199219000002</v>
      </c>
      <c r="AZ109">
        <v>0.28021400000000002</v>
      </c>
      <c r="BA109">
        <v>6.81</v>
      </c>
      <c r="BB109">
        <v>4.1354000000000002E-2</v>
      </c>
      <c r="BC109">
        <v>0.61619999999999997</v>
      </c>
      <c r="BD109">
        <v>38.340000000000003</v>
      </c>
      <c r="BE109" s="19">
        <v>5.55</v>
      </c>
      <c r="BF109" s="19">
        <v>9.19</v>
      </c>
      <c r="BG109" s="19">
        <v>8.18</v>
      </c>
      <c r="BH109" s="19">
        <v>5.97</v>
      </c>
      <c r="BI109" s="19">
        <v>6.32</v>
      </c>
      <c r="BJ109" s="19">
        <v>7.01</v>
      </c>
      <c r="BK109" s="22">
        <v>7.4149999999999991</v>
      </c>
      <c r="BM109" s="22" t="str">
        <f t="shared" si="4"/>
        <v/>
      </c>
      <c r="BN109" s="22" t="str">
        <f t="shared" si="5"/>
        <v/>
      </c>
      <c r="BO109" s="22" t="str">
        <f t="shared" si="6"/>
        <v/>
      </c>
      <c r="BP109" s="22" t="str">
        <f>IF(OR(C109="SWE",C109="NOR",C109="DEN",C109="FIN"),BO109,"")</f>
        <v/>
      </c>
    </row>
    <row r="110" spans="1:68" x14ac:dyDescent="0.25">
      <c r="A110">
        <v>8.5649000000000003E-2</v>
      </c>
      <c r="B110">
        <v>16</v>
      </c>
      <c r="C110" t="s">
        <v>302</v>
      </c>
      <c r="D110">
        <v>1990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0</v>
      </c>
      <c r="AL110">
        <v>0</v>
      </c>
      <c r="AM110">
        <v>0</v>
      </c>
      <c r="AN110">
        <v>0.169736</v>
      </c>
      <c r="AO110">
        <v>0.191801</v>
      </c>
      <c r="AP110">
        <v>0.36751600000000001</v>
      </c>
      <c r="AQ110">
        <v>0.31383299999999997</v>
      </c>
      <c r="AR110">
        <v>3.3508000000000003E-2</v>
      </c>
      <c r="AS110">
        <v>3.5229000000000003E-2</v>
      </c>
      <c r="AT110">
        <v>0.34256700000000001</v>
      </c>
      <c r="AU110">
        <v>0.338171</v>
      </c>
      <c r="AV110">
        <v>1.5760000000000001</v>
      </c>
      <c r="AW110">
        <v>0.29764600000000002</v>
      </c>
      <c r="AX110">
        <v>5.4447000000000002E-2</v>
      </c>
      <c r="AY110">
        <v>41996.601562999997</v>
      </c>
      <c r="AZ110">
        <v>0.37787500000000002</v>
      </c>
      <c r="BA110">
        <v>8.0299999999999994</v>
      </c>
      <c r="BB110">
        <v>2.8792000000000002E-2</v>
      </c>
      <c r="BC110">
        <v>0.70240000000000002</v>
      </c>
      <c r="BD110">
        <v>38.090000000000003</v>
      </c>
      <c r="BE110" s="19">
        <v>5.7</v>
      </c>
      <c r="BF110" s="19">
        <v>8.42</v>
      </c>
      <c r="BG110" s="19">
        <v>8.5</v>
      </c>
      <c r="BH110" s="19">
        <v>6.34</v>
      </c>
      <c r="BI110" s="19">
        <v>6.34</v>
      </c>
      <c r="BJ110" s="19">
        <v>7.06</v>
      </c>
      <c r="BK110" s="22">
        <v>7.4</v>
      </c>
      <c r="BM110" s="22" t="str">
        <f t="shared" si="4"/>
        <v/>
      </c>
      <c r="BN110" s="22" t="str">
        <f t="shared" si="5"/>
        <v/>
      </c>
      <c r="BO110" s="22" t="str">
        <f t="shared" si="6"/>
        <v/>
      </c>
      <c r="BP110" s="22" t="str">
        <f t="shared" si="8"/>
        <v/>
      </c>
    </row>
    <row r="111" spans="1:68" x14ac:dyDescent="0.25">
      <c r="A111">
        <v>6.7258999999999999E-2</v>
      </c>
      <c r="B111">
        <v>16</v>
      </c>
      <c r="C111" t="s">
        <v>302</v>
      </c>
      <c r="D111">
        <v>1995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</v>
      </c>
      <c r="AL111">
        <v>0</v>
      </c>
      <c r="AM111">
        <v>0</v>
      </c>
      <c r="AN111">
        <v>0.18959200000000001</v>
      </c>
      <c r="AO111">
        <v>0.21412800000000001</v>
      </c>
      <c r="AP111">
        <v>0.48553000000000002</v>
      </c>
      <c r="AQ111">
        <v>0.371693</v>
      </c>
      <c r="AR111">
        <v>2.8691999999999999E-2</v>
      </c>
      <c r="AS111">
        <v>2.3720999999999999E-2</v>
      </c>
      <c r="AT111">
        <v>0.30841600000000002</v>
      </c>
      <c r="AU111">
        <v>0.26983600000000002</v>
      </c>
      <c r="AV111">
        <v>1.702</v>
      </c>
      <c r="AW111">
        <v>0.28035199999999999</v>
      </c>
      <c r="AX111">
        <v>6.2177000000000003E-2</v>
      </c>
      <c r="AY111">
        <v>44106.601562999997</v>
      </c>
      <c r="AZ111">
        <v>0.36761500000000003</v>
      </c>
      <c r="BA111">
        <v>9.25</v>
      </c>
      <c r="BB111">
        <v>2.47E-2</v>
      </c>
      <c r="BC111">
        <v>0.76439999999999997</v>
      </c>
      <c r="BD111">
        <v>42.740001999999997</v>
      </c>
      <c r="BE111" s="19">
        <v>5.93</v>
      </c>
      <c r="BF111" s="19">
        <v>8.98</v>
      </c>
      <c r="BG111" s="19">
        <v>9.7100000000000009</v>
      </c>
      <c r="BH111" s="19">
        <v>6.42</v>
      </c>
      <c r="BI111" s="19">
        <v>6.35</v>
      </c>
      <c r="BJ111" s="19">
        <v>7.47</v>
      </c>
      <c r="BK111" s="22">
        <v>7.8650000000000002</v>
      </c>
      <c r="BM111" s="22" t="str">
        <f t="shared" si="4"/>
        <v/>
      </c>
      <c r="BN111" s="22" t="str">
        <f t="shared" si="5"/>
        <v/>
      </c>
      <c r="BO111" s="22" t="str">
        <f t="shared" si="6"/>
        <v/>
      </c>
      <c r="BP111" s="22" t="str">
        <f t="shared" si="8"/>
        <v/>
      </c>
    </row>
    <row r="112" spans="1:68" x14ac:dyDescent="0.25">
      <c r="A112">
        <v>3.5120999999999999E-2</v>
      </c>
      <c r="B112">
        <v>16</v>
      </c>
      <c r="C112" t="s">
        <v>302</v>
      </c>
      <c r="D112">
        <v>2000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</v>
      </c>
      <c r="AM112">
        <v>0</v>
      </c>
      <c r="AN112">
        <v>0.21427199999999999</v>
      </c>
      <c r="AO112">
        <v>0.234041</v>
      </c>
      <c r="AP112">
        <v>0.63382400000000005</v>
      </c>
      <c r="AQ112">
        <v>0.32854899999999998</v>
      </c>
      <c r="AR112">
        <v>1.7536E-2</v>
      </c>
      <c r="AS112">
        <v>1.208E-2</v>
      </c>
      <c r="AT112">
        <v>0.292184</v>
      </c>
      <c r="AU112">
        <v>0.37260399999999999</v>
      </c>
      <c r="AV112">
        <v>1.496</v>
      </c>
      <c r="AW112">
        <v>0.33534799999999998</v>
      </c>
      <c r="AX112">
        <v>3.9907999999999999E-2</v>
      </c>
      <c r="AY112">
        <v>46278.222655999998</v>
      </c>
      <c r="AZ112">
        <v>0.35314099999999998</v>
      </c>
      <c r="BA112">
        <v>10.09</v>
      </c>
      <c r="BB112">
        <v>4.5187999999999999E-2</v>
      </c>
      <c r="BC112">
        <v>0.79039999999999999</v>
      </c>
      <c r="BD112">
        <v>54.849997999999999</v>
      </c>
      <c r="BE112" s="19">
        <v>4.84</v>
      </c>
      <c r="BF112" s="19">
        <v>8.1300000000000008</v>
      </c>
      <c r="BG112" s="19">
        <v>9.7200000000000006</v>
      </c>
      <c r="BH112" s="19">
        <v>6.26</v>
      </c>
      <c r="BI112" s="19">
        <v>6.41</v>
      </c>
      <c r="BJ112" s="19">
        <v>7.07</v>
      </c>
      <c r="BK112" s="22">
        <v>7.63</v>
      </c>
      <c r="BM112" s="22" t="str">
        <f t="shared" si="4"/>
        <v/>
      </c>
      <c r="BN112" s="22" t="str">
        <f t="shared" si="5"/>
        <v/>
      </c>
      <c r="BO112" s="22">
        <f t="shared" si="6"/>
        <v>7.07</v>
      </c>
      <c r="BP112" s="22" t="str">
        <f t="shared" si="8"/>
        <v/>
      </c>
    </row>
    <row r="113" spans="1:68" x14ac:dyDescent="0.25">
      <c r="A113">
        <v>3.9481000000000002E-2</v>
      </c>
      <c r="B113">
        <v>16</v>
      </c>
      <c r="C113" t="s">
        <v>302</v>
      </c>
      <c r="D113">
        <v>2005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0.248142</v>
      </c>
      <c r="AO113">
        <v>0.27033699999999999</v>
      </c>
      <c r="AP113">
        <v>0.673176</v>
      </c>
      <c r="AQ113">
        <v>0.29471700000000001</v>
      </c>
      <c r="AR113">
        <v>7.2290000000000002E-3</v>
      </c>
      <c r="AS113">
        <v>1.413E-2</v>
      </c>
      <c r="AT113">
        <v>0.28197100000000003</v>
      </c>
      <c r="AU113">
        <v>0.39498499999999998</v>
      </c>
      <c r="AV113">
        <v>1.18</v>
      </c>
      <c r="AW113">
        <v>0.36932999999999999</v>
      </c>
      <c r="AX113">
        <v>3.3378999999999999E-2</v>
      </c>
      <c r="AY113">
        <v>47838.835937999997</v>
      </c>
      <c r="AZ113">
        <v>0.32607199999999997</v>
      </c>
      <c r="BA113">
        <v>10.46</v>
      </c>
      <c r="BB113">
        <v>3.6496000000000001E-2</v>
      </c>
      <c r="BC113">
        <v>0.80320000000000003</v>
      </c>
      <c r="BD113">
        <v>64.080001999999993</v>
      </c>
      <c r="BE113" s="19">
        <v>5.82</v>
      </c>
      <c r="BF113" s="19">
        <v>8.18</v>
      </c>
      <c r="BG113" s="19">
        <v>9.65</v>
      </c>
      <c r="BH113" s="19">
        <v>6.84</v>
      </c>
      <c r="BI113" s="19">
        <v>6.61</v>
      </c>
      <c r="BJ113" s="19">
        <v>7.42</v>
      </c>
      <c r="BK113" s="22">
        <v>7.8199999999999994</v>
      </c>
      <c r="BM113" s="22" t="str">
        <f t="shared" si="4"/>
        <v/>
      </c>
      <c r="BN113" s="22" t="str">
        <f t="shared" si="5"/>
        <v/>
      </c>
      <c r="BO113" s="22" t="str">
        <f t="shared" si="6"/>
        <v/>
      </c>
      <c r="BP113" s="22" t="str">
        <f t="shared" si="8"/>
        <v/>
      </c>
    </row>
    <row r="114" spans="1:68" x14ac:dyDescent="0.25">
      <c r="A114">
        <v>1.7476999999999999E-2</v>
      </c>
      <c r="B114">
        <v>17</v>
      </c>
      <c r="C114" t="s">
        <v>303</v>
      </c>
      <c r="D114">
        <v>1975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0.27738499999999999</v>
      </c>
      <c r="AP114">
        <v>1.450437</v>
      </c>
      <c r="AQ114">
        <v>0.228217</v>
      </c>
      <c r="AR114">
        <v>3.8178999999999998E-2</v>
      </c>
      <c r="AS114">
        <v>2.0480999999999999E-2</v>
      </c>
      <c r="AT114">
        <v>0.34495500000000001</v>
      </c>
      <c r="AU114">
        <v>0.93701299999999998</v>
      </c>
      <c r="AV114">
        <v>1.6519999999999999</v>
      </c>
      <c r="AW114">
        <v>0.76530699999999996</v>
      </c>
      <c r="AX114">
        <v>7.2446999999999998E-2</v>
      </c>
      <c r="AY114">
        <v>352.76001000000002</v>
      </c>
      <c r="BA114">
        <v>7.99</v>
      </c>
      <c r="BB114">
        <v>5.8600000000000004E-4</v>
      </c>
      <c r="BC114">
        <v>0.76139999999999997</v>
      </c>
      <c r="BD114">
        <v>79.589995999999999</v>
      </c>
      <c r="BE114" s="19">
        <v>6.45</v>
      </c>
      <c r="BF114" s="19">
        <v>6.32</v>
      </c>
      <c r="BG114" s="19">
        <v>4.96</v>
      </c>
      <c r="BH114" s="19">
        <v>5.2</v>
      </c>
      <c r="BI114" s="19" t="s">
        <v>49</v>
      </c>
      <c r="BJ114" s="19">
        <v>5.4</v>
      </c>
      <c r="BK114" s="22">
        <v>5.4933333333333332</v>
      </c>
      <c r="BM114" s="22" t="str">
        <f t="shared" si="4"/>
        <v/>
      </c>
      <c r="BN114" s="22" t="str">
        <f t="shared" si="5"/>
        <v/>
      </c>
      <c r="BO114" s="22" t="str">
        <f t="shared" si="6"/>
        <v/>
      </c>
      <c r="BP114" s="22" t="str">
        <f t="shared" si="8"/>
        <v/>
      </c>
    </row>
    <row r="115" spans="1:68" x14ac:dyDescent="0.25">
      <c r="A115">
        <v>1.9625E-2</v>
      </c>
      <c r="B115">
        <v>17</v>
      </c>
      <c r="C115" t="s">
        <v>303</v>
      </c>
      <c r="D115">
        <v>1980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0.35415799999999997</v>
      </c>
      <c r="AP115">
        <v>1.4173640000000001</v>
      </c>
      <c r="AQ115">
        <v>0.21104500000000001</v>
      </c>
      <c r="AR115">
        <v>-4.4190000000000002E-3</v>
      </c>
      <c r="AS115">
        <v>2.849E-3</v>
      </c>
      <c r="AT115">
        <v>0.34603499999999998</v>
      </c>
      <c r="AU115">
        <v>0.90149299999999999</v>
      </c>
      <c r="AV115">
        <v>1.48</v>
      </c>
      <c r="AW115">
        <v>0.79560900000000001</v>
      </c>
      <c r="AX115">
        <v>6.0887999999999998E-2</v>
      </c>
      <c r="AY115">
        <v>362.66000400000001</v>
      </c>
      <c r="AZ115">
        <v>0.3085</v>
      </c>
      <c r="BA115">
        <v>7.8150000000000004</v>
      </c>
      <c r="BB115">
        <v>6.1079999999999997E-3</v>
      </c>
      <c r="BC115">
        <v>0.78920000000000001</v>
      </c>
      <c r="BD115">
        <v>79.980002999999996</v>
      </c>
      <c r="BE115" s="19">
        <v>6.47</v>
      </c>
      <c r="BF115" s="19">
        <v>5.25</v>
      </c>
      <c r="BG115" s="19">
        <v>4.4400000000000004</v>
      </c>
      <c r="BH115" s="19">
        <v>6.34</v>
      </c>
      <c r="BI115" s="19">
        <v>4.1500000000000004</v>
      </c>
      <c r="BJ115" s="19">
        <v>5.33</v>
      </c>
      <c r="BK115" s="22">
        <v>5.0449999999999999</v>
      </c>
      <c r="BM115" s="22">
        <f t="shared" si="4"/>
        <v>5.33</v>
      </c>
      <c r="BN115" s="22" t="str">
        <f t="shared" si="5"/>
        <v/>
      </c>
      <c r="BO115" s="22" t="str">
        <f t="shared" si="6"/>
        <v/>
      </c>
      <c r="BP115" s="22" t="str">
        <f>IF(OR(C115="SWE",C115="NOR",C115="DEN",C115="FIN"),BO115,"")</f>
        <v/>
      </c>
    </row>
    <row r="116" spans="1:68" x14ac:dyDescent="0.25">
      <c r="A116">
        <v>2.3619000000000001E-2</v>
      </c>
      <c r="B116">
        <v>17</v>
      </c>
      <c r="C116" t="s">
        <v>303</v>
      </c>
      <c r="D116">
        <v>1985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</v>
      </c>
      <c r="AJ116">
        <v>0</v>
      </c>
      <c r="AK116">
        <v>0</v>
      </c>
      <c r="AL116">
        <v>0</v>
      </c>
      <c r="AM116">
        <v>0</v>
      </c>
      <c r="AN116">
        <v>0.38453900000000002</v>
      </c>
      <c r="AP116">
        <v>1.3722939999999999</v>
      </c>
      <c r="AQ116">
        <v>0.183894</v>
      </c>
      <c r="AR116">
        <v>2.673E-3</v>
      </c>
      <c r="AS116">
        <v>3.3300000000000001E-3</v>
      </c>
      <c r="AT116">
        <v>0.325326</v>
      </c>
      <c r="AU116">
        <v>0.97809100000000004</v>
      </c>
      <c r="AV116">
        <v>1.458</v>
      </c>
      <c r="AW116">
        <v>0.88873199999999997</v>
      </c>
      <c r="AX116">
        <v>7.1659E-2</v>
      </c>
      <c r="AY116">
        <v>366.01998900000001</v>
      </c>
      <c r="AZ116">
        <v>0.441</v>
      </c>
      <c r="BA116">
        <v>7.92</v>
      </c>
      <c r="BB116">
        <v>1.4829999999999999E-2</v>
      </c>
      <c r="BC116">
        <v>0.80420000000000003</v>
      </c>
      <c r="BD116">
        <v>80.410004000000001</v>
      </c>
      <c r="BE116" s="19">
        <v>5.85</v>
      </c>
      <c r="BF116" s="19">
        <v>7.06</v>
      </c>
      <c r="BG116" s="19">
        <v>5.0199999999999996</v>
      </c>
      <c r="BH116" s="19">
        <v>6.06</v>
      </c>
      <c r="BI116" s="19">
        <v>4.34</v>
      </c>
      <c r="BJ116" s="19">
        <v>5.63</v>
      </c>
      <c r="BK116" s="22">
        <v>5.6199999999999992</v>
      </c>
      <c r="BM116" s="22" t="str">
        <f t="shared" si="4"/>
        <v/>
      </c>
      <c r="BN116" s="22" t="str">
        <f t="shared" si="5"/>
        <v/>
      </c>
      <c r="BO116" s="22" t="str">
        <f t="shared" si="6"/>
        <v/>
      </c>
      <c r="BP116" s="22" t="str">
        <f t="shared" si="8"/>
        <v/>
      </c>
    </row>
    <row r="117" spans="1:68" x14ac:dyDescent="0.25">
      <c r="A117">
        <v>6.6001000000000004E-2</v>
      </c>
      <c r="B117">
        <v>17</v>
      </c>
      <c r="C117" t="s">
        <v>303</v>
      </c>
      <c r="D117">
        <v>1990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</v>
      </c>
      <c r="AK117">
        <v>0</v>
      </c>
      <c r="AL117">
        <v>0</v>
      </c>
      <c r="AM117">
        <v>0</v>
      </c>
      <c r="AN117">
        <v>0.36480800000000002</v>
      </c>
      <c r="AO117">
        <v>0.378</v>
      </c>
      <c r="AP117">
        <v>1.4138839999999999</v>
      </c>
      <c r="AQ117">
        <v>0.21079300000000001</v>
      </c>
      <c r="AR117">
        <v>7.953E-3</v>
      </c>
      <c r="AS117">
        <v>1.2472E-2</v>
      </c>
      <c r="AT117">
        <v>0.30515900000000001</v>
      </c>
      <c r="AU117">
        <v>1.0147930000000001</v>
      </c>
      <c r="AV117">
        <v>1.498</v>
      </c>
      <c r="AW117">
        <v>0.892127</v>
      </c>
      <c r="AX117">
        <v>1.7496999999999999E-2</v>
      </c>
      <c r="AY117">
        <v>374.79998799999998</v>
      </c>
      <c r="AZ117">
        <v>0.48199999999999998</v>
      </c>
      <c r="BA117">
        <v>8.24</v>
      </c>
      <c r="BB117">
        <v>1.4734000000000001E-2</v>
      </c>
      <c r="BC117">
        <v>0.80820000000000003</v>
      </c>
      <c r="BD117">
        <v>82.440002000000007</v>
      </c>
      <c r="BE117" s="19">
        <v>6.36</v>
      </c>
      <c r="BF117" s="19">
        <v>4.5</v>
      </c>
      <c r="BG117" s="19">
        <v>6.42</v>
      </c>
      <c r="BH117" s="19">
        <v>6.12</v>
      </c>
      <c r="BI117" s="19">
        <v>4.8499999999999996</v>
      </c>
      <c r="BJ117" s="19">
        <v>5.67</v>
      </c>
      <c r="BK117" s="22">
        <v>5.4725000000000001</v>
      </c>
      <c r="BM117" s="22" t="str">
        <f t="shared" si="4"/>
        <v/>
      </c>
      <c r="BN117" s="22" t="str">
        <f t="shared" si="5"/>
        <v/>
      </c>
      <c r="BO117" s="22" t="str">
        <f t="shared" si="6"/>
        <v/>
      </c>
      <c r="BP117" s="22" t="str">
        <f t="shared" si="8"/>
        <v/>
      </c>
    </row>
    <row r="118" spans="1:68" x14ac:dyDescent="0.25">
      <c r="A118">
        <v>2.5016E-2</v>
      </c>
      <c r="B118">
        <v>17</v>
      </c>
      <c r="C118" t="s">
        <v>303</v>
      </c>
      <c r="D118">
        <v>1995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0</v>
      </c>
      <c r="AM118">
        <v>0</v>
      </c>
      <c r="AN118">
        <v>0.35563</v>
      </c>
      <c r="AO118">
        <v>0.39379999999999998</v>
      </c>
      <c r="AP118">
        <v>1.7048829999999999</v>
      </c>
      <c r="AQ118">
        <v>0.210808</v>
      </c>
      <c r="AR118">
        <v>6.7060000000000002E-3</v>
      </c>
      <c r="AS118">
        <v>9.5949999999999994E-3</v>
      </c>
      <c r="AT118">
        <v>0.29752499999999998</v>
      </c>
      <c r="AU118">
        <v>1.025765</v>
      </c>
      <c r="AV118">
        <v>1.6719999999999999</v>
      </c>
      <c r="AW118">
        <v>0.84976300000000005</v>
      </c>
      <c r="AX118">
        <v>2.7941000000000001E-2</v>
      </c>
      <c r="AY118">
        <v>398.20001200000002</v>
      </c>
      <c r="AZ118">
        <v>0.50260000000000005</v>
      </c>
      <c r="BA118">
        <v>8.52</v>
      </c>
      <c r="BB118">
        <v>2.1682E-2</v>
      </c>
      <c r="BC118">
        <v>0.82099999999999995</v>
      </c>
      <c r="BD118">
        <v>79.790001000000004</v>
      </c>
      <c r="BE118" s="19">
        <v>6.24</v>
      </c>
      <c r="BF118" s="19">
        <v>5.9</v>
      </c>
      <c r="BG118" s="19">
        <v>6.46</v>
      </c>
      <c r="BH118" s="19">
        <v>7.08</v>
      </c>
      <c r="BI118" s="19">
        <v>4.87</v>
      </c>
      <c r="BJ118" s="19">
        <v>6.1</v>
      </c>
      <c r="BK118" s="22">
        <v>6.0774999999999997</v>
      </c>
      <c r="BM118" s="22" t="str">
        <f t="shared" si="4"/>
        <v/>
      </c>
      <c r="BN118" s="22" t="str">
        <f t="shared" si="5"/>
        <v/>
      </c>
      <c r="BO118" s="22" t="str">
        <f t="shared" si="6"/>
        <v/>
      </c>
      <c r="BP118" s="22" t="str">
        <f t="shared" si="8"/>
        <v/>
      </c>
    </row>
    <row r="119" spans="1:68" x14ac:dyDescent="0.25">
      <c r="A119">
        <v>4.6986E-2</v>
      </c>
      <c r="B119">
        <v>17</v>
      </c>
      <c r="C119" t="s">
        <v>303</v>
      </c>
      <c r="D119">
        <v>2000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</v>
      </c>
      <c r="AM119">
        <v>0</v>
      </c>
      <c r="AN119">
        <v>0.38717200000000002</v>
      </c>
      <c r="AO119">
        <v>0.3992</v>
      </c>
      <c r="AP119">
        <v>1.8186580000000001</v>
      </c>
      <c r="AQ119">
        <v>0.21582200000000001</v>
      </c>
      <c r="AR119">
        <v>5.457E-3</v>
      </c>
      <c r="AS119">
        <v>2.1090000000000001E-2</v>
      </c>
      <c r="AT119">
        <v>0.32133800000000001</v>
      </c>
      <c r="AU119">
        <v>1.2876300000000001</v>
      </c>
      <c r="AV119">
        <v>1.728</v>
      </c>
      <c r="AW119">
        <v>1.099097</v>
      </c>
      <c r="AX119">
        <v>1.5744000000000001E-2</v>
      </c>
      <c r="AY119">
        <v>426.73001099999999</v>
      </c>
      <c r="AZ119">
        <v>0.48149999999999998</v>
      </c>
      <c r="BA119">
        <v>8.7550000000000008</v>
      </c>
      <c r="BB119">
        <v>3.0898999999999999E-2</v>
      </c>
      <c r="BC119">
        <v>0.83440000000000003</v>
      </c>
      <c r="BD119">
        <v>84.43</v>
      </c>
      <c r="BE119" s="19">
        <v>6.42</v>
      </c>
      <c r="BF119" s="19">
        <v>5.62</v>
      </c>
      <c r="BG119" s="19">
        <v>8.0399999999999991</v>
      </c>
      <c r="BH119" s="19">
        <v>7.13</v>
      </c>
      <c r="BI119" s="19">
        <v>4.8899999999999997</v>
      </c>
      <c r="BJ119" s="19">
        <v>6.42</v>
      </c>
      <c r="BK119" s="22">
        <v>6.42</v>
      </c>
      <c r="BM119" s="22" t="str">
        <f t="shared" si="4"/>
        <v/>
      </c>
      <c r="BN119" s="22" t="str">
        <f t="shared" si="5"/>
        <v/>
      </c>
      <c r="BO119" s="22">
        <f t="shared" si="6"/>
        <v>6.42</v>
      </c>
      <c r="BP119" s="22" t="str">
        <f t="shared" si="8"/>
        <v/>
      </c>
    </row>
    <row r="120" spans="1:68" x14ac:dyDescent="0.25">
      <c r="A120">
        <v>2.1940999999999999E-2</v>
      </c>
      <c r="B120">
        <v>17</v>
      </c>
      <c r="C120" t="s">
        <v>303</v>
      </c>
      <c r="D120">
        <v>2005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</v>
      </c>
      <c r="AN120">
        <v>0.384656</v>
      </c>
      <c r="AO120">
        <v>0.41539999999999999</v>
      </c>
      <c r="AP120">
        <v>2.0050249999999998</v>
      </c>
      <c r="AQ120">
        <v>0.21343300000000001</v>
      </c>
      <c r="AR120">
        <v>5.1999999999999998E-3</v>
      </c>
      <c r="AS120">
        <v>2.0993999999999999E-2</v>
      </c>
      <c r="AT120">
        <v>0.32688400000000001</v>
      </c>
      <c r="AU120">
        <v>1.4573929999999999</v>
      </c>
      <c r="AV120">
        <v>1.6639999999999999</v>
      </c>
      <c r="AW120">
        <v>1.25119</v>
      </c>
      <c r="AX120">
        <v>2.3012999999999999E-2</v>
      </c>
      <c r="AY120">
        <v>448.59079000000003</v>
      </c>
      <c r="BA120">
        <v>8.9849999999999994</v>
      </c>
      <c r="BB120">
        <v>3.6039000000000002E-2</v>
      </c>
      <c r="BC120">
        <v>0.83199999999999996</v>
      </c>
      <c r="BD120">
        <v>86.709998999999996</v>
      </c>
      <c r="BE120" s="19">
        <v>6.51</v>
      </c>
      <c r="BF120" s="19">
        <v>5.97</v>
      </c>
      <c r="BG120" s="19">
        <v>8.27</v>
      </c>
      <c r="BH120" s="19">
        <v>7.08</v>
      </c>
      <c r="BI120" s="19">
        <v>5.28</v>
      </c>
      <c r="BJ120" s="19">
        <v>6.62</v>
      </c>
      <c r="BK120" s="22">
        <v>6.65</v>
      </c>
      <c r="BM120" s="22" t="str">
        <f t="shared" si="4"/>
        <v/>
      </c>
      <c r="BN120" s="22" t="str">
        <f t="shared" si="5"/>
        <v/>
      </c>
      <c r="BO120" s="22" t="str">
        <f t="shared" si="6"/>
        <v/>
      </c>
      <c r="BP120" s="22" t="str">
        <f t="shared" si="8"/>
        <v/>
      </c>
    </row>
    <row r="121" spans="1:68" x14ac:dyDescent="0.25">
      <c r="A121">
        <v>6.6519999999999996E-2</v>
      </c>
      <c r="B121">
        <v>18</v>
      </c>
      <c r="C121" t="s">
        <v>304</v>
      </c>
      <c r="D121">
        <v>1975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P121">
        <v>0.31181500000000001</v>
      </c>
      <c r="AQ121">
        <v>0.22878499999999999</v>
      </c>
      <c r="AR121">
        <v>3.0596000000000002E-2</v>
      </c>
      <c r="AT121">
        <v>0.46341900000000003</v>
      </c>
      <c r="AU121">
        <v>0.59770999999999996</v>
      </c>
      <c r="AV121">
        <v>3.25</v>
      </c>
      <c r="AW121">
        <v>0.56261499999999998</v>
      </c>
      <c r="AX121">
        <v>0.12603400000000001</v>
      </c>
      <c r="AY121">
        <v>865.22882100000004</v>
      </c>
      <c r="BA121">
        <v>3.36</v>
      </c>
      <c r="BC121">
        <v>0.4284</v>
      </c>
      <c r="BD121">
        <v>37.939999</v>
      </c>
      <c r="BE121" s="19">
        <v>4.8</v>
      </c>
      <c r="BF121" s="19">
        <v>9.8699999999999992</v>
      </c>
      <c r="BG121" s="19">
        <v>8.25</v>
      </c>
      <c r="BH121" s="19">
        <v>8.85</v>
      </c>
      <c r="BI121" s="19">
        <v>7.19</v>
      </c>
      <c r="BJ121" s="19">
        <v>7.79</v>
      </c>
      <c r="BK121" s="22">
        <v>8.5399999999999991</v>
      </c>
      <c r="BM121" s="22" t="str">
        <f t="shared" si="4"/>
        <v/>
      </c>
      <c r="BN121" s="22" t="str">
        <f t="shared" si="5"/>
        <v/>
      </c>
      <c r="BO121" s="22" t="str">
        <f t="shared" si="6"/>
        <v/>
      </c>
      <c r="BP121" s="22" t="str">
        <f t="shared" si="8"/>
        <v/>
      </c>
    </row>
    <row r="122" spans="1:68" x14ac:dyDescent="0.25">
      <c r="A122">
        <v>3.7498999999999998E-2</v>
      </c>
      <c r="B122">
        <v>18</v>
      </c>
      <c r="C122" t="s">
        <v>304</v>
      </c>
      <c r="D122">
        <v>1980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P122">
        <v>0.447409</v>
      </c>
      <c r="AQ122">
        <v>0.26485799999999998</v>
      </c>
      <c r="AR122">
        <v>1.6695000000000002E-2</v>
      </c>
      <c r="AT122">
        <v>0.42421500000000001</v>
      </c>
      <c r="AU122">
        <v>0.47326600000000002</v>
      </c>
      <c r="AV122">
        <v>2.8769999999999998</v>
      </c>
      <c r="AW122">
        <v>0.577013</v>
      </c>
      <c r="AX122">
        <v>0.17427799999999999</v>
      </c>
      <c r="AY122">
        <v>936.34802200000001</v>
      </c>
      <c r="BA122">
        <v>3.65</v>
      </c>
      <c r="BC122">
        <v>0.42799999999999999</v>
      </c>
      <c r="BD122">
        <v>40.159999999999997</v>
      </c>
      <c r="BE122" s="19">
        <v>4.54</v>
      </c>
      <c r="BF122" s="19">
        <v>9.8699999999999992</v>
      </c>
      <c r="BG122" s="19">
        <v>8.9</v>
      </c>
      <c r="BH122" s="19">
        <v>8.39</v>
      </c>
      <c r="BI122" s="19">
        <v>7.19</v>
      </c>
      <c r="BJ122" s="19">
        <v>7.75</v>
      </c>
      <c r="BK122" s="22">
        <v>8.5875000000000004</v>
      </c>
      <c r="BM122" s="22">
        <f t="shared" si="4"/>
        <v>7.75</v>
      </c>
      <c r="BN122" s="22" t="str">
        <f t="shared" si="5"/>
        <v/>
      </c>
      <c r="BO122" s="22" t="str">
        <f t="shared" si="6"/>
        <v/>
      </c>
      <c r="BP122" s="22" t="str">
        <f t="shared" si="8"/>
        <v/>
      </c>
    </row>
    <row r="123" spans="1:68" x14ac:dyDescent="0.25">
      <c r="A123">
        <v>4.6550000000000001E-2</v>
      </c>
      <c r="B123">
        <v>18</v>
      </c>
      <c r="C123" t="s">
        <v>304</v>
      </c>
      <c r="D123">
        <v>1985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0</v>
      </c>
      <c r="AK123">
        <v>0</v>
      </c>
      <c r="AL123">
        <v>0</v>
      </c>
      <c r="AM123">
        <v>0</v>
      </c>
      <c r="AP123">
        <v>0.36163299999999998</v>
      </c>
      <c r="AQ123">
        <v>0.189196</v>
      </c>
      <c r="AR123">
        <v>4.2758999999999998E-2</v>
      </c>
      <c r="AS123">
        <v>9.7260000000000003E-3</v>
      </c>
      <c r="AT123">
        <v>0.39246799999999998</v>
      </c>
      <c r="AU123">
        <v>0.48143999999999998</v>
      </c>
      <c r="AV123">
        <v>2.21</v>
      </c>
      <c r="AW123">
        <v>0.51920200000000005</v>
      </c>
      <c r="AX123">
        <v>9.1108999999999996E-2</v>
      </c>
      <c r="AY123">
        <v>999.18481399999996</v>
      </c>
      <c r="AZ123">
        <v>0.187637</v>
      </c>
      <c r="BA123">
        <v>4.5</v>
      </c>
      <c r="BC123">
        <v>0.4234</v>
      </c>
      <c r="BD123">
        <v>42.549999</v>
      </c>
      <c r="BE123" s="19">
        <v>4.41</v>
      </c>
      <c r="BF123" s="19">
        <v>9.25</v>
      </c>
      <c r="BG123" s="19">
        <v>8.89</v>
      </c>
      <c r="BH123" s="19">
        <v>8.65</v>
      </c>
      <c r="BI123" s="19">
        <v>7.19</v>
      </c>
      <c r="BJ123" s="19">
        <v>7.66</v>
      </c>
      <c r="BK123" s="22">
        <v>8.4949999999999992</v>
      </c>
      <c r="BM123" s="22" t="str">
        <f t="shared" si="4"/>
        <v/>
      </c>
      <c r="BN123" s="22" t="str">
        <f t="shared" si="5"/>
        <v/>
      </c>
      <c r="BO123" s="22" t="str">
        <f t="shared" si="6"/>
        <v/>
      </c>
      <c r="BP123" s="22" t="str">
        <f>IF(OR(C123="SWE",C123="NOR",C123="DEN",C123="FIN"),BO123,"")</f>
        <v/>
      </c>
    </row>
    <row r="124" spans="1:68" x14ac:dyDescent="0.25">
      <c r="A124">
        <v>7.6506000000000005E-2</v>
      </c>
      <c r="B124">
        <v>18</v>
      </c>
      <c r="C124" t="s">
        <v>304</v>
      </c>
      <c r="D124">
        <v>1990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</v>
      </c>
      <c r="AK124">
        <v>0</v>
      </c>
      <c r="AL124">
        <v>0</v>
      </c>
      <c r="AM124">
        <v>0</v>
      </c>
      <c r="AP124">
        <v>0.37881799999999999</v>
      </c>
      <c r="AQ124">
        <v>0.251971</v>
      </c>
      <c r="AR124">
        <v>1.0019E-2</v>
      </c>
      <c r="AS124">
        <v>7.541E-3</v>
      </c>
      <c r="AT124">
        <v>0.36485899999999999</v>
      </c>
      <c r="AU124">
        <v>0.63790500000000006</v>
      </c>
      <c r="AV124">
        <v>2.1459999999999999</v>
      </c>
      <c r="AW124">
        <v>0.65944700000000001</v>
      </c>
      <c r="AX124">
        <v>7.4938000000000005E-2</v>
      </c>
      <c r="AY124">
        <v>1040.8404539999999</v>
      </c>
      <c r="AZ124">
        <v>0.26952700000000002</v>
      </c>
      <c r="BA124">
        <v>4.7300000000000004</v>
      </c>
      <c r="BC124">
        <v>0.43259999999999998</v>
      </c>
      <c r="BD124">
        <v>43.07</v>
      </c>
      <c r="BE124" s="19">
        <v>4.8099999999999996</v>
      </c>
      <c r="BF124" s="19">
        <v>9.8699999999999992</v>
      </c>
      <c r="BG124" s="19">
        <v>9.5399999999999991</v>
      </c>
      <c r="BH124" s="19">
        <v>8.84</v>
      </c>
      <c r="BI124" s="19">
        <v>7.19</v>
      </c>
      <c r="BJ124" s="19">
        <v>8.0500000000000007</v>
      </c>
      <c r="BK124" s="22">
        <v>8.86</v>
      </c>
      <c r="BM124" s="22" t="str">
        <f t="shared" si="4"/>
        <v/>
      </c>
      <c r="BN124" s="22" t="str">
        <f t="shared" si="5"/>
        <v/>
      </c>
      <c r="BO124" s="22" t="str">
        <f t="shared" si="6"/>
        <v/>
      </c>
      <c r="BP124" s="22" t="str">
        <f t="shared" si="8"/>
        <v/>
      </c>
    </row>
    <row r="125" spans="1:68" x14ac:dyDescent="0.25">
      <c r="A125">
        <v>4.7895E-2</v>
      </c>
      <c r="B125">
        <v>18</v>
      </c>
      <c r="C125" t="s">
        <v>304</v>
      </c>
      <c r="D125">
        <v>1995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</v>
      </c>
      <c r="AL125">
        <v>0</v>
      </c>
      <c r="AM125">
        <v>0</v>
      </c>
      <c r="AP125">
        <v>0.48022100000000001</v>
      </c>
      <c r="AQ125">
        <v>0.27569900000000003</v>
      </c>
      <c r="AR125">
        <v>1.7160000000000002E-2</v>
      </c>
      <c r="AS125">
        <v>9.5429999999999994E-3</v>
      </c>
      <c r="AT125">
        <v>0.350327</v>
      </c>
      <c r="AU125">
        <v>0.59046399999999999</v>
      </c>
      <c r="AV125">
        <v>2.254</v>
      </c>
      <c r="AW125">
        <v>0.63883800000000002</v>
      </c>
      <c r="AX125">
        <v>7.1029999999999996E-2</v>
      </c>
      <c r="AY125">
        <v>1096.0225829999999</v>
      </c>
      <c r="AZ125">
        <v>0.27134900000000001</v>
      </c>
      <c r="BA125">
        <v>5.15</v>
      </c>
      <c r="BB125">
        <v>5.1999999999999998E-2</v>
      </c>
      <c r="BC125">
        <v>0.43540000000000001</v>
      </c>
      <c r="BD125">
        <v>43.830002</v>
      </c>
      <c r="BE125" s="19">
        <v>4.7300000000000004</v>
      </c>
      <c r="BF125" s="19">
        <v>9.8699999999999992</v>
      </c>
      <c r="BG125" s="19">
        <v>9.32</v>
      </c>
      <c r="BH125" s="19">
        <v>8.6999999999999993</v>
      </c>
      <c r="BI125" s="19">
        <v>7.19</v>
      </c>
      <c r="BJ125" s="19">
        <v>7.95</v>
      </c>
      <c r="BK125" s="22">
        <v>8.77</v>
      </c>
      <c r="BM125" s="22" t="str">
        <f t="shared" si="4"/>
        <v/>
      </c>
      <c r="BN125" s="22" t="str">
        <f t="shared" si="5"/>
        <v/>
      </c>
      <c r="BO125" s="22" t="str">
        <f t="shared" si="6"/>
        <v/>
      </c>
      <c r="BP125" s="22" t="str">
        <f t="shared" si="8"/>
        <v/>
      </c>
    </row>
    <row r="126" spans="1:68" x14ac:dyDescent="0.25">
      <c r="A126">
        <v>0.15526000000000001</v>
      </c>
      <c r="B126">
        <v>18</v>
      </c>
      <c r="C126" t="s">
        <v>304</v>
      </c>
      <c r="D126">
        <v>2000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0</v>
      </c>
      <c r="AP126">
        <v>0.54893899999999995</v>
      </c>
      <c r="AQ126">
        <v>0.24734300000000001</v>
      </c>
      <c r="AR126">
        <v>7.2719999999999998E-3</v>
      </c>
      <c r="AS126">
        <v>1.8763999999999999E-2</v>
      </c>
      <c r="AT126">
        <v>0.33325199999999999</v>
      </c>
      <c r="AU126">
        <v>0.63210299999999997</v>
      </c>
      <c r="AV126">
        <v>2.0339999999999998</v>
      </c>
      <c r="AW126">
        <v>0.65298100000000003</v>
      </c>
      <c r="AX126">
        <v>6.2606999999999996E-2</v>
      </c>
      <c r="AY126">
        <v>1160.9681399999999</v>
      </c>
      <c r="AZ126">
        <v>0.25724999999999998</v>
      </c>
      <c r="BA126">
        <v>5.34</v>
      </c>
      <c r="BB126">
        <v>7.1599999999999997E-2</v>
      </c>
      <c r="BC126">
        <v>0.4294</v>
      </c>
      <c r="BD126">
        <v>48.779998999999997</v>
      </c>
      <c r="BE126" s="19">
        <v>4.4000000000000004</v>
      </c>
      <c r="BF126" s="19">
        <v>9.1</v>
      </c>
      <c r="BG126" s="19">
        <v>9.73</v>
      </c>
      <c r="BH126" s="19">
        <v>8.6199999999999992</v>
      </c>
      <c r="BI126" s="19">
        <v>7.19</v>
      </c>
      <c r="BJ126" s="19">
        <v>7.81</v>
      </c>
      <c r="BK126" s="22">
        <v>8.6599999999999984</v>
      </c>
      <c r="BM126" s="22" t="str">
        <f t="shared" si="4"/>
        <v/>
      </c>
      <c r="BN126" s="22" t="str">
        <f t="shared" si="5"/>
        <v/>
      </c>
      <c r="BO126" s="22">
        <f t="shared" si="6"/>
        <v>7.81</v>
      </c>
      <c r="BP126" s="22" t="str">
        <f t="shared" si="8"/>
        <v/>
      </c>
    </row>
    <row r="127" spans="1:68" x14ac:dyDescent="0.25">
      <c r="A127">
        <v>3.3463E-2</v>
      </c>
      <c r="B127">
        <v>18</v>
      </c>
      <c r="C127" t="s">
        <v>304</v>
      </c>
      <c r="D127">
        <v>2005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</v>
      </c>
      <c r="AP127">
        <v>0.64655499999999999</v>
      </c>
      <c r="AQ127">
        <v>0.219889</v>
      </c>
      <c r="AR127">
        <v>7.744E-3</v>
      </c>
      <c r="AS127">
        <v>1.4187E-2</v>
      </c>
      <c r="AT127">
        <v>0.318631</v>
      </c>
      <c r="AU127">
        <v>0.60143199999999997</v>
      </c>
      <c r="AV127">
        <v>1.9596</v>
      </c>
      <c r="AW127">
        <v>0.59769099999999997</v>
      </c>
      <c r="AX127">
        <v>3.9921999999999999E-2</v>
      </c>
      <c r="AY127">
        <v>1221.9053960000001</v>
      </c>
      <c r="AZ127">
        <v>0.24884100000000001</v>
      </c>
      <c r="BA127">
        <v>5.55</v>
      </c>
      <c r="BB127">
        <v>9.375E-2</v>
      </c>
      <c r="BC127">
        <v>0.42520000000000002</v>
      </c>
      <c r="BD127">
        <v>54.970001000000003</v>
      </c>
      <c r="BE127" s="19">
        <v>4.53</v>
      </c>
      <c r="BF127" s="19">
        <v>8.6199999999999992</v>
      </c>
      <c r="BG127" s="19">
        <v>9.75</v>
      </c>
      <c r="BH127" s="19">
        <v>9.01</v>
      </c>
      <c r="BI127" s="19">
        <v>7.46</v>
      </c>
      <c r="BJ127" s="19">
        <v>7.88</v>
      </c>
      <c r="BK127" s="22">
        <v>8.7099999999999991</v>
      </c>
      <c r="BM127" s="22" t="str">
        <f t="shared" si="4"/>
        <v/>
      </c>
      <c r="BN127" s="22" t="str">
        <f t="shared" si="5"/>
        <v/>
      </c>
      <c r="BO127" s="22" t="str">
        <f t="shared" si="6"/>
        <v/>
      </c>
      <c r="BP127" s="22" t="str">
        <f t="shared" si="8"/>
        <v/>
      </c>
    </row>
    <row r="128" spans="1:68" x14ac:dyDescent="0.25">
      <c r="A128">
        <v>2.2754E-2</v>
      </c>
      <c r="B128">
        <v>19</v>
      </c>
      <c r="C128" t="s">
        <v>305</v>
      </c>
      <c r="D128">
        <v>1975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0.37730799999999998</v>
      </c>
      <c r="AO128">
        <v>0.48855500000000002</v>
      </c>
      <c r="AP128">
        <v>1.1594040000000001</v>
      </c>
      <c r="AQ128">
        <v>0.245699</v>
      </c>
      <c r="AR128">
        <v>6.318E-2</v>
      </c>
      <c r="AS128">
        <v>8.5089999999999992E-3</v>
      </c>
      <c r="AT128">
        <v>0.3745</v>
      </c>
      <c r="AU128">
        <v>0.487321</v>
      </c>
      <c r="AV128">
        <v>1.9708000000000001</v>
      </c>
      <c r="AW128">
        <v>0.466729</v>
      </c>
      <c r="AX128">
        <v>8.6209999999999995E-2</v>
      </c>
      <c r="AY128">
        <v>13434.799805000001</v>
      </c>
      <c r="AZ128">
        <v>0.292572</v>
      </c>
      <c r="BA128">
        <v>7.58</v>
      </c>
      <c r="BB128">
        <v>2.3597E-2</v>
      </c>
      <c r="BC128">
        <v>0.626</v>
      </c>
      <c r="BD128">
        <v>70.110000999999997</v>
      </c>
      <c r="BE128" s="19">
        <v>5.93</v>
      </c>
      <c r="BF128" s="19" t="s">
        <v>49</v>
      </c>
      <c r="BG128" s="19">
        <v>7.16</v>
      </c>
      <c r="BH128" s="19">
        <v>3.81</v>
      </c>
      <c r="BI128" s="19" t="s">
        <v>49</v>
      </c>
      <c r="BJ128" s="19" t="s">
        <v>49</v>
      </c>
      <c r="BK128" s="22">
        <v>5.4850000000000003</v>
      </c>
      <c r="BM128" s="22" t="str">
        <f t="shared" si="4"/>
        <v/>
      </c>
      <c r="BN128" s="22" t="str">
        <f t="shared" si="5"/>
        <v/>
      </c>
      <c r="BO128" s="22" t="str">
        <f t="shared" si="6"/>
        <v/>
      </c>
      <c r="BP128" s="22" t="str">
        <f t="shared" si="8"/>
        <v/>
      </c>
    </row>
    <row r="129" spans="1:68" x14ac:dyDescent="0.25">
      <c r="A129">
        <v>1.8772E-2</v>
      </c>
      <c r="B129">
        <v>19</v>
      </c>
      <c r="C129" t="s">
        <v>305</v>
      </c>
      <c r="D129">
        <v>1980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0.40757599999999999</v>
      </c>
      <c r="AO129">
        <v>0.54581199999999996</v>
      </c>
      <c r="AP129">
        <v>1.1626529999999999</v>
      </c>
      <c r="AQ129">
        <v>0.22231899999999999</v>
      </c>
      <c r="AR129">
        <v>4.4460000000000003E-3</v>
      </c>
      <c r="AS129">
        <v>1.1684E-2</v>
      </c>
      <c r="AT129">
        <v>0.36132599999999998</v>
      </c>
      <c r="AU129">
        <v>0.49745600000000001</v>
      </c>
      <c r="AV129">
        <v>1.5918000000000001</v>
      </c>
      <c r="AW129">
        <v>0.49459799999999998</v>
      </c>
      <c r="AX129">
        <v>6.1110999999999999E-2</v>
      </c>
      <c r="AY129">
        <v>13952</v>
      </c>
      <c r="AZ129">
        <v>0.238678</v>
      </c>
      <c r="BA129">
        <v>7.75</v>
      </c>
      <c r="BB129">
        <v>3.8009000000000001E-2</v>
      </c>
      <c r="BC129">
        <v>0.64100000000000001</v>
      </c>
      <c r="BD129">
        <v>75.089995999999999</v>
      </c>
      <c r="BE129" s="19">
        <v>6.24</v>
      </c>
      <c r="BF129" s="19" t="s">
        <v>49</v>
      </c>
      <c r="BG129" s="19">
        <v>3.68</v>
      </c>
      <c r="BH129" s="19">
        <v>4.05</v>
      </c>
      <c r="BI129" s="19">
        <v>5.64</v>
      </c>
      <c r="BJ129" s="19">
        <v>5.03</v>
      </c>
      <c r="BK129" s="22">
        <v>4.456666666666667</v>
      </c>
      <c r="BM129" s="22">
        <f t="shared" si="4"/>
        <v>5.03</v>
      </c>
      <c r="BN129" s="22" t="str">
        <f t="shared" si="5"/>
        <v/>
      </c>
      <c r="BO129" s="22" t="str">
        <f t="shared" si="6"/>
        <v/>
      </c>
      <c r="BP129" s="22" t="str">
        <f t="shared" si="8"/>
        <v/>
      </c>
    </row>
    <row r="130" spans="1:68" x14ac:dyDescent="0.25">
      <c r="A130">
        <v>6.5300000000000002E-3</v>
      </c>
      <c r="B130">
        <v>19</v>
      </c>
      <c r="C130" t="s">
        <v>305</v>
      </c>
      <c r="D130">
        <v>1985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</v>
      </c>
      <c r="AJ130">
        <v>0</v>
      </c>
      <c r="AK130">
        <v>0</v>
      </c>
      <c r="AL130">
        <v>0</v>
      </c>
      <c r="AM130">
        <v>0</v>
      </c>
      <c r="AN130">
        <v>0.414906</v>
      </c>
      <c r="AO130">
        <v>0.59513499999999997</v>
      </c>
      <c r="AP130">
        <v>1.1209830000000001</v>
      </c>
      <c r="AQ130">
        <v>0.203655</v>
      </c>
      <c r="AR130">
        <v>6.1180000000000002E-3</v>
      </c>
      <c r="AS130">
        <v>9.0399999999999994E-3</v>
      </c>
      <c r="AT130">
        <v>0.33836699999999997</v>
      </c>
      <c r="AU130">
        <v>0.60200900000000002</v>
      </c>
      <c r="AV130">
        <v>1.5056</v>
      </c>
      <c r="AW130">
        <v>0.562083</v>
      </c>
      <c r="AX130">
        <v>4.1862000000000003E-2</v>
      </c>
      <c r="AY130">
        <v>14368.599609000001</v>
      </c>
      <c r="AZ130">
        <v>0.239847</v>
      </c>
      <c r="BA130">
        <v>7.99</v>
      </c>
      <c r="BB130">
        <v>8.6869000000000002E-2</v>
      </c>
      <c r="BC130">
        <v>0.65900000000000003</v>
      </c>
      <c r="BD130">
        <v>81.180000000000007</v>
      </c>
      <c r="BE130" s="19">
        <v>5.63</v>
      </c>
      <c r="BF130" s="19" t="s">
        <v>49</v>
      </c>
      <c r="BG130" s="19">
        <v>4.84</v>
      </c>
      <c r="BH130" s="19">
        <v>4.07</v>
      </c>
      <c r="BI130" s="19">
        <v>5.74</v>
      </c>
      <c r="BJ130" s="19">
        <v>5.16</v>
      </c>
      <c r="BK130" s="22">
        <v>4.8833333333333337</v>
      </c>
      <c r="BM130" s="22" t="str">
        <f t="shared" si="4"/>
        <v/>
      </c>
      <c r="BN130" s="22" t="str">
        <f t="shared" si="5"/>
        <v/>
      </c>
      <c r="BO130" s="22" t="str">
        <f t="shared" si="6"/>
        <v/>
      </c>
      <c r="BP130" s="22" t="str">
        <f t="shared" si="8"/>
        <v/>
      </c>
    </row>
    <row r="131" spans="1:68" x14ac:dyDescent="0.25">
      <c r="A131">
        <v>2.7570999999999998E-2</v>
      </c>
      <c r="B131">
        <v>19</v>
      </c>
      <c r="C131" t="s">
        <v>305</v>
      </c>
      <c r="D131">
        <v>1990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</v>
      </c>
      <c r="AK131">
        <v>0</v>
      </c>
      <c r="AL131">
        <v>0</v>
      </c>
      <c r="AM131">
        <v>0</v>
      </c>
      <c r="AN131">
        <v>0.42358600000000002</v>
      </c>
      <c r="AO131">
        <v>0.57234499999999999</v>
      </c>
      <c r="AP131">
        <v>1.0617110000000001</v>
      </c>
      <c r="AQ131">
        <v>0.22552</v>
      </c>
      <c r="AR131">
        <v>8.1270000000000005E-3</v>
      </c>
      <c r="AS131">
        <v>1.7000999999999999E-2</v>
      </c>
      <c r="AT131">
        <v>0.31526399999999999</v>
      </c>
      <c r="AU131">
        <v>0.54572600000000004</v>
      </c>
      <c r="AV131">
        <v>1.5662</v>
      </c>
      <c r="AW131">
        <v>0.51381600000000005</v>
      </c>
      <c r="AX131">
        <v>9.0119999999999992E-3</v>
      </c>
      <c r="AY131">
        <v>14759.599609000001</v>
      </c>
      <c r="AZ131">
        <v>0.25643300000000002</v>
      </c>
      <c r="BA131">
        <v>8.32</v>
      </c>
      <c r="BB131">
        <v>7.0577000000000001E-2</v>
      </c>
      <c r="BC131">
        <v>0.67900000000000005</v>
      </c>
      <c r="BD131">
        <v>83.010002</v>
      </c>
      <c r="BE131" s="19">
        <v>6.79</v>
      </c>
      <c r="BF131" s="19">
        <v>6.41</v>
      </c>
      <c r="BG131" s="19">
        <v>6.91</v>
      </c>
      <c r="BH131" s="19">
        <v>5.47</v>
      </c>
      <c r="BI131" s="19">
        <v>5.86</v>
      </c>
      <c r="BJ131" s="19">
        <v>6.29</v>
      </c>
      <c r="BK131" s="22">
        <v>6.1624999999999996</v>
      </c>
      <c r="BM131" s="22" t="str">
        <f t="shared" ref="BM131:BM194" si="9">IF(D131=1980,BJ131,"")</f>
        <v/>
      </c>
      <c r="BN131" s="22" t="str">
        <f t="shared" ref="BN131:BN194" si="10">IF(OR(C131="SWE",C131="NOR",C131="DEN",C131="FIN"),BM131,"")</f>
        <v/>
      </c>
      <c r="BO131" s="22" t="str">
        <f t="shared" ref="BO131:BO194" si="11">IF(D131=2000,BJ131,"")</f>
        <v/>
      </c>
      <c r="BP131" s="22" t="str">
        <f t="shared" si="8"/>
        <v/>
      </c>
    </row>
    <row r="132" spans="1:68" x14ac:dyDescent="0.25">
      <c r="A132">
        <v>1.6055E-2</v>
      </c>
      <c r="B132">
        <v>19</v>
      </c>
      <c r="C132" t="s">
        <v>305</v>
      </c>
      <c r="D132">
        <v>1995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0</v>
      </c>
      <c r="AM132">
        <v>0</v>
      </c>
      <c r="AN132">
        <v>0.42410300000000001</v>
      </c>
      <c r="AO132">
        <v>0.56425599999999998</v>
      </c>
      <c r="AP132">
        <v>1.059518</v>
      </c>
      <c r="AQ132">
        <v>0.213028</v>
      </c>
      <c r="AR132">
        <v>6.8760000000000002E-3</v>
      </c>
      <c r="AS132">
        <v>1.5282E-2</v>
      </c>
      <c r="AT132">
        <v>0.310753</v>
      </c>
      <c r="AU132">
        <v>0.561477</v>
      </c>
      <c r="AV132">
        <v>1.5740000000000001</v>
      </c>
      <c r="AW132">
        <v>0.50713699999999995</v>
      </c>
      <c r="AX132">
        <v>2.7595999999999999E-2</v>
      </c>
      <c r="AY132">
        <v>15273.646484000001</v>
      </c>
      <c r="AZ132">
        <v>0.25728499999999999</v>
      </c>
      <c r="BA132">
        <v>8.61</v>
      </c>
      <c r="BB132">
        <v>6.1478999999999999E-2</v>
      </c>
      <c r="BC132">
        <v>0.71160000000000001</v>
      </c>
      <c r="BD132">
        <v>82.910004000000001</v>
      </c>
      <c r="BE132" s="19">
        <v>6.81</v>
      </c>
      <c r="BF132" s="19">
        <v>6.37</v>
      </c>
      <c r="BG132" s="19">
        <v>6.02</v>
      </c>
      <c r="BH132" s="19">
        <v>5.68</v>
      </c>
      <c r="BI132" s="19">
        <v>5.75</v>
      </c>
      <c r="BJ132" s="19">
        <v>6.14</v>
      </c>
      <c r="BK132" s="22">
        <v>5.9550000000000001</v>
      </c>
      <c r="BM132" s="22" t="str">
        <f t="shared" si="9"/>
        <v/>
      </c>
      <c r="BN132" s="22" t="str">
        <f t="shared" si="10"/>
        <v/>
      </c>
      <c r="BO132" s="22" t="str">
        <f t="shared" si="11"/>
        <v/>
      </c>
      <c r="BP132" s="22" t="str">
        <f t="shared" si="8"/>
        <v/>
      </c>
    </row>
    <row r="133" spans="1:68" x14ac:dyDescent="0.25">
      <c r="A133">
        <v>3.4348999999999998E-2</v>
      </c>
      <c r="B133">
        <v>19</v>
      </c>
      <c r="C133" t="s">
        <v>305</v>
      </c>
      <c r="D133">
        <v>2000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1</v>
      </c>
      <c r="AM133">
        <v>0</v>
      </c>
      <c r="AN133">
        <v>0.39529199999999998</v>
      </c>
      <c r="AO133">
        <v>0.49112699999999998</v>
      </c>
      <c r="AP133">
        <v>1.0810070000000001</v>
      </c>
      <c r="AQ133">
        <v>0.22117400000000001</v>
      </c>
      <c r="AR133">
        <v>8.0009999999999994E-3</v>
      </c>
      <c r="AS133">
        <v>1.7838E-2</v>
      </c>
      <c r="AT133">
        <v>0.31634499999999999</v>
      </c>
      <c r="AU133">
        <v>0.634768</v>
      </c>
      <c r="AV133">
        <v>1.6122000000000001</v>
      </c>
      <c r="AW133">
        <v>0.57673300000000005</v>
      </c>
      <c r="AX133">
        <v>2.2803E-2</v>
      </c>
      <c r="AY133">
        <v>15710.486328000001</v>
      </c>
      <c r="AZ133">
        <v>0.27096500000000001</v>
      </c>
      <c r="BA133">
        <v>8.9600000000000009</v>
      </c>
      <c r="BB133">
        <v>4.4934000000000002E-2</v>
      </c>
      <c r="BC133">
        <v>0.752</v>
      </c>
      <c r="BD133">
        <v>87.029999000000004</v>
      </c>
      <c r="BE133" s="19">
        <v>6.89</v>
      </c>
      <c r="BF133" s="19">
        <v>7.04</v>
      </c>
      <c r="BG133" s="19">
        <v>9.51</v>
      </c>
      <c r="BH133" s="19">
        <v>6.87</v>
      </c>
      <c r="BI133" s="19">
        <v>5.98</v>
      </c>
      <c r="BJ133" s="19">
        <v>7.26</v>
      </c>
      <c r="BK133" s="22">
        <v>7.3500000000000005</v>
      </c>
      <c r="BM133" s="22" t="str">
        <f t="shared" si="9"/>
        <v/>
      </c>
      <c r="BN133" s="22" t="str">
        <f t="shared" si="10"/>
        <v/>
      </c>
      <c r="BO133" s="22">
        <f t="shared" si="11"/>
        <v>7.26</v>
      </c>
      <c r="BP133" s="22" t="str">
        <f t="shared" si="8"/>
        <v/>
      </c>
    </row>
    <row r="134" spans="1:68" x14ac:dyDescent="0.25">
      <c r="A134">
        <v>6.6750000000000004E-3</v>
      </c>
      <c r="B134">
        <v>19</v>
      </c>
      <c r="C134" t="s">
        <v>305</v>
      </c>
      <c r="D134">
        <v>2005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</v>
      </c>
      <c r="AN134">
        <v>0.379025</v>
      </c>
      <c r="AO134">
        <v>0.480242</v>
      </c>
      <c r="AP134">
        <v>1.1874199999999999</v>
      </c>
      <c r="AQ134">
        <v>0.19795099999999999</v>
      </c>
      <c r="AR134">
        <v>6.1729999999999997E-3</v>
      </c>
      <c r="AS134">
        <v>6.2389999999999998E-3</v>
      </c>
      <c r="AT134">
        <v>0.32084099999999999</v>
      </c>
      <c r="AU134">
        <v>0.66614600000000002</v>
      </c>
      <c r="AV134">
        <v>1.7302</v>
      </c>
      <c r="AW134">
        <v>0.59669700000000003</v>
      </c>
      <c r="AX134">
        <v>2.4937999999999998E-2</v>
      </c>
      <c r="AY134">
        <v>16204.366211</v>
      </c>
      <c r="AZ134">
        <v>0.26455899999999999</v>
      </c>
      <c r="BA134">
        <v>9.24</v>
      </c>
      <c r="BB134">
        <v>3.8745000000000002E-2</v>
      </c>
      <c r="BC134">
        <v>0.78839999999999999</v>
      </c>
      <c r="BD134">
        <v>91.169998000000007</v>
      </c>
      <c r="BE134" s="19">
        <v>6.87</v>
      </c>
      <c r="BF134" s="19">
        <v>6.94</v>
      </c>
      <c r="BG134" s="19">
        <v>9.58</v>
      </c>
      <c r="BH134" s="19">
        <v>6.81</v>
      </c>
      <c r="BI134" s="19">
        <v>6.11</v>
      </c>
      <c r="BJ134" s="19">
        <v>7.26</v>
      </c>
      <c r="BK134" s="22">
        <v>7.3599999999999994</v>
      </c>
      <c r="BM134" s="22" t="str">
        <f t="shared" si="9"/>
        <v/>
      </c>
      <c r="BN134" s="22" t="str">
        <f t="shared" si="10"/>
        <v/>
      </c>
      <c r="BO134" s="22" t="str">
        <f t="shared" si="11"/>
        <v/>
      </c>
      <c r="BP134" s="22" t="str">
        <f t="shared" si="8"/>
        <v/>
      </c>
    </row>
    <row r="135" spans="1:68" x14ac:dyDescent="0.25">
      <c r="A135">
        <v>2.2748000000000001E-2</v>
      </c>
      <c r="B135">
        <v>20</v>
      </c>
      <c r="C135" t="s">
        <v>306</v>
      </c>
      <c r="D135">
        <v>1975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0.29844599999999999</v>
      </c>
      <c r="AO135">
        <v>0</v>
      </c>
      <c r="AP135">
        <v>1.1440090000000001</v>
      </c>
      <c r="AQ135">
        <v>0.25129800000000002</v>
      </c>
      <c r="AR135">
        <v>-1.2769999999999999E-3</v>
      </c>
      <c r="AS135">
        <v>2.4011000000000001E-2</v>
      </c>
      <c r="AT135">
        <v>0.402389</v>
      </c>
      <c r="AU135">
        <v>0.228606</v>
      </c>
      <c r="AV135">
        <v>2.7582</v>
      </c>
      <c r="AW135">
        <v>0.25823499999999999</v>
      </c>
      <c r="AX135">
        <v>0.10219</v>
      </c>
      <c r="AY135">
        <v>2964.6000979999999</v>
      </c>
      <c r="AZ135">
        <v>0.208618</v>
      </c>
      <c r="BA135">
        <v>9.36</v>
      </c>
      <c r="BB135">
        <v>2.751E-3</v>
      </c>
      <c r="BC135">
        <v>0.82120000000000004</v>
      </c>
      <c r="BD135">
        <v>58.779998999999997</v>
      </c>
      <c r="BE135" s="19">
        <v>4.84</v>
      </c>
      <c r="BF135" s="19">
        <v>9.8699999999999992</v>
      </c>
      <c r="BG135" s="19">
        <v>9.4</v>
      </c>
      <c r="BH135" s="19">
        <v>7.38</v>
      </c>
      <c r="BI135" s="19">
        <v>6.36</v>
      </c>
      <c r="BJ135" s="19">
        <v>7.54</v>
      </c>
      <c r="BK135" s="22">
        <v>8.2524999999999995</v>
      </c>
      <c r="BM135" s="22" t="str">
        <f t="shared" si="9"/>
        <v/>
      </c>
      <c r="BN135" s="22" t="str">
        <f t="shared" si="10"/>
        <v/>
      </c>
      <c r="BO135" s="22" t="str">
        <f t="shared" si="11"/>
        <v/>
      </c>
      <c r="BP135" s="22" t="str">
        <f>IF(OR(C135="SWE",C135="NOR",C135="DEN",C135="FIN"),BO135,"")</f>
        <v/>
      </c>
    </row>
    <row r="136" spans="1:68" x14ac:dyDescent="0.25">
      <c r="A136">
        <v>-9.4039999999999992E-3</v>
      </c>
      <c r="B136">
        <v>20</v>
      </c>
      <c r="C136" t="s">
        <v>306</v>
      </c>
      <c r="D136">
        <v>1980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0.33033000000000001</v>
      </c>
      <c r="AO136">
        <v>0</v>
      </c>
      <c r="AP136">
        <v>1.1015429999999999</v>
      </c>
      <c r="AQ136">
        <v>0.22631499999999999</v>
      </c>
      <c r="AR136">
        <v>3.2816999999999999E-2</v>
      </c>
      <c r="AS136">
        <v>1.2564000000000001E-2</v>
      </c>
      <c r="AT136">
        <v>0.38691399999999998</v>
      </c>
      <c r="AU136">
        <v>0.27688800000000002</v>
      </c>
      <c r="AV136">
        <v>2.1444000000000001</v>
      </c>
      <c r="AW136">
        <v>0.28866199999999997</v>
      </c>
      <c r="AX136">
        <v>0.148148</v>
      </c>
      <c r="AY136">
        <v>3114.8000489999999</v>
      </c>
      <c r="AZ136">
        <v>0.19181899999999999</v>
      </c>
      <c r="BA136">
        <v>11</v>
      </c>
      <c r="BB136">
        <v>1.4367E-2</v>
      </c>
      <c r="BC136">
        <v>0.83160000000000001</v>
      </c>
      <c r="BD136">
        <v>61.279998999999997</v>
      </c>
      <c r="BE136" s="19">
        <v>4.04</v>
      </c>
      <c r="BF136" s="19">
        <v>7.55</v>
      </c>
      <c r="BG136" s="19">
        <v>9</v>
      </c>
      <c r="BH136" s="19">
        <v>7.57</v>
      </c>
      <c r="BI136" s="19">
        <v>6.06</v>
      </c>
      <c r="BJ136" s="19">
        <v>6.85</v>
      </c>
      <c r="BK136" s="22">
        <v>7.5449999999999999</v>
      </c>
      <c r="BM136" s="22">
        <f t="shared" si="9"/>
        <v>6.85</v>
      </c>
      <c r="BN136" s="22" t="str">
        <f t="shared" si="10"/>
        <v/>
      </c>
      <c r="BO136" s="22" t="str">
        <f t="shared" si="11"/>
        <v/>
      </c>
      <c r="BP136" s="22" t="str">
        <f t="shared" si="8"/>
        <v/>
      </c>
    </row>
    <row r="137" spans="1:68" x14ac:dyDescent="0.25">
      <c r="A137">
        <v>2.3725E-2</v>
      </c>
      <c r="B137">
        <v>20</v>
      </c>
      <c r="C137" t="s">
        <v>306</v>
      </c>
      <c r="D137">
        <v>1985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</v>
      </c>
      <c r="AJ137">
        <v>0</v>
      </c>
      <c r="AK137">
        <v>0</v>
      </c>
      <c r="AL137">
        <v>0</v>
      </c>
      <c r="AM137">
        <v>0</v>
      </c>
      <c r="AN137">
        <v>0.336399</v>
      </c>
      <c r="AO137">
        <v>0</v>
      </c>
      <c r="AP137">
        <v>0.96831400000000001</v>
      </c>
      <c r="AQ137">
        <v>0.25502200000000003</v>
      </c>
      <c r="AR137">
        <v>7.6990000000000001E-3</v>
      </c>
      <c r="AS137">
        <v>1.5603000000000001E-2</v>
      </c>
      <c r="AT137">
        <v>0.36676599999999998</v>
      </c>
      <c r="AU137">
        <v>0.29585400000000001</v>
      </c>
      <c r="AV137">
        <v>1.948</v>
      </c>
      <c r="AW137">
        <v>0.32396599999999998</v>
      </c>
      <c r="AX137">
        <v>0.120778</v>
      </c>
      <c r="AY137">
        <v>3214.360107</v>
      </c>
      <c r="AZ137">
        <v>0.188828</v>
      </c>
      <c r="BA137">
        <v>11.43</v>
      </c>
      <c r="BB137">
        <v>4.1480999999999997E-2</v>
      </c>
      <c r="BC137">
        <v>0.83579999999999999</v>
      </c>
      <c r="BD137">
        <v>67.269997000000004</v>
      </c>
      <c r="BE137" s="19">
        <v>3.57</v>
      </c>
      <c r="BF137" s="19">
        <v>8.84</v>
      </c>
      <c r="BG137" s="19">
        <v>9.3699999999999992</v>
      </c>
      <c r="BH137" s="19">
        <v>8.3000000000000007</v>
      </c>
      <c r="BI137" s="19">
        <v>6.62</v>
      </c>
      <c r="BJ137" s="19">
        <v>7.31</v>
      </c>
      <c r="BK137" s="22">
        <v>8.2825000000000006</v>
      </c>
      <c r="BM137" s="22" t="str">
        <f t="shared" si="9"/>
        <v/>
      </c>
      <c r="BN137" s="22" t="str">
        <f t="shared" si="10"/>
        <v/>
      </c>
      <c r="BO137" s="22" t="str">
        <f t="shared" si="11"/>
        <v/>
      </c>
      <c r="BP137" s="22" t="str">
        <f t="shared" si="8"/>
        <v/>
      </c>
    </row>
    <row r="138" spans="1:68" x14ac:dyDescent="0.25">
      <c r="A138">
        <v>3.77E-4</v>
      </c>
      <c r="B138">
        <v>20</v>
      </c>
      <c r="C138" t="s">
        <v>306</v>
      </c>
      <c r="D138">
        <v>1990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1</v>
      </c>
      <c r="AK138">
        <v>0</v>
      </c>
      <c r="AL138">
        <v>0</v>
      </c>
      <c r="AM138">
        <v>0</v>
      </c>
      <c r="AN138">
        <v>0.36869800000000003</v>
      </c>
      <c r="AO138">
        <v>0</v>
      </c>
      <c r="AP138">
        <v>0.99000100000000002</v>
      </c>
      <c r="AQ138">
        <v>0.21672</v>
      </c>
      <c r="AR138">
        <v>0</v>
      </c>
      <c r="AS138">
        <v>-1.952E-3</v>
      </c>
      <c r="AT138">
        <v>0.34845399999999999</v>
      </c>
      <c r="AU138">
        <v>0.26418999999999998</v>
      </c>
      <c r="AV138">
        <v>2.0779999999999998</v>
      </c>
      <c r="AW138">
        <v>0.25409399999999999</v>
      </c>
      <c r="AX138">
        <v>9.6662999999999999E-2</v>
      </c>
      <c r="AY138">
        <v>3355.6000979999999</v>
      </c>
      <c r="AZ138">
        <v>0.184917</v>
      </c>
      <c r="BA138">
        <v>11.43</v>
      </c>
      <c r="BB138">
        <v>5.7600999999999999E-2</v>
      </c>
      <c r="BC138">
        <v>0.84299999999999997</v>
      </c>
      <c r="BD138">
        <v>69.319999999999993</v>
      </c>
      <c r="BE138" s="19">
        <v>3.51</v>
      </c>
      <c r="BF138" s="19">
        <v>9.8699999999999992</v>
      </c>
      <c r="BG138" s="19">
        <v>9.49</v>
      </c>
      <c r="BH138" s="19">
        <v>8.44</v>
      </c>
      <c r="BI138" s="19">
        <v>6.26</v>
      </c>
      <c r="BJ138" s="19">
        <v>7.47</v>
      </c>
      <c r="BK138" s="22">
        <v>8.5149999999999988</v>
      </c>
      <c r="BM138" s="22" t="str">
        <f t="shared" si="9"/>
        <v/>
      </c>
      <c r="BN138" s="22" t="str">
        <f t="shared" si="10"/>
        <v/>
      </c>
      <c r="BO138" s="22" t="str">
        <f t="shared" si="11"/>
        <v/>
      </c>
      <c r="BP138" s="22" t="str">
        <f t="shared" si="8"/>
        <v/>
      </c>
    </row>
    <row r="139" spans="1:68" x14ac:dyDescent="0.25">
      <c r="A139">
        <v>1.2838E-2</v>
      </c>
      <c r="B139">
        <v>20</v>
      </c>
      <c r="C139" t="s">
        <v>306</v>
      </c>
      <c r="D139">
        <v>1995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1</v>
      </c>
      <c r="AL139">
        <v>0</v>
      </c>
      <c r="AM139">
        <v>0</v>
      </c>
      <c r="AN139">
        <v>0.37189899999999998</v>
      </c>
      <c r="AO139">
        <v>0</v>
      </c>
      <c r="AP139">
        <v>0.85032700000000006</v>
      </c>
      <c r="AQ139">
        <v>0.19250400000000001</v>
      </c>
      <c r="AR139">
        <v>-4.4130000000000003E-3</v>
      </c>
      <c r="AS139">
        <v>1.5754000000000001E-2</v>
      </c>
      <c r="AT139">
        <v>0.34510000000000002</v>
      </c>
      <c r="AU139">
        <v>0.30166999999999999</v>
      </c>
      <c r="AV139">
        <v>2.0720000000000001</v>
      </c>
      <c r="AW139">
        <v>0.27949299999999999</v>
      </c>
      <c r="AX139">
        <v>1.8678E-2</v>
      </c>
      <c r="AY139">
        <v>3578.5</v>
      </c>
      <c r="AZ139">
        <v>0.16303200000000001</v>
      </c>
      <c r="BA139">
        <v>11.18</v>
      </c>
      <c r="BB139">
        <v>8.9051000000000005E-2</v>
      </c>
      <c r="BC139">
        <v>0.85060000000000002</v>
      </c>
      <c r="BD139">
        <v>72.419998000000007</v>
      </c>
      <c r="BE139" s="19">
        <v>4.9400000000000004</v>
      </c>
      <c r="BF139" s="19">
        <v>9.8699999999999992</v>
      </c>
      <c r="BG139" s="19">
        <v>9.57</v>
      </c>
      <c r="BH139" s="19">
        <v>8.1999999999999993</v>
      </c>
      <c r="BI139" s="19">
        <v>6.47</v>
      </c>
      <c r="BJ139" s="19">
        <v>7.8</v>
      </c>
      <c r="BK139" s="22">
        <v>8.5274999999999999</v>
      </c>
      <c r="BM139" s="22" t="str">
        <f t="shared" si="9"/>
        <v/>
      </c>
      <c r="BN139" s="22" t="str">
        <f t="shared" si="10"/>
        <v/>
      </c>
      <c r="BO139" s="22" t="str">
        <f t="shared" si="11"/>
        <v/>
      </c>
      <c r="BP139" s="22" t="str">
        <f t="shared" si="8"/>
        <v/>
      </c>
    </row>
    <row r="140" spans="1:68" x14ac:dyDescent="0.25">
      <c r="A140">
        <v>1.5664000000000001E-2</v>
      </c>
      <c r="B140">
        <v>20</v>
      </c>
      <c r="C140" t="s">
        <v>306</v>
      </c>
      <c r="D140">
        <v>2000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</v>
      </c>
      <c r="AM140">
        <v>0</v>
      </c>
      <c r="AN140">
        <v>0.34781299999999998</v>
      </c>
      <c r="AO140">
        <v>0</v>
      </c>
      <c r="AP140">
        <v>0.85877599999999998</v>
      </c>
      <c r="AQ140">
        <v>0.20866699999999999</v>
      </c>
      <c r="AR140">
        <v>2.3149999999999998E-3</v>
      </c>
      <c r="AS140">
        <v>1.2271000000000001E-2</v>
      </c>
      <c r="AT140">
        <v>0.34676600000000002</v>
      </c>
      <c r="AU140">
        <v>0.30327300000000001</v>
      </c>
      <c r="AV140">
        <v>1.978</v>
      </c>
      <c r="AW140">
        <v>0.29883900000000002</v>
      </c>
      <c r="AX140">
        <v>1.4479000000000001E-2</v>
      </c>
      <c r="AY140">
        <v>3804.459961</v>
      </c>
      <c r="AZ140">
        <v>0.164964</v>
      </c>
      <c r="BA140">
        <v>11.31</v>
      </c>
      <c r="BB140">
        <v>6.5820000000000004E-2</v>
      </c>
      <c r="BC140">
        <v>0.85540000000000005</v>
      </c>
      <c r="BD140">
        <v>79.860000999999997</v>
      </c>
      <c r="BE140" s="19">
        <v>4.78</v>
      </c>
      <c r="BF140" s="19">
        <v>9.11</v>
      </c>
      <c r="BG140" s="19">
        <v>9.6999999999999993</v>
      </c>
      <c r="BH140" s="19">
        <v>8.65</v>
      </c>
      <c r="BI140" s="19">
        <v>6.85</v>
      </c>
      <c r="BJ140" s="19">
        <v>7.82</v>
      </c>
      <c r="BK140" s="22">
        <v>8.5775000000000006</v>
      </c>
      <c r="BM140" s="22" t="str">
        <f t="shared" si="9"/>
        <v/>
      </c>
      <c r="BN140" s="22" t="str">
        <f t="shared" si="10"/>
        <v/>
      </c>
      <c r="BO140" s="22">
        <f t="shared" si="11"/>
        <v>7.82</v>
      </c>
      <c r="BP140" s="22" t="str">
        <f t="shared" si="8"/>
        <v/>
      </c>
    </row>
    <row r="141" spans="1:68" x14ac:dyDescent="0.25">
      <c r="A141">
        <v>2.2061000000000001E-2</v>
      </c>
      <c r="B141">
        <v>20</v>
      </c>
      <c r="C141" t="s">
        <v>306</v>
      </c>
      <c r="D141">
        <v>2005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</v>
      </c>
      <c r="AN141">
        <v>0.35761900000000002</v>
      </c>
      <c r="AO141">
        <v>0</v>
      </c>
      <c r="AP141">
        <v>0.85096300000000002</v>
      </c>
      <c r="AQ141">
        <v>0.22492100000000001</v>
      </c>
      <c r="AR141">
        <v>3.686E-3</v>
      </c>
      <c r="AS141">
        <v>2.2807999999999998E-2</v>
      </c>
      <c r="AT141">
        <v>0.34759899999999999</v>
      </c>
      <c r="AU141">
        <v>0.313606</v>
      </c>
      <c r="AV141">
        <v>1.964</v>
      </c>
      <c r="AW141">
        <v>0.30562899999999998</v>
      </c>
      <c r="AX141">
        <v>2.4773E-2</v>
      </c>
      <c r="AY141">
        <v>3997.820068</v>
      </c>
      <c r="AZ141">
        <v>0.17684800000000001</v>
      </c>
      <c r="BA141">
        <v>11.52</v>
      </c>
      <c r="BB141">
        <v>4.5331999999999997E-2</v>
      </c>
      <c r="BC141">
        <v>0.86</v>
      </c>
      <c r="BD141">
        <v>85.529999000000004</v>
      </c>
      <c r="BE141" s="19">
        <v>4.46</v>
      </c>
      <c r="BF141" s="19">
        <v>9.6199999999999992</v>
      </c>
      <c r="BG141" s="19">
        <v>9.57</v>
      </c>
      <c r="BH141" s="19">
        <v>8.9499999999999993</v>
      </c>
      <c r="BI141" s="19">
        <v>7.56</v>
      </c>
      <c r="BJ141" s="19">
        <v>8.0299999999999994</v>
      </c>
      <c r="BK141" s="22">
        <v>8.9249999999999989</v>
      </c>
      <c r="BM141" s="22" t="str">
        <f t="shared" si="9"/>
        <v/>
      </c>
      <c r="BN141" s="22" t="str">
        <f t="shared" si="10"/>
        <v/>
      </c>
      <c r="BO141" s="22" t="str">
        <f t="shared" si="11"/>
        <v/>
      </c>
      <c r="BP141" s="22" t="str">
        <f t="shared" si="8"/>
        <v/>
      </c>
    </row>
    <row r="142" spans="1:68" x14ac:dyDescent="0.25">
      <c r="A142">
        <v>4.1493000000000002E-2</v>
      </c>
      <c r="B142">
        <v>21</v>
      </c>
      <c r="C142" t="s">
        <v>307</v>
      </c>
      <c r="D142">
        <v>1975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0.38849600000000001</v>
      </c>
      <c r="AO142">
        <v>0.41619099999999998</v>
      </c>
      <c r="AP142">
        <v>0.91290099999999996</v>
      </c>
      <c r="AQ142">
        <v>0.30200500000000002</v>
      </c>
      <c r="AR142">
        <v>3.5566E-2</v>
      </c>
      <c r="AS142">
        <v>1.2730999999999999E-2</v>
      </c>
      <c r="AT142">
        <v>0.373637</v>
      </c>
      <c r="AU142">
        <v>0.36952200000000002</v>
      </c>
      <c r="AV142">
        <v>2.2471999999999999</v>
      </c>
      <c r="AW142">
        <v>0.39056200000000002</v>
      </c>
      <c r="AX142">
        <v>8.4084000000000006E-2</v>
      </c>
      <c r="AY142">
        <v>3957.8000489999999</v>
      </c>
      <c r="AZ142">
        <v>0.299452</v>
      </c>
      <c r="BA142">
        <v>7.36</v>
      </c>
      <c r="BB142">
        <v>1.6556999999999999E-2</v>
      </c>
      <c r="BC142">
        <v>0.67079999999999995</v>
      </c>
      <c r="BD142">
        <v>63.77</v>
      </c>
      <c r="BE142" s="19">
        <v>4.7300000000000004</v>
      </c>
      <c r="BF142" s="19">
        <v>9.51</v>
      </c>
      <c r="BG142" s="19">
        <v>6.19</v>
      </c>
      <c r="BH142" s="19">
        <v>6.45</v>
      </c>
      <c r="BI142" s="19">
        <v>7.27</v>
      </c>
      <c r="BJ142" s="19">
        <v>6.72</v>
      </c>
      <c r="BK142" s="22">
        <v>7.3549999999999995</v>
      </c>
      <c r="BM142" s="22" t="str">
        <f t="shared" si="9"/>
        <v/>
      </c>
      <c r="BN142" s="22" t="str">
        <f t="shared" si="10"/>
        <v/>
      </c>
      <c r="BO142" s="22" t="str">
        <f t="shared" si="11"/>
        <v/>
      </c>
      <c r="BP142" s="22" t="str">
        <f t="shared" si="8"/>
        <v/>
      </c>
    </row>
    <row r="143" spans="1:68" x14ac:dyDescent="0.25">
      <c r="A143">
        <v>4.1201000000000002E-2</v>
      </c>
      <c r="B143">
        <v>21</v>
      </c>
      <c r="C143" t="s">
        <v>307</v>
      </c>
      <c r="D143">
        <v>1980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0.41329100000000002</v>
      </c>
      <c r="AO143">
        <v>0.47465800000000002</v>
      </c>
      <c r="AP143">
        <v>1.0049090000000001</v>
      </c>
      <c r="AQ143">
        <v>0.319575</v>
      </c>
      <c r="AR143">
        <v>9.3349999999999995E-3</v>
      </c>
      <c r="AS143">
        <v>1.8329000000000002E-2</v>
      </c>
      <c r="AT143">
        <v>0.374809</v>
      </c>
      <c r="AU143">
        <v>0.379971</v>
      </c>
      <c r="AV143">
        <v>1.7762</v>
      </c>
      <c r="AW143">
        <v>0.39710699999999999</v>
      </c>
      <c r="AX143">
        <v>8.4053000000000003E-2</v>
      </c>
      <c r="AY143">
        <v>4058.3999020000001</v>
      </c>
      <c r="AZ143">
        <v>0.27054600000000001</v>
      </c>
      <c r="BA143">
        <v>7.71</v>
      </c>
      <c r="BB143">
        <v>1.7278999999999999E-2</v>
      </c>
      <c r="BC143">
        <v>0.69579999999999997</v>
      </c>
      <c r="BD143">
        <v>66.260002</v>
      </c>
      <c r="BE143" s="19">
        <v>4.41</v>
      </c>
      <c r="BF143" s="19">
        <v>6</v>
      </c>
      <c r="BG143" s="19">
        <v>5.82</v>
      </c>
      <c r="BH143" s="19">
        <v>6.74</v>
      </c>
      <c r="BI143" s="19">
        <v>7.18</v>
      </c>
      <c r="BJ143" s="19">
        <v>6</v>
      </c>
      <c r="BK143" s="22">
        <v>6.4350000000000005</v>
      </c>
      <c r="BM143" s="22">
        <f t="shared" si="9"/>
        <v>6</v>
      </c>
      <c r="BN143" s="22">
        <f t="shared" si="10"/>
        <v>6</v>
      </c>
      <c r="BO143" s="22" t="str">
        <f t="shared" si="11"/>
        <v/>
      </c>
      <c r="BP143" s="22" t="str">
        <f t="shared" si="8"/>
        <v/>
      </c>
    </row>
    <row r="144" spans="1:68" x14ac:dyDescent="0.25">
      <c r="A144">
        <v>2.9982000000000002E-2</v>
      </c>
      <c r="B144">
        <v>21</v>
      </c>
      <c r="C144" t="s">
        <v>307</v>
      </c>
      <c r="D144">
        <v>1985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1</v>
      </c>
      <c r="AJ144">
        <v>0</v>
      </c>
      <c r="AK144">
        <v>0</v>
      </c>
      <c r="AL144">
        <v>0</v>
      </c>
      <c r="AM144">
        <v>0</v>
      </c>
      <c r="AN144">
        <v>0.428869</v>
      </c>
      <c r="AO144">
        <v>0.46737099999999998</v>
      </c>
      <c r="AP144">
        <v>1.0835509999999999</v>
      </c>
      <c r="AQ144">
        <v>0.26338200000000001</v>
      </c>
      <c r="AR144">
        <v>1.4367E-2</v>
      </c>
      <c r="AS144">
        <v>1.2789E-2</v>
      </c>
      <c r="AT144">
        <v>0.369253</v>
      </c>
      <c r="AU144">
        <v>0.42602400000000001</v>
      </c>
      <c r="AV144">
        <v>1.6779999999999999</v>
      </c>
      <c r="AW144">
        <v>0.35163299999999997</v>
      </c>
      <c r="AX144">
        <v>9.0730000000000005E-2</v>
      </c>
      <c r="AY144">
        <v>4128.2001950000003</v>
      </c>
      <c r="AZ144">
        <v>0.29808600000000002</v>
      </c>
      <c r="BA144">
        <v>8.2799999999999994</v>
      </c>
      <c r="BB144">
        <v>2.7650000000000001E-2</v>
      </c>
      <c r="BC144">
        <v>0.70979999999999999</v>
      </c>
      <c r="BD144">
        <v>70.860000999999997</v>
      </c>
      <c r="BE144" s="19">
        <v>3.82</v>
      </c>
      <c r="BF144" s="19">
        <v>9.52</v>
      </c>
      <c r="BG144" s="19">
        <v>6.25</v>
      </c>
      <c r="BH144" s="19">
        <v>7.23</v>
      </c>
      <c r="BI144" s="19">
        <v>7.22</v>
      </c>
      <c r="BJ144" s="19">
        <v>6.72</v>
      </c>
      <c r="BK144" s="22">
        <v>7.5549999999999997</v>
      </c>
      <c r="BM144" s="22" t="str">
        <f t="shared" si="9"/>
        <v/>
      </c>
      <c r="BN144" s="22" t="str">
        <f t="shared" si="10"/>
        <v/>
      </c>
      <c r="BO144" s="22" t="str">
        <f t="shared" si="11"/>
        <v/>
      </c>
      <c r="BP144" s="22" t="str">
        <f t="shared" ref="BP144:BP154" si="12">IF(OR(C144="SWE",C144="NOR",C144="DEN",C144="FIN"),BO144,"")</f>
        <v/>
      </c>
    </row>
    <row r="145" spans="1:68" x14ac:dyDescent="0.25">
      <c r="A145">
        <v>1.2789999999999999E-2</v>
      </c>
      <c r="B145">
        <v>21</v>
      </c>
      <c r="C145" t="s">
        <v>307</v>
      </c>
      <c r="D145">
        <v>1990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</v>
      </c>
      <c r="AK145">
        <v>0</v>
      </c>
      <c r="AL145">
        <v>0</v>
      </c>
      <c r="AM145">
        <v>0</v>
      </c>
      <c r="AN145">
        <v>0.42784299999999997</v>
      </c>
      <c r="AO145">
        <v>0.52732400000000001</v>
      </c>
      <c r="AP145">
        <v>1.1506890000000001</v>
      </c>
      <c r="AQ145">
        <v>0.25711800000000001</v>
      </c>
      <c r="AR145">
        <v>2.882E-3</v>
      </c>
      <c r="AS145">
        <v>7.0549999999999996E-3</v>
      </c>
      <c r="AT145">
        <v>0.357296</v>
      </c>
      <c r="AU145">
        <v>0.35813600000000001</v>
      </c>
      <c r="AV145">
        <v>1.8320000000000001</v>
      </c>
      <c r="AW145">
        <v>0.35001199999999999</v>
      </c>
      <c r="AX145">
        <v>6.2559000000000003E-2</v>
      </c>
      <c r="AY145">
        <v>4206.7001950000003</v>
      </c>
      <c r="AZ145">
        <v>0.25091200000000002</v>
      </c>
      <c r="BA145">
        <v>8.4</v>
      </c>
      <c r="BB145">
        <v>3.4845000000000001E-2</v>
      </c>
      <c r="BC145">
        <v>0.71719999999999995</v>
      </c>
      <c r="BD145">
        <v>74.430000000000007</v>
      </c>
      <c r="BE145" s="19">
        <v>3.54</v>
      </c>
      <c r="BF145" s="19">
        <v>9.32</v>
      </c>
      <c r="BG145" s="19">
        <v>6.03</v>
      </c>
      <c r="BH145" s="19">
        <v>7.01</v>
      </c>
      <c r="BI145" s="19">
        <v>7.34</v>
      </c>
      <c r="BJ145" s="19">
        <v>6.54</v>
      </c>
      <c r="BK145" s="22">
        <v>7.4249999999999998</v>
      </c>
      <c r="BM145" s="22" t="str">
        <f t="shared" si="9"/>
        <v/>
      </c>
      <c r="BN145" s="22" t="str">
        <f t="shared" si="10"/>
        <v/>
      </c>
      <c r="BO145" s="22" t="str">
        <f t="shared" si="11"/>
        <v/>
      </c>
      <c r="BP145" s="22" t="str">
        <f t="shared" si="12"/>
        <v/>
      </c>
    </row>
    <row r="146" spans="1:68" x14ac:dyDescent="0.25">
      <c r="A146">
        <v>3.1642000000000003E-2</v>
      </c>
      <c r="B146">
        <v>21</v>
      </c>
      <c r="C146" t="s">
        <v>307</v>
      </c>
      <c r="D146">
        <v>1995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0</v>
      </c>
      <c r="AN146">
        <v>0.40820000000000001</v>
      </c>
      <c r="AO146">
        <v>0.55555900000000003</v>
      </c>
      <c r="AP146">
        <v>1.078997</v>
      </c>
      <c r="AQ146">
        <v>0.196108</v>
      </c>
      <c r="AR146">
        <v>5.2519000000000003E-2</v>
      </c>
      <c r="AS146">
        <v>4.1960000000000001E-3</v>
      </c>
      <c r="AT146">
        <v>0.35252800000000001</v>
      </c>
      <c r="AU146">
        <v>0.38431399999999999</v>
      </c>
      <c r="AV146">
        <v>1.88</v>
      </c>
      <c r="AW146">
        <v>0.31663599999999997</v>
      </c>
      <c r="AX146">
        <v>2.3778000000000001E-2</v>
      </c>
      <c r="AY146">
        <v>4311.3398440000001</v>
      </c>
      <c r="AZ146">
        <v>0.24369199999999999</v>
      </c>
      <c r="BA146">
        <v>10.85</v>
      </c>
      <c r="BB146">
        <v>5.5343000000000003E-2</v>
      </c>
      <c r="BC146">
        <v>0.73080000000000001</v>
      </c>
      <c r="BD146">
        <v>75.739998</v>
      </c>
      <c r="BE146" s="19">
        <v>5.55</v>
      </c>
      <c r="BF146" s="19">
        <v>9.8800000000000008</v>
      </c>
      <c r="BG146" s="19">
        <v>7.28</v>
      </c>
      <c r="BH146" s="19">
        <v>7.93</v>
      </c>
      <c r="BI146" s="19">
        <v>8.2899999999999991</v>
      </c>
      <c r="BJ146" s="19">
        <v>7.71</v>
      </c>
      <c r="BK146" s="22">
        <v>8.3449999999999989</v>
      </c>
      <c r="BM146" s="22" t="str">
        <f t="shared" si="9"/>
        <v/>
      </c>
      <c r="BN146" s="22" t="str">
        <f t="shared" si="10"/>
        <v/>
      </c>
      <c r="BO146" s="22" t="str">
        <f t="shared" si="11"/>
        <v/>
      </c>
      <c r="BP146" s="22" t="str">
        <f t="shared" si="12"/>
        <v/>
      </c>
    </row>
    <row r="147" spans="1:68" x14ac:dyDescent="0.25">
      <c r="A147">
        <v>3.0608E-2</v>
      </c>
      <c r="B147">
        <v>21</v>
      </c>
      <c r="C147" t="s">
        <v>307</v>
      </c>
      <c r="D147">
        <v>2000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0</v>
      </c>
      <c r="AN147">
        <v>0.42358600000000002</v>
      </c>
      <c r="AO147">
        <v>0.485848</v>
      </c>
      <c r="AP147">
        <v>1.187713</v>
      </c>
      <c r="AQ147">
        <v>0.21501700000000001</v>
      </c>
      <c r="AR147">
        <v>1.7273E-2</v>
      </c>
      <c r="AS147">
        <v>1.4499E-2</v>
      </c>
      <c r="AT147">
        <v>0.35420299999999999</v>
      </c>
      <c r="AU147">
        <v>0.41231899999999999</v>
      </c>
      <c r="AV147">
        <v>1.8520000000000001</v>
      </c>
      <c r="AW147">
        <v>0.32423800000000003</v>
      </c>
      <c r="AX147">
        <v>2.3029000000000001E-2</v>
      </c>
      <c r="AY147">
        <v>4433.6201170000004</v>
      </c>
      <c r="AZ147">
        <v>0.29563099999999998</v>
      </c>
      <c r="BA147">
        <v>11.82</v>
      </c>
      <c r="BB147">
        <v>3.7233000000000002E-2</v>
      </c>
      <c r="BC147">
        <v>0.75180000000000002</v>
      </c>
      <c r="BD147">
        <v>80.180000000000007</v>
      </c>
      <c r="BE147" s="19">
        <v>7.46</v>
      </c>
      <c r="BF147" s="19">
        <v>9.17</v>
      </c>
      <c r="BG147" s="19">
        <v>9.75</v>
      </c>
      <c r="BH147" s="19">
        <v>8.16</v>
      </c>
      <c r="BI147" s="19">
        <v>8.66</v>
      </c>
      <c r="BJ147" s="19">
        <v>8.64</v>
      </c>
      <c r="BK147" s="22">
        <v>8.9350000000000005</v>
      </c>
      <c r="BM147" s="22" t="str">
        <f t="shared" si="9"/>
        <v/>
      </c>
      <c r="BN147" s="22" t="str">
        <f t="shared" si="10"/>
        <v/>
      </c>
      <c r="BO147" s="22">
        <f t="shared" si="11"/>
        <v>8.64</v>
      </c>
      <c r="BP147" s="22">
        <f t="shared" si="12"/>
        <v>8.64</v>
      </c>
    </row>
    <row r="148" spans="1:68" x14ac:dyDescent="0.25">
      <c r="A148">
        <v>1.6204E-2</v>
      </c>
      <c r="B148">
        <v>21</v>
      </c>
      <c r="C148" t="s">
        <v>307</v>
      </c>
      <c r="D148">
        <v>2005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1</v>
      </c>
      <c r="AN148">
        <v>0.43939600000000001</v>
      </c>
      <c r="AO148">
        <v>0.47148499999999999</v>
      </c>
      <c r="AP148">
        <v>1.460407</v>
      </c>
      <c r="AQ148">
        <v>0.17971400000000001</v>
      </c>
      <c r="AR148">
        <v>6.7599999999999995E-4</v>
      </c>
      <c r="AS148">
        <v>4.1749999999999999E-3</v>
      </c>
      <c r="AT148">
        <v>0.35329199999999999</v>
      </c>
      <c r="AU148">
        <v>0.43032199999999998</v>
      </c>
      <c r="AV148">
        <v>1.7976000000000001</v>
      </c>
      <c r="AW148">
        <v>0.27927999999999997</v>
      </c>
      <c r="AX148">
        <v>1.7537000000000001E-2</v>
      </c>
      <c r="AY148">
        <v>4566.2299800000001</v>
      </c>
      <c r="AZ148">
        <v>0.33295400000000003</v>
      </c>
      <c r="BA148">
        <v>11.86</v>
      </c>
      <c r="BB148">
        <v>4.1968999999999999E-2</v>
      </c>
      <c r="BC148">
        <v>0.76880000000000004</v>
      </c>
      <c r="BD148">
        <v>84.029999000000004</v>
      </c>
      <c r="BE148" s="19">
        <v>6.68</v>
      </c>
      <c r="BF148" s="19">
        <v>9.1</v>
      </c>
      <c r="BG148" s="19">
        <v>9.5399999999999991</v>
      </c>
      <c r="BH148" s="19">
        <v>8.52</v>
      </c>
      <c r="BI148" s="19">
        <v>7.89</v>
      </c>
      <c r="BJ148" s="19">
        <v>8.35</v>
      </c>
      <c r="BK148" s="22">
        <v>8.7624999999999993</v>
      </c>
      <c r="BM148" s="22" t="str">
        <f t="shared" si="9"/>
        <v/>
      </c>
      <c r="BN148" s="22" t="str">
        <f t="shared" si="10"/>
        <v/>
      </c>
      <c r="BO148" s="22" t="str">
        <f t="shared" si="11"/>
        <v/>
      </c>
      <c r="BP148" s="22" t="str">
        <f t="shared" si="12"/>
        <v/>
      </c>
    </row>
    <row r="149" spans="1:68" x14ac:dyDescent="0.25">
      <c r="A149">
        <v>3.5082000000000002E-2</v>
      </c>
      <c r="B149">
        <v>22</v>
      </c>
      <c r="C149" t="s">
        <v>308</v>
      </c>
      <c r="D149">
        <v>1975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0.182335</v>
      </c>
      <c r="AP149">
        <v>0.55019200000000001</v>
      </c>
      <c r="AQ149">
        <v>0.27011000000000002</v>
      </c>
      <c r="AR149">
        <v>1.7252E-2</v>
      </c>
      <c r="AS149">
        <v>2.3436999999999999E-2</v>
      </c>
      <c r="AT149">
        <v>0.37957600000000002</v>
      </c>
      <c r="AU149">
        <v>0.21151600000000001</v>
      </c>
      <c r="AV149">
        <v>2.6534</v>
      </c>
      <c r="AW149">
        <v>0.28438400000000003</v>
      </c>
      <c r="AX149">
        <v>0.15034600000000001</v>
      </c>
      <c r="AY149">
        <v>8751</v>
      </c>
      <c r="AZ149">
        <v>0.27756999999999998</v>
      </c>
      <c r="BA149">
        <v>2.44</v>
      </c>
      <c r="BB149">
        <v>2.7890999999999999E-2</v>
      </c>
      <c r="BC149">
        <v>0.4</v>
      </c>
      <c r="BD149">
        <v>46.59</v>
      </c>
      <c r="BE149" s="19">
        <v>4.5</v>
      </c>
      <c r="BF149" s="19">
        <v>8.2200000000000006</v>
      </c>
      <c r="BG149" s="19">
        <v>7.11</v>
      </c>
      <c r="BH149" s="19">
        <v>6.64</v>
      </c>
      <c r="BI149" s="19">
        <v>5.13</v>
      </c>
      <c r="BJ149" s="19">
        <v>6.32</v>
      </c>
      <c r="BK149" s="22">
        <v>6.7750000000000004</v>
      </c>
      <c r="BM149" s="22" t="str">
        <f t="shared" si="9"/>
        <v/>
      </c>
      <c r="BN149" s="22" t="str">
        <f t="shared" si="10"/>
        <v/>
      </c>
      <c r="BO149" s="22" t="str">
        <f t="shared" si="11"/>
        <v/>
      </c>
      <c r="BP149" s="22" t="str">
        <f t="shared" si="12"/>
        <v/>
      </c>
    </row>
    <row r="150" spans="1:68" x14ac:dyDescent="0.25">
      <c r="A150">
        <v>3.6104999999999998E-2</v>
      </c>
      <c r="B150">
        <v>22</v>
      </c>
      <c r="C150" t="s">
        <v>308</v>
      </c>
      <c r="D150">
        <v>1980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0.21601400000000001</v>
      </c>
      <c r="AO150">
        <v>0.31717600000000001</v>
      </c>
      <c r="AP150">
        <v>0.58579700000000001</v>
      </c>
      <c r="AQ150">
        <v>0.27856900000000001</v>
      </c>
      <c r="AR150">
        <v>2.7171000000000001E-2</v>
      </c>
      <c r="AS150">
        <v>1.9796000000000001E-2</v>
      </c>
      <c r="AT150">
        <v>0.37796999999999997</v>
      </c>
      <c r="AU150">
        <v>0.18489700000000001</v>
      </c>
      <c r="AV150">
        <v>2.31</v>
      </c>
      <c r="AW150">
        <v>0.29109099999999999</v>
      </c>
      <c r="AX150">
        <v>0.21662799999999999</v>
      </c>
      <c r="AY150">
        <v>9559</v>
      </c>
      <c r="AZ150">
        <v>0.238792</v>
      </c>
      <c r="BA150">
        <v>2.79</v>
      </c>
      <c r="BB150">
        <v>7.7766000000000002E-2</v>
      </c>
      <c r="BC150">
        <v>0.42</v>
      </c>
      <c r="BD150">
        <v>48.32</v>
      </c>
      <c r="BE150" s="19">
        <v>3.48</v>
      </c>
      <c r="BF150" s="19">
        <v>1.58</v>
      </c>
      <c r="BG150" s="19">
        <v>5.55</v>
      </c>
      <c r="BH150" s="19">
        <v>4.53</v>
      </c>
      <c r="BI150" s="19">
        <v>5.1100000000000003</v>
      </c>
      <c r="BJ150" s="19">
        <v>4.0999999999999996</v>
      </c>
      <c r="BK150" s="22">
        <v>4.1924999999999999</v>
      </c>
      <c r="BM150" s="22">
        <f t="shared" si="9"/>
        <v>4.0999999999999996</v>
      </c>
      <c r="BN150" s="22" t="str">
        <f t="shared" si="10"/>
        <v/>
      </c>
      <c r="BO150" s="22" t="str">
        <f t="shared" si="11"/>
        <v/>
      </c>
      <c r="BP150" s="22" t="str">
        <f t="shared" si="12"/>
        <v/>
      </c>
    </row>
    <row r="151" spans="1:68" x14ac:dyDescent="0.25">
      <c r="A151">
        <v>3.9039999999999999E-3</v>
      </c>
      <c r="B151">
        <v>22</v>
      </c>
      <c r="C151" t="s">
        <v>308</v>
      </c>
      <c r="D151">
        <v>1985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1</v>
      </c>
      <c r="AJ151">
        <v>0</v>
      </c>
      <c r="AK151">
        <v>0</v>
      </c>
      <c r="AL151">
        <v>0</v>
      </c>
      <c r="AM151">
        <v>0</v>
      </c>
      <c r="AN151">
        <v>0.25246200000000002</v>
      </c>
      <c r="AO151">
        <v>0.37640000000000001</v>
      </c>
      <c r="AP151">
        <v>0.61451199999999995</v>
      </c>
      <c r="AQ151">
        <v>0.28235900000000003</v>
      </c>
      <c r="AR151">
        <v>3.2259000000000003E-2</v>
      </c>
      <c r="AS151">
        <v>9.5029999999999993E-3</v>
      </c>
      <c r="AT151">
        <v>0.36397200000000002</v>
      </c>
      <c r="AU151">
        <v>0.26500699999999999</v>
      </c>
      <c r="AV151">
        <v>1.988</v>
      </c>
      <c r="AW151">
        <v>0.36368899999999998</v>
      </c>
      <c r="AX151">
        <v>0.23261100000000001</v>
      </c>
      <c r="AY151">
        <v>9943.4804690000001</v>
      </c>
      <c r="AZ151">
        <v>0.22693099999999999</v>
      </c>
      <c r="BA151">
        <v>3.27</v>
      </c>
      <c r="BB151">
        <v>8.2949999999999996E-2</v>
      </c>
      <c r="BC151">
        <v>0.443</v>
      </c>
      <c r="BD151">
        <v>52.119999</v>
      </c>
      <c r="BE151" s="19">
        <v>3.28</v>
      </c>
      <c r="BF151" s="19">
        <v>9.27</v>
      </c>
      <c r="BG151" s="19">
        <v>5.53</v>
      </c>
      <c r="BH151" s="19">
        <v>6.73</v>
      </c>
      <c r="BI151" s="19">
        <v>5.0999999999999996</v>
      </c>
      <c r="BJ151" s="19">
        <v>5.87</v>
      </c>
      <c r="BK151" s="22">
        <v>6.6575000000000006</v>
      </c>
      <c r="BM151" s="22" t="str">
        <f t="shared" si="9"/>
        <v/>
      </c>
      <c r="BN151" s="22" t="str">
        <f t="shared" si="10"/>
        <v/>
      </c>
      <c r="BO151" s="22" t="str">
        <f t="shared" si="11"/>
        <v/>
      </c>
      <c r="BP151" s="22" t="str">
        <f t="shared" si="12"/>
        <v/>
      </c>
    </row>
    <row r="152" spans="1:68" x14ac:dyDescent="0.25">
      <c r="A152">
        <v>5.9094000000000001E-2</v>
      </c>
      <c r="B152">
        <v>22</v>
      </c>
      <c r="C152" t="s">
        <v>308</v>
      </c>
      <c r="D152">
        <v>1990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</v>
      </c>
      <c r="AK152">
        <v>0</v>
      </c>
      <c r="AL152">
        <v>0</v>
      </c>
      <c r="AM152">
        <v>0</v>
      </c>
      <c r="AN152">
        <v>0.26739600000000002</v>
      </c>
      <c r="AO152">
        <v>0.38828099999999999</v>
      </c>
      <c r="AP152">
        <v>0.57446699999999995</v>
      </c>
      <c r="AQ152">
        <v>0.25445899999999999</v>
      </c>
      <c r="AR152">
        <v>1.771E-2</v>
      </c>
      <c r="AS152">
        <v>1.1121000000000001E-2</v>
      </c>
      <c r="AT152">
        <v>0.35511199999999998</v>
      </c>
      <c r="AU152">
        <v>0.29838500000000001</v>
      </c>
      <c r="AV152">
        <v>1.528</v>
      </c>
      <c r="AW152">
        <v>0.35293600000000003</v>
      </c>
      <c r="AX152">
        <v>0.11358500000000001</v>
      </c>
      <c r="AY152">
        <v>9961.1396480000003</v>
      </c>
      <c r="AZ152">
        <v>0.252913</v>
      </c>
      <c r="BA152">
        <v>3.57</v>
      </c>
      <c r="BB152">
        <v>6.3937999999999995E-2</v>
      </c>
      <c r="BC152">
        <v>0.46860000000000002</v>
      </c>
      <c r="BD152">
        <v>55.75</v>
      </c>
      <c r="BE152" s="19">
        <v>3.49</v>
      </c>
      <c r="BF152" s="19">
        <v>7.05</v>
      </c>
      <c r="BG152" s="19">
        <v>5.54</v>
      </c>
      <c r="BH152" s="19">
        <v>6.91</v>
      </c>
      <c r="BI152" s="19">
        <v>5.5</v>
      </c>
      <c r="BJ152" s="19">
        <v>5.64</v>
      </c>
      <c r="BK152" s="22">
        <v>6.25</v>
      </c>
      <c r="BM152" s="22" t="str">
        <f t="shared" si="9"/>
        <v/>
      </c>
      <c r="BN152" s="22" t="str">
        <f t="shared" si="10"/>
        <v/>
      </c>
      <c r="BO152" s="22" t="str">
        <f t="shared" si="11"/>
        <v/>
      </c>
      <c r="BP152" s="22" t="str">
        <f t="shared" si="12"/>
        <v/>
      </c>
    </row>
    <row r="153" spans="1:68" x14ac:dyDescent="0.25">
      <c r="A153">
        <v>1.6322E-2</v>
      </c>
      <c r="B153">
        <v>22</v>
      </c>
      <c r="C153" t="s">
        <v>308</v>
      </c>
      <c r="D153">
        <v>1995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</v>
      </c>
      <c r="AL153">
        <v>0</v>
      </c>
      <c r="AM153">
        <v>0</v>
      </c>
      <c r="AN153">
        <v>0.30137000000000003</v>
      </c>
      <c r="AO153">
        <v>0.43994899999999998</v>
      </c>
      <c r="AP153">
        <v>0.670547</v>
      </c>
      <c r="AQ153">
        <v>0.228607</v>
      </c>
      <c r="AR153">
        <v>3.9355000000000001E-2</v>
      </c>
      <c r="AS153">
        <v>7.136E-3</v>
      </c>
      <c r="AT153">
        <v>0.338204</v>
      </c>
      <c r="AU153">
        <v>0.27039600000000003</v>
      </c>
      <c r="AV153">
        <v>1.45</v>
      </c>
      <c r="AW153">
        <v>0.34093299999999999</v>
      </c>
      <c r="AX153">
        <v>7.1415000000000006E-2</v>
      </c>
      <c r="AY153">
        <v>9979.4003909999992</v>
      </c>
      <c r="AZ153">
        <v>0.19791300000000001</v>
      </c>
      <c r="BA153">
        <v>4.33</v>
      </c>
      <c r="BB153">
        <v>5.5800000000000002E-2</v>
      </c>
      <c r="BC153">
        <v>0.49819999999999998</v>
      </c>
      <c r="BD153">
        <v>58.029998999999997</v>
      </c>
      <c r="BE153" s="19">
        <v>4.72</v>
      </c>
      <c r="BF153" s="19">
        <v>8.9700000000000006</v>
      </c>
      <c r="BG153" s="19">
        <v>5.69</v>
      </c>
      <c r="BH153" s="19">
        <v>7.44</v>
      </c>
      <c r="BI153" s="19">
        <v>5.27</v>
      </c>
      <c r="BJ153" s="19">
        <v>6.36</v>
      </c>
      <c r="BK153" s="22">
        <v>6.8425000000000002</v>
      </c>
      <c r="BM153" s="22" t="str">
        <f t="shared" si="9"/>
        <v/>
      </c>
      <c r="BN153" s="22" t="str">
        <f t="shared" si="10"/>
        <v/>
      </c>
      <c r="BO153" s="22" t="str">
        <f t="shared" si="11"/>
        <v/>
      </c>
      <c r="BP153" s="22" t="str">
        <f t="shared" si="12"/>
        <v/>
      </c>
    </row>
    <row r="154" spans="1:68" x14ac:dyDescent="0.25">
      <c r="A154">
        <v>3.6852999999999997E-2</v>
      </c>
      <c r="B154">
        <v>22</v>
      </c>
      <c r="C154" t="s">
        <v>308</v>
      </c>
      <c r="D154">
        <v>2000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1</v>
      </c>
      <c r="AM154">
        <v>0</v>
      </c>
      <c r="AN154">
        <v>0.33232899999999999</v>
      </c>
      <c r="AO154">
        <v>0.43085600000000002</v>
      </c>
      <c r="AP154">
        <v>0.68547000000000002</v>
      </c>
      <c r="AQ154">
        <v>0.257359</v>
      </c>
      <c r="AR154">
        <v>9.5169999999999994E-3</v>
      </c>
      <c r="AS154">
        <v>1.0406E-2</v>
      </c>
      <c r="AT154">
        <v>0.32580799999999999</v>
      </c>
      <c r="AU154">
        <v>0.28684199999999999</v>
      </c>
      <c r="AV154">
        <v>1.472</v>
      </c>
      <c r="AW154">
        <v>0.37679000000000001</v>
      </c>
      <c r="AX154">
        <v>2.6298999999999999E-2</v>
      </c>
      <c r="AY154">
        <v>10134.560546999999</v>
      </c>
      <c r="AZ154">
        <v>0.18912300000000001</v>
      </c>
      <c r="BA154">
        <v>4.54</v>
      </c>
      <c r="BB154">
        <v>5.4719999999999998E-2</v>
      </c>
      <c r="BC154">
        <v>0.53080000000000005</v>
      </c>
      <c r="BD154">
        <v>74.150002000000001</v>
      </c>
      <c r="BE154" s="19">
        <v>5.24</v>
      </c>
      <c r="BF154" s="19">
        <v>8.0399999999999991</v>
      </c>
      <c r="BG154" s="19">
        <v>9.18</v>
      </c>
      <c r="BH154" s="19">
        <v>8.1199999999999992</v>
      </c>
      <c r="BI154" s="19">
        <v>5.76</v>
      </c>
      <c r="BJ154" s="19">
        <v>7.27</v>
      </c>
      <c r="BK154" s="22">
        <v>7.7749999999999986</v>
      </c>
      <c r="BM154" s="22" t="str">
        <f t="shared" si="9"/>
        <v/>
      </c>
      <c r="BN154" s="22" t="str">
        <f t="shared" si="10"/>
        <v/>
      </c>
      <c r="BO154" s="22">
        <f t="shared" si="11"/>
        <v>7.27</v>
      </c>
      <c r="BP154" s="22" t="str">
        <f t="shared" si="12"/>
        <v/>
      </c>
    </row>
    <row r="155" spans="1:68" x14ac:dyDescent="0.25">
      <c r="A155">
        <v>1.4480000000000001E-3</v>
      </c>
      <c r="B155">
        <v>22</v>
      </c>
      <c r="C155" t="s">
        <v>308</v>
      </c>
      <c r="D155">
        <v>2005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</v>
      </c>
      <c r="AN155">
        <v>0.34275299999999997</v>
      </c>
      <c r="AO155">
        <v>0.46067399999999997</v>
      </c>
      <c r="AP155">
        <v>0.74648899999999996</v>
      </c>
      <c r="AQ155">
        <v>0.237924</v>
      </c>
      <c r="AR155">
        <v>1.5793000000000001E-2</v>
      </c>
      <c r="AS155">
        <v>1.2122000000000001E-2</v>
      </c>
      <c r="AT155">
        <v>0.32361600000000001</v>
      </c>
      <c r="AU155">
        <v>0.28392600000000001</v>
      </c>
      <c r="AV155">
        <v>1.42</v>
      </c>
      <c r="AW155">
        <v>0.36777799999999999</v>
      </c>
      <c r="AX155">
        <v>3.1746000000000003E-2</v>
      </c>
      <c r="AY155">
        <v>10430.744140999999</v>
      </c>
      <c r="AZ155">
        <v>0.15506400000000001</v>
      </c>
      <c r="BA155">
        <v>4.91</v>
      </c>
      <c r="BB155">
        <v>5.9450000000000003E-2</v>
      </c>
      <c r="BC155">
        <v>0.56320000000000003</v>
      </c>
      <c r="BD155">
        <v>81.860000999999997</v>
      </c>
      <c r="BE155" s="19">
        <v>5.01</v>
      </c>
      <c r="BF155" s="19">
        <v>7.64</v>
      </c>
      <c r="BG155" s="19">
        <v>9.51</v>
      </c>
      <c r="BH155" s="19">
        <v>8.09</v>
      </c>
      <c r="BI155" s="19">
        <v>6.39</v>
      </c>
      <c r="BJ155" s="19">
        <v>7.33</v>
      </c>
      <c r="BK155" s="22">
        <v>7.9074999999999998</v>
      </c>
      <c r="BM155" s="22" t="str">
        <f t="shared" si="9"/>
        <v/>
      </c>
      <c r="BN155" s="22" t="str">
        <f t="shared" si="10"/>
        <v/>
      </c>
      <c r="BO155" s="22" t="str">
        <f t="shared" si="11"/>
        <v/>
      </c>
      <c r="BP155" s="22" t="str">
        <f>IF(OR(C155="SWE",C155="NOR",C155="DEN",C155="FIN"),BO155,"")</f>
        <v/>
      </c>
    </row>
    <row r="156" spans="1:68" x14ac:dyDescent="0.25">
      <c r="A156">
        <v>7.2459999999999997E-2</v>
      </c>
      <c r="B156">
        <v>23</v>
      </c>
      <c r="C156" t="s">
        <v>309</v>
      </c>
      <c r="D156">
        <v>1975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P156">
        <v>0.48845699999999997</v>
      </c>
      <c r="AQ156">
        <v>0.36229299999999998</v>
      </c>
      <c r="AR156">
        <v>2.5971000000000001E-2</v>
      </c>
      <c r="AT156">
        <v>0.42138300000000001</v>
      </c>
      <c r="AU156">
        <v>0.89929000000000003</v>
      </c>
      <c r="AV156">
        <v>2.6648000000000001</v>
      </c>
      <c r="AW156">
        <v>1.346489</v>
      </c>
      <c r="AX156">
        <v>9.6767000000000006E-2</v>
      </c>
      <c r="AY156">
        <v>2190.1999510000001</v>
      </c>
      <c r="AZ156">
        <v>0.266565</v>
      </c>
      <c r="BA156">
        <v>3.74</v>
      </c>
      <c r="BC156">
        <v>1</v>
      </c>
      <c r="BD156">
        <v>60.939999</v>
      </c>
      <c r="BE156" s="19">
        <v>7.25</v>
      </c>
      <c r="BF156" s="19">
        <v>9</v>
      </c>
      <c r="BG156" s="19">
        <v>7.24</v>
      </c>
      <c r="BH156" s="19">
        <v>8.52</v>
      </c>
      <c r="BI156" s="19">
        <v>7.69</v>
      </c>
      <c r="BJ156" s="19">
        <v>7.88</v>
      </c>
      <c r="BK156" s="22">
        <v>8.1125000000000007</v>
      </c>
      <c r="BM156" s="22" t="str">
        <f t="shared" si="9"/>
        <v/>
      </c>
      <c r="BN156" s="22" t="str">
        <f t="shared" si="10"/>
        <v/>
      </c>
      <c r="BO156" s="22" t="str">
        <f t="shared" si="11"/>
        <v/>
      </c>
      <c r="BP156" s="22" t="str">
        <f t="shared" ref="BP156:BP176" si="13">IF(OR(C156="SWE",C156="NOR",C156="DEN",C156="FIN"),BO156,"")</f>
        <v/>
      </c>
    </row>
    <row r="157" spans="1:68" x14ac:dyDescent="0.25">
      <c r="A157">
        <v>7.0949999999999999E-2</v>
      </c>
      <c r="B157">
        <v>23</v>
      </c>
      <c r="C157" t="s">
        <v>309</v>
      </c>
      <c r="D157">
        <v>1980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P157">
        <v>0.63187899999999997</v>
      </c>
      <c r="AQ157">
        <v>0.366253</v>
      </c>
      <c r="AR157">
        <v>3.0204999999999999E-2</v>
      </c>
      <c r="AT157">
        <v>0.36948700000000001</v>
      </c>
      <c r="AU157">
        <v>1.3623369999999999</v>
      </c>
      <c r="AV157">
        <v>1.8435999999999999</v>
      </c>
      <c r="AW157">
        <v>1.7395700000000001</v>
      </c>
      <c r="AX157">
        <v>3.7595999999999997E-2</v>
      </c>
      <c r="AY157">
        <v>2354</v>
      </c>
      <c r="AZ157">
        <v>0.33022200000000002</v>
      </c>
      <c r="BA157">
        <v>4.34</v>
      </c>
      <c r="BB157">
        <v>0.03</v>
      </c>
      <c r="BC157">
        <v>1</v>
      </c>
      <c r="BD157">
        <v>64.199996999999996</v>
      </c>
      <c r="BE157" s="19">
        <v>7.03</v>
      </c>
      <c r="BF157" s="19">
        <v>7.69</v>
      </c>
      <c r="BG157" s="19">
        <v>6.61</v>
      </c>
      <c r="BH157" s="19">
        <v>9.26</v>
      </c>
      <c r="BI157" s="19">
        <v>7.87</v>
      </c>
      <c r="BJ157" s="19">
        <v>7.63</v>
      </c>
      <c r="BK157" s="22">
        <v>7.8575000000000008</v>
      </c>
      <c r="BM157" s="22">
        <f t="shared" si="9"/>
        <v>7.63</v>
      </c>
      <c r="BN157" s="22" t="str">
        <f t="shared" si="10"/>
        <v/>
      </c>
      <c r="BO157" s="22" t="str">
        <f t="shared" si="11"/>
        <v/>
      </c>
      <c r="BP157" s="22" t="str">
        <f t="shared" si="13"/>
        <v/>
      </c>
    </row>
    <row r="158" spans="1:68" x14ac:dyDescent="0.25">
      <c r="A158">
        <v>3.7441000000000002E-2</v>
      </c>
      <c r="B158">
        <v>23</v>
      </c>
      <c r="C158" t="s">
        <v>309</v>
      </c>
      <c r="D158">
        <v>1985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1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1</v>
      </c>
      <c r="AJ158">
        <v>0</v>
      </c>
      <c r="AK158">
        <v>0</v>
      </c>
      <c r="AL158">
        <v>0</v>
      </c>
      <c r="AM158">
        <v>0</v>
      </c>
      <c r="AP158">
        <v>0.78600999999999999</v>
      </c>
      <c r="AQ158">
        <v>0.45705499999999999</v>
      </c>
      <c r="AR158">
        <v>-3.4036999999999998E-2</v>
      </c>
      <c r="AS158">
        <v>3.1368E-2</v>
      </c>
      <c r="AT158">
        <v>0.31774200000000002</v>
      </c>
      <c r="AU158">
        <v>1.3397049999999999</v>
      </c>
      <c r="AV158">
        <v>1.6532</v>
      </c>
      <c r="AW158">
        <v>1.69225</v>
      </c>
      <c r="AX158">
        <v>3.2752000000000003E-2</v>
      </c>
      <c r="AY158">
        <v>2665.8000489999999</v>
      </c>
      <c r="AZ158">
        <v>0.41845100000000002</v>
      </c>
      <c r="BA158">
        <v>3.65</v>
      </c>
      <c r="BB158">
        <v>3.2599999999999997E-2</v>
      </c>
      <c r="BC158">
        <v>1</v>
      </c>
      <c r="BD158">
        <v>76.930000000000007</v>
      </c>
      <c r="BE158" s="19">
        <v>6.98</v>
      </c>
      <c r="BF158" s="19">
        <v>9.48</v>
      </c>
      <c r="BG158" s="19">
        <v>6.41</v>
      </c>
      <c r="BH158" s="19">
        <v>9.2899999999999991</v>
      </c>
      <c r="BI158" s="19">
        <v>7.91</v>
      </c>
      <c r="BJ158" s="19">
        <v>7.92</v>
      </c>
      <c r="BK158" s="22">
        <v>8.2725000000000009</v>
      </c>
      <c r="BM158" s="22" t="str">
        <f t="shared" si="9"/>
        <v/>
      </c>
      <c r="BN158" s="22" t="str">
        <f t="shared" si="10"/>
        <v/>
      </c>
      <c r="BO158" s="22" t="str">
        <f t="shared" si="11"/>
        <v/>
      </c>
      <c r="BP158" s="22" t="str">
        <f t="shared" si="13"/>
        <v/>
      </c>
    </row>
    <row r="159" spans="1:68" x14ac:dyDescent="0.25">
      <c r="A159">
        <v>6.1609999999999998E-2</v>
      </c>
      <c r="B159">
        <v>23</v>
      </c>
      <c r="C159" t="s">
        <v>309</v>
      </c>
      <c r="D159">
        <v>1990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1</v>
      </c>
      <c r="AK159">
        <v>0</v>
      </c>
      <c r="AL159">
        <v>0</v>
      </c>
      <c r="AM159">
        <v>0</v>
      </c>
      <c r="AP159">
        <v>0.81293400000000005</v>
      </c>
      <c r="AQ159">
        <v>0.330316</v>
      </c>
      <c r="AR159">
        <v>4.2758999999999998E-2</v>
      </c>
      <c r="AS159">
        <v>3.5758999999999999E-2</v>
      </c>
      <c r="AT159">
        <v>0.29568499999999998</v>
      </c>
      <c r="AU159">
        <v>1.425867</v>
      </c>
      <c r="AV159">
        <v>1.7258</v>
      </c>
      <c r="AW159">
        <v>1.610546</v>
      </c>
      <c r="AX159">
        <v>1.2933999999999999E-2</v>
      </c>
      <c r="AY159">
        <v>2866.3999020000001</v>
      </c>
      <c r="AZ159">
        <v>0.41954000000000002</v>
      </c>
      <c r="BA159">
        <v>4.5</v>
      </c>
      <c r="BB159">
        <v>3.9E-2</v>
      </c>
      <c r="BC159">
        <v>1</v>
      </c>
      <c r="BD159">
        <v>76.480002999999996</v>
      </c>
      <c r="BE159" s="19">
        <v>7.09</v>
      </c>
      <c r="BF159" s="19">
        <v>8.4499999999999993</v>
      </c>
      <c r="BG159" s="19">
        <v>8.41</v>
      </c>
      <c r="BH159" s="19">
        <v>9.6999999999999993</v>
      </c>
      <c r="BI159" s="19">
        <v>7.92</v>
      </c>
      <c r="BJ159" s="19">
        <v>8.27</v>
      </c>
      <c r="BK159" s="22">
        <v>8.6199999999999992</v>
      </c>
      <c r="BM159" s="22" t="str">
        <f t="shared" si="9"/>
        <v/>
      </c>
      <c r="BN159" s="22" t="str">
        <f t="shared" si="10"/>
        <v/>
      </c>
      <c r="BO159" s="22" t="str">
        <f t="shared" si="11"/>
        <v/>
      </c>
      <c r="BP159" s="22" t="str">
        <f t="shared" si="13"/>
        <v/>
      </c>
    </row>
    <row r="160" spans="1:68" x14ac:dyDescent="0.25">
      <c r="A160">
        <v>5.7099999999999998E-2</v>
      </c>
      <c r="B160">
        <v>23</v>
      </c>
      <c r="C160" t="s">
        <v>309</v>
      </c>
      <c r="D160">
        <v>1995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1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</v>
      </c>
      <c r="AL160">
        <v>0</v>
      </c>
      <c r="AM160">
        <v>0</v>
      </c>
      <c r="AP160">
        <v>0.95749399999999996</v>
      </c>
      <c r="AQ160">
        <v>0.34168399999999999</v>
      </c>
      <c r="AR160">
        <v>4.1706E-2</v>
      </c>
      <c r="AS160">
        <v>2.5572999999999999E-2</v>
      </c>
      <c r="AT160">
        <v>0.27053899999999997</v>
      </c>
      <c r="AU160">
        <v>1.335825</v>
      </c>
      <c r="AV160">
        <v>1.7536</v>
      </c>
      <c r="AW160">
        <v>1.473816</v>
      </c>
      <c r="AX160">
        <v>2.5597000000000002E-2</v>
      </c>
      <c r="AY160">
        <v>3326</v>
      </c>
      <c r="AZ160">
        <v>0.48332999999999998</v>
      </c>
      <c r="BA160">
        <v>5.52</v>
      </c>
      <c r="BB160">
        <v>2.52E-2</v>
      </c>
      <c r="BC160">
        <v>1</v>
      </c>
      <c r="BD160">
        <v>81.660004000000001</v>
      </c>
      <c r="BE160" s="19">
        <v>8.2200000000000006</v>
      </c>
      <c r="BF160" s="19">
        <v>8.4499999999999993</v>
      </c>
      <c r="BG160" s="19">
        <v>9.26</v>
      </c>
      <c r="BH160" s="19">
        <v>9.7100000000000009</v>
      </c>
      <c r="BI160" s="19">
        <v>7.89</v>
      </c>
      <c r="BJ160" s="19">
        <v>8.69</v>
      </c>
      <c r="BK160" s="22">
        <v>8.8275000000000006</v>
      </c>
      <c r="BM160" s="22" t="str">
        <f t="shared" si="9"/>
        <v/>
      </c>
      <c r="BN160" s="22" t="str">
        <f t="shared" si="10"/>
        <v/>
      </c>
      <c r="BO160" s="22" t="str">
        <f t="shared" si="11"/>
        <v/>
      </c>
      <c r="BP160" s="22" t="str">
        <f t="shared" si="13"/>
        <v/>
      </c>
    </row>
    <row r="161" spans="1:68" x14ac:dyDescent="0.25">
      <c r="A161">
        <v>3.5640999999999999E-2</v>
      </c>
      <c r="B161">
        <v>23</v>
      </c>
      <c r="C161" t="s">
        <v>309</v>
      </c>
      <c r="D161">
        <v>2000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</v>
      </c>
      <c r="AM161">
        <v>0</v>
      </c>
      <c r="AP161">
        <v>1.2110179999999999</v>
      </c>
      <c r="AQ161">
        <v>0.35528900000000002</v>
      </c>
      <c r="AR161">
        <v>7.2145000000000001E-2</v>
      </c>
      <c r="AS161">
        <v>3.1258000000000001E-2</v>
      </c>
      <c r="AT161">
        <v>0.28498200000000001</v>
      </c>
      <c r="AU161">
        <v>1.3764110000000001</v>
      </c>
      <c r="AV161">
        <v>1.5485</v>
      </c>
      <c r="AW161">
        <v>1.3768400000000001</v>
      </c>
      <c r="AX161">
        <v>8.9949999999999995E-3</v>
      </c>
      <c r="AY161">
        <v>3871.3400879999999</v>
      </c>
      <c r="AZ161">
        <v>0.50422599999999995</v>
      </c>
      <c r="BA161">
        <v>7.82</v>
      </c>
      <c r="BB161">
        <v>3.5200000000000002E-2</v>
      </c>
      <c r="BC161">
        <v>1</v>
      </c>
      <c r="BD161">
        <v>84.910004000000001</v>
      </c>
      <c r="BE161" s="19">
        <v>8.39</v>
      </c>
      <c r="BF161" s="19">
        <v>8.31</v>
      </c>
      <c r="BG161" s="19">
        <v>9.69</v>
      </c>
      <c r="BH161" s="19">
        <v>9.68</v>
      </c>
      <c r="BI161" s="19">
        <v>7.89</v>
      </c>
      <c r="BJ161" s="19">
        <v>8.7899999999999991</v>
      </c>
      <c r="BK161" s="22">
        <v>8.8925000000000001</v>
      </c>
      <c r="BM161" s="22" t="str">
        <f t="shared" si="9"/>
        <v/>
      </c>
      <c r="BN161" s="22" t="str">
        <f t="shared" si="10"/>
        <v/>
      </c>
      <c r="BO161" s="22">
        <f t="shared" si="11"/>
        <v>8.7899999999999991</v>
      </c>
      <c r="BP161" s="22" t="str">
        <f t="shared" si="13"/>
        <v/>
      </c>
    </row>
    <row r="162" spans="1:68" x14ac:dyDescent="0.25">
      <c r="A162">
        <v>2.2914E-2</v>
      </c>
      <c r="B162">
        <v>23</v>
      </c>
      <c r="C162" t="s">
        <v>309</v>
      </c>
      <c r="D162">
        <v>2005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1</v>
      </c>
      <c r="AP162">
        <v>1.0662739999999999</v>
      </c>
      <c r="AQ162">
        <v>0.25015199999999999</v>
      </c>
      <c r="AR162">
        <v>7.5579999999999996E-3</v>
      </c>
      <c r="AS162">
        <v>1.4753E-2</v>
      </c>
      <c r="AT162">
        <v>0.28933199999999998</v>
      </c>
      <c r="AU162">
        <v>1.6408659999999999</v>
      </c>
      <c r="AV162">
        <v>1.302</v>
      </c>
      <c r="AW162">
        <v>1.475384</v>
      </c>
      <c r="AX162">
        <v>6.4859999999999996E-3</v>
      </c>
      <c r="AY162">
        <v>4213.9599609999996</v>
      </c>
      <c r="AZ162">
        <v>0.40631299999999998</v>
      </c>
      <c r="BA162">
        <v>8.1199999999999992</v>
      </c>
      <c r="BB162">
        <v>4.6667E-2</v>
      </c>
      <c r="BC162">
        <v>1</v>
      </c>
      <c r="BD162">
        <v>86.360000999999997</v>
      </c>
      <c r="BE162" s="19">
        <v>7.97</v>
      </c>
      <c r="BF162" s="19">
        <v>8.5299999999999994</v>
      </c>
      <c r="BG162" s="19">
        <v>9.4600000000000009</v>
      </c>
      <c r="BH162" s="19">
        <v>9.32</v>
      </c>
      <c r="BI162" s="19">
        <v>7.27</v>
      </c>
      <c r="BJ162" s="19">
        <v>8.51</v>
      </c>
      <c r="BK162" s="22">
        <v>8.6449999999999996</v>
      </c>
      <c r="BM162" s="22" t="str">
        <f t="shared" si="9"/>
        <v/>
      </c>
      <c r="BN162" s="22" t="str">
        <f t="shared" si="10"/>
        <v/>
      </c>
      <c r="BO162" s="22" t="str">
        <f t="shared" si="11"/>
        <v/>
      </c>
      <c r="BP162" s="22" t="str">
        <f t="shared" si="13"/>
        <v/>
      </c>
    </row>
    <row r="163" spans="1:68" x14ac:dyDescent="0.25">
      <c r="A163">
        <v>4.3232E-2</v>
      </c>
      <c r="B163">
        <v>24</v>
      </c>
      <c r="C163" t="s">
        <v>310</v>
      </c>
      <c r="D163">
        <v>1975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0.17292199999999999</v>
      </c>
      <c r="AO163">
        <v>0.22944800000000001</v>
      </c>
      <c r="AP163">
        <v>0.74902899999999994</v>
      </c>
      <c r="AQ163">
        <v>0.262905</v>
      </c>
      <c r="AR163">
        <v>4.5751E-2</v>
      </c>
      <c r="AT163">
        <v>0.37725399999999998</v>
      </c>
      <c r="AU163">
        <v>0.133799</v>
      </c>
      <c r="AV163">
        <v>2.8355999999999999</v>
      </c>
      <c r="AW163">
        <v>0.14955199999999999</v>
      </c>
      <c r="AX163">
        <v>0.121117</v>
      </c>
      <c r="AY163">
        <v>34822</v>
      </c>
      <c r="AZ163">
        <v>0.26272299999999998</v>
      </c>
      <c r="BA163">
        <v>4.6900000000000004</v>
      </c>
      <c r="BC163">
        <v>0.68159999999999998</v>
      </c>
      <c r="BD163">
        <v>48.25</v>
      </c>
      <c r="BE163" s="19">
        <v>6.66</v>
      </c>
      <c r="BF163" s="19">
        <v>8.1199999999999992</v>
      </c>
      <c r="BG163" s="19">
        <v>6.86</v>
      </c>
      <c r="BH163" s="19">
        <v>5.87</v>
      </c>
      <c r="BI163" s="19">
        <v>5.45</v>
      </c>
      <c r="BJ163" s="19">
        <v>6.55</v>
      </c>
      <c r="BK163" s="22">
        <v>6.5750000000000002</v>
      </c>
      <c r="BM163" s="22" t="str">
        <f t="shared" si="9"/>
        <v/>
      </c>
      <c r="BN163" s="22" t="str">
        <f t="shared" si="10"/>
        <v/>
      </c>
      <c r="BO163" s="22" t="str">
        <f t="shared" si="11"/>
        <v/>
      </c>
      <c r="BP163" s="22" t="str">
        <f t="shared" si="13"/>
        <v/>
      </c>
    </row>
    <row r="164" spans="1:68" x14ac:dyDescent="0.25">
      <c r="A164">
        <v>8.5620000000000002E-3</v>
      </c>
      <c r="B164">
        <v>24</v>
      </c>
      <c r="C164" t="s">
        <v>310</v>
      </c>
      <c r="D164">
        <v>1980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0.209531</v>
      </c>
      <c r="AO164">
        <v>0.27888200000000002</v>
      </c>
      <c r="AP164">
        <v>0.82940000000000003</v>
      </c>
      <c r="AQ164">
        <v>0.23352300000000001</v>
      </c>
      <c r="AR164">
        <v>-8.6779999999999999E-3</v>
      </c>
      <c r="AT164">
        <v>0.37643300000000002</v>
      </c>
      <c r="AU164">
        <v>0.13884299999999999</v>
      </c>
      <c r="AV164">
        <v>2.5034000000000001</v>
      </c>
      <c r="AW164">
        <v>0.153333</v>
      </c>
      <c r="AX164">
        <v>0.18631800000000001</v>
      </c>
      <c r="AY164">
        <v>36715.199219000002</v>
      </c>
      <c r="AZ164">
        <v>0.22620599999999999</v>
      </c>
      <c r="BA164">
        <v>4.49</v>
      </c>
      <c r="BB164">
        <v>6.4852000000000007E-2</v>
      </c>
      <c r="BC164">
        <v>0.71519999999999995</v>
      </c>
      <c r="BD164">
        <v>49.490001999999997</v>
      </c>
      <c r="BE164" s="19">
        <v>6.31</v>
      </c>
      <c r="BF164" s="19">
        <v>5.81</v>
      </c>
      <c r="BG164" s="19">
        <v>5.51</v>
      </c>
      <c r="BH164" s="19">
        <v>6.05</v>
      </c>
      <c r="BI164" s="19">
        <v>5.69</v>
      </c>
      <c r="BJ164" s="19">
        <v>5.87</v>
      </c>
      <c r="BK164" s="22">
        <v>5.7650000000000006</v>
      </c>
      <c r="BM164" s="22">
        <f t="shared" si="9"/>
        <v>5.87</v>
      </c>
      <c r="BN164" s="22" t="str">
        <f t="shared" si="10"/>
        <v/>
      </c>
      <c r="BO164" s="22" t="str">
        <f t="shared" si="11"/>
        <v/>
      </c>
      <c r="BP164" s="22" t="str">
        <f t="shared" si="13"/>
        <v/>
      </c>
    </row>
    <row r="165" spans="1:68" x14ac:dyDescent="0.25">
      <c r="A165">
        <v>9.0959999999999999E-3</v>
      </c>
      <c r="B165">
        <v>24</v>
      </c>
      <c r="C165" t="s">
        <v>310</v>
      </c>
      <c r="D165">
        <v>1985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1</v>
      </c>
      <c r="AJ165">
        <v>0</v>
      </c>
      <c r="AK165">
        <v>0</v>
      </c>
      <c r="AL165">
        <v>0</v>
      </c>
      <c r="AM165">
        <v>0</v>
      </c>
      <c r="AN165">
        <v>0.25704399999999999</v>
      </c>
      <c r="AO165">
        <v>0.35622300000000001</v>
      </c>
      <c r="AP165">
        <v>0.76039800000000002</v>
      </c>
      <c r="AQ165">
        <v>0.211061</v>
      </c>
      <c r="AR165">
        <v>2.7807999999999999E-2</v>
      </c>
      <c r="AS165">
        <v>4.1520000000000003E-3</v>
      </c>
      <c r="AT165">
        <v>0.37255300000000002</v>
      </c>
      <c r="AU165">
        <v>0.19383300000000001</v>
      </c>
      <c r="AV165">
        <v>1.8218000000000001</v>
      </c>
      <c r="AW165">
        <v>0.19409199999999999</v>
      </c>
      <c r="AX165">
        <v>0.12246899999999999</v>
      </c>
      <c r="AY165">
        <v>38097.199219000002</v>
      </c>
      <c r="AZ165">
        <v>0.19916</v>
      </c>
      <c r="BA165">
        <v>5.15</v>
      </c>
      <c r="BB165">
        <v>0.146005</v>
      </c>
      <c r="BC165">
        <v>0.73640000000000005</v>
      </c>
      <c r="BD165">
        <v>53.52</v>
      </c>
      <c r="BE165" s="19">
        <v>4.68</v>
      </c>
      <c r="BF165" s="19">
        <v>7.26</v>
      </c>
      <c r="BG165" s="19">
        <v>5.87</v>
      </c>
      <c r="BH165" s="19">
        <v>6.95</v>
      </c>
      <c r="BI165" s="19">
        <v>5.58</v>
      </c>
      <c r="BJ165" s="19">
        <v>6.04</v>
      </c>
      <c r="BK165" s="22">
        <v>6.4149999999999991</v>
      </c>
      <c r="BM165" s="22" t="str">
        <f t="shared" si="9"/>
        <v/>
      </c>
      <c r="BN165" s="22" t="str">
        <f t="shared" si="10"/>
        <v/>
      </c>
      <c r="BO165" s="22" t="str">
        <f t="shared" si="11"/>
        <v/>
      </c>
      <c r="BP165" s="22" t="str">
        <f t="shared" si="13"/>
        <v/>
      </c>
    </row>
    <row r="166" spans="1:68" x14ac:dyDescent="0.25">
      <c r="A166">
        <v>4.2643E-2</v>
      </c>
      <c r="B166">
        <v>24</v>
      </c>
      <c r="C166" t="s">
        <v>310</v>
      </c>
      <c r="D166">
        <v>1990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</v>
      </c>
      <c r="AK166">
        <v>0</v>
      </c>
      <c r="AL166">
        <v>0</v>
      </c>
      <c r="AM166">
        <v>0</v>
      </c>
      <c r="AN166">
        <v>0.31164900000000001</v>
      </c>
      <c r="AO166">
        <v>0.393484</v>
      </c>
      <c r="AP166">
        <v>0.72942099999999999</v>
      </c>
      <c r="AQ166">
        <v>0.23341899999999999</v>
      </c>
      <c r="AR166">
        <v>6.5160000000000001E-3</v>
      </c>
      <c r="AS166">
        <v>1.9501999999999999E-2</v>
      </c>
      <c r="AT166">
        <v>0.35089999999999999</v>
      </c>
      <c r="AU166">
        <v>0.17547199999999999</v>
      </c>
      <c r="AV166">
        <v>1.4359999999999999</v>
      </c>
      <c r="AW166">
        <v>0.18676699999999999</v>
      </c>
      <c r="AX166">
        <v>6.4784999999999995E-2</v>
      </c>
      <c r="AY166">
        <v>38684.601562999997</v>
      </c>
      <c r="AZ166">
        <v>0.22239700000000001</v>
      </c>
      <c r="BA166">
        <v>5.32</v>
      </c>
      <c r="BB166">
        <v>0.14607800000000001</v>
      </c>
      <c r="BC166">
        <v>0.74919999999999998</v>
      </c>
      <c r="BD166">
        <v>59.34</v>
      </c>
      <c r="BE166" s="19">
        <v>4.2</v>
      </c>
      <c r="BF166" s="19">
        <v>7.35</v>
      </c>
      <c r="BG166" s="19">
        <v>6.49</v>
      </c>
      <c r="BH166" s="19">
        <v>7.13</v>
      </c>
      <c r="BI166" s="19">
        <v>5.79</v>
      </c>
      <c r="BJ166" s="19">
        <v>6.16</v>
      </c>
      <c r="BK166" s="22">
        <v>6.6899999999999995</v>
      </c>
      <c r="BM166" s="22" t="str">
        <f t="shared" si="9"/>
        <v/>
      </c>
      <c r="BN166" s="22" t="str">
        <f t="shared" si="10"/>
        <v/>
      </c>
      <c r="BO166" s="22" t="str">
        <f t="shared" si="11"/>
        <v/>
      </c>
      <c r="BP166" s="22" t="str">
        <f t="shared" si="13"/>
        <v/>
      </c>
    </row>
    <row r="167" spans="1:68" x14ac:dyDescent="0.25">
      <c r="A167">
        <v>1.3135000000000001E-2</v>
      </c>
      <c r="B167">
        <v>24</v>
      </c>
      <c r="C167" t="s">
        <v>310</v>
      </c>
      <c r="D167">
        <v>1995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1</v>
      </c>
      <c r="AL167">
        <v>0</v>
      </c>
      <c r="AM167">
        <v>0</v>
      </c>
      <c r="AN167">
        <v>0.328733</v>
      </c>
      <c r="AO167">
        <v>0.44320900000000002</v>
      </c>
      <c r="AP167">
        <v>0.78731399999999996</v>
      </c>
      <c r="AQ167">
        <v>0.22044800000000001</v>
      </c>
      <c r="AR167">
        <v>2.7404000000000001E-2</v>
      </c>
      <c r="AS167">
        <v>8.7130000000000003E-3</v>
      </c>
      <c r="AT167">
        <v>0.33193099999999998</v>
      </c>
      <c r="AU167">
        <v>0.188278</v>
      </c>
      <c r="AV167">
        <v>1.256</v>
      </c>
      <c r="AW167">
        <v>0.20081499999999999</v>
      </c>
      <c r="AX167">
        <v>5.1645999999999997E-2</v>
      </c>
      <c r="AY167">
        <v>39175.628905999998</v>
      </c>
      <c r="AZ167">
        <v>0.20533499999999999</v>
      </c>
      <c r="BA167">
        <v>6.09</v>
      </c>
      <c r="BB167">
        <v>0.161555</v>
      </c>
      <c r="BC167">
        <v>0.75700000000000001</v>
      </c>
      <c r="BD167">
        <v>67.900002000000001</v>
      </c>
      <c r="BE167" s="19">
        <v>4.67</v>
      </c>
      <c r="BF167" s="19">
        <v>8.19</v>
      </c>
      <c r="BG167" s="19">
        <v>6.14</v>
      </c>
      <c r="BH167" s="19">
        <v>7.57</v>
      </c>
      <c r="BI167" s="19">
        <v>5.96</v>
      </c>
      <c r="BJ167" s="19">
        <v>6.46</v>
      </c>
      <c r="BK167" s="22">
        <v>6.9649999999999999</v>
      </c>
      <c r="BM167" s="22" t="str">
        <f t="shared" si="9"/>
        <v/>
      </c>
      <c r="BN167" s="22" t="str">
        <f t="shared" si="10"/>
        <v/>
      </c>
      <c r="BO167" s="22" t="str">
        <f t="shared" si="11"/>
        <v/>
      </c>
      <c r="BP167" s="22" t="str">
        <f t="shared" si="13"/>
        <v/>
      </c>
    </row>
    <row r="168" spans="1:68" x14ac:dyDescent="0.25">
      <c r="A168">
        <v>3.6485999999999998E-2</v>
      </c>
      <c r="B168">
        <v>24</v>
      </c>
      <c r="C168" t="s">
        <v>310</v>
      </c>
      <c r="D168">
        <v>2000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</v>
      </c>
      <c r="AM168">
        <v>0</v>
      </c>
      <c r="AN168">
        <v>0.333926</v>
      </c>
      <c r="AO168">
        <v>0.40971099999999999</v>
      </c>
      <c r="AP168">
        <v>0.792296</v>
      </c>
      <c r="AQ168">
        <v>0.23336399999999999</v>
      </c>
      <c r="AR168">
        <v>1.6830000000000001E-2</v>
      </c>
      <c r="AS168">
        <v>2.4416E-2</v>
      </c>
      <c r="AT168">
        <v>0.31477500000000003</v>
      </c>
      <c r="AU168">
        <v>0.26461200000000001</v>
      </c>
      <c r="AV168">
        <v>1.18</v>
      </c>
      <c r="AW168">
        <v>0.27234199999999997</v>
      </c>
      <c r="AX168">
        <v>2.6211999999999999E-2</v>
      </c>
      <c r="AY168">
        <v>39794.21875</v>
      </c>
      <c r="AZ168">
        <v>0.221501</v>
      </c>
      <c r="BA168">
        <v>6.62</v>
      </c>
      <c r="BB168">
        <v>0.143016</v>
      </c>
      <c r="BC168">
        <v>0.76139999999999997</v>
      </c>
      <c r="BD168">
        <v>75.559997999999993</v>
      </c>
      <c r="BE168" s="19">
        <v>4.16</v>
      </c>
      <c r="BF168" s="19">
        <v>7.46</v>
      </c>
      <c r="BG168" s="19">
        <v>9.61</v>
      </c>
      <c r="BH168" s="19">
        <v>7.98</v>
      </c>
      <c r="BI168" s="19">
        <v>5.93</v>
      </c>
      <c r="BJ168" s="19">
        <v>7.03</v>
      </c>
      <c r="BK168" s="22">
        <v>7.7450000000000001</v>
      </c>
      <c r="BM168" s="22" t="str">
        <f t="shared" si="9"/>
        <v/>
      </c>
      <c r="BN168" s="22" t="str">
        <f t="shared" si="10"/>
        <v/>
      </c>
      <c r="BO168" s="22">
        <f t="shared" si="11"/>
        <v>7.03</v>
      </c>
      <c r="BP168" s="22" t="str">
        <f t="shared" si="13"/>
        <v/>
      </c>
    </row>
    <row r="169" spans="1:68" x14ac:dyDescent="0.25">
      <c r="A169">
        <v>1.6978E-2</v>
      </c>
      <c r="B169" s="23">
        <v>24</v>
      </c>
      <c r="C169" t="s">
        <v>310</v>
      </c>
      <c r="D169">
        <v>2005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</v>
      </c>
      <c r="AN169">
        <v>0.35131400000000002</v>
      </c>
      <c r="AO169">
        <v>0.38735999999999998</v>
      </c>
      <c r="AP169">
        <v>0.87141900000000005</v>
      </c>
      <c r="AQ169">
        <v>0.27366499999999999</v>
      </c>
      <c r="AR169">
        <v>1.8348E-2</v>
      </c>
      <c r="AS169">
        <v>3.5938999999999999E-2</v>
      </c>
      <c r="AT169">
        <v>0.312749</v>
      </c>
      <c r="AU169">
        <v>0.26698499999999997</v>
      </c>
      <c r="AV169">
        <v>1.298</v>
      </c>
      <c r="AW169">
        <v>0.29840100000000003</v>
      </c>
      <c r="AX169">
        <v>3.2184999999999998E-2</v>
      </c>
      <c r="AY169">
        <v>42025.738280999998</v>
      </c>
      <c r="AZ169">
        <v>0.225521</v>
      </c>
      <c r="BA169">
        <v>7.25</v>
      </c>
      <c r="BB169">
        <v>0.103841</v>
      </c>
      <c r="BC169">
        <v>0.76539999999999997</v>
      </c>
      <c r="BD169">
        <v>83.419998000000007</v>
      </c>
      <c r="BE169" s="19">
        <v>4.75</v>
      </c>
      <c r="BF169" s="19">
        <v>7.54</v>
      </c>
      <c r="BG169" s="19">
        <v>9.44</v>
      </c>
      <c r="BH169" s="19">
        <v>8.27</v>
      </c>
      <c r="BI169" s="19">
        <v>6.45</v>
      </c>
      <c r="BJ169" s="19">
        <v>7.29</v>
      </c>
      <c r="BK169" s="22">
        <v>7.9249999999999998</v>
      </c>
      <c r="BM169" s="22" t="str">
        <f t="shared" si="9"/>
        <v/>
      </c>
      <c r="BN169" s="22" t="str">
        <f t="shared" si="10"/>
        <v/>
      </c>
      <c r="BO169" s="22" t="str">
        <f t="shared" si="11"/>
        <v/>
      </c>
      <c r="BP169" s="22" t="str">
        <f t="shared" si="13"/>
        <v/>
      </c>
    </row>
    <row r="170" spans="1:68" s="23" customFormat="1" x14ac:dyDescent="0.25">
      <c r="A170" s="23">
        <v>2.2096000000000001E-2</v>
      </c>
      <c r="B170" s="23">
        <v>25</v>
      </c>
      <c r="C170" s="23" t="s">
        <v>311</v>
      </c>
      <c r="D170" s="23">
        <v>1975</v>
      </c>
      <c r="E170">
        <v>0</v>
      </c>
      <c r="F170" s="23">
        <v>0</v>
      </c>
      <c r="G170" s="23">
        <v>0</v>
      </c>
      <c r="H170" s="23">
        <v>0</v>
      </c>
      <c r="I170" s="23">
        <v>0</v>
      </c>
      <c r="J170" s="23">
        <v>0</v>
      </c>
      <c r="K170" s="23">
        <v>0</v>
      </c>
      <c r="L170" s="23">
        <v>0</v>
      </c>
      <c r="M170" s="23">
        <v>0</v>
      </c>
      <c r="N170" s="23">
        <v>0</v>
      </c>
      <c r="O170" s="23">
        <v>0</v>
      </c>
      <c r="P170" s="23">
        <v>0</v>
      </c>
      <c r="Q170" s="23">
        <v>0</v>
      </c>
      <c r="R170" s="23">
        <v>0</v>
      </c>
      <c r="S170" s="23">
        <v>0</v>
      </c>
      <c r="T170" s="23">
        <v>0</v>
      </c>
      <c r="U170" s="23">
        <v>0</v>
      </c>
      <c r="V170" s="23">
        <v>0</v>
      </c>
      <c r="W170" s="23">
        <v>0</v>
      </c>
      <c r="X170" s="23">
        <v>0</v>
      </c>
      <c r="Y170" s="23">
        <v>0</v>
      </c>
      <c r="Z170" s="23">
        <v>0</v>
      </c>
      <c r="AA170" s="23">
        <v>0</v>
      </c>
      <c r="AB170" s="23">
        <v>0</v>
      </c>
      <c r="AC170" s="23">
        <v>1</v>
      </c>
      <c r="AD170" s="23">
        <v>0</v>
      </c>
      <c r="AE170" s="23">
        <v>0</v>
      </c>
      <c r="AF170" s="23">
        <v>0</v>
      </c>
      <c r="AG170" s="23">
        <v>0</v>
      </c>
      <c r="AH170" s="23">
        <v>0</v>
      </c>
      <c r="AI170" s="23">
        <v>0</v>
      </c>
      <c r="AJ170" s="23">
        <v>0</v>
      </c>
      <c r="AK170" s="23">
        <v>0</v>
      </c>
      <c r="AL170" s="23">
        <v>0</v>
      </c>
      <c r="AM170" s="23">
        <v>0</v>
      </c>
      <c r="AN170" s="23">
        <v>0.40219899999999997</v>
      </c>
      <c r="AO170" s="23">
        <v>0.51291799999999999</v>
      </c>
      <c r="AP170" s="23">
        <v>1.2550129999999999</v>
      </c>
      <c r="AQ170" s="23">
        <v>0.22325500000000001</v>
      </c>
      <c r="AR170" s="23">
        <v>-5.0109999999999998E-3</v>
      </c>
      <c r="AS170" s="23">
        <v>1.0843999999999999E-2</v>
      </c>
      <c r="AT170" s="23">
        <v>0.34513500000000003</v>
      </c>
      <c r="AU170" s="23">
        <v>0.267293</v>
      </c>
      <c r="AV170" s="23">
        <v>1.8904000000000001</v>
      </c>
      <c r="AW170" s="23">
        <v>0.26003199999999999</v>
      </c>
      <c r="AX170" s="23">
        <v>7.9625000000000001E-2</v>
      </c>
      <c r="AY170" s="23">
        <v>8142.2001950000003</v>
      </c>
      <c r="AZ170" s="23">
        <v>0.29111399999999998</v>
      </c>
      <c r="BA170" s="23">
        <v>7.47</v>
      </c>
      <c r="BB170" s="23">
        <v>2.3046000000000001E-2</v>
      </c>
      <c r="BC170" s="23">
        <v>0.82020000000000004</v>
      </c>
      <c r="BD170" s="23">
        <v>61.360000999999997</v>
      </c>
      <c r="BE170" s="19">
        <v>1.89</v>
      </c>
      <c r="BF170" s="19">
        <v>7.61</v>
      </c>
      <c r="BG170" s="19">
        <v>6.48</v>
      </c>
      <c r="BH170" s="19">
        <v>6.29</v>
      </c>
      <c r="BI170" s="19">
        <v>6.66</v>
      </c>
      <c r="BJ170" s="19">
        <v>5.75</v>
      </c>
      <c r="BK170" s="22">
        <v>6.76</v>
      </c>
      <c r="BM170" s="22" t="str">
        <f t="shared" si="9"/>
        <v/>
      </c>
      <c r="BN170" s="22" t="str">
        <f t="shared" si="10"/>
        <v/>
      </c>
      <c r="BO170" s="22" t="str">
        <f t="shared" si="11"/>
        <v/>
      </c>
      <c r="BP170" s="22" t="str">
        <f t="shared" si="13"/>
        <v/>
      </c>
    </row>
    <row r="171" spans="1:68" s="23" customFormat="1" x14ac:dyDescent="0.25">
      <c r="A171" s="23">
        <v>1.04E-2</v>
      </c>
      <c r="B171" s="23">
        <v>25</v>
      </c>
      <c r="C171" s="23" t="s">
        <v>311</v>
      </c>
      <c r="D171" s="23">
        <v>1980</v>
      </c>
      <c r="E171">
        <v>0</v>
      </c>
      <c r="F171" s="23">
        <v>0</v>
      </c>
      <c r="G171" s="23">
        <v>0</v>
      </c>
      <c r="H171" s="23">
        <v>0</v>
      </c>
      <c r="I171" s="23">
        <v>0</v>
      </c>
      <c r="J171" s="23">
        <v>0</v>
      </c>
      <c r="K171" s="23">
        <v>0</v>
      </c>
      <c r="L171" s="23">
        <v>0</v>
      </c>
      <c r="M171" s="23">
        <v>0</v>
      </c>
      <c r="N171" s="23">
        <v>0</v>
      </c>
      <c r="O171" s="23">
        <v>0</v>
      </c>
      <c r="P171" s="23">
        <v>0</v>
      </c>
      <c r="Q171" s="23">
        <v>0</v>
      </c>
      <c r="R171" s="23">
        <v>0</v>
      </c>
      <c r="S171" s="23">
        <v>0</v>
      </c>
      <c r="T171" s="23">
        <v>0</v>
      </c>
      <c r="U171" s="23">
        <v>0</v>
      </c>
      <c r="V171" s="23">
        <v>0</v>
      </c>
      <c r="W171" s="23">
        <v>0</v>
      </c>
      <c r="X171" s="23">
        <v>0</v>
      </c>
      <c r="Y171" s="23">
        <v>0</v>
      </c>
      <c r="Z171" s="23">
        <v>0</v>
      </c>
      <c r="AA171" s="23">
        <v>0</v>
      </c>
      <c r="AB171" s="23">
        <v>0</v>
      </c>
      <c r="AC171" s="23">
        <v>1</v>
      </c>
      <c r="AD171" s="23">
        <v>0</v>
      </c>
      <c r="AE171" s="23">
        <v>0</v>
      </c>
      <c r="AF171" s="23">
        <v>0</v>
      </c>
      <c r="AG171" s="23">
        <v>0</v>
      </c>
      <c r="AH171" s="23">
        <v>1</v>
      </c>
      <c r="AI171" s="23">
        <v>0</v>
      </c>
      <c r="AJ171" s="23">
        <v>0</v>
      </c>
      <c r="AK171" s="23">
        <v>0</v>
      </c>
      <c r="AL171" s="23">
        <v>0</v>
      </c>
      <c r="AM171" s="23">
        <v>0</v>
      </c>
      <c r="AN171" s="23">
        <v>0.471607</v>
      </c>
      <c r="AO171" s="23">
        <v>0.611371</v>
      </c>
      <c r="AP171" s="23">
        <v>1.2544900000000001</v>
      </c>
      <c r="AQ171" s="23">
        <v>0.20935699999999999</v>
      </c>
      <c r="AR171" s="23">
        <v>2.4718E-2</v>
      </c>
      <c r="AS171" s="23">
        <v>9.2650000000000007E-3</v>
      </c>
      <c r="AT171" s="23">
        <v>0.35803600000000002</v>
      </c>
      <c r="AU171" s="23">
        <v>0.28138999999999997</v>
      </c>
      <c r="AV171" s="23">
        <v>1.6541999999999999</v>
      </c>
      <c r="AW171" s="23">
        <v>0.29331699999999999</v>
      </c>
      <c r="AX171" s="23">
        <v>0.105201</v>
      </c>
      <c r="AY171" s="23">
        <v>8270.7998050000006</v>
      </c>
      <c r="AZ171" s="23">
        <v>0.21457899999999999</v>
      </c>
      <c r="BA171" s="23">
        <v>8.44</v>
      </c>
      <c r="BB171" s="23">
        <v>1.9512000000000002E-2</v>
      </c>
      <c r="BC171" s="23">
        <v>0.82940000000000003</v>
      </c>
      <c r="BD171" s="23">
        <v>67.339995999999999</v>
      </c>
      <c r="BE171" s="19">
        <v>2.69</v>
      </c>
      <c r="BF171" s="19">
        <v>5.2</v>
      </c>
      <c r="BG171" s="19">
        <v>7.38</v>
      </c>
      <c r="BH171" s="19">
        <v>6.8</v>
      </c>
      <c r="BI171" s="19">
        <v>5.9</v>
      </c>
      <c r="BJ171" s="19">
        <v>5.62</v>
      </c>
      <c r="BK171" s="22">
        <v>6.32</v>
      </c>
      <c r="BM171" s="22">
        <f t="shared" si="9"/>
        <v>5.62</v>
      </c>
      <c r="BN171" s="22">
        <f t="shared" si="10"/>
        <v>5.62</v>
      </c>
      <c r="BO171" s="22" t="str">
        <f t="shared" si="11"/>
        <v/>
      </c>
      <c r="BP171" s="22" t="str">
        <f t="shared" si="13"/>
        <v/>
      </c>
    </row>
    <row r="172" spans="1:68" s="23" customFormat="1" x14ac:dyDescent="0.25">
      <c r="A172" s="23">
        <v>1.7832000000000001E-2</v>
      </c>
      <c r="B172" s="23">
        <v>25</v>
      </c>
      <c r="C172" s="23" t="s">
        <v>311</v>
      </c>
      <c r="D172" s="23">
        <v>1985</v>
      </c>
      <c r="E172">
        <v>0</v>
      </c>
      <c r="F172" s="23">
        <v>0</v>
      </c>
      <c r="G172" s="23">
        <v>0</v>
      </c>
      <c r="H172" s="23">
        <v>0</v>
      </c>
      <c r="I172" s="23">
        <v>0</v>
      </c>
      <c r="J172" s="23">
        <v>0</v>
      </c>
      <c r="K172" s="23">
        <v>0</v>
      </c>
      <c r="L172" s="23">
        <v>0</v>
      </c>
      <c r="M172" s="23">
        <v>0</v>
      </c>
      <c r="N172" s="23">
        <v>0</v>
      </c>
      <c r="O172" s="23">
        <v>0</v>
      </c>
      <c r="P172" s="23">
        <v>0</v>
      </c>
      <c r="Q172" s="23">
        <v>0</v>
      </c>
      <c r="R172" s="23">
        <v>0</v>
      </c>
      <c r="S172" s="23">
        <v>0</v>
      </c>
      <c r="T172" s="23">
        <v>0</v>
      </c>
      <c r="U172" s="23">
        <v>0</v>
      </c>
      <c r="V172" s="23">
        <v>0</v>
      </c>
      <c r="W172" s="23">
        <v>0</v>
      </c>
      <c r="X172" s="23">
        <v>0</v>
      </c>
      <c r="Y172" s="23">
        <v>0</v>
      </c>
      <c r="Z172" s="23">
        <v>0</v>
      </c>
      <c r="AA172" s="23">
        <v>0</v>
      </c>
      <c r="AB172" s="23">
        <v>0</v>
      </c>
      <c r="AC172" s="23">
        <v>1</v>
      </c>
      <c r="AD172" s="23">
        <v>0</v>
      </c>
      <c r="AE172" s="23">
        <v>0</v>
      </c>
      <c r="AF172" s="23">
        <v>0</v>
      </c>
      <c r="AG172" s="23">
        <v>0</v>
      </c>
      <c r="AH172" s="23">
        <v>0</v>
      </c>
      <c r="AI172" s="23">
        <v>1</v>
      </c>
      <c r="AJ172" s="23">
        <v>0</v>
      </c>
      <c r="AK172" s="23">
        <v>0</v>
      </c>
      <c r="AL172" s="23">
        <v>0</v>
      </c>
      <c r="AM172" s="23">
        <v>0</v>
      </c>
      <c r="AN172" s="23">
        <v>0.476636</v>
      </c>
      <c r="AO172" s="23">
        <v>0.66934099999999996</v>
      </c>
      <c r="AP172" s="23">
        <v>1.1606380000000001</v>
      </c>
      <c r="AQ172" s="23">
        <v>0.19830200000000001</v>
      </c>
      <c r="AR172" s="23">
        <v>2.3296999999999998E-2</v>
      </c>
      <c r="AS172" s="23">
        <v>5.7990000000000003E-3</v>
      </c>
      <c r="AT172" s="23">
        <v>0.35883500000000002</v>
      </c>
      <c r="AU172" s="23">
        <v>0.33793099999999998</v>
      </c>
      <c r="AV172" s="23">
        <v>1.6579999999999999</v>
      </c>
      <c r="AW172" s="23">
        <v>0.32713700000000001</v>
      </c>
      <c r="AX172" s="23">
        <v>8.9968999999999993E-2</v>
      </c>
      <c r="AY172" s="23">
        <v>8332.5996090000008</v>
      </c>
      <c r="AZ172" s="23">
        <v>0.18986500000000001</v>
      </c>
      <c r="BA172" s="23">
        <v>9.4700000000000006</v>
      </c>
      <c r="BB172" s="23">
        <v>3.0405000000000001E-2</v>
      </c>
      <c r="BC172" s="23">
        <v>0.83099999999999996</v>
      </c>
      <c r="BD172" s="23">
        <v>70.959998999999996</v>
      </c>
      <c r="BE172" s="19">
        <v>2.13</v>
      </c>
      <c r="BF172" s="19">
        <v>7.78</v>
      </c>
      <c r="BG172" s="19">
        <v>7.58</v>
      </c>
      <c r="BH172" s="19">
        <v>6.71</v>
      </c>
      <c r="BI172" s="19">
        <v>6.21</v>
      </c>
      <c r="BJ172" s="19">
        <v>6.05</v>
      </c>
      <c r="BK172" s="22">
        <v>7.07</v>
      </c>
      <c r="BM172" s="22" t="str">
        <f t="shared" si="9"/>
        <v/>
      </c>
      <c r="BN172" s="22" t="str">
        <f t="shared" si="10"/>
        <v/>
      </c>
      <c r="BO172" s="22" t="str">
        <f t="shared" si="11"/>
        <v/>
      </c>
      <c r="BP172" s="22" t="str">
        <f t="shared" si="13"/>
        <v/>
      </c>
    </row>
    <row r="173" spans="1:68" s="23" customFormat="1" x14ac:dyDescent="0.25">
      <c r="A173" s="23">
        <v>2.0042999999999998E-2</v>
      </c>
      <c r="B173" s="23">
        <v>25</v>
      </c>
      <c r="C173" s="23" t="s">
        <v>311</v>
      </c>
      <c r="D173" s="23">
        <v>1990</v>
      </c>
      <c r="E173">
        <v>0</v>
      </c>
      <c r="F173" s="23">
        <v>0</v>
      </c>
      <c r="G173" s="23">
        <v>0</v>
      </c>
      <c r="H173" s="23">
        <v>0</v>
      </c>
      <c r="I173" s="23">
        <v>0</v>
      </c>
      <c r="J173" s="23">
        <v>0</v>
      </c>
      <c r="K173" s="23">
        <v>0</v>
      </c>
      <c r="L173" s="23">
        <v>0</v>
      </c>
      <c r="M173" s="23">
        <v>0</v>
      </c>
      <c r="N173" s="23">
        <v>0</v>
      </c>
      <c r="O173" s="23">
        <v>0</v>
      </c>
      <c r="P173" s="23">
        <v>0</v>
      </c>
      <c r="Q173" s="23">
        <v>0</v>
      </c>
      <c r="R173" s="23">
        <v>0</v>
      </c>
      <c r="S173" s="23">
        <v>0</v>
      </c>
      <c r="T173" s="23">
        <v>0</v>
      </c>
      <c r="U173" s="23">
        <v>0</v>
      </c>
      <c r="V173" s="23">
        <v>0</v>
      </c>
      <c r="W173" s="23">
        <v>0</v>
      </c>
      <c r="X173" s="23">
        <v>0</v>
      </c>
      <c r="Y173" s="23">
        <v>0</v>
      </c>
      <c r="Z173" s="23">
        <v>0</v>
      </c>
      <c r="AA173" s="23">
        <v>0</v>
      </c>
      <c r="AB173" s="23">
        <v>0</v>
      </c>
      <c r="AC173" s="23">
        <v>1</v>
      </c>
      <c r="AD173" s="23">
        <v>0</v>
      </c>
      <c r="AE173" s="23">
        <v>0</v>
      </c>
      <c r="AF173" s="23">
        <v>0</v>
      </c>
      <c r="AG173" s="23">
        <v>0</v>
      </c>
      <c r="AH173" s="23">
        <v>0</v>
      </c>
      <c r="AI173" s="23">
        <v>0</v>
      </c>
      <c r="AJ173" s="23">
        <v>1</v>
      </c>
      <c r="AK173" s="23">
        <v>0</v>
      </c>
      <c r="AL173" s="23">
        <v>0</v>
      </c>
      <c r="AM173" s="23">
        <v>0</v>
      </c>
      <c r="AN173" s="23">
        <v>0.519478</v>
      </c>
      <c r="AO173" s="23">
        <v>0.63194300000000003</v>
      </c>
      <c r="AP173" s="23">
        <v>1.1623870000000001</v>
      </c>
      <c r="AQ173" s="23">
        <v>0.216891</v>
      </c>
      <c r="AR173" s="23">
        <v>-5.3359999999999996E-3</v>
      </c>
      <c r="AS173" s="23">
        <v>8.5579999999999996E-3</v>
      </c>
      <c r="AT173" s="23">
        <v>0.35393999999999998</v>
      </c>
      <c r="AU173" s="23">
        <v>0.31626399999999999</v>
      </c>
      <c r="AV173" s="23">
        <v>1.9630000000000001</v>
      </c>
      <c r="AW173" s="23">
        <v>0.30434499999999998</v>
      </c>
      <c r="AX173" s="23">
        <v>6.2146E-2</v>
      </c>
      <c r="AY173" s="23">
        <v>8451.4003909999992</v>
      </c>
      <c r="AZ173" s="23">
        <v>0.21854499999999999</v>
      </c>
      <c r="BA173" s="23">
        <v>9.2200000000000006</v>
      </c>
      <c r="BB173" s="23">
        <v>1.9338000000000001E-2</v>
      </c>
      <c r="BC173" s="23">
        <v>0.83099999999999996</v>
      </c>
      <c r="BD173" s="23">
        <v>77.050003000000004</v>
      </c>
      <c r="BE173" s="19">
        <v>2.61</v>
      </c>
      <c r="BF173" s="19">
        <v>8.7200000000000006</v>
      </c>
      <c r="BG173" s="19">
        <v>8.02</v>
      </c>
      <c r="BH173" s="19">
        <v>7.63</v>
      </c>
      <c r="BI173" s="19">
        <v>6.32</v>
      </c>
      <c r="BJ173" s="19">
        <v>6.63</v>
      </c>
      <c r="BK173" s="22">
        <v>7.6725000000000003</v>
      </c>
      <c r="BM173" s="22" t="str">
        <f t="shared" si="9"/>
        <v/>
      </c>
      <c r="BN173" s="22" t="str">
        <f t="shared" si="10"/>
        <v/>
      </c>
      <c r="BO173" s="22" t="str">
        <f t="shared" si="11"/>
        <v/>
      </c>
      <c r="BP173" s="22" t="str">
        <f t="shared" si="13"/>
        <v/>
      </c>
    </row>
    <row r="174" spans="1:68" s="23" customFormat="1" x14ac:dyDescent="0.25">
      <c r="A174" s="23">
        <v>5.7200000000000003E-4</v>
      </c>
      <c r="B174" s="23">
        <v>25</v>
      </c>
      <c r="C174" s="23" t="s">
        <v>311</v>
      </c>
      <c r="D174" s="23">
        <v>1995</v>
      </c>
      <c r="E174">
        <v>0</v>
      </c>
      <c r="F174" s="23">
        <v>0</v>
      </c>
      <c r="G174" s="23">
        <v>0</v>
      </c>
      <c r="H174" s="23">
        <v>0</v>
      </c>
      <c r="I174" s="23">
        <v>0</v>
      </c>
      <c r="J174" s="23">
        <v>0</v>
      </c>
      <c r="K174" s="23">
        <v>0</v>
      </c>
      <c r="L174" s="23">
        <v>0</v>
      </c>
      <c r="M174" s="23">
        <v>0</v>
      </c>
      <c r="N174" s="23">
        <v>0</v>
      </c>
      <c r="O174" s="23">
        <v>0</v>
      </c>
      <c r="P174" s="23">
        <v>0</v>
      </c>
      <c r="Q174" s="23">
        <v>0</v>
      </c>
      <c r="R174" s="23">
        <v>0</v>
      </c>
      <c r="S174" s="23">
        <v>0</v>
      </c>
      <c r="T174" s="23">
        <v>0</v>
      </c>
      <c r="U174" s="23">
        <v>0</v>
      </c>
      <c r="V174" s="23">
        <v>0</v>
      </c>
      <c r="W174" s="23">
        <v>0</v>
      </c>
      <c r="X174" s="23">
        <v>0</v>
      </c>
      <c r="Y174" s="23">
        <v>0</v>
      </c>
      <c r="Z174" s="23">
        <v>0</v>
      </c>
      <c r="AA174" s="23">
        <v>0</v>
      </c>
      <c r="AB174" s="23">
        <v>0</v>
      </c>
      <c r="AC174" s="23">
        <v>1</v>
      </c>
      <c r="AD174" s="23">
        <v>0</v>
      </c>
      <c r="AE174" s="23">
        <v>0</v>
      </c>
      <c r="AF174" s="23">
        <v>0</v>
      </c>
      <c r="AG174" s="23">
        <v>0</v>
      </c>
      <c r="AH174" s="23">
        <v>0</v>
      </c>
      <c r="AI174" s="23">
        <v>0</v>
      </c>
      <c r="AJ174" s="23">
        <v>0</v>
      </c>
      <c r="AK174" s="23">
        <v>1</v>
      </c>
      <c r="AL174" s="23">
        <v>0</v>
      </c>
      <c r="AM174" s="23">
        <v>0</v>
      </c>
      <c r="AN174" s="23">
        <v>0.478771</v>
      </c>
      <c r="AO174" s="23">
        <v>0.69548699999999997</v>
      </c>
      <c r="AP174" s="23">
        <v>1.124439</v>
      </c>
      <c r="AQ174" s="23">
        <v>0.171045</v>
      </c>
      <c r="AR174" s="23">
        <v>7.4790000000000004E-3</v>
      </c>
      <c r="AS174" s="23">
        <v>-1.0649E-2</v>
      </c>
      <c r="AT174" s="23">
        <v>0.35716700000000001</v>
      </c>
      <c r="AU174" s="23">
        <v>0.323407</v>
      </c>
      <c r="AV174" s="23">
        <v>1.962</v>
      </c>
      <c r="AW174" s="23">
        <v>0.29008899999999999</v>
      </c>
      <c r="AX174" s="23">
        <v>4.2299000000000003E-2</v>
      </c>
      <c r="AY174" s="23">
        <v>8723.1396480000003</v>
      </c>
      <c r="AZ174" s="23">
        <v>0.17175299999999999</v>
      </c>
      <c r="BA174" s="23">
        <v>9.57</v>
      </c>
      <c r="BB174" s="23">
        <v>6.4238000000000003E-2</v>
      </c>
      <c r="BC174" s="23">
        <v>0.83520000000000005</v>
      </c>
      <c r="BD174" s="23">
        <v>80.330001999999993</v>
      </c>
      <c r="BE174" s="19">
        <v>2.37</v>
      </c>
      <c r="BF174" s="19">
        <v>9.83</v>
      </c>
      <c r="BG174" s="19">
        <v>7.84</v>
      </c>
      <c r="BH174" s="19">
        <v>8.43</v>
      </c>
      <c r="BI174" s="19">
        <v>6.41</v>
      </c>
      <c r="BJ174" s="19">
        <v>6.93</v>
      </c>
      <c r="BK174" s="22">
        <v>8.1275000000000013</v>
      </c>
      <c r="BM174" s="22" t="str">
        <f t="shared" si="9"/>
        <v/>
      </c>
      <c r="BN174" s="22" t="str">
        <f t="shared" si="10"/>
        <v/>
      </c>
      <c r="BO174" s="22" t="str">
        <f t="shared" si="11"/>
        <v/>
      </c>
      <c r="BP174" s="22" t="str">
        <f t="shared" si="13"/>
        <v/>
      </c>
    </row>
    <row r="175" spans="1:68" s="23" customFormat="1" x14ac:dyDescent="0.25">
      <c r="A175" s="23">
        <v>3.1271E-2</v>
      </c>
      <c r="B175" s="23">
        <v>25</v>
      </c>
      <c r="C175" s="23" t="s">
        <v>311</v>
      </c>
      <c r="D175" s="23">
        <v>2000</v>
      </c>
      <c r="E175">
        <v>0</v>
      </c>
      <c r="F175" s="23">
        <v>0</v>
      </c>
      <c r="G175" s="23">
        <v>0</v>
      </c>
      <c r="H175" s="23">
        <v>0</v>
      </c>
      <c r="I175" s="23">
        <v>0</v>
      </c>
      <c r="J175" s="23">
        <v>0</v>
      </c>
      <c r="K175" s="23">
        <v>0</v>
      </c>
      <c r="L175" s="23">
        <v>0</v>
      </c>
      <c r="M175" s="23">
        <v>0</v>
      </c>
      <c r="N175" s="23">
        <v>0</v>
      </c>
      <c r="O175" s="23">
        <v>0</v>
      </c>
      <c r="P175" s="23">
        <v>0</v>
      </c>
      <c r="Q175" s="23">
        <v>0</v>
      </c>
      <c r="R175" s="23">
        <v>0</v>
      </c>
      <c r="S175" s="23">
        <v>0</v>
      </c>
      <c r="T175" s="23">
        <v>0</v>
      </c>
      <c r="U175" s="23">
        <v>0</v>
      </c>
      <c r="V175" s="23">
        <v>0</v>
      </c>
      <c r="W175" s="23">
        <v>0</v>
      </c>
      <c r="X175" s="23">
        <v>0</v>
      </c>
      <c r="Y175" s="23">
        <v>0</v>
      </c>
      <c r="Z175" s="23">
        <v>0</v>
      </c>
      <c r="AA175" s="23">
        <v>0</v>
      </c>
      <c r="AB175" s="23">
        <v>0</v>
      </c>
      <c r="AC175" s="23">
        <v>1</v>
      </c>
      <c r="AD175" s="23">
        <v>0</v>
      </c>
      <c r="AE175" s="23">
        <v>0</v>
      </c>
      <c r="AF175" s="23">
        <v>0</v>
      </c>
      <c r="AG175" s="23">
        <v>0</v>
      </c>
      <c r="AH175" s="23">
        <v>0</v>
      </c>
      <c r="AI175" s="23">
        <v>0</v>
      </c>
      <c r="AJ175" s="23">
        <v>0</v>
      </c>
      <c r="AK175" s="23">
        <v>0</v>
      </c>
      <c r="AL175" s="23">
        <v>1</v>
      </c>
      <c r="AM175" s="23">
        <v>0</v>
      </c>
      <c r="AN175" s="23">
        <v>0.51684600000000003</v>
      </c>
      <c r="AO175" s="23">
        <v>0.63224999999999998</v>
      </c>
      <c r="AP175" s="23">
        <v>1.0631159999999999</v>
      </c>
      <c r="AQ175" s="23">
        <v>0.165163</v>
      </c>
      <c r="AR175" s="23">
        <v>3.2508000000000002E-2</v>
      </c>
      <c r="AS175" s="23">
        <v>1.8129999999999999E-3</v>
      </c>
      <c r="AT175" s="23">
        <v>0.36317700000000003</v>
      </c>
      <c r="AU175" s="23">
        <v>0.42041200000000001</v>
      </c>
      <c r="AV175" s="23">
        <v>1.532</v>
      </c>
      <c r="AW175" s="23">
        <v>0.35711599999999999</v>
      </c>
      <c r="AX175" s="23">
        <v>4.5710000000000004E-3</v>
      </c>
      <c r="AY175" s="23">
        <v>8854.1269530000009</v>
      </c>
      <c r="AZ175" s="23">
        <v>0.21087</v>
      </c>
      <c r="BA175" s="23">
        <v>11.23</v>
      </c>
      <c r="BB175" s="23">
        <v>6.5714999999999996E-2</v>
      </c>
      <c r="BC175" s="23">
        <v>0.83919999999999995</v>
      </c>
      <c r="BD175" s="23">
        <v>85.220000999999996</v>
      </c>
      <c r="BE175" s="19">
        <v>2.6</v>
      </c>
      <c r="BF175" s="19">
        <v>8.85</v>
      </c>
      <c r="BG175" s="19">
        <v>9.5399999999999991</v>
      </c>
      <c r="BH175" s="19">
        <v>8.56</v>
      </c>
      <c r="BI175" s="19">
        <v>6.36</v>
      </c>
      <c r="BJ175" s="19">
        <v>7.18</v>
      </c>
      <c r="BK175" s="22">
        <v>8.3275000000000006</v>
      </c>
      <c r="BM175" s="22" t="str">
        <f t="shared" si="9"/>
        <v/>
      </c>
      <c r="BN175" s="22" t="str">
        <f t="shared" si="10"/>
        <v/>
      </c>
      <c r="BO175" s="22">
        <f t="shared" si="11"/>
        <v>7.18</v>
      </c>
      <c r="BP175" s="22">
        <f t="shared" si="13"/>
        <v>7.18</v>
      </c>
    </row>
    <row r="176" spans="1:68" s="23" customFormat="1" x14ac:dyDescent="0.25">
      <c r="A176" s="23">
        <v>1.9914000000000001E-2</v>
      </c>
      <c r="B176">
        <v>25</v>
      </c>
      <c r="C176" s="23" t="s">
        <v>311</v>
      </c>
      <c r="D176" s="23">
        <v>2005</v>
      </c>
      <c r="E176">
        <v>0</v>
      </c>
      <c r="F176" s="23">
        <v>0</v>
      </c>
      <c r="G176" s="23">
        <v>0</v>
      </c>
      <c r="H176" s="23">
        <v>0</v>
      </c>
      <c r="I176" s="23">
        <v>0</v>
      </c>
      <c r="J176" s="23">
        <v>0</v>
      </c>
      <c r="K176" s="23">
        <v>0</v>
      </c>
      <c r="L176" s="23">
        <v>0</v>
      </c>
      <c r="M176" s="23">
        <v>0</v>
      </c>
      <c r="N176" s="23">
        <v>0</v>
      </c>
      <c r="O176" s="23">
        <v>0</v>
      </c>
      <c r="P176" s="23">
        <v>0</v>
      </c>
      <c r="Q176" s="23">
        <v>0</v>
      </c>
      <c r="R176" s="23">
        <v>0</v>
      </c>
      <c r="S176" s="23">
        <v>0</v>
      </c>
      <c r="T176" s="23">
        <v>0</v>
      </c>
      <c r="U176" s="23">
        <v>0</v>
      </c>
      <c r="V176" s="23">
        <v>0</v>
      </c>
      <c r="W176" s="23">
        <v>0</v>
      </c>
      <c r="X176" s="23">
        <v>0</v>
      </c>
      <c r="Y176" s="23">
        <v>0</v>
      </c>
      <c r="Z176" s="23">
        <v>0</v>
      </c>
      <c r="AA176" s="23">
        <v>0</v>
      </c>
      <c r="AB176" s="23">
        <v>0</v>
      </c>
      <c r="AC176" s="23">
        <v>1</v>
      </c>
      <c r="AD176" s="23">
        <v>0</v>
      </c>
      <c r="AE176" s="23">
        <v>0</v>
      </c>
      <c r="AF176" s="23">
        <v>0</v>
      </c>
      <c r="AG176" s="23">
        <v>0</v>
      </c>
      <c r="AH176" s="23">
        <v>0</v>
      </c>
      <c r="AI176" s="23">
        <v>0</v>
      </c>
      <c r="AJ176" s="23">
        <v>0</v>
      </c>
      <c r="AK176" s="23">
        <v>0</v>
      </c>
      <c r="AL176" s="23">
        <v>0</v>
      </c>
      <c r="AM176" s="23">
        <v>1</v>
      </c>
      <c r="AN176" s="23">
        <v>0.50526599999999999</v>
      </c>
      <c r="AO176" s="23">
        <v>0.59469899999999998</v>
      </c>
      <c r="AP176" s="23">
        <v>1.0767359999999999</v>
      </c>
      <c r="AQ176" s="23">
        <v>0.16661500000000001</v>
      </c>
      <c r="AR176" s="23">
        <v>2.3050000000000002E-3</v>
      </c>
      <c r="AS176" s="23">
        <v>7.0949999999999997E-3</v>
      </c>
      <c r="AT176" s="23">
        <v>0.35702</v>
      </c>
      <c r="AU176" s="23">
        <v>0.45570500000000003</v>
      </c>
      <c r="AV176" s="23">
        <v>1.69</v>
      </c>
      <c r="AW176" s="23">
        <v>0.38441799999999998</v>
      </c>
      <c r="AX176" s="23">
        <v>1.4633999999999999E-2</v>
      </c>
      <c r="AY176" s="23">
        <v>8958.0068360000005</v>
      </c>
      <c r="AZ176" s="23">
        <v>0.22559699999999999</v>
      </c>
      <c r="BA176" s="23">
        <v>11.36</v>
      </c>
      <c r="BB176" s="23">
        <v>4.8401E-2</v>
      </c>
      <c r="BC176" s="23">
        <v>0.84119999999999995</v>
      </c>
      <c r="BD176" s="23">
        <v>88.57</v>
      </c>
      <c r="BE176" s="19">
        <v>3.17</v>
      </c>
      <c r="BF176" s="19">
        <v>9.02</v>
      </c>
      <c r="BG176" s="19">
        <v>9.84</v>
      </c>
      <c r="BH176" s="19">
        <v>8.2899999999999991</v>
      </c>
      <c r="BI176" s="19">
        <v>6.84</v>
      </c>
      <c r="BJ176" s="19">
        <v>7.43</v>
      </c>
      <c r="BK176" s="22">
        <v>8.4974999999999987</v>
      </c>
      <c r="BM176" s="22" t="str">
        <f t="shared" si="9"/>
        <v/>
      </c>
      <c r="BN176" s="22" t="str">
        <f t="shared" si="10"/>
        <v/>
      </c>
      <c r="BO176" s="22" t="str">
        <f t="shared" si="11"/>
        <v/>
      </c>
      <c r="BP176" s="22" t="str">
        <f t="shared" si="13"/>
        <v/>
      </c>
    </row>
    <row r="177" spans="1:68" x14ac:dyDescent="0.25">
      <c r="A177">
        <v>3.7599999999999999E-3</v>
      </c>
      <c r="B177">
        <v>26</v>
      </c>
      <c r="C177" t="s">
        <v>312</v>
      </c>
      <c r="D177">
        <v>1975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0.216977</v>
      </c>
      <c r="AP177">
        <v>1.7451559999999999</v>
      </c>
      <c r="AQ177">
        <v>0.31842199999999998</v>
      </c>
      <c r="AR177">
        <v>2.4952999999999999E-2</v>
      </c>
      <c r="AS177">
        <v>-8.0000000000000004E-4</v>
      </c>
      <c r="AT177">
        <v>0.35120699999999999</v>
      </c>
      <c r="AU177">
        <v>0.29906500000000003</v>
      </c>
      <c r="AV177">
        <v>1.8216000000000001</v>
      </c>
      <c r="AW177">
        <v>0.29311100000000001</v>
      </c>
      <c r="AX177">
        <v>7.6902999999999999E-2</v>
      </c>
      <c r="AY177">
        <v>6397.6000979999999</v>
      </c>
      <c r="AZ177">
        <v>0.34669299999999997</v>
      </c>
      <c r="BA177">
        <v>8.2799999999999994</v>
      </c>
      <c r="BB177">
        <v>8.1400000000000005E-4</v>
      </c>
      <c r="BC177">
        <v>0.55220000000000002</v>
      </c>
      <c r="BD177">
        <v>64.290001000000004</v>
      </c>
      <c r="BE177" s="19">
        <v>7.19</v>
      </c>
      <c r="BF177" s="19">
        <v>9.8699999999999992</v>
      </c>
      <c r="BG177" s="19">
        <v>9.6</v>
      </c>
      <c r="BH177" s="19">
        <v>6.74</v>
      </c>
      <c r="BI177" s="19">
        <v>6.77</v>
      </c>
      <c r="BJ177" s="19">
        <v>8.02</v>
      </c>
      <c r="BK177" s="22">
        <v>8.245000000000001</v>
      </c>
      <c r="BM177" s="22" t="str">
        <f t="shared" si="9"/>
        <v/>
      </c>
      <c r="BN177" s="22" t="str">
        <f t="shared" si="10"/>
        <v/>
      </c>
      <c r="BO177" s="22" t="str">
        <f t="shared" si="11"/>
        <v/>
      </c>
      <c r="BP177" s="22" t="str">
        <f>IF(OR(C177="SWE",C177="NOR",C177="DEN",C177="FIN"),BO177,"")</f>
        <v/>
      </c>
    </row>
    <row r="178" spans="1:68" x14ac:dyDescent="0.25">
      <c r="A178">
        <v>1.7441000000000002E-2</v>
      </c>
      <c r="B178">
        <v>26</v>
      </c>
      <c r="C178" t="s">
        <v>312</v>
      </c>
      <c r="D178">
        <v>1980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0.25779000000000002</v>
      </c>
      <c r="AP178">
        <v>1.5934740000000001</v>
      </c>
      <c r="AQ178">
        <v>0.24662899999999999</v>
      </c>
      <c r="AR178">
        <v>-2.42E-4</v>
      </c>
      <c r="AS178">
        <v>3.1960000000000001E-3</v>
      </c>
      <c r="AT178">
        <v>0.35009000000000001</v>
      </c>
      <c r="AU178">
        <v>0.33871600000000002</v>
      </c>
      <c r="AV178">
        <v>1.52</v>
      </c>
      <c r="AW178">
        <v>0.31860899999999998</v>
      </c>
      <c r="AX178">
        <v>2.3453000000000002E-2</v>
      </c>
      <c r="AY178">
        <v>6336</v>
      </c>
      <c r="AZ178">
        <v>0.29867100000000002</v>
      </c>
      <c r="BA178">
        <v>8.27</v>
      </c>
      <c r="BB178">
        <v>3.5170000000000002E-3</v>
      </c>
      <c r="BC178">
        <v>0.56479999999999997</v>
      </c>
      <c r="BD178">
        <v>64.419998000000007</v>
      </c>
      <c r="BE178" s="19">
        <v>6.93</v>
      </c>
      <c r="BF178" s="19">
        <v>9.8699999999999992</v>
      </c>
      <c r="BG178" s="19">
        <v>9.36</v>
      </c>
      <c r="BH178" s="19">
        <v>6.13</v>
      </c>
      <c r="BI178" s="19">
        <v>6.79</v>
      </c>
      <c r="BJ178" s="19">
        <v>7.79</v>
      </c>
      <c r="BK178" s="22">
        <v>8.0374999999999996</v>
      </c>
      <c r="BM178" s="22">
        <f t="shared" si="9"/>
        <v>7.79</v>
      </c>
      <c r="BN178" s="22" t="str">
        <f t="shared" si="10"/>
        <v/>
      </c>
      <c r="BO178" s="22" t="str">
        <f t="shared" si="11"/>
        <v/>
      </c>
      <c r="BP178" s="22" t="str">
        <f t="shared" ref="BP178:BP204" si="14">IF(OR(C178="SWE",C178="NOR",C178="DEN",C178="FIN"),BO178,"")</f>
        <v/>
      </c>
    </row>
    <row r="179" spans="1:68" x14ac:dyDescent="0.25">
      <c r="A179">
        <v>1.0427000000000001E-2</v>
      </c>
      <c r="B179">
        <v>26</v>
      </c>
      <c r="C179" t="s">
        <v>312</v>
      </c>
      <c r="D179">
        <v>1985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>
        <v>0</v>
      </c>
      <c r="AG179">
        <v>0</v>
      </c>
      <c r="AH179">
        <v>0</v>
      </c>
      <c r="AI179">
        <v>1</v>
      </c>
      <c r="AJ179">
        <v>0</v>
      </c>
      <c r="AK179">
        <v>0</v>
      </c>
      <c r="AL179">
        <v>0</v>
      </c>
      <c r="AM179">
        <v>0</v>
      </c>
      <c r="AN179">
        <v>0.26773400000000003</v>
      </c>
      <c r="AP179">
        <v>1.526354</v>
      </c>
      <c r="AQ179">
        <v>0.26699699999999998</v>
      </c>
      <c r="AR179">
        <v>4.0170999999999998E-2</v>
      </c>
      <c r="AS179">
        <v>1.2964E-2</v>
      </c>
      <c r="AT179">
        <v>0.335839</v>
      </c>
      <c r="AU179">
        <v>0.35761799999999999</v>
      </c>
      <c r="AV179">
        <v>1.53</v>
      </c>
      <c r="AW179">
        <v>0.34566599999999997</v>
      </c>
      <c r="AX179">
        <v>4.2909000000000003E-2</v>
      </c>
      <c r="AY179">
        <v>6415.2001950000003</v>
      </c>
      <c r="AZ179">
        <v>0.304701</v>
      </c>
      <c r="BA179">
        <v>10.07</v>
      </c>
      <c r="BB179">
        <v>6.6140000000000001E-3</v>
      </c>
      <c r="BC179">
        <v>0.60419999999999996</v>
      </c>
      <c r="BD179">
        <v>75.440002000000007</v>
      </c>
      <c r="BE179" s="19">
        <v>6.96</v>
      </c>
      <c r="BF179" s="19">
        <v>9.6199999999999992</v>
      </c>
      <c r="BG179" s="19">
        <v>9.5</v>
      </c>
      <c r="BH179" s="19">
        <v>8.1</v>
      </c>
      <c r="BI179" s="19">
        <v>6.71</v>
      </c>
      <c r="BJ179" s="19">
        <v>8.19</v>
      </c>
      <c r="BK179" s="22">
        <v>8.4824999999999999</v>
      </c>
      <c r="BM179" s="22" t="str">
        <f t="shared" si="9"/>
        <v/>
      </c>
      <c r="BN179" s="22" t="str">
        <f t="shared" si="10"/>
        <v/>
      </c>
      <c r="BO179" s="22" t="str">
        <f t="shared" si="11"/>
        <v/>
      </c>
      <c r="BP179" s="22" t="str">
        <f t="shared" si="14"/>
        <v/>
      </c>
    </row>
    <row r="180" spans="1:68" x14ac:dyDescent="0.25">
      <c r="A180">
        <v>2.1014000000000001E-2</v>
      </c>
      <c r="B180">
        <v>26</v>
      </c>
      <c r="C180" t="s">
        <v>312</v>
      </c>
      <c r="D180">
        <v>1990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0</v>
      </c>
      <c r="AL180">
        <v>0</v>
      </c>
      <c r="AM180">
        <v>0</v>
      </c>
      <c r="AN180">
        <v>0.26673599999999997</v>
      </c>
      <c r="AO180">
        <v>0.31407400000000002</v>
      </c>
      <c r="AP180">
        <v>1.4738549999999999</v>
      </c>
      <c r="AQ180">
        <v>0.28477999999999998</v>
      </c>
      <c r="AR180">
        <v>-3.3990000000000001E-3</v>
      </c>
      <c r="AS180">
        <v>2.5697999999999999E-2</v>
      </c>
      <c r="AT180">
        <v>0.316386</v>
      </c>
      <c r="AU180">
        <v>0.36123</v>
      </c>
      <c r="AV180">
        <v>1.5580000000000001</v>
      </c>
      <c r="AW180">
        <v>0.344329</v>
      </c>
      <c r="AX180">
        <v>2.5229999999999999E-2</v>
      </c>
      <c r="AY180">
        <v>6595.3999020000001</v>
      </c>
      <c r="AZ180">
        <v>0.326766</v>
      </c>
      <c r="BA180">
        <v>9.9</v>
      </c>
      <c r="BB180">
        <v>5.7749999999999998E-3</v>
      </c>
      <c r="BC180">
        <v>0.66120000000000001</v>
      </c>
      <c r="BD180">
        <v>79.260002</v>
      </c>
      <c r="BE180" s="19">
        <v>6.89</v>
      </c>
      <c r="BF180" s="19">
        <v>9.8699999999999992</v>
      </c>
      <c r="BG180" s="19">
        <v>9.66</v>
      </c>
      <c r="BH180" s="19">
        <v>8.11</v>
      </c>
      <c r="BI180" s="19">
        <v>7.07</v>
      </c>
      <c r="BJ180" s="19">
        <v>8.32</v>
      </c>
      <c r="BK180" s="22">
        <v>8.6775000000000002</v>
      </c>
      <c r="BM180" s="22" t="str">
        <f t="shared" si="9"/>
        <v/>
      </c>
      <c r="BN180" s="22" t="str">
        <f t="shared" si="10"/>
        <v/>
      </c>
      <c r="BO180" s="22" t="str">
        <f t="shared" si="11"/>
        <v/>
      </c>
      <c r="BP180" s="22" t="str">
        <f t="shared" si="14"/>
        <v/>
      </c>
    </row>
    <row r="181" spans="1:68" x14ac:dyDescent="0.25">
      <c r="A181">
        <v>-7.3709999999999999E-3</v>
      </c>
      <c r="B181">
        <v>26</v>
      </c>
      <c r="C181" t="s">
        <v>312</v>
      </c>
      <c r="D181">
        <v>1995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1</v>
      </c>
      <c r="AL181">
        <v>0</v>
      </c>
      <c r="AM181">
        <v>0</v>
      </c>
      <c r="AN181">
        <v>0.267181</v>
      </c>
      <c r="AO181">
        <v>0.35308400000000001</v>
      </c>
      <c r="AP181">
        <v>1.4325380000000001</v>
      </c>
      <c r="AQ181">
        <v>0.245334</v>
      </c>
      <c r="AR181">
        <v>4.0400000000000001E-4</v>
      </c>
      <c r="AS181">
        <v>5.7689999999999998E-3</v>
      </c>
      <c r="AT181">
        <v>0.31232300000000002</v>
      </c>
      <c r="AU181">
        <v>0.354904</v>
      </c>
      <c r="AV181">
        <v>1.526</v>
      </c>
      <c r="AW181">
        <v>0.30844100000000002</v>
      </c>
      <c r="AX181">
        <v>3.1698999999999998E-2</v>
      </c>
      <c r="AY181">
        <v>6929.6000979999999</v>
      </c>
      <c r="AZ181">
        <v>0.30037199999999997</v>
      </c>
      <c r="BA181">
        <v>9.92</v>
      </c>
      <c r="BB181">
        <v>3.1362000000000001E-2</v>
      </c>
      <c r="BC181">
        <v>0.6996</v>
      </c>
      <c r="BD181">
        <v>81.919998000000007</v>
      </c>
      <c r="BE181" s="19">
        <v>6.82</v>
      </c>
      <c r="BF181" s="19">
        <v>9.8699999999999992</v>
      </c>
      <c r="BG181" s="19">
        <v>9.6999999999999993</v>
      </c>
      <c r="BH181" s="19">
        <v>8.01</v>
      </c>
      <c r="BI181" s="19">
        <v>7.08</v>
      </c>
      <c r="BJ181" s="19">
        <v>8.3000000000000007</v>
      </c>
      <c r="BK181" s="22">
        <v>8.6649999999999991</v>
      </c>
      <c r="BM181" s="22" t="str">
        <f t="shared" si="9"/>
        <v/>
      </c>
      <c r="BN181" s="22" t="str">
        <f t="shared" si="10"/>
        <v/>
      </c>
      <c r="BO181" s="22" t="str">
        <f t="shared" si="11"/>
        <v/>
      </c>
      <c r="BP181" s="22" t="str">
        <f t="shared" si="14"/>
        <v/>
      </c>
    </row>
    <row r="182" spans="1:68" x14ac:dyDescent="0.25">
      <c r="A182">
        <v>1.6584999999999999E-2</v>
      </c>
      <c r="B182">
        <v>26</v>
      </c>
      <c r="C182" t="s">
        <v>312</v>
      </c>
      <c r="D182">
        <v>2000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1</v>
      </c>
      <c r="AM182">
        <v>0</v>
      </c>
      <c r="AN182">
        <v>0.28936299999999998</v>
      </c>
      <c r="AO182">
        <v>0.36235800000000001</v>
      </c>
      <c r="AP182">
        <v>1.301498</v>
      </c>
      <c r="AQ182">
        <v>0.22273799999999999</v>
      </c>
      <c r="AR182">
        <v>5.1879999999999999E-3</v>
      </c>
      <c r="AS182">
        <v>4.9150000000000001E-3</v>
      </c>
      <c r="AT182">
        <v>0.320546</v>
      </c>
      <c r="AU182">
        <v>0.40727600000000003</v>
      </c>
      <c r="AV182">
        <v>1.484</v>
      </c>
      <c r="AW182">
        <v>0.35343200000000002</v>
      </c>
      <c r="AX182">
        <v>7.4510000000000002E-3</v>
      </c>
      <c r="AY182">
        <v>7119.2446289999998</v>
      </c>
      <c r="AZ182">
        <v>0.32227099999999997</v>
      </c>
      <c r="BA182">
        <v>10.18</v>
      </c>
      <c r="BB182">
        <v>3.3172E-2</v>
      </c>
      <c r="BC182">
        <v>0.72260000000000002</v>
      </c>
      <c r="BD182">
        <v>87.089995999999999</v>
      </c>
      <c r="BE182" s="19">
        <v>6.78</v>
      </c>
      <c r="BF182" s="19">
        <v>9.14</v>
      </c>
      <c r="BG182" s="19">
        <v>9.6300000000000008</v>
      </c>
      <c r="BH182" s="19">
        <v>7.56</v>
      </c>
      <c r="BI182" s="19">
        <v>7.06</v>
      </c>
      <c r="BJ182" s="19">
        <v>8.0399999999999991</v>
      </c>
      <c r="BK182" s="22">
        <v>8.3475000000000001</v>
      </c>
      <c r="BM182" s="22" t="str">
        <f t="shared" si="9"/>
        <v/>
      </c>
      <c r="BN182" s="22" t="str">
        <f t="shared" si="10"/>
        <v/>
      </c>
      <c r="BO182" s="22">
        <f t="shared" si="11"/>
        <v>8.0399999999999991</v>
      </c>
      <c r="BP182" s="22" t="str">
        <f t="shared" si="14"/>
        <v/>
      </c>
    </row>
    <row r="183" spans="1:68" x14ac:dyDescent="0.25">
      <c r="A183">
        <v>2.7659999999999998E-3</v>
      </c>
      <c r="B183">
        <v>26</v>
      </c>
      <c r="C183" t="s">
        <v>312</v>
      </c>
      <c r="D183">
        <v>2005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1</v>
      </c>
      <c r="AN183">
        <v>0.297626</v>
      </c>
      <c r="AO183">
        <v>0.369477</v>
      </c>
      <c r="AP183">
        <v>1.1949989999999999</v>
      </c>
      <c r="AQ183">
        <v>0.21379999999999999</v>
      </c>
      <c r="AR183">
        <v>4.0920000000000002E-3</v>
      </c>
      <c r="AS183">
        <v>8.8030000000000001E-3</v>
      </c>
      <c r="AT183">
        <v>0.32513500000000001</v>
      </c>
      <c r="AU183">
        <v>0.446052</v>
      </c>
      <c r="AV183">
        <v>1.4119999999999999</v>
      </c>
      <c r="AW183">
        <v>0.38449699999999998</v>
      </c>
      <c r="AX183">
        <v>8.4899999999999993E-3</v>
      </c>
      <c r="AY183">
        <v>7336.0283200000003</v>
      </c>
      <c r="AZ183">
        <v>0.32784799999999997</v>
      </c>
      <c r="BA183">
        <v>10.39</v>
      </c>
      <c r="BB183">
        <v>3.6400000000000002E-2</v>
      </c>
      <c r="BC183">
        <v>0.74360000000000004</v>
      </c>
      <c r="BD183">
        <v>93.459998999999996</v>
      </c>
      <c r="BE183" s="19">
        <v>7.25</v>
      </c>
      <c r="BF183" s="19">
        <v>9.27</v>
      </c>
      <c r="BG183" s="19">
        <v>9.6999999999999993</v>
      </c>
      <c r="BH183" s="19">
        <v>8.51</v>
      </c>
      <c r="BI183" s="19">
        <v>7.4</v>
      </c>
      <c r="BJ183" s="19">
        <v>8.43</v>
      </c>
      <c r="BK183" s="22">
        <v>8.7199999999999989</v>
      </c>
      <c r="BM183" s="22" t="str">
        <f t="shared" si="9"/>
        <v/>
      </c>
      <c r="BN183" s="22" t="str">
        <f t="shared" si="10"/>
        <v/>
      </c>
      <c r="BO183" s="22" t="str">
        <f t="shared" si="11"/>
        <v/>
      </c>
      <c r="BP183" s="22" t="str">
        <f t="shared" si="14"/>
        <v/>
      </c>
    </row>
    <row r="184" spans="1:68" x14ac:dyDescent="0.25">
      <c r="A184">
        <v>6.8866999999999998E-2</v>
      </c>
      <c r="B184">
        <v>27</v>
      </c>
      <c r="C184" t="s">
        <v>313</v>
      </c>
      <c r="D184">
        <v>1975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0.14984500000000001</v>
      </c>
      <c r="AO184">
        <v>0.20499999999999999</v>
      </c>
      <c r="AP184">
        <v>0.22665099999999999</v>
      </c>
      <c r="AQ184">
        <v>0.30821100000000001</v>
      </c>
      <c r="AR184">
        <v>2.9286E-2</v>
      </c>
      <c r="AS184">
        <v>3.9767999999999998E-2</v>
      </c>
      <c r="AT184">
        <v>0.42813099999999998</v>
      </c>
      <c r="AU184">
        <v>0.33668199999999998</v>
      </c>
      <c r="AV184">
        <v>2.2999999999999998</v>
      </c>
      <c r="AW184">
        <v>0.37844800000000001</v>
      </c>
      <c r="AX184">
        <v>0.13339999999999999</v>
      </c>
      <c r="AY184">
        <v>15523.284180000001</v>
      </c>
      <c r="AZ184">
        <v>5.6041000000000001E-2</v>
      </c>
      <c r="BA184">
        <v>4.3899999999999997</v>
      </c>
      <c r="BB184">
        <v>8.4209999999999997E-3</v>
      </c>
      <c r="BE184" s="19">
        <v>4.8600000000000003</v>
      </c>
      <c r="BF184" s="19">
        <v>8.67</v>
      </c>
      <c r="BG184" s="19">
        <v>9.2899999999999991</v>
      </c>
      <c r="BH184" s="19">
        <v>6.33</v>
      </c>
      <c r="BI184" s="19">
        <v>5.32</v>
      </c>
      <c r="BJ184" s="19">
        <v>6.86</v>
      </c>
      <c r="BK184" s="22">
        <v>7.4024999999999999</v>
      </c>
      <c r="BM184" s="22" t="str">
        <f t="shared" si="9"/>
        <v/>
      </c>
      <c r="BN184" s="22" t="str">
        <f t="shared" si="10"/>
        <v/>
      </c>
      <c r="BO184" s="22" t="str">
        <f t="shared" si="11"/>
        <v/>
      </c>
      <c r="BP184" s="22" t="str">
        <f t="shared" si="14"/>
        <v/>
      </c>
    </row>
    <row r="185" spans="1:68" x14ac:dyDescent="0.25">
      <c r="A185">
        <v>8.5764999999999994E-2</v>
      </c>
      <c r="B185">
        <v>27</v>
      </c>
      <c r="C185" t="s">
        <v>313</v>
      </c>
      <c r="D185">
        <v>1980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0.17652499999999999</v>
      </c>
      <c r="AO185">
        <v>0.23580000000000001</v>
      </c>
      <c r="AP185">
        <v>0.27813300000000002</v>
      </c>
      <c r="AQ185">
        <v>0.286441</v>
      </c>
      <c r="AR185">
        <v>2.8000000000000001E-2</v>
      </c>
      <c r="AS185">
        <v>3.2257000000000001E-2</v>
      </c>
      <c r="AT185">
        <v>0.38884299999999999</v>
      </c>
      <c r="AU185">
        <v>0.47144399999999997</v>
      </c>
      <c r="AV185">
        <v>2.39</v>
      </c>
      <c r="AW185">
        <v>0.452208</v>
      </c>
      <c r="AX185">
        <v>8.8139999999999996E-2</v>
      </c>
      <c r="AY185">
        <v>17129.050781000002</v>
      </c>
      <c r="AZ185">
        <v>0.14286699999999999</v>
      </c>
      <c r="BA185">
        <v>5.04</v>
      </c>
      <c r="BB185">
        <v>4.6769999999999997E-3</v>
      </c>
      <c r="BE185" s="19">
        <v>5.0999999999999996</v>
      </c>
      <c r="BF185" s="19">
        <v>5.94</v>
      </c>
      <c r="BG185" s="19">
        <v>7.07</v>
      </c>
      <c r="BH185" s="19">
        <v>6.86</v>
      </c>
      <c r="BI185" s="19">
        <v>5.45</v>
      </c>
      <c r="BJ185" s="19">
        <v>6.06</v>
      </c>
      <c r="BK185" s="22">
        <v>6.33</v>
      </c>
      <c r="BM185" s="22">
        <f t="shared" si="9"/>
        <v>6.06</v>
      </c>
      <c r="BN185" s="22" t="str">
        <f t="shared" si="10"/>
        <v/>
      </c>
      <c r="BO185" s="22" t="str">
        <f t="shared" si="11"/>
        <v/>
      </c>
      <c r="BP185" s="22" t="str">
        <f t="shared" si="14"/>
        <v/>
      </c>
    </row>
    <row r="186" spans="1:68" x14ac:dyDescent="0.25">
      <c r="A186">
        <v>5.0638000000000002E-2</v>
      </c>
      <c r="B186">
        <v>27</v>
      </c>
      <c r="C186" t="s">
        <v>313</v>
      </c>
      <c r="D186">
        <v>1985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1</v>
      </c>
      <c r="AJ186">
        <v>0</v>
      </c>
      <c r="AK186">
        <v>0</v>
      </c>
      <c r="AL186">
        <v>0</v>
      </c>
      <c r="AM186">
        <v>0</v>
      </c>
      <c r="AN186">
        <v>0.154054</v>
      </c>
      <c r="AO186">
        <v>0.23960000000000001</v>
      </c>
      <c r="AP186">
        <v>0.36562299999999998</v>
      </c>
      <c r="AQ186">
        <v>0.22250500000000001</v>
      </c>
      <c r="AR186">
        <v>4.7953000000000003E-2</v>
      </c>
      <c r="AS186">
        <v>2.9092E-2</v>
      </c>
      <c r="AT186">
        <v>0.36283500000000002</v>
      </c>
      <c r="AU186">
        <v>0.471939</v>
      </c>
      <c r="AV186">
        <v>2.0659999999999998</v>
      </c>
      <c r="AW186">
        <v>0.373977</v>
      </c>
      <c r="AX186">
        <v>4.1000000000000002E-2</v>
      </c>
      <c r="AY186">
        <v>18780.583984000001</v>
      </c>
      <c r="AZ186">
        <v>0.33395399999999997</v>
      </c>
      <c r="BA186">
        <v>6.37</v>
      </c>
      <c r="BB186">
        <v>8.9630000000000005E-3</v>
      </c>
      <c r="BE186" s="19">
        <v>4.96</v>
      </c>
      <c r="BF186" s="19">
        <v>8.7899999999999991</v>
      </c>
      <c r="BG186" s="19">
        <v>7.86</v>
      </c>
      <c r="BH186" s="19">
        <v>7.66</v>
      </c>
      <c r="BI186" s="19">
        <v>5.43</v>
      </c>
      <c r="BJ186" s="19">
        <v>6.9</v>
      </c>
      <c r="BK186" s="22">
        <v>7.4349999999999996</v>
      </c>
      <c r="BM186" s="22" t="str">
        <f t="shared" si="9"/>
        <v/>
      </c>
      <c r="BN186" s="22" t="str">
        <f t="shared" si="10"/>
        <v/>
      </c>
      <c r="BO186" s="22" t="str">
        <f t="shared" si="11"/>
        <v/>
      </c>
      <c r="BP186" s="22" t="str">
        <f t="shared" si="14"/>
        <v/>
      </c>
    </row>
    <row r="187" spans="1:68" x14ac:dyDescent="0.25">
      <c r="A187">
        <v>8.0379000000000006E-2</v>
      </c>
      <c r="B187">
        <v>27</v>
      </c>
      <c r="C187" t="s">
        <v>313</v>
      </c>
      <c r="D187">
        <v>1990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1</v>
      </c>
      <c r="AK187">
        <v>0</v>
      </c>
      <c r="AL187">
        <v>0</v>
      </c>
      <c r="AM187">
        <v>0</v>
      </c>
      <c r="AN187">
        <v>0.15374499999999999</v>
      </c>
      <c r="AO187">
        <v>0.245</v>
      </c>
      <c r="AP187">
        <v>0.45010299999999998</v>
      </c>
      <c r="AQ187">
        <v>0.20454700000000001</v>
      </c>
      <c r="AR187">
        <v>1.5228E-2</v>
      </c>
      <c r="AS187">
        <v>1.9411999999999999E-2</v>
      </c>
      <c r="AT187">
        <v>0.34487600000000002</v>
      </c>
      <c r="AU187">
        <v>0.47144399999999997</v>
      </c>
      <c r="AV187">
        <v>1.6279999999999999</v>
      </c>
      <c r="AW187">
        <v>0.34485199999999999</v>
      </c>
      <c r="AX187">
        <v>2.1999999999999999E-2</v>
      </c>
      <c r="AY187">
        <v>19955.195313</v>
      </c>
      <c r="AZ187">
        <v>0.36899300000000002</v>
      </c>
      <c r="BA187">
        <v>6.87</v>
      </c>
      <c r="BB187">
        <v>7.9019999999999993E-3</v>
      </c>
      <c r="BE187" s="19">
        <v>4.91</v>
      </c>
      <c r="BF187" s="19">
        <v>8.14</v>
      </c>
      <c r="BG187" s="19">
        <v>9.36</v>
      </c>
      <c r="BH187" s="19">
        <v>7.32</v>
      </c>
      <c r="BI187" s="19">
        <v>6.11</v>
      </c>
      <c r="BJ187" s="19">
        <v>7.13</v>
      </c>
      <c r="BK187" s="22">
        <v>7.7324999999999999</v>
      </c>
      <c r="BM187" s="22" t="str">
        <f t="shared" si="9"/>
        <v/>
      </c>
      <c r="BN187" s="22" t="str">
        <f t="shared" si="10"/>
        <v/>
      </c>
      <c r="BO187" s="22" t="str">
        <f t="shared" si="11"/>
        <v/>
      </c>
      <c r="BP187" s="22" t="str">
        <f t="shared" si="14"/>
        <v/>
      </c>
    </row>
    <row r="188" spans="1:68" x14ac:dyDescent="0.25">
      <c r="A188">
        <v>6.2648999999999996E-2</v>
      </c>
      <c r="B188">
        <v>27</v>
      </c>
      <c r="C188" t="s">
        <v>313</v>
      </c>
      <c r="D188">
        <v>1995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</v>
      </c>
      <c r="AL188">
        <v>0</v>
      </c>
      <c r="AM188">
        <v>0</v>
      </c>
      <c r="AN188">
        <v>0.167905</v>
      </c>
      <c r="AO188">
        <v>0.28739999999999999</v>
      </c>
      <c r="AP188">
        <v>0.57577599999999995</v>
      </c>
      <c r="AQ188">
        <v>0.24053099999999999</v>
      </c>
      <c r="AR188">
        <v>1.6069E-2</v>
      </c>
      <c r="AS188">
        <v>1.8024999999999999E-2</v>
      </c>
      <c r="AT188">
        <v>0.33404099999999998</v>
      </c>
      <c r="AU188">
        <v>0.38941900000000002</v>
      </c>
      <c r="AV188">
        <v>1.552</v>
      </c>
      <c r="AW188">
        <v>0.34617900000000001</v>
      </c>
      <c r="AX188">
        <v>3.7600000000000001E-2</v>
      </c>
      <c r="AY188">
        <v>20886.818359000001</v>
      </c>
      <c r="AZ188">
        <v>0.30122100000000002</v>
      </c>
      <c r="BA188">
        <v>7.44</v>
      </c>
      <c r="BB188">
        <v>6.6530000000000001E-3</v>
      </c>
      <c r="BE188" s="19">
        <v>5.4</v>
      </c>
      <c r="BF188" s="19">
        <v>8.14</v>
      </c>
      <c r="BG188" s="19">
        <v>8.99</v>
      </c>
      <c r="BH188" s="19">
        <v>7.9</v>
      </c>
      <c r="BI188" s="19">
        <v>6.17</v>
      </c>
      <c r="BJ188" s="19">
        <v>7.29</v>
      </c>
      <c r="BK188" s="22">
        <v>7.8000000000000007</v>
      </c>
      <c r="BM188" s="22" t="str">
        <f t="shared" si="9"/>
        <v/>
      </c>
      <c r="BN188" s="22" t="str">
        <f t="shared" si="10"/>
        <v/>
      </c>
      <c r="BO188" s="22" t="str">
        <f t="shared" si="11"/>
        <v/>
      </c>
      <c r="BP188" s="22" t="str">
        <f t="shared" si="14"/>
        <v/>
      </c>
    </row>
    <row r="189" spans="1:68" x14ac:dyDescent="0.25">
      <c r="A189">
        <v>4.9045999999999999E-2</v>
      </c>
      <c r="B189">
        <v>27</v>
      </c>
      <c r="C189" t="s">
        <v>313</v>
      </c>
      <c r="D189">
        <v>2000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</v>
      </c>
      <c r="AM189">
        <v>0</v>
      </c>
      <c r="AN189">
        <v>0.141628</v>
      </c>
      <c r="AO189">
        <v>0.224</v>
      </c>
      <c r="AP189">
        <v>0.70837099999999997</v>
      </c>
      <c r="AQ189">
        <v>0.23153499999999999</v>
      </c>
      <c r="AR189">
        <v>1.538E-2</v>
      </c>
      <c r="AS189">
        <v>1.2165E-2</v>
      </c>
      <c r="AT189">
        <v>0.31424400000000002</v>
      </c>
      <c r="AU189">
        <v>0.42175299999999999</v>
      </c>
      <c r="AV189">
        <v>1.3879999999999999</v>
      </c>
      <c r="AW189">
        <v>0.38603500000000002</v>
      </c>
      <c r="AX189">
        <v>1.44E-2</v>
      </c>
      <c r="AY189">
        <v>21809.007813</v>
      </c>
      <c r="AZ189">
        <v>0.25388699999999997</v>
      </c>
      <c r="BA189">
        <v>8.0299999999999994</v>
      </c>
      <c r="BB189">
        <v>1.2172000000000001E-2</v>
      </c>
      <c r="BE189" s="19">
        <v>6.1</v>
      </c>
      <c r="BF189" s="19">
        <v>6.74</v>
      </c>
      <c r="BG189" s="19">
        <v>9.6999999999999993</v>
      </c>
      <c r="BH189" s="19">
        <v>7.87</v>
      </c>
      <c r="BI189" s="19">
        <v>6.15</v>
      </c>
      <c r="BJ189" s="19">
        <v>7.31</v>
      </c>
      <c r="BK189" s="22">
        <v>7.6150000000000002</v>
      </c>
      <c r="BM189" s="22" t="str">
        <f t="shared" si="9"/>
        <v/>
      </c>
      <c r="BN189" s="22" t="str">
        <f t="shared" si="10"/>
        <v/>
      </c>
      <c r="BO189" s="22">
        <f t="shared" si="11"/>
        <v>7.31</v>
      </c>
      <c r="BP189" s="22" t="str">
        <f t="shared" si="14"/>
        <v/>
      </c>
    </row>
    <row r="190" spans="1:68" x14ac:dyDescent="0.25">
      <c r="A190">
        <v>2.7622000000000001E-2</v>
      </c>
      <c r="B190">
        <v>27</v>
      </c>
      <c r="C190" t="s">
        <v>313</v>
      </c>
      <c r="D190">
        <v>2005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1</v>
      </c>
      <c r="AN190">
        <v>0.123961</v>
      </c>
      <c r="AO190">
        <v>0.21379999999999999</v>
      </c>
      <c r="AP190">
        <v>0.75233000000000005</v>
      </c>
      <c r="AQ190">
        <v>0.198905</v>
      </c>
      <c r="AR190">
        <v>1.2154E-2</v>
      </c>
      <c r="AS190">
        <v>1.1721000000000001E-2</v>
      </c>
      <c r="AT190">
        <v>0.29813200000000001</v>
      </c>
      <c r="AU190">
        <v>0.49735299999999999</v>
      </c>
      <c r="AV190">
        <v>1.028</v>
      </c>
      <c r="AW190">
        <v>0.43903599999999998</v>
      </c>
      <c r="AX190">
        <v>6.7999999999999996E-3</v>
      </c>
      <c r="AY190">
        <v>22511.335938</v>
      </c>
      <c r="AZ190">
        <v>0.272812</v>
      </c>
      <c r="BA190">
        <v>8.5299999999999994</v>
      </c>
      <c r="BB190">
        <v>2.0877E-2</v>
      </c>
      <c r="BE190" s="19">
        <v>6.73</v>
      </c>
      <c r="BF190" s="19">
        <v>6.08</v>
      </c>
      <c r="BG190" s="19">
        <v>9.4600000000000009</v>
      </c>
      <c r="BH190" s="19">
        <v>8.09</v>
      </c>
      <c r="BI190" s="19">
        <v>6.05</v>
      </c>
      <c r="BJ190" s="19">
        <v>7.28</v>
      </c>
      <c r="BK190" s="22">
        <v>7.4200000000000008</v>
      </c>
      <c r="BM190" s="22" t="str">
        <f t="shared" si="9"/>
        <v/>
      </c>
      <c r="BN190" s="22" t="str">
        <f t="shared" si="10"/>
        <v/>
      </c>
      <c r="BO190" s="22" t="str">
        <f t="shared" si="11"/>
        <v/>
      </c>
      <c r="BP190" s="22" t="str">
        <f t="shared" si="14"/>
        <v/>
      </c>
    </row>
    <row r="191" spans="1:68" x14ac:dyDescent="0.25">
      <c r="A191">
        <v>1.8804000000000001E-2</v>
      </c>
      <c r="B191">
        <v>28</v>
      </c>
      <c r="C191" t="s">
        <v>314</v>
      </c>
      <c r="D191">
        <v>1975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0.33954200000000001</v>
      </c>
      <c r="AO191">
        <v>0.43812600000000002</v>
      </c>
      <c r="AP191">
        <v>1.0124550000000001</v>
      </c>
      <c r="AQ191">
        <v>0.20322299999999999</v>
      </c>
      <c r="AR191">
        <v>1.3309E-2</v>
      </c>
      <c r="AS191">
        <v>3.542E-3</v>
      </c>
      <c r="AT191">
        <v>0.37188199999999999</v>
      </c>
      <c r="AU191">
        <v>0.23871999999999999</v>
      </c>
      <c r="AV191">
        <v>2.0756000000000001</v>
      </c>
      <c r="AW191">
        <v>0.25420599999999999</v>
      </c>
      <c r="AX191">
        <v>0.131688</v>
      </c>
      <c r="AY191">
        <v>56142</v>
      </c>
      <c r="AZ191">
        <v>0.19463900000000001</v>
      </c>
      <c r="BA191">
        <v>7.66</v>
      </c>
      <c r="BB191">
        <v>4.0563000000000002E-2</v>
      </c>
      <c r="BC191">
        <v>0.80459999999999998</v>
      </c>
      <c r="BD191">
        <v>57.560001</v>
      </c>
      <c r="BE191" s="19">
        <v>3.44</v>
      </c>
      <c r="BF191" s="19">
        <v>9.4600000000000009</v>
      </c>
      <c r="BG191" s="19">
        <v>7.51</v>
      </c>
      <c r="BH191" s="19">
        <v>5.57</v>
      </c>
      <c r="BI191" s="19">
        <v>7.55</v>
      </c>
      <c r="BJ191" s="19">
        <v>6.48</v>
      </c>
      <c r="BK191" s="22">
        <v>7.5225</v>
      </c>
      <c r="BM191" s="22" t="str">
        <f t="shared" si="9"/>
        <v/>
      </c>
      <c r="BN191" s="22" t="str">
        <f t="shared" si="10"/>
        <v/>
      </c>
      <c r="BO191" s="22" t="str">
        <f t="shared" si="11"/>
        <v/>
      </c>
      <c r="BP191" s="22" t="str">
        <f t="shared" si="14"/>
        <v/>
      </c>
    </row>
    <row r="192" spans="1:68" x14ac:dyDescent="0.25">
      <c r="A192">
        <v>1.704E-2</v>
      </c>
      <c r="B192">
        <v>28</v>
      </c>
      <c r="C192" t="s">
        <v>314</v>
      </c>
      <c r="D192">
        <v>1980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1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0.34036300000000003</v>
      </c>
      <c r="AO192">
        <v>0.45279599999999998</v>
      </c>
      <c r="AP192">
        <v>0.99584099999999998</v>
      </c>
      <c r="AQ192">
        <v>0.19402</v>
      </c>
      <c r="AR192">
        <v>8.9759999999999996E-3</v>
      </c>
      <c r="AS192">
        <v>6.1460000000000004E-3</v>
      </c>
      <c r="AT192">
        <v>0.37287399999999998</v>
      </c>
      <c r="AU192">
        <v>0.282113</v>
      </c>
      <c r="AV192">
        <v>1.786</v>
      </c>
      <c r="AW192">
        <v>0.27501999999999999</v>
      </c>
      <c r="AX192">
        <v>0.14413400000000001</v>
      </c>
      <c r="AY192">
        <v>56231.199219000002</v>
      </c>
      <c r="AZ192">
        <v>0.19212399999999999</v>
      </c>
      <c r="BA192">
        <v>8.01</v>
      </c>
      <c r="BB192">
        <v>5.7359E-2</v>
      </c>
      <c r="BC192">
        <v>0.85819999999999996</v>
      </c>
      <c r="BD192">
        <v>62.610000999999997</v>
      </c>
      <c r="BE192" s="19">
        <v>2.87</v>
      </c>
      <c r="BF192" s="19">
        <v>9.82</v>
      </c>
      <c r="BG192" s="19">
        <v>5</v>
      </c>
      <c r="BH192" s="19">
        <v>6.81</v>
      </c>
      <c r="BI192" s="19">
        <v>7.25</v>
      </c>
      <c r="BJ192" s="19">
        <v>6.21</v>
      </c>
      <c r="BK192" s="22">
        <v>7.22</v>
      </c>
      <c r="BM192" s="22">
        <f t="shared" si="9"/>
        <v>6.21</v>
      </c>
      <c r="BN192" s="22" t="str">
        <f t="shared" si="10"/>
        <v/>
      </c>
      <c r="BO192" s="22" t="str">
        <f t="shared" si="11"/>
        <v/>
      </c>
      <c r="BP192" s="22" t="str">
        <f t="shared" si="14"/>
        <v/>
      </c>
    </row>
    <row r="193" spans="1:68" x14ac:dyDescent="0.25">
      <c r="A193">
        <v>1.9067000000000001E-2</v>
      </c>
      <c r="B193">
        <v>28</v>
      </c>
      <c r="C193" t="s">
        <v>314</v>
      </c>
      <c r="D193">
        <v>1985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</v>
      </c>
      <c r="AG193">
        <v>0</v>
      </c>
      <c r="AH193">
        <v>0</v>
      </c>
      <c r="AI193">
        <v>1</v>
      </c>
      <c r="AJ193">
        <v>0</v>
      </c>
      <c r="AK193">
        <v>0</v>
      </c>
      <c r="AL193">
        <v>0</v>
      </c>
      <c r="AM193">
        <v>0</v>
      </c>
      <c r="AN193">
        <v>0.37702200000000002</v>
      </c>
      <c r="AO193">
        <v>0.47777799999999998</v>
      </c>
      <c r="AP193">
        <v>0.95201499999999994</v>
      </c>
      <c r="AQ193">
        <v>0.17476800000000001</v>
      </c>
      <c r="AR193">
        <v>3.9630000000000004E-3</v>
      </c>
      <c r="AS193">
        <v>6.0499999999999998E-3</v>
      </c>
      <c r="AT193">
        <v>0.35969400000000001</v>
      </c>
      <c r="AU193">
        <v>0.27257900000000002</v>
      </c>
      <c r="AV193">
        <v>1.786</v>
      </c>
      <c r="AW193">
        <v>0.26028499999999999</v>
      </c>
      <c r="AX193">
        <v>7.2192000000000006E-2</v>
      </c>
      <c r="AY193">
        <v>56447.601562999997</v>
      </c>
      <c r="AZ193">
        <v>0.17739099999999999</v>
      </c>
      <c r="BA193">
        <v>8.17</v>
      </c>
      <c r="BB193">
        <v>0.109933</v>
      </c>
      <c r="BC193">
        <v>0.88319999999999999</v>
      </c>
      <c r="BD193">
        <v>67.230002999999996</v>
      </c>
      <c r="BE193" s="19">
        <v>3.3</v>
      </c>
      <c r="BF193" s="19">
        <v>8.2899999999999991</v>
      </c>
      <c r="BG193" s="19">
        <v>5.82</v>
      </c>
      <c r="BH193" s="19">
        <v>8.26</v>
      </c>
      <c r="BI193" s="19">
        <v>7.3</v>
      </c>
      <c r="BJ193" s="19">
        <v>6.53</v>
      </c>
      <c r="BK193" s="22">
        <v>7.4174999999999995</v>
      </c>
      <c r="BM193" s="22" t="str">
        <f t="shared" si="9"/>
        <v/>
      </c>
      <c r="BN193" s="22" t="str">
        <f t="shared" si="10"/>
        <v/>
      </c>
      <c r="BO193" s="22" t="str">
        <f t="shared" si="11"/>
        <v/>
      </c>
      <c r="BP193" s="22" t="str">
        <f t="shared" si="14"/>
        <v/>
      </c>
    </row>
    <row r="194" spans="1:68" x14ac:dyDescent="0.25">
      <c r="A194">
        <v>2.9982000000000002E-2</v>
      </c>
      <c r="B194">
        <v>28</v>
      </c>
      <c r="C194" t="s">
        <v>314</v>
      </c>
      <c r="D194">
        <v>1990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1</v>
      </c>
      <c r="AG194">
        <v>0</v>
      </c>
      <c r="AH194">
        <v>0</v>
      </c>
      <c r="AI194">
        <v>0</v>
      </c>
      <c r="AJ194">
        <v>1</v>
      </c>
      <c r="AK194">
        <v>0</v>
      </c>
      <c r="AL194">
        <v>0</v>
      </c>
      <c r="AM194">
        <v>0</v>
      </c>
      <c r="AN194">
        <v>0.36987799999999998</v>
      </c>
      <c r="AO194">
        <v>0.42944300000000002</v>
      </c>
      <c r="AP194">
        <v>0.95924799999999999</v>
      </c>
      <c r="AQ194">
        <v>0.198741</v>
      </c>
      <c r="AR194">
        <v>6.5240000000000003E-3</v>
      </c>
      <c r="AS194">
        <v>8.3719999999999992E-3</v>
      </c>
      <c r="AT194">
        <v>0.34360499999999999</v>
      </c>
      <c r="AU194">
        <v>0.24329899999999999</v>
      </c>
      <c r="AV194">
        <v>1.8120000000000001</v>
      </c>
      <c r="AW194">
        <v>0.26797300000000002</v>
      </c>
      <c r="AX194">
        <v>5.9514999999999998E-2</v>
      </c>
      <c r="AY194">
        <v>57187.601562999997</v>
      </c>
      <c r="AZ194">
        <v>0.169713</v>
      </c>
      <c r="BA194">
        <v>8.44</v>
      </c>
      <c r="BB194">
        <v>8.9304999999999995E-2</v>
      </c>
      <c r="BC194">
        <v>0.88660000000000005</v>
      </c>
      <c r="BD194">
        <v>69.209998999999996</v>
      </c>
      <c r="BE194" s="19">
        <v>4.17</v>
      </c>
      <c r="BF194" s="19">
        <v>7.83</v>
      </c>
      <c r="BG194" s="19">
        <v>8.91</v>
      </c>
      <c r="BH194" s="19">
        <v>8.32</v>
      </c>
      <c r="BI194" s="19">
        <v>8.06</v>
      </c>
      <c r="BJ194" s="19">
        <v>7.45</v>
      </c>
      <c r="BK194" s="22">
        <v>8.2800000000000011</v>
      </c>
      <c r="BM194" s="22" t="str">
        <f t="shared" si="9"/>
        <v/>
      </c>
      <c r="BN194" s="22" t="str">
        <f t="shared" si="10"/>
        <v/>
      </c>
      <c r="BO194" s="22" t="str">
        <f t="shared" si="11"/>
        <v/>
      </c>
      <c r="BP194" s="22" t="str">
        <f t="shared" si="14"/>
        <v/>
      </c>
    </row>
    <row r="195" spans="1:68" x14ac:dyDescent="0.25">
      <c r="A195">
        <v>1.3793E-2</v>
      </c>
      <c r="B195">
        <v>28</v>
      </c>
      <c r="C195" t="s">
        <v>314</v>
      </c>
      <c r="D195">
        <v>1995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1</v>
      </c>
      <c r="AL195">
        <v>0</v>
      </c>
      <c r="AM195">
        <v>0</v>
      </c>
      <c r="AN195">
        <v>0.34300399999999998</v>
      </c>
      <c r="AO195">
        <v>0.451291</v>
      </c>
      <c r="AP195">
        <v>0.97402599999999995</v>
      </c>
      <c r="AQ195">
        <v>0.16502900000000001</v>
      </c>
      <c r="AR195">
        <v>7.0099999999999997E-3</v>
      </c>
      <c r="AS195">
        <v>-4.7130000000000002E-3</v>
      </c>
      <c r="AT195">
        <v>0.34992600000000001</v>
      </c>
      <c r="AU195">
        <v>0.25431199999999998</v>
      </c>
      <c r="AV195">
        <v>1.776</v>
      </c>
      <c r="AW195">
        <v>0.26328299999999999</v>
      </c>
      <c r="AX195">
        <v>3.4077000000000003E-2</v>
      </c>
      <c r="AY195">
        <v>58018.28125</v>
      </c>
      <c r="AZ195">
        <v>0.14932999999999999</v>
      </c>
      <c r="BA195">
        <v>8.74</v>
      </c>
      <c r="BB195">
        <v>9.4505000000000006E-2</v>
      </c>
      <c r="BC195">
        <v>0.88880000000000003</v>
      </c>
      <c r="BD195">
        <v>71.059997999999993</v>
      </c>
      <c r="BE195" s="19">
        <v>5.65</v>
      </c>
      <c r="BF195" s="19">
        <v>9.1</v>
      </c>
      <c r="BG195" s="19">
        <v>8.11</v>
      </c>
      <c r="BH195" s="19">
        <v>8.14</v>
      </c>
      <c r="BI195" s="19">
        <v>8.26</v>
      </c>
      <c r="BJ195" s="19">
        <v>7.83</v>
      </c>
      <c r="BK195" s="22">
        <v>8.4024999999999999</v>
      </c>
      <c r="BM195" s="22" t="str">
        <f t="shared" ref="BM195:BM204" si="15">IF(D195=1980,BJ195,"")</f>
        <v/>
      </c>
      <c r="BN195" s="22" t="str">
        <f t="shared" ref="BN195:BN204" si="16">IF(OR(C195="SWE",C195="NOR",C195="DEN",C195="FIN"),BM195,"")</f>
        <v/>
      </c>
      <c r="BO195" s="22" t="str">
        <f t="shared" ref="BO195:BO204" si="17">IF(D195=2000,BJ195,"")</f>
        <v/>
      </c>
      <c r="BP195" s="22" t="str">
        <f t="shared" si="14"/>
        <v/>
      </c>
    </row>
    <row r="196" spans="1:68" x14ac:dyDescent="0.25">
      <c r="A196">
        <v>2.8891E-2</v>
      </c>
      <c r="B196">
        <v>28</v>
      </c>
      <c r="C196" t="s">
        <v>314</v>
      </c>
      <c r="D196">
        <v>2000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1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1</v>
      </c>
      <c r="AM196">
        <v>0</v>
      </c>
      <c r="AN196">
        <v>0.35996299999999998</v>
      </c>
      <c r="AO196">
        <v>0.41156700000000002</v>
      </c>
      <c r="AP196">
        <v>0.98338000000000003</v>
      </c>
      <c r="AQ196">
        <v>0.16950599999999999</v>
      </c>
      <c r="AR196">
        <v>6.5500000000000003E-3</v>
      </c>
      <c r="AS196">
        <v>5.6600000000000001E-3</v>
      </c>
      <c r="AT196">
        <v>0.35183700000000001</v>
      </c>
      <c r="AU196">
        <v>0.27884700000000001</v>
      </c>
      <c r="AV196">
        <v>1.694</v>
      </c>
      <c r="AW196">
        <v>0.28880299999999998</v>
      </c>
      <c r="AX196">
        <v>2.6963000000000001E-2</v>
      </c>
      <c r="AY196">
        <v>58778.957030999998</v>
      </c>
      <c r="AZ196">
        <v>0.16211500000000001</v>
      </c>
      <c r="BA196">
        <v>9.0299999999999994</v>
      </c>
      <c r="BB196">
        <v>6.5459000000000003E-2</v>
      </c>
      <c r="BC196">
        <v>0.89239999999999997</v>
      </c>
      <c r="BD196">
        <v>75.669998000000007</v>
      </c>
      <c r="BE196" s="19">
        <v>5.42</v>
      </c>
      <c r="BF196" s="19">
        <v>8.84</v>
      </c>
      <c r="BG196" s="19">
        <v>9.6</v>
      </c>
      <c r="BH196" s="19">
        <v>8.26</v>
      </c>
      <c r="BI196" s="19">
        <v>8.2899999999999991</v>
      </c>
      <c r="BJ196" s="19">
        <v>8.08</v>
      </c>
      <c r="BK196" s="22">
        <v>8.7474999999999987</v>
      </c>
      <c r="BM196" s="22" t="str">
        <f t="shared" si="15"/>
        <v/>
      </c>
      <c r="BN196" s="22" t="str">
        <f t="shared" si="16"/>
        <v/>
      </c>
      <c r="BO196" s="22">
        <f t="shared" si="17"/>
        <v>8.08</v>
      </c>
      <c r="BP196" s="22" t="str">
        <f t="shared" si="14"/>
        <v/>
      </c>
    </row>
    <row r="197" spans="1:68" x14ac:dyDescent="0.25">
      <c r="A197">
        <v>1.9800000000000002E-2</v>
      </c>
      <c r="B197">
        <v>28</v>
      </c>
      <c r="C197" t="s">
        <v>314</v>
      </c>
      <c r="D197">
        <v>2005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1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1</v>
      </c>
      <c r="AN197">
        <v>0.36215999999999998</v>
      </c>
      <c r="AO197">
        <v>0.42716999999999999</v>
      </c>
      <c r="AP197">
        <v>1.0571170000000001</v>
      </c>
      <c r="AQ197">
        <v>0.165134</v>
      </c>
      <c r="AR197">
        <v>6.9890000000000004E-3</v>
      </c>
      <c r="AS197">
        <v>7.6860000000000001E-3</v>
      </c>
      <c r="AT197">
        <v>0.34928500000000001</v>
      </c>
      <c r="AU197">
        <v>0.26100699999999999</v>
      </c>
      <c r="AV197">
        <v>1.71</v>
      </c>
      <c r="AW197">
        <v>0.29249599999999998</v>
      </c>
      <c r="AX197">
        <v>2.4327000000000001E-2</v>
      </c>
      <c r="AY197">
        <v>59688.960937999997</v>
      </c>
      <c r="AZ197">
        <v>0.15087300000000001</v>
      </c>
      <c r="BA197">
        <v>9.35</v>
      </c>
      <c r="BB197">
        <v>4.9744999999999998E-2</v>
      </c>
      <c r="BC197">
        <v>0.89580000000000004</v>
      </c>
      <c r="BD197">
        <v>80.139999000000003</v>
      </c>
      <c r="BE197" s="19">
        <v>6.63</v>
      </c>
      <c r="BF197" s="19">
        <v>9.2899999999999991</v>
      </c>
      <c r="BG197" s="19">
        <v>9.31</v>
      </c>
      <c r="BH197" s="19">
        <v>8.41</v>
      </c>
      <c r="BI197" s="19">
        <v>8.08</v>
      </c>
      <c r="BJ197" s="19">
        <v>8.35</v>
      </c>
      <c r="BK197" s="22">
        <v>8.7725000000000009</v>
      </c>
      <c r="BM197" s="22" t="str">
        <f t="shared" si="15"/>
        <v/>
      </c>
      <c r="BN197" s="22" t="str">
        <f t="shared" si="16"/>
        <v/>
      </c>
      <c r="BO197" s="22" t="str">
        <f t="shared" si="17"/>
        <v/>
      </c>
      <c r="BP197" s="22" t="str">
        <f t="shared" si="14"/>
        <v/>
      </c>
    </row>
    <row r="198" spans="1:68" x14ac:dyDescent="0.25">
      <c r="A198">
        <v>1.7614000000000001E-2</v>
      </c>
      <c r="B198">
        <v>29</v>
      </c>
      <c r="C198" t="s">
        <v>315</v>
      </c>
      <c r="D198">
        <v>1975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0.255666</v>
      </c>
      <c r="AO198">
        <v>0.35088999999999998</v>
      </c>
      <c r="AP198">
        <v>1.3863749999999999</v>
      </c>
      <c r="AQ198">
        <v>0.187967</v>
      </c>
      <c r="AR198">
        <v>1.1412E-2</v>
      </c>
      <c r="AS198">
        <v>2.5205000000000002E-2</v>
      </c>
      <c r="AT198">
        <v>0.38182300000000002</v>
      </c>
      <c r="AU198">
        <v>7.0916000000000007E-2</v>
      </c>
      <c r="AV198">
        <v>1.9528000000000001</v>
      </c>
      <c r="AW198">
        <v>6.8883E-2</v>
      </c>
      <c r="AX198">
        <v>6.7898E-2</v>
      </c>
      <c r="AY198">
        <v>211858.59375</v>
      </c>
      <c r="AZ198">
        <v>0.19001499999999999</v>
      </c>
      <c r="BA198">
        <v>9.7899999999999991</v>
      </c>
      <c r="BB198">
        <v>6.1045000000000002E-2</v>
      </c>
      <c r="BC198">
        <v>0.73660000000000003</v>
      </c>
      <c r="BD198">
        <v>59.869999</v>
      </c>
      <c r="BE198" s="19">
        <v>4.7</v>
      </c>
      <c r="BF198" s="19">
        <v>9.81</v>
      </c>
      <c r="BG198" s="19">
        <v>9.58</v>
      </c>
      <c r="BH198" s="19">
        <v>7.16</v>
      </c>
      <c r="BI198" s="19">
        <v>7.03</v>
      </c>
      <c r="BJ198" s="19">
        <v>7.61</v>
      </c>
      <c r="BK198" s="22">
        <v>8.3949999999999996</v>
      </c>
      <c r="BM198" s="22" t="str">
        <f t="shared" si="15"/>
        <v/>
      </c>
      <c r="BN198" s="22" t="str">
        <f t="shared" si="16"/>
        <v/>
      </c>
      <c r="BO198" s="22" t="str">
        <f t="shared" si="17"/>
        <v/>
      </c>
      <c r="BP198" s="22" t="str">
        <f t="shared" si="14"/>
        <v/>
      </c>
    </row>
    <row r="199" spans="1:68" x14ac:dyDescent="0.25">
      <c r="A199">
        <v>2.6040000000000001E-2</v>
      </c>
      <c r="B199">
        <v>29</v>
      </c>
      <c r="C199" t="s">
        <v>315</v>
      </c>
      <c r="D199">
        <v>1980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0.25847799999999999</v>
      </c>
      <c r="AO199">
        <v>0.35261799999999999</v>
      </c>
      <c r="AP199">
        <v>1.3556760000000001</v>
      </c>
      <c r="AQ199">
        <v>0.200713</v>
      </c>
      <c r="AR199">
        <v>4.4549999999999998E-3</v>
      </c>
      <c r="AS199">
        <v>2.6699000000000001E-2</v>
      </c>
      <c r="AT199">
        <v>0.35636400000000001</v>
      </c>
      <c r="AU199">
        <v>8.7123999999999993E-2</v>
      </c>
      <c r="AV199">
        <v>1.7870999999999999</v>
      </c>
      <c r="AW199">
        <v>9.4532000000000005E-2</v>
      </c>
      <c r="AX199">
        <v>8.9292999999999997E-2</v>
      </c>
      <c r="AY199">
        <v>222627.796875</v>
      </c>
      <c r="AZ199">
        <v>0.19454199999999999</v>
      </c>
      <c r="BA199">
        <v>10.01</v>
      </c>
      <c r="BB199">
        <v>6.7600999999999994E-2</v>
      </c>
      <c r="BC199">
        <v>0.73699999999999999</v>
      </c>
      <c r="BD199">
        <v>61.380001</v>
      </c>
      <c r="BE199" s="19">
        <v>4.75</v>
      </c>
      <c r="BF199" s="19">
        <v>9.3000000000000007</v>
      </c>
      <c r="BG199" s="19">
        <v>9.2100000000000009</v>
      </c>
      <c r="BH199" s="19">
        <v>7.78</v>
      </c>
      <c r="BI199" s="19">
        <v>7.9</v>
      </c>
      <c r="BJ199" s="19">
        <v>7.74</v>
      </c>
      <c r="BK199">
        <v>8.5475000000000012</v>
      </c>
      <c r="BM199" s="22">
        <f t="shared" si="15"/>
        <v>7.74</v>
      </c>
      <c r="BN199" s="22" t="str">
        <f t="shared" si="16"/>
        <v/>
      </c>
      <c r="BO199" s="22" t="str">
        <f t="shared" si="17"/>
        <v/>
      </c>
      <c r="BP199" s="22" t="str">
        <f t="shared" si="14"/>
        <v/>
      </c>
    </row>
    <row r="200" spans="1:68" x14ac:dyDescent="0.25">
      <c r="A200">
        <v>2.2780000000000002E-2</v>
      </c>
      <c r="B200">
        <v>29</v>
      </c>
      <c r="C200" t="s">
        <v>315</v>
      </c>
      <c r="D200">
        <v>1985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</v>
      </c>
      <c r="AH200">
        <v>0</v>
      </c>
      <c r="AI200">
        <v>1</v>
      </c>
      <c r="AJ200">
        <v>0</v>
      </c>
      <c r="AK200">
        <v>0</v>
      </c>
      <c r="AL200">
        <v>0</v>
      </c>
      <c r="AM200">
        <v>0</v>
      </c>
      <c r="AN200">
        <v>0.25832500000000003</v>
      </c>
      <c r="AO200">
        <v>0.38525799999999999</v>
      </c>
      <c r="AP200">
        <v>1.3543829999999999</v>
      </c>
      <c r="AQ200">
        <v>0.19448699999999999</v>
      </c>
      <c r="AR200">
        <v>3.5369999999999999E-2</v>
      </c>
      <c r="AS200">
        <v>1.5398E-2</v>
      </c>
      <c r="AT200">
        <v>0.33681100000000003</v>
      </c>
      <c r="AU200">
        <v>8.2905000000000006E-2</v>
      </c>
      <c r="AV200">
        <v>1.8178000000000001</v>
      </c>
      <c r="AW200">
        <v>9.8660999999999999E-2</v>
      </c>
      <c r="AX200">
        <v>5.5134000000000002E-2</v>
      </c>
      <c r="AY200">
        <v>233734.203125</v>
      </c>
      <c r="AZ200">
        <v>0.183255</v>
      </c>
      <c r="BA200">
        <v>11.91</v>
      </c>
      <c r="BB200">
        <v>8.3273E-2</v>
      </c>
      <c r="BC200">
        <v>0.74180000000000001</v>
      </c>
      <c r="BD200">
        <v>64.139999000000003</v>
      </c>
      <c r="BE200" s="19">
        <v>5.08</v>
      </c>
      <c r="BF200" s="19">
        <v>9.81</v>
      </c>
      <c r="BG200" s="19">
        <v>9.15</v>
      </c>
      <c r="BH200" s="19">
        <v>8.09</v>
      </c>
      <c r="BI200" s="19">
        <v>8.1</v>
      </c>
      <c r="BJ200" s="19">
        <v>7.99</v>
      </c>
      <c r="BK200">
        <v>8.7874999999999996</v>
      </c>
      <c r="BM200" s="22" t="str">
        <f t="shared" si="15"/>
        <v/>
      </c>
      <c r="BN200" s="22" t="str">
        <f t="shared" si="16"/>
        <v/>
      </c>
      <c r="BO200" s="22" t="str">
        <f t="shared" si="17"/>
        <v/>
      </c>
      <c r="BP200" s="22" t="str">
        <f t="shared" si="14"/>
        <v/>
      </c>
    </row>
    <row r="201" spans="1:68" x14ac:dyDescent="0.25">
      <c r="A201">
        <v>2.2724999999999999E-2</v>
      </c>
      <c r="B201">
        <v>29</v>
      </c>
      <c r="C201" t="s">
        <v>315</v>
      </c>
      <c r="D201">
        <v>1990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</v>
      </c>
      <c r="AH201">
        <v>0</v>
      </c>
      <c r="AI201">
        <v>0</v>
      </c>
      <c r="AJ201">
        <v>1</v>
      </c>
      <c r="AK201">
        <v>0</v>
      </c>
      <c r="AL201">
        <v>0</v>
      </c>
      <c r="AM201">
        <v>0</v>
      </c>
      <c r="AN201">
        <v>0.264542</v>
      </c>
      <c r="AO201">
        <v>0.38868000000000003</v>
      </c>
      <c r="AP201">
        <v>1.3897200000000001</v>
      </c>
      <c r="AQ201">
        <v>0.184556</v>
      </c>
      <c r="AR201">
        <v>-3.3809999999999999E-3</v>
      </c>
      <c r="AS201">
        <v>1.738E-2</v>
      </c>
      <c r="AT201">
        <v>0.33336399999999999</v>
      </c>
      <c r="AU201">
        <v>8.5182999999999995E-2</v>
      </c>
      <c r="AV201">
        <v>1.9477</v>
      </c>
      <c r="AW201">
        <v>0.107666</v>
      </c>
      <c r="AX201">
        <v>3.9667000000000001E-2</v>
      </c>
      <c r="AY201">
        <v>244672.59375</v>
      </c>
      <c r="AZ201">
        <v>0.15939400000000001</v>
      </c>
      <c r="BA201">
        <v>11.71</v>
      </c>
      <c r="BB201">
        <v>5.9126999999999999E-2</v>
      </c>
      <c r="BC201">
        <v>0.74980000000000002</v>
      </c>
      <c r="BD201">
        <v>67</v>
      </c>
      <c r="BE201" s="19">
        <v>5.94</v>
      </c>
      <c r="BF201" s="19">
        <v>9.81</v>
      </c>
      <c r="BG201" s="19">
        <v>9.31</v>
      </c>
      <c r="BH201" s="19">
        <v>7.79</v>
      </c>
      <c r="BI201" s="19">
        <v>8.08</v>
      </c>
      <c r="BJ201" s="19">
        <v>8.14</v>
      </c>
      <c r="BK201">
        <v>8.7475000000000005</v>
      </c>
      <c r="BM201" s="22" t="str">
        <f t="shared" si="15"/>
        <v/>
      </c>
      <c r="BN201" s="22" t="str">
        <f t="shared" si="16"/>
        <v/>
      </c>
      <c r="BO201" s="22" t="str">
        <f t="shared" si="17"/>
        <v/>
      </c>
      <c r="BP201" s="22" t="str">
        <f t="shared" si="14"/>
        <v/>
      </c>
    </row>
    <row r="202" spans="1:68" x14ac:dyDescent="0.25">
      <c r="A202">
        <v>1.1825E-2</v>
      </c>
      <c r="B202">
        <v>29</v>
      </c>
      <c r="C202" t="s">
        <v>315</v>
      </c>
      <c r="D202">
        <v>1995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1</v>
      </c>
      <c r="AH202">
        <v>0</v>
      </c>
      <c r="AI202">
        <v>0</v>
      </c>
      <c r="AJ202">
        <v>0</v>
      </c>
      <c r="AK202">
        <v>1</v>
      </c>
      <c r="AL202">
        <v>0</v>
      </c>
      <c r="AM202">
        <v>0</v>
      </c>
      <c r="AN202">
        <v>0.27296199999999998</v>
      </c>
      <c r="AO202">
        <v>0.398281</v>
      </c>
      <c r="AP202">
        <v>1.3621179999999999</v>
      </c>
      <c r="AQ202">
        <v>0.168104</v>
      </c>
      <c r="AR202">
        <v>4.9049999999999996E-3</v>
      </c>
      <c r="AS202">
        <v>1.0059E-2</v>
      </c>
      <c r="AT202">
        <v>0.339943</v>
      </c>
      <c r="AU202">
        <v>0.102811</v>
      </c>
      <c r="AV202">
        <v>2.0215000000000001</v>
      </c>
      <c r="AW202">
        <v>0.111924</v>
      </c>
      <c r="AX202">
        <v>3.1257E-2</v>
      </c>
      <c r="AY202">
        <v>259763.59375</v>
      </c>
      <c r="AZ202">
        <v>0.14679400000000001</v>
      </c>
      <c r="BA202">
        <v>12</v>
      </c>
      <c r="BB202">
        <v>6.5868999999999997E-2</v>
      </c>
      <c r="BC202">
        <v>0.76500000000000001</v>
      </c>
      <c r="BD202">
        <v>68.370002999999997</v>
      </c>
      <c r="BE202" s="19">
        <v>6.71</v>
      </c>
      <c r="BF202" s="19">
        <v>9.81</v>
      </c>
      <c r="BG202" s="19">
        <v>9.56</v>
      </c>
      <c r="BH202" s="19">
        <v>7.93</v>
      </c>
      <c r="BI202" s="19">
        <v>8.17</v>
      </c>
      <c r="BJ202" s="19">
        <v>8.41</v>
      </c>
      <c r="BK202">
        <v>8.8674999999999997</v>
      </c>
      <c r="BM202" s="22" t="str">
        <f t="shared" si="15"/>
        <v/>
      </c>
      <c r="BN202" s="22" t="str">
        <f t="shared" si="16"/>
        <v/>
      </c>
      <c r="BO202" s="22" t="str">
        <f t="shared" si="17"/>
        <v/>
      </c>
      <c r="BP202" s="22" t="str">
        <f t="shared" si="14"/>
        <v/>
      </c>
    </row>
    <row r="203" spans="1:68" x14ac:dyDescent="0.25">
      <c r="A203">
        <v>2.9430000000000001E-2</v>
      </c>
      <c r="B203">
        <v>29</v>
      </c>
      <c r="C203" t="s">
        <v>315</v>
      </c>
      <c r="D203">
        <v>2000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</v>
      </c>
      <c r="AH203">
        <v>0</v>
      </c>
      <c r="AI203">
        <v>0</v>
      </c>
      <c r="AJ203">
        <v>0</v>
      </c>
      <c r="AK203">
        <v>0</v>
      </c>
      <c r="AL203">
        <v>1</v>
      </c>
      <c r="AM203">
        <v>0</v>
      </c>
      <c r="AN203">
        <v>0.29110399999999997</v>
      </c>
      <c r="AO203">
        <v>0.37029499999999999</v>
      </c>
      <c r="AP203">
        <v>1.3619030000000001</v>
      </c>
      <c r="AQ203">
        <v>0.19085299999999999</v>
      </c>
      <c r="AR203">
        <v>2.9819999999999998E-3</v>
      </c>
      <c r="AS203">
        <v>1.5063999999999999E-2</v>
      </c>
      <c r="AT203">
        <v>0.34456199999999998</v>
      </c>
      <c r="AU203">
        <v>0.111489</v>
      </c>
      <c r="AV203">
        <v>2.0019</v>
      </c>
      <c r="AW203">
        <v>0.13353599999999999</v>
      </c>
      <c r="AX203">
        <v>2.4771999999999999E-2</v>
      </c>
      <c r="AY203">
        <v>275833.8125</v>
      </c>
      <c r="AZ203">
        <v>0.17357</v>
      </c>
      <c r="BA203">
        <v>12.18</v>
      </c>
      <c r="BB203">
        <v>4.6092000000000001E-2</v>
      </c>
      <c r="BC203">
        <v>0.78380000000000005</v>
      </c>
      <c r="BD203">
        <v>72.160004000000001</v>
      </c>
      <c r="BE203" s="19">
        <v>6.88</v>
      </c>
      <c r="BF203" s="19">
        <v>8.76</v>
      </c>
      <c r="BG203" s="19">
        <v>9.76</v>
      </c>
      <c r="BH203" s="19">
        <v>8.0299999999999994</v>
      </c>
      <c r="BI203" s="19">
        <v>8.2100000000000009</v>
      </c>
      <c r="BJ203" s="19">
        <v>8.33</v>
      </c>
      <c r="BK203">
        <v>8.69</v>
      </c>
      <c r="BM203" s="22" t="str">
        <f t="shared" si="15"/>
        <v/>
      </c>
      <c r="BN203" s="22" t="str">
        <f t="shared" si="16"/>
        <v/>
      </c>
      <c r="BO203" s="22">
        <f t="shared" si="17"/>
        <v>8.33</v>
      </c>
      <c r="BP203" s="22" t="str">
        <f t="shared" si="14"/>
        <v/>
      </c>
    </row>
    <row r="204" spans="1:68" x14ac:dyDescent="0.25">
      <c r="A204">
        <v>1.4E-2</v>
      </c>
      <c r="B204">
        <v>29</v>
      </c>
      <c r="C204" t="s">
        <v>315</v>
      </c>
      <c r="D204">
        <v>2005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1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1</v>
      </c>
      <c r="AN204">
        <v>0.26661200000000002</v>
      </c>
      <c r="AO204">
        <v>0.38089499999999998</v>
      </c>
      <c r="AP204">
        <v>1.3776790000000001</v>
      </c>
      <c r="AQ204">
        <v>0.18518100000000001</v>
      </c>
      <c r="AR204">
        <v>1.147E-3</v>
      </c>
      <c r="AS204">
        <v>9.2390000000000007E-3</v>
      </c>
      <c r="AT204">
        <v>0.33901199999999998</v>
      </c>
      <c r="AU204">
        <v>9.8832000000000003E-2</v>
      </c>
      <c r="AV204">
        <v>2.0365000000000002</v>
      </c>
      <c r="AW204">
        <v>0.14294899999999999</v>
      </c>
      <c r="AX204">
        <v>2.5505E-2</v>
      </c>
      <c r="AY204">
        <v>290912.5625</v>
      </c>
      <c r="AZ204">
        <v>0.13630600000000001</v>
      </c>
      <c r="BA204">
        <v>12.25</v>
      </c>
      <c r="BB204">
        <v>5.4246000000000003E-2</v>
      </c>
      <c r="BC204">
        <v>0.80120000000000002</v>
      </c>
      <c r="BD204">
        <v>74.980002999999996</v>
      </c>
      <c r="BE204" s="19">
        <v>7.53</v>
      </c>
      <c r="BF204" s="19">
        <v>9.23</v>
      </c>
      <c r="BG204" s="19">
        <v>9.7799999999999994</v>
      </c>
      <c r="BH204" s="19">
        <v>8.01</v>
      </c>
      <c r="BI204" s="19">
        <v>8.19</v>
      </c>
      <c r="BJ204" s="19">
        <v>8.5500000000000007</v>
      </c>
      <c r="BK204">
        <v>8.8024999999999984</v>
      </c>
      <c r="BM204" s="22" t="str">
        <f t="shared" si="15"/>
        <v/>
      </c>
      <c r="BN204" s="22" t="str">
        <f t="shared" si="16"/>
        <v/>
      </c>
      <c r="BO204" s="22" t="str">
        <f t="shared" si="17"/>
        <v/>
      </c>
      <c r="BP204" s="22" t="str">
        <f t="shared" si="14"/>
        <v/>
      </c>
    </row>
    <row r="205" spans="1:68" x14ac:dyDescent="0.25">
      <c r="BE205" s="19"/>
      <c r="BF205" s="19"/>
      <c r="BG205" s="19"/>
      <c r="BH205" s="19"/>
      <c r="BI205" s="19"/>
      <c r="BJ205" s="19"/>
      <c r="BK205" s="19"/>
      <c r="BM205" s="22">
        <f>AVERAGE(BM3:BM204)</f>
        <v>6.2907142857142864</v>
      </c>
      <c r="BN205" s="22">
        <f>AVERAGE(BN3:BN204)</f>
        <v>6.0449999999999999</v>
      </c>
      <c r="BO205" s="22">
        <f>AVERAGE(BO3:BO204)</f>
        <v>7.4475862068965526</v>
      </c>
      <c r="BP205" s="22">
        <f>AVERAGE(BP3:BP204)</f>
        <v>7.71</v>
      </c>
    </row>
    <row r="206" spans="1:68" x14ac:dyDescent="0.25">
      <c r="BE206" s="19"/>
      <c r="BF206" s="19"/>
      <c r="BG206" s="19"/>
      <c r="BI206" s="19"/>
      <c r="BJ206" s="19"/>
      <c r="BN206" t="s">
        <v>453</v>
      </c>
    </row>
    <row r="207" spans="1:68" x14ac:dyDescent="0.25">
      <c r="BE207" s="19"/>
      <c r="BF207" s="19"/>
      <c r="BG207" s="19"/>
      <c r="BI207" s="19"/>
      <c r="BJ207" s="19"/>
    </row>
    <row r="208" spans="1:68" x14ac:dyDescent="0.25">
      <c r="BE208" s="19"/>
      <c r="BF208" s="19"/>
      <c r="BG208" s="19"/>
      <c r="BI208" s="19"/>
      <c r="BJ208" s="19"/>
    </row>
    <row r="209" spans="57:62" x14ac:dyDescent="0.25">
      <c r="BE209" s="19"/>
      <c r="BF209" s="19"/>
      <c r="BG209" s="19"/>
      <c r="BI209" s="19"/>
      <c r="BJ209" s="19"/>
    </row>
    <row r="210" spans="57:62" x14ac:dyDescent="0.25">
      <c r="BE210" s="19"/>
      <c r="BF210" s="19"/>
      <c r="BG210" s="19"/>
      <c r="BI210" s="19"/>
      <c r="BJ210" s="19"/>
    </row>
    <row r="211" spans="57:62" x14ac:dyDescent="0.25">
      <c r="BE211" s="19"/>
      <c r="BF211" s="19"/>
      <c r="BG211" s="19"/>
      <c r="BI211" s="19"/>
      <c r="BJ211" s="19"/>
    </row>
    <row r="212" spans="57:62" x14ac:dyDescent="0.25">
      <c r="BE212" s="19"/>
      <c r="BF212" s="19"/>
      <c r="BG212" s="19"/>
      <c r="BI212" s="19"/>
      <c r="BJ212" s="19"/>
    </row>
    <row r="213" spans="57:62" x14ac:dyDescent="0.25">
      <c r="BE213" s="19"/>
      <c r="BF213" s="19"/>
      <c r="BG213" s="19"/>
      <c r="BI213" s="19"/>
      <c r="BJ213" s="19"/>
    </row>
    <row r="214" spans="57:62" x14ac:dyDescent="0.25">
      <c r="BE214" s="19"/>
      <c r="BF214" s="19"/>
      <c r="BG214" s="19"/>
      <c r="BI214" s="19"/>
      <c r="BJ214" s="19"/>
    </row>
    <row r="215" spans="57:62" x14ac:dyDescent="0.25">
      <c r="BE215" s="19"/>
      <c r="BF215" s="19"/>
      <c r="BG215" s="19"/>
      <c r="BI215" s="19"/>
      <c r="BJ215" s="19"/>
    </row>
    <row r="216" spans="57:62" x14ac:dyDescent="0.25">
      <c r="BE216" s="19"/>
      <c r="BF216" s="19"/>
      <c r="BG216" s="19"/>
      <c r="BI216" s="19"/>
      <c r="BJ216" s="19"/>
    </row>
    <row r="217" spans="57:62" x14ac:dyDescent="0.25">
      <c r="BE217" s="19"/>
      <c r="BF217" s="19"/>
      <c r="BG217" s="19"/>
      <c r="BI217" s="19"/>
      <c r="BJ217" s="19"/>
    </row>
    <row r="218" spans="57:62" x14ac:dyDescent="0.25">
      <c r="BE218" s="19"/>
      <c r="BF218" s="19"/>
      <c r="BG218" s="19"/>
      <c r="BI218" s="19"/>
      <c r="BJ218" s="19"/>
    </row>
    <row r="219" spans="57:62" x14ac:dyDescent="0.25">
      <c r="BE219" s="19"/>
      <c r="BF219" s="19"/>
      <c r="BG219" s="19"/>
      <c r="BI219" s="19"/>
      <c r="BJ219" s="19"/>
    </row>
    <row r="220" spans="57:62" x14ac:dyDescent="0.25">
      <c r="BE220" s="19"/>
      <c r="BF220" s="19"/>
      <c r="BG220" s="19"/>
      <c r="BI220" s="19"/>
      <c r="BJ220" s="19"/>
    </row>
    <row r="221" spans="57:62" x14ac:dyDescent="0.25">
      <c r="BE221" s="19"/>
      <c r="BF221" s="19"/>
      <c r="BG221" s="19"/>
      <c r="BI221" s="19"/>
      <c r="BJ221" s="19"/>
    </row>
    <row r="222" spans="57:62" x14ac:dyDescent="0.25">
      <c r="BE222" s="19"/>
      <c r="BF222" s="19"/>
      <c r="BG222" s="19"/>
      <c r="BI222" s="19"/>
      <c r="BJ222" s="19"/>
    </row>
    <row r="223" spans="57:62" x14ac:dyDescent="0.25">
      <c r="BE223" s="19"/>
      <c r="BF223" s="19"/>
      <c r="BG223" s="19"/>
      <c r="BI223" s="19"/>
      <c r="BJ223" s="19"/>
    </row>
    <row r="224" spans="57:62" x14ac:dyDescent="0.25">
      <c r="BE224" s="19"/>
      <c r="BF224" s="19"/>
      <c r="BG224" s="19"/>
      <c r="BI224" s="19"/>
      <c r="BJ224" s="19"/>
    </row>
    <row r="225" spans="57:62" x14ac:dyDescent="0.25">
      <c r="BE225" s="19"/>
      <c r="BF225" s="19"/>
      <c r="BG225" s="19"/>
      <c r="BI225" s="19"/>
      <c r="BJ225" s="19"/>
    </row>
    <row r="226" spans="57:62" x14ac:dyDescent="0.25">
      <c r="BE226" s="19"/>
      <c r="BF226" s="19"/>
      <c r="BG226" s="19"/>
      <c r="BI226" s="19"/>
      <c r="BJ226" s="19"/>
    </row>
    <row r="227" spans="57:62" x14ac:dyDescent="0.25">
      <c r="BE227" s="19"/>
      <c r="BF227" s="19"/>
      <c r="BG227" s="19"/>
      <c r="BI227" s="19"/>
      <c r="BJ227" s="19"/>
    </row>
    <row r="228" spans="57:62" x14ac:dyDescent="0.25">
      <c r="BE228" s="19"/>
      <c r="BF228" s="19"/>
      <c r="BG228" s="19"/>
      <c r="BI228" s="19"/>
      <c r="BJ228" s="19"/>
    </row>
    <row r="229" spans="57:62" x14ac:dyDescent="0.25">
      <c r="BE229" s="19"/>
      <c r="BF229" s="19"/>
      <c r="BG229" s="19"/>
      <c r="BI229" s="19"/>
      <c r="BJ229" s="19"/>
    </row>
    <row r="230" spans="57:62" x14ac:dyDescent="0.25">
      <c r="BE230" s="19"/>
      <c r="BF230" s="19"/>
      <c r="BG230" s="19"/>
      <c r="BI230" s="19"/>
      <c r="BJ230" s="19"/>
    </row>
    <row r="231" spans="57:62" x14ac:dyDescent="0.25">
      <c r="BE231" s="19"/>
      <c r="BF231" s="19"/>
      <c r="BG231" s="19"/>
      <c r="BI231" s="19"/>
      <c r="BJ231" s="19"/>
    </row>
    <row r="232" spans="57:62" x14ac:dyDescent="0.25">
      <c r="BE232" s="19"/>
      <c r="BF232" s="19"/>
      <c r="BG232" s="19"/>
      <c r="BI232" s="19"/>
      <c r="BJ232" s="19"/>
    </row>
    <row r="233" spans="57:62" x14ac:dyDescent="0.25">
      <c r="BE233" s="19"/>
      <c r="BF233" s="19"/>
      <c r="BG233" s="19"/>
      <c r="BI233" s="19"/>
      <c r="BJ233" s="19"/>
    </row>
    <row r="234" spans="57:62" x14ac:dyDescent="0.25">
      <c r="BE234" s="19"/>
      <c r="BF234" s="19"/>
      <c r="BG234" s="19"/>
      <c r="BI234" s="19"/>
      <c r="BJ234" s="19"/>
    </row>
    <row r="235" spans="57:62" x14ac:dyDescent="0.25">
      <c r="BE235" s="19"/>
      <c r="BF235" s="19"/>
      <c r="BG235" s="19"/>
      <c r="BI235" s="19"/>
      <c r="BJ235" s="19"/>
    </row>
    <row r="236" spans="57:62" x14ac:dyDescent="0.25">
      <c r="BE236" s="19"/>
      <c r="BF236" s="19"/>
      <c r="BG236" s="19"/>
      <c r="BI236" s="19"/>
      <c r="BJ236" s="19"/>
    </row>
    <row r="237" spans="57:62" x14ac:dyDescent="0.25">
      <c r="BE237" s="19"/>
      <c r="BF237" s="19"/>
      <c r="BG237" s="19"/>
      <c r="BI237" s="19"/>
      <c r="BJ237" s="19"/>
    </row>
    <row r="238" spans="57:62" x14ac:dyDescent="0.25">
      <c r="BE238" s="19"/>
      <c r="BF238" s="19"/>
      <c r="BG238" s="19"/>
      <c r="BI238" s="19"/>
      <c r="BJ238" s="19"/>
    </row>
    <row r="239" spans="57:62" x14ac:dyDescent="0.25">
      <c r="BE239" s="19"/>
      <c r="BF239" s="19"/>
      <c r="BG239" s="19"/>
      <c r="BI239" s="19"/>
      <c r="BJ239" s="19"/>
    </row>
    <row r="240" spans="57:62" x14ac:dyDescent="0.25">
      <c r="BE240" s="19"/>
      <c r="BF240" s="19"/>
      <c r="BG240" s="19"/>
      <c r="BI240" s="19"/>
      <c r="BJ240" s="19"/>
    </row>
    <row r="241" spans="57:62" x14ac:dyDescent="0.25">
      <c r="BE241" s="19"/>
      <c r="BF241" s="19"/>
      <c r="BG241" s="19"/>
      <c r="BI241" s="19"/>
      <c r="BJ241" s="19"/>
    </row>
    <row r="242" spans="57:62" x14ac:dyDescent="0.25">
      <c r="BE242" s="19"/>
      <c r="BF242" s="19"/>
      <c r="BG242" s="19"/>
      <c r="BI242" s="19"/>
      <c r="BJ242" s="19"/>
    </row>
    <row r="243" spans="57:62" x14ac:dyDescent="0.25">
      <c r="BE243" s="19"/>
      <c r="BF243" s="19"/>
      <c r="BG243" s="19"/>
      <c r="BI243" s="19"/>
      <c r="BJ243" s="19"/>
    </row>
    <row r="244" spans="57:62" x14ac:dyDescent="0.25">
      <c r="BE244" s="19"/>
      <c r="BF244" s="19"/>
      <c r="BG244" s="19"/>
      <c r="BI244" s="19"/>
      <c r="BJ244" s="19"/>
    </row>
    <row r="245" spans="57:62" x14ac:dyDescent="0.25">
      <c r="BE245" s="19"/>
      <c r="BF245" s="19"/>
      <c r="BG245" s="19"/>
      <c r="BI245" s="19"/>
      <c r="BJ245" s="19"/>
    </row>
    <row r="246" spans="57:62" x14ac:dyDescent="0.25">
      <c r="BE246" s="19"/>
      <c r="BF246" s="19"/>
      <c r="BG246" s="19"/>
      <c r="BI246" s="19"/>
      <c r="BJ246" s="19"/>
    </row>
    <row r="247" spans="57:62" x14ac:dyDescent="0.25">
      <c r="BE247" s="19"/>
      <c r="BF247" s="19"/>
      <c r="BG247" s="19"/>
      <c r="BI247" s="19"/>
      <c r="BJ247" s="19"/>
    </row>
    <row r="248" spans="57:62" x14ac:dyDescent="0.25">
      <c r="BE248" s="19"/>
      <c r="BF248" s="19"/>
      <c r="BG248" s="19"/>
      <c r="BI248" s="19"/>
      <c r="BJ248" s="19"/>
    </row>
    <row r="249" spans="57:62" x14ac:dyDescent="0.25">
      <c r="BE249" s="19"/>
      <c r="BF249" s="19"/>
      <c r="BG249" s="19"/>
      <c r="BI249" s="19"/>
      <c r="BJ249" s="19"/>
    </row>
    <row r="250" spans="57:62" x14ac:dyDescent="0.25">
      <c r="BE250" s="19"/>
      <c r="BF250" s="19"/>
      <c r="BG250" s="19"/>
      <c r="BI250" s="19"/>
      <c r="BJ250" s="19"/>
    </row>
    <row r="251" spans="57:62" x14ac:dyDescent="0.25">
      <c r="BE251" s="19"/>
      <c r="BF251" s="19"/>
      <c r="BG251" s="19"/>
      <c r="BI251" s="19"/>
      <c r="BJ251" s="19"/>
    </row>
    <row r="252" spans="57:62" x14ac:dyDescent="0.25">
      <c r="BE252" s="19"/>
      <c r="BF252" s="19"/>
      <c r="BG252" s="19"/>
      <c r="BI252" s="19"/>
      <c r="BJ252" s="19"/>
    </row>
    <row r="253" spans="57:62" x14ac:dyDescent="0.25">
      <c r="BE253" s="19"/>
      <c r="BF253" s="19"/>
      <c r="BG253" s="19"/>
      <c r="BI253" s="19"/>
      <c r="BJ253" s="19"/>
    </row>
    <row r="254" spans="57:62" x14ac:dyDescent="0.25">
      <c r="BE254" s="19"/>
      <c r="BF254" s="19"/>
      <c r="BG254" s="19"/>
      <c r="BI254" s="19"/>
      <c r="BJ254" s="19"/>
    </row>
    <row r="255" spans="57:62" x14ac:dyDescent="0.25">
      <c r="BE255" s="19"/>
      <c r="BF255" s="19"/>
      <c r="BG255" s="19"/>
      <c r="BI255" s="19"/>
      <c r="BJ255" s="19"/>
    </row>
    <row r="256" spans="57:62" x14ac:dyDescent="0.25">
      <c r="BE256" s="19"/>
      <c r="BF256" s="19"/>
      <c r="BG256" s="19"/>
      <c r="BI256" s="19"/>
      <c r="BJ256" s="19"/>
    </row>
    <row r="257" spans="57:62" x14ac:dyDescent="0.25">
      <c r="BE257" s="19"/>
      <c r="BF257" s="19"/>
      <c r="BG257" s="19"/>
      <c r="BI257" s="19"/>
      <c r="BJ257" s="19"/>
    </row>
    <row r="258" spans="57:62" x14ac:dyDescent="0.25">
      <c r="BE258" s="19"/>
      <c r="BF258" s="19"/>
      <c r="BG258" s="19"/>
      <c r="BI258" s="19"/>
      <c r="BJ258" s="19"/>
    </row>
    <row r="259" spans="57:62" x14ac:dyDescent="0.25">
      <c r="BE259" s="19"/>
      <c r="BF259" s="19"/>
      <c r="BG259" s="19"/>
      <c r="BI259" s="19"/>
      <c r="BJ259" s="19"/>
    </row>
    <row r="260" spans="57:62" x14ac:dyDescent="0.25">
      <c r="BE260" s="19"/>
      <c r="BF260" s="19"/>
      <c r="BG260" s="19"/>
      <c r="BI260" s="19"/>
      <c r="BJ260" s="19"/>
    </row>
    <row r="261" spans="57:62" x14ac:dyDescent="0.25">
      <c r="BE261" s="19"/>
      <c r="BF261" s="19"/>
      <c r="BG261" s="19"/>
      <c r="BI261" s="19"/>
      <c r="BJ261" s="19"/>
    </row>
    <row r="262" spans="57:62" x14ac:dyDescent="0.25">
      <c r="BE262" s="19"/>
      <c r="BF262" s="19"/>
      <c r="BG262" s="19"/>
      <c r="BI262" s="19"/>
      <c r="BJ262" s="19"/>
    </row>
    <row r="263" spans="57:62" x14ac:dyDescent="0.25">
      <c r="BE263" s="19"/>
      <c r="BF263" s="19"/>
      <c r="BG263" s="19"/>
      <c r="BI263" s="19"/>
      <c r="BJ263" s="19"/>
    </row>
    <row r="264" spans="57:62" x14ac:dyDescent="0.25">
      <c r="BE264" s="19"/>
      <c r="BF264" s="19"/>
      <c r="BG264" s="19"/>
      <c r="BI264" s="19"/>
      <c r="BJ264" s="19"/>
    </row>
    <row r="265" spans="57:62" x14ac:dyDescent="0.25">
      <c r="BE265" s="19"/>
      <c r="BF265" s="19"/>
      <c r="BG265" s="19"/>
      <c r="BI265" s="19"/>
      <c r="BJ265" s="19"/>
    </row>
    <row r="266" spans="57:62" x14ac:dyDescent="0.25">
      <c r="BE266" s="19"/>
      <c r="BF266" s="19"/>
      <c r="BG266" s="19"/>
      <c r="BI266" s="19"/>
      <c r="BJ266" s="19"/>
    </row>
    <row r="267" spans="57:62" x14ac:dyDescent="0.25">
      <c r="BE267" s="19"/>
      <c r="BF267" s="19"/>
      <c r="BG267" s="19"/>
      <c r="BI267" s="19"/>
      <c r="BJ267" s="19"/>
    </row>
    <row r="268" spans="57:62" x14ac:dyDescent="0.25">
      <c r="BE268" s="19"/>
      <c r="BF268" s="19"/>
      <c r="BG268" s="19"/>
      <c r="BI268" s="19"/>
      <c r="BJ268" s="19"/>
    </row>
    <row r="269" spans="57:62" x14ac:dyDescent="0.25">
      <c r="BE269" s="19"/>
      <c r="BF269" s="19"/>
      <c r="BG269" s="19"/>
      <c r="BI269" s="19"/>
      <c r="BJ269" s="19"/>
    </row>
    <row r="270" spans="57:62" x14ac:dyDescent="0.25">
      <c r="BE270" s="19"/>
      <c r="BF270" s="19"/>
      <c r="BG270" s="19"/>
      <c r="BI270" s="19"/>
      <c r="BJ270" s="19"/>
    </row>
    <row r="271" spans="57:62" x14ac:dyDescent="0.25">
      <c r="BE271" s="19"/>
      <c r="BF271" s="19"/>
      <c r="BG271" s="19"/>
      <c r="BI271" s="19"/>
      <c r="BJ271" s="19"/>
    </row>
    <row r="272" spans="57:62" x14ac:dyDescent="0.25">
      <c r="BE272" s="19"/>
      <c r="BF272" s="19"/>
      <c r="BG272" s="19"/>
      <c r="BI272" s="19"/>
      <c r="BJ272" s="19"/>
    </row>
    <row r="273" spans="57:62" x14ac:dyDescent="0.25">
      <c r="BE273" s="19"/>
      <c r="BF273" s="19"/>
      <c r="BG273" s="19"/>
      <c r="BI273" s="19"/>
      <c r="BJ273" s="19"/>
    </row>
    <row r="274" spans="57:62" x14ac:dyDescent="0.25">
      <c r="BE274" s="19"/>
      <c r="BF274" s="19"/>
      <c r="BG274" s="19"/>
      <c r="BI274" s="19"/>
      <c r="BJ274" s="19"/>
    </row>
    <row r="275" spans="57:62" x14ac:dyDescent="0.25">
      <c r="BE275" s="19"/>
      <c r="BF275" s="19"/>
      <c r="BG275" s="19"/>
      <c r="BI275" s="19"/>
      <c r="BJ275" s="19"/>
    </row>
    <row r="276" spans="57:62" x14ac:dyDescent="0.25">
      <c r="BE276" s="19"/>
      <c r="BF276" s="19"/>
      <c r="BG276" s="19"/>
      <c r="BI276" s="19"/>
      <c r="BJ276" s="19"/>
    </row>
    <row r="277" spans="57:62" x14ac:dyDescent="0.25">
      <c r="BE277" s="19"/>
      <c r="BF277" s="19"/>
      <c r="BG277" s="19"/>
      <c r="BI277" s="19"/>
      <c r="BJ277" s="19"/>
    </row>
    <row r="278" spans="57:62" x14ac:dyDescent="0.25">
      <c r="BE278" s="19"/>
      <c r="BF278" s="19"/>
      <c r="BG278" s="19"/>
      <c r="BI278" s="19"/>
      <c r="BJ278" s="19"/>
    </row>
    <row r="279" spans="57:62" x14ac:dyDescent="0.25">
      <c r="BE279" s="19"/>
      <c r="BF279" s="19"/>
      <c r="BG279" s="19"/>
      <c r="BI279" s="19"/>
      <c r="BJ279" s="19"/>
    </row>
    <row r="280" spans="57:62" x14ac:dyDescent="0.25">
      <c r="BE280" s="19"/>
      <c r="BF280" s="19"/>
      <c r="BG280" s="19"/>
      <c r="BI280" s="19"/>
      <c r="BJ280" s="19"/>
    </row>
    <row r="281" spans="57:62" x14ac:dyDescent="0.25">
      <c r="BE281" s="19"/>
      <c r="BF281" s="19"/>
      <c r="BG281" s="19"/>
      <c r="BI281" s="19"/>
      <c r="BJ281" s="19"/>
    </row>
    <row r="282" spans="57:62" x14ac:dyDescent="0.25">
      <c r="BE282" s="19"/>
      <c r="BF282" s="19"/>
      <c r="BG282" s="19"/>
      <c r="BI282" s="19"/>
      <c r="BJ282" s="19"/>
    </row>
    <row r="283" spans="57:62" x14ac:dyDescent="0.25">
      <c r="BE283" s="19"/>
      <c r="BF283" s="19"/>
      <c r="BG283" s="19"/>
      <c r="BI283" s="19"/>
      <c r="BJ283" s="19"/>
    </row>
    <row r="284" spans="57:62" x14ac:dyDescent="0.25">
      <c r="BE284" s="19"/>
      <c r="BF284" s="19"/>
      <c r="BG284" s="19"/>
      <c r="BI284" s="19"/>
      <c r="BJ284" s="19"/>
    </row>
    <row r="285" spans="57:62" x14ac:dyDescent="0.25">
      <c r="BE285" s="19"/>
      <c r="BF285" s="19"/>
      <c r="BG285" s="19"/>
      <c r="BI285" s="19"/>
      <c r="BJ285" s="19"/>
    </row>
    <row r="286" spans="57:62" x14ac:dyDescent="0.25">
      <c r="BE286" s="19"/>
      <c r="BF286" s="19"/>
      <c r="BG286" s="19"/>
      <c r="BI286" s="19"/>
      <c r="BJ286" s="19"/>
    </row>
    <row r="287" spans="57:62" x14ac:dyDescent="0.25">
      <c r="BE287" s="19"/>
      <c r="BF287" s="19"/>
      <c r="BG287" s="19"/>
      <c r="BI287" s="19"/>
      <c r="BJ287" s="19"/>
    </row>
    <row r="288" spans="57:62" x14ac:dyDescent="0.25">
      <c r="BE288" s="19"/>
      <c r="BF288" s="19"/>
      <c r="BG288" s="19"/>
      <c r="BI288" s="19"/>
      <c r="BJ288" s="19"/>
    </row>
    <row r="289" spans="57:62" x14ac:dyDescent="0.25">
      <c r="BE289" s="19"/>
      <c r="BF289" s="19"/>
      <c r="BG289" s="19"/>
      <c r="BI289" s="19"/>
      <c r="BJ289" s="19"/>
    </row>
    <row r="290" spans="57:62" x14ac:dyDescent="0.25">
      <c r="BE290" s="19"/>
      <c r="BF290" s="19"/>
      <c r="BG290" s="19"/>
      <c r="BI290" s="19"/>
      <c r="BJ290" s="19"/>
    </row>
    <row r="291" spans="57:62" x14ac:dyDescent="0.25">
      <c r="BE291" s="19"/>
      <c r="BF291" s="19"/>
      <c r="BG291" s="19"/>
      <c r="BI291" s="19"/>
      <c r="BJ291" s="19"/>
    </row>
    <row r="292" spans="57:62" x14ac:dyDescent="0.25">
      <c r="BE292" s="19"/>
      <c r="BF292" s="19"/>
      <c r="BG292" s="19"/>
      <c r="BI292" s="19"/>
      <c r="BJ292" s="19"/>
    </row>
    <row r="293" spans="57:62" x14ac:dyDescent="0.25">
      <c r="BE293" s="19"/>
      <c r="BF293" s="19"/>
      <c r="BG293" s="19"/>
      <c r="BI293" s="19"/>
      <c r="BJ293" s="19"/>
    </row>
    <row r="294" spans="57:62" x14ac:dyDescent="0.25">
      <c r="BE294" s="19"/>
      <c r="BF294" s="19"/>
      <c r="BG294" s="19"/>
      <c r="BI294" s="19"/>
      <c r="BJ294" s="19"/>
    </row>
    <row r="295" spans="57:62" x14ac:dyDescent="0.25">
      <c r="BE295" s="19"/>
      <c r="BF295" s="19"/>
      <c r="BG295" s="19"/>
      <c r="BI295" s="19"/>
      <c r="BJ295" s="19"/>
    </row>
    <row r="296" spans="57:62" x14ac:dyDescent="0.25">
      <c r="BE296" s="19"/>
      <c r="BF296" s="19"/>
      <c r="BG296" s="19"/>
      <c r="BI296" s="19"/>
      <c r="BJ296" s="19"/>
    </row>
    <row r="297" spans="57:62" x14ac:dyDescent="0.25">
      <c r="BE297" s="19"/>
      <c r="BF297" s="19"/>
      <c r="BG297" s="19"/>
      <c r="BI297" s="19"/>
      <c r="BJ297" s="1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selection activeCell="G7" sqref="G7"/>
    </sheetView>
  </sheetViews>
  <sheetFormatPr defaultRowHeight="15" x14ac:dyDescent="0.25"/>
  <cols>
    <col min="2" max="2" width="4.42578125" bestFit="1" customWidth="1"/>
    <col min="3" max="3" width="6" bestFit="1" customWidth="1"/>
    <col min="4" max="4" width="5.7109375" bestFit="1" customWidth="1"/>
    <col min="5" max="5" width="6" bestFit="1" customWidth="1"/>
    <col min="6" max="6" width="6.140625" bestFit="1" customWidth="1"/>
    <col min="7" max="7" width="44" customWidth="1"/>
  </cols>
  <sheetData>
    <row r="1" spans="1:7" x14ac:dyDescent="0.25">
      <c r="A1" s="29" t="s">
        <v>18</v>
      </c>
      <c r="B1" s="30" t="s">
        <v>424</v>
      </c>
      <c r="C1" s="30" t="s">
        <v>20</v>
      </c>
      <c r="D1" s="30" t="s">
        <v>447</v>
      </c>
      <c r="E1" s="30" t="s">
        <v>20</v>
      </c>
      <c r="F1" s="30" t="s">
        <v>427</v>
      </c>
      <c r="G1" s="31" t="s">
        <v>428</v>
      </c>
    </row>
    <row r="2" spans="1:7" x14ac:dyDescent="0.25">
      <c r="A2" s="32" t="s">
        <v>57</v>
      </c>
      <c r="B2" s="26">
        <v>145</v>
      </c>
      <c r="C2" s="27">
        <v>2.8110199999999998E-2</v>
      </c>
      <c r="D2" s="27">
        <v>1.9923400000000001E-2</v>
      </c>
      <c r="E2" s="27">
        <v>-1.0269E-2</v>
      </c>
      <c r="F2" s="27">
        <v>8.9470400000000005E-2</v>
      </c>
      <c r="G2" s="33" t="s">
        <v>429</v>
      </c>
    </row>
    <row r="3" spans="1:7" x14ac:dyDescent="0.25">
      <c r="A3" s="32" t="s">
        <v>58</v>
      </c>
      <c r="B3" s="26">
        <v>145</v>
      </c>
      <c r="C3" s="27">
        <v>0.32337739999999998</v>
      </c>
      <c r="D3" s="27">
        <v>0.10621650000000001</v>
      </c>
      <c r="E3" s="27">
        <v>7.2277300000000003E-2</v>
      </c>
      <c r="F3" s="27">
        <v>0.54759999999999998</v>
      </c>
      <c r="G3" s="34" t="s">
        <v>430</v>
      </c>
    </row>
    <row r="4" spans="1:7" x14ac:dyDescent="0.25">
      <c r="A4" s="32" t="s">
        <v>114</v>
      </c>
      <c r="B4" s="26">
        <v>139</v>
      </c>
      <c r="C4" s="27">
        <v>0.39584819999999998</v>
      </c>
      <c r="D4" s="27">
        <v>0.13195090000000001</v>
      </c>
      <c r="E4" s="27">
        <v>0.1260792</v>
      </c>
      <c r="F4" s="27">
        <v>0.75047169999999996</v>
      </c>
      <c r="G4" s="33" t="s">
        <v>431</v>
      </c>
    </row>
    <row r="5" spans="1:7" ht="10.5" customHeight="1" x14ac:dyDescent="0.25">
      <c r="A5" s="32"/>
      <c r="B5" s="26"/>
      <c r="C5" s="27"/>
      <c r="D5" s="27"/>
      <c r="E5" s="27"/>
      <c r="F5" s="27"/>
      <c r="G5" s="33"/>
    </row>
    <row r="6" spans="1:7" x14ac:dyDescent="0.25">
      <c r="A6" s="32" t="s">
        <v>63</v>
      </c>
      <c r="B6" s="26">
        <v>145</v>
      </c>
      <c r="C6" s="27">
        <v>0.89796849999999995</v>
      </c>
      <c r="D6" s="27">
        <v>0.29420859999999999</v>
      </c>
      <c r="E6" s="27">
        <v>0.18944</v>
      </c>
      <c r="F6" s="27">
        <v>1.54</v>
      </c>
      <c r="G6" s="33" t="s">
        <v>452</v>
      </c>
    </row>
    <row r="7" spans="1:7" x14ac:dyDescent="0.25">
      <c r="A7" s="32" t="s">
        <v>75</v>
      </c>
      <c r="B7" s="26">
        <v>145</v>
      </c>
      <c r="C7" s="27">
        <v>0.23178209999999999</v>
      </c>
      <c r="D7" s="27">
        <v>4.92878E-2</v>
      </c>
      <c r="E7" s="27">
        <v>0.15179999999999999</v>
      </c>
      <c r="F7" s="27">
        <v>0.4570554</v>
      </c>
      <c r="G7" s="33" t="s">
        <v>432</v>
      </c>
    </row>
    <row r="8" spans="1:7" x14ac:dyDescent="0.25">
      <c r="A8" s="32" t="s">
        <v>87</v>
      </c>
      <c r="B8" s="26">
        <v>145</v>
      </c>
      <c r="C8" s="27">
        <v>1.38283E-2</v>
      </c>
      <c r="D8" s="27">
        <v>1.5767099999999999E-2</v>
      </c>
      <c r="E8" s="27">
        <v>-3.3703400000000001E-2</v>
      </c>
      <c r="F8" s="27">
        <v>8.1165399999999999E-2</v>
      </c>
      <c r="G8" s="33" t="s">
        <v>433</v>
      </c>
    </row>
    <row r="9" spans="1:7" x14ac:dyDescent="0.25">
      <c r="A9" s="32" t="s">
        <v>97</v>
      </c>
      <c r="B9" s="26">
        <v>145</v>
      </c>
      <c r="C9" s="27">
        <v>1.39481E-2</v>
      </c>
      <c r="D9" s="27">
        <v>1.10002E-2</v>
      </c>
      <c r="E9" s="27">
        <v>-1.06125E-2</v>
      </c>
      <c r="F9" s="27">
        <v>4.8658300000000002E-2</v>
      </c>
      <c r="G9" s="33" t="s">
        <v>434</v>
      </c>
    </row>
    <row r="10" spans="1:7" x14ac:dyDescent="0.25">
      <c r="A10" s="32"/>
      <c r="B10" s="26"/>
      <c r="C10" s="27"/>
      <c r="D10" s="27"/>
      <c r="E10" s="27"/>
      <c r="F10" s="27"/>
      <c r="G10" s="33"/>
    </row>
    <row r="11" spans="1:7" x14ac:dyDescent="0.25">
      <c r="A11" s="32" t="s">
        <v>270</v>
      </c>
      <c r="B11" s="26">
        <v>145</v>
      </c>
      <c r="C11" s="27">
        <v>0.35433130000000002</v>
      </c>
      <c r="D11" s="27">
        <v>3.2677499999999998E-2</v>
      </c>
      <c r="E11" s="27">
        <v>0.2921627</v>
      </c>
      <c r="F11" s="27">
        <v>0.46190589999999998</v>
      </c>
      <c r="G11" s="33" t="s">
        <v>437</v>
      </c>
    </row>
    <row r="12" spans="1:7" ht="24" x14ac:dyDescent="0.25">
      <c r="A12" s="32" t="s">
        <v>271</v>
      </c>
      <c r="B12" s="26">
        <v>145</v>
      </c>
      <c r="C12" s="27">
        <v>0.3915631</v>
      </c>
      <c r="D12" s="27">
        <v>0.28076719999999999</v>
      </c>
      <c r="E12" s="27">
        <v>7.1212999999999999E-2</v>
      </c>
      <c r="F12" s="27">
        <v>1.4169</v>
      </c>
      <c r="G12" s="33" t="s">
        <v>438</v>
      </c>
    </row>
    <row r="13" spans="1:7" x14ac:dyDescent="0.25">
      <c r="A13" s="32" t="s">
        <v>272</v>
      </c>
      <c r="B13" s="26">
        <v>145</v>
      </c>
      <c r="C13" s="27">
        <v>1.943692</v>
      </c>
      <c r="D13" s="27">
        <v>0.52248419999999995</v>
      </c>
      <c r="E13" s="27">
        <v>1.23194</v>
      </c>
      <c r="F13" s="27">
        <v>4.1100000000000003</v>
      </c>
      <c r="G13" s="33" t="s">
        <v>439</v>
      </c>
    </row>
    <row r="14" spans="1:7" ht="24" x14ac:dyDescent="0.25">
      <c r="A14" s="32" t="s">
        <v>273</v>
      </c>
      <c r="B14" s="26">
        <v>145</v>
      </c>
      <c r="C14" s="27">
        <v>0.40694019999999997</v>
      </c>
      <c r="D14" s="27">
        <v>0.30600430000000001</v>
      </c>
      <c r="E14" s="27">
        <v>7.0058499999999996E-2</v>
      </c>
      <c r="F14" s="27">
        <v>1.7395700000000001</v>
      </c>
      <c r="G14" s="33" t="s">
        <v>440</v>
      </c>
    </row>
    <row r="15" spans="1:7" x14ac:dyDescent="0.25">
      <c r="A15" s="32" t="s">
        <v>274</v>
      </c>
      <c r="B15" s="26">
        <v>145</v>
      </c>
      <c r="C15" s="27">
        <v>0.1042878</v>
      </c>
      <c r="D15" s="27">
        <v>0.1884604</v>
      </c>
      <c r="E15" s="27">
        <v>7.4152000000000003E-3</v>
      </c>
      <c r="F15" s="27">
        <v>2.1233200000000001</v>
      </c>
      <c r="G15" s="33" t="s">
        <v>441</v>
      </c>
    </row>
    <row r="16" spans="1:7" x14ac:dyDescent="0.25">
      <c r="A16" s="32" t="s">
        <v>275</v>
      </c>
      <c r="B16" s="26">
        <v>145</v>
      </c>
      <c r="C16" s="28">
        <v>28410.55</v>
      </c>
      <c r="D16" s="28">
        <v>47950.41</v>
      </c>
      <c r="E16" s="28">
        <v>212</v>
      </c>
      <c r="F16" s="28">
        <v>257988</v>
      </c>
      <c r="G16" s="33" t="s">
        <v>442</v>
      </c>
    </row>
    <row r="17" spans="1:7" x14ac:dyDescent="0.25">
      <c r="A17" s="32" t="s">
        <v>276</v>
      </c>
      <c r="B17" s="26">
        <v>139</v>
      </c>
      <c r="C17" s="27">
        <v>0.2410072</v>
      </c>
      <c r="D17" s="27">
        <v>7.6376100000000002E-2</v>
      </c>
      <c r="E17" s="27">
        <v>0.13400000000000001</v>
      </c>
      <c r="F17" s="27">
        <v>0.49259999999999998</v>
      </c>
      <c r="G17" s="33" t="s">
        <v>443</v>
      </c>
    </row>
    <row r="18" spans="1:7" x14ac:dyDescent="0.25">
      <c r="A18" s="32" t="s">
        <v>277</v>
      </c>
      <c r="B18" s="26">
        <v>145</v>
      </c>
      <c r="C18" s="27">
        <v>7.5516550000000002</v>
      </c>
      <c r="D18" s="27">
        <v>2.097801</v>
      </c>
      <c r="E18" s="27">
        <v>2.44</v>
      </c>
      <c r="F18" s="27">
        <v>12</v>
      </c>
      <c r="G18" s="33" t="s">
        <v>444</v>
      </c>
    </row>
    <row r="19" spans="1:7" x14ac:dyDescent="0.25">
      <c r="A19" s="32" t="s">
        <v>278</v>
      </c>
      <c r="B19" s="26">
        <v>120</v>
      </c>
      <c r="C19" s="27">
        <v>5.8290599999999998E-2</v>
      </c>
      <c r="D19" s="27">
        <v>4.1845399999999998E-2</v>
      </c>
      <c r="E19" s="27">
        <v>6.8199999999999999E-4</v>
      </c>
      <c r="F19" s="27">
        <v>0.20980799999999999</v>
      </c>
      <c r="G19" s="33" t="s">
        <v>445</v>
      </c>
    </row>
    <row r="20" spans="1:7" x14ac:dyDescent="0.25">
      <c r="A20" s="32" t="s">
        <v>279</v>
      </c>
      <c r="B20" s="26">
        <v>139</v>
      </c>
      <c r="C20" s="27">
        <v>0.73883920000000003</v>
      </c>
      <c r="D20" s="27">
        <v>0.1660749</v>
      </c>
      <c r="E20" s="27">
        <v>0.26979999999999998</v>
      </c>
      <c r="F20" s="27">
        <v>1.0001</v>
      </c>
      <c r="G20" s="33" t="s">
        <v>446</v>
      </c>
    </row>
    <row r="21" spans="1:7" x14ac:dyDescent="0.25">
      <c r="A21" s="32" t="s">
        <v>119</v>
      </c>
      <c r="B21" s="26">
        <v>135</v>
      </c>
      <c r="C21" s="27">
        <v>62.722299999999997</v>
      </c>
      <c r="D21" s="27">
        <v>12.924799999999999</v>
      </c>
      <c r="E21" s="27">
        <v>27.23</v>
      </c>
      <c r="F21" s="27">
        <v>83.28</v>
      </c>
      <c r="G21" s="33" t="s">
        <v>435</v>
      </c>
    </row>
    <row r="22" spans="1:7" ht="24" x14ac:dyDescent="0.25">
      <c r="A22" s="32" t="s">
        <v>105</v>
      </c>
      <c r="B22" s="26">
        <v>145</v>
      </c>
      <c r="C22" s="27">
        <v>7.1969659999999998</v>
      </c>
      <c r="D22" s="27">
        <v>1.16204</v>
      </c>
      <c r="E22" s="27">
        <v>4.1900000000000004</v>
      </c>
      <c r="F22" s="27">
        <v>9.14</v>
      </c>
      <c r="G22" s="33" t="s">
        <v>436</v>
      </c>
    </row>
    <row r="23" spans="1:7" x14ac:dyDescent="0.25">
      <c r="A23" s="32" t="s">
        <v>420</v>
      </c>
      <c r="B23" s="26">
        <v>137</v>
      </c>
      <c r="C23" s="27">
        <v>8.2432119999999998</v>
      </c>
      <c r="D23" s="27">
        <v>1.540208</v>
      </c>
      <c r="E23" s="27">
        <v>1.58</v>
      </c>
      <c r="F23" s="27">
        <v>9.89</v>
      </c>
      <c r="G23" s="35" t="s">
        <v>448</v>
      </c>
    </row>
    <row r="24" spans="1:7" x14ac:dyDescent="0.25">
      <c r="A24" s="32" t="s">
        <v>421</v>
      </c>
      <c r="B24" s="26">
        <v>144</v>
      </c>
      <c r="C24" s="27">
        <v>7.2324310000000001</v>
      </c>
      <c r="D24" s="27">
        <v>1.8354330000000001</v>
      </c>
      <c r="E24" s="27">
        <v>1.25</v>
      </c>
      <c r="F24" s="27">
        <v>9.7100000000000009</v>
      </c>
      <c r="G24" s="35" t="s">
        <v>449</v>
      </c>
    </row>
    <row r="25" spans="1:7" x14ac:dyDescent="0.25">
      <c r="A25" s="32" t="s">
        <v>422</v>
      </c>
      <c r="B25" s="26">
        <v>143</v>
      </c>
      <c r="C25" s="27">
        <v>7.0843360000000004</v>
      </c>
      <c r="D25" s="27">
        <v>1.3061469999999999</v>
      </c>
      <c r="E25" s="27">
        <v>3.62</v>
      </c>
      <c r="F25" s="27">
        <v>9.76</v>
      </c>
      <c r="G25" s="35" t="s">
        <v>450</v>
      </c>
    </row>
    <row r="26" spans="1:7" x14ac:dyDescent="0.25">
      <c r="A26" s="36" t="s">
        <v>423</v>
      </c>
      <c r="B26" s="37">
        <v>140</v>
      </c>
      <c r="C26" s="38">
        <v>6.3659290000000004</v>
      </c>
      <c r="D26" s="38">
        <v>1.1912659999999999</v>
      </c>
      <c r="E26" s="38">
        <v>3.71</v>
      </c>
      <c r="F26" s="38">
        <v>8.85</v>
      </c>
      <c r="G26" s="39" t="s">
        <v>451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selection activeCell="F25" sqref="A1:F25"/>
    </sheetView>
  </sheetViews>
  <sheetFormatPr defaultRowHeight="15" x14ac:dyDescent="0.25"/>
  <cols>
    <col min="3" max="4" width="9.5703125" bestFit="1" customWidth="1"/>
    <col min="5" max="5" width="9.42578125" bestFit="1" customWidth="1"/>
    <col min="6" max="6" width="10.5703125" bestFit="1" customWidth="1"/>
  </cols>
  <sheetData>
    <row r="1" spans="1:6" x14ac:dyDescent="0.25">
      <c r="A1" t="s">
        <v>18</v>
      </c>
      <c r="B1" t="s">
        <v>424</v>
      </c>
      <c r="C1" t="s">
        <v>20</v>
      </c>
      <c r="D1" t="s">
        <v>425</v>
      </c>
      <c r="E1" t="s">
        <v>426</v>
      </c>
      <c r="F1" t="s">
        <v>427</v>
      </c>
    </row>
    <row r="3" spans="1:6" x14ac:dyDescent="0.25">
      <c r="A3" t="s">
        <v>57</v>
      </c>
      <c r="B3">
        <v>203</v>
      </c>
      <c r="C3" s="1">
        <v>2.8091700000000001E-2</v>
      </c>
      <c r="D3" s="1">
        <v>2.0968500000000001E-2</v>
      </c>
      <c r="E3" s="1">
        <v>-1.2385999999999999E-2</v>
      </c>
      <c r="F3" s="1">
        <v>0.15526000000000001</v>
      </c>
    </row>
    <row r="4" spans="1:6" x14ac:dyDescent="0.25">
      <c r="A4" t="s">
        <v>58</v>
      </c>
      <c r="B4">
        <v>175</v>
      </c>
      <c r="C4" s="1">
        <v>0.33618999999999999</v>
      </c>
      <c r="D4" s="1">
        <v>8.6839200000000005E-2</v>
      </c>
      <c r="E4" s="1">
        <v>0.123961</v>
      </c>
      <c r="F4" s="1">
        <v>0.519478</v>
      </c>
    </row>
    <row r="5" spans="1:6" x14ac:dyDescent="0.25">
      <c r="A5" t="s">
        <v>114</v>
      </c>
      <c r="B5">
        <v>175</v>
      </c>
      <c r="C5" s="1">
        <v>0.39373350000000001</v>
      </c>
      <c r="D5" s="1">
        <v>0.1553689</v>
      </c>
      <c r="E5" s="1">
        <v>0</v>
      </c>
      <c r="F5" s="1">
        <v>0.69548699999999997</v>
      </c>
    </row>
    <row r="6" spans="1:6" x14ac:dyDescent="0.25">
      <c r="A6" t="s">
        <v>63</v>
      </c>
      <c r="B6">
        <v>203</v>
      </c>
      <c r="C6" s="1">
        <v>0.99658760000000002</v>
      </c>
      <c r="D6" s="1">
        <v>0.29352610000000001</v>
      </c>
      <c r="E6" s="1">
        <v>0.21983900000000001</v>
      </c>
      <c r="F6" s="1">
        <v>2.0050249999999998</v>
      </c>
    </row>
    <row r="7" spans="1:6" x14ac:dyDescent="0.25">
      <c r="A7" t="s">
        <v>75</v>
      </c>
      <c r="B7">
        <v>203</v>
      </c>
      <c r="C7" s="1">
        <v>0.23464550000000001</v>
      </c>
      <c r="D7" s="1">
        <v>4.6188899999999998E-2</v>
      </c>
      <c r="E7" s="1">
        <v>0.16502900000000001</v>
      </c>
      <c r="F7" s="1">
        <v>0.45705499999999999</v>
      </c>
    </row>
    <row r="8" spans="1:6" x14ac:dyDescent="0.25">
      <c r="A8" t="s">
        <v>87</v>
      </c>
      <c r="B8">
        <v>203</v>
      </c>
      <c r="C8" s="1">
        <v>1.25974E-2</v>
      </c>
      <c r="D8" s="1">
        <v>1.41079E-2</v>
      </c>
      <c r="E8" s="1">
        <v>-3.4036999999999998E-2</v>
      </c>
      <c r="F8" s="1">
        <v>7.2145000000000001E-2</v>
      </c>
    </row>
    <row r="9" spans="1:6" x14ac:dyDescent="0.25">
      <c r="A9" t="s">
        <v>97</v>
      </c>
      <c r="B9">
        <v>193</v>
      </c>
      <c r="C9" s="1">
        <v>1.30283E-2</v>
      </c>
      <c r="D9" s="1">
        <v>1.02305E-2</v>
      </c>
      <c r="E9" s="1">
        <v>-1.0649E-2</v>
      </c>
      <c r="F9" s="1">
        <v>4.9179E-2</v>
      </c>
    </row>
    <row r="10" spans="1:6" x14ac:dyDescent="0.25">
      <c r="A10" t="s">
        <v>270</v>
      </c>
      <c r="B10">
        <v>203</v>
      </c>
      <c r="C10" s="1">
        <v>0.34778189999999998</v>
      </c>
      <c r="D10" s="1">
        <v>3.3180500000000002E-2</v>
      </c>
      <c r="E10" s="1">
        <v>0.27053899999999997</v>
      </c>
      <c r="F10" s="1">
        <v>0.46341900000000003</v>
      </c>
    </row>
    <row r="11" spans="1:6" x14ac:dyDescent="0.25">
      <c r="A11" t="s">
        <v>271</v>
      </c>
      <c r="B11">
        <v>203</v>
      </c>
      <c r="C11" s="1">
        <v>0.42114010000000002</v>
      </c>
      <c r="D11" s="1">
        <v>0.3166834</v>
      </c>
      <c r="E11" s="1">
        <v>7.0916000000000007E-2</v>
      </c>
      <c r="F11" s="1">
        <v>1.6950890000000001</v>
      </c>
    </row>
    <row r="12" spans="1:6" x14ac:dyDescent="0.25">
      <c r="A12" t="s">
        <v>272</v>
      </c>
      <c r="B12">
        <v>203</v>
      </c>
      <c r="C12" s="1">
        <v>1.8619250000000001</v>
      </c>
      <c r="D12" s="1">
        <v>0.50780380000000003</v>
      </c>
      <c r="E12" s="1">
        <v>0.93300000000000005</v>
      </c>
      <c r="F12" s="1">
        <v>4.0119999999999996</v>
      </c>
    </row>
    <row r="13" spans="1:6" x14ac:dyDescent="0.25">
      <c r="A13" t="s">
        <v>273</v>
      </c>
      <c r="B13">
        <v>203</v>
      </c>
      <c r="C13" s="1">
        <v>0.4240389</v>
      </c>
      <c r="D13" s="1">
        <v>0.31678230000000002</v>
      </c>
      <c r="E13" s="1">
        <v>6.8883E-2</v>
      </c>
      <c r="F13" s="1">
        <v>1.7395700000000001</v>
      </c>
    </row>
    <row r="14" spans="1:6" x14ac:dyDescent="0.25">
      <c r="A14" t="s">
        <v>274</v>
      </c>
      <c r="B14">
        <v>203</v>
      </c>
      <c r="C14" s="1">
        <v>8.1218399999999996E-2</v>
      </c>
      <c r="D14" s="1">
        <v>0.1635992</v>
      </c>
      <c r="E14" s="1">
        <v>-1.34E-2</v>
      </c>
      <c r="F14" s="1">
        <v>2.1226379999999998</v>
      </c>
    </row>
    <row r="15" spans="1:6" x14ac:dyDescent="0.25">
      <c r="A15" t="s">
        <v>275</v>
      </c>
      <c r="B15">
        <v>203</v>
      </c>
      <c r="C15" s="25">
        <v>29871.67</v>
      </c>
      <c r="D15" s="25">
        <v>50180.91</v>
      </c>
      <c r="E15" s="25">
        <v>212</v>
      </c>
      <c r="F15" s="25">
        <v>290912.59999999998</v>
      </c>
    </row>
    <row r="16" spans="1:6" x14ac:dyDescent="0.25">
      <c r="A16" t="s">
        <v>276</v>
      </c>
      <c r="B16">
        <v>199</v>
      </c>
      <c r="C16" s="1">
        <v>0.240484</v>
      </c>
      <c r="D16" s="1">
        <v>7.4972700000000003E-2</v>
      </c>
      <c r="E16" s="1">
        <v>5.6041000000000001E-2</v>
      </c>
      <c r="F16" s="1">
        <v>0.50422599999999995</v>
      </c>
    </row>
    <row r="17" spans="1:6" x14ac:dyDescent="0.25">
      <c r="A17" t="s">
        <v>277</v>
      </c>
      <c r="B17">
        <v>203</v>
      </c>
      <c r="C17" s="1">
        <v>8.0543099999999992</v>
      </c>
      <c r="D17" s="1">
        <v>2.0711740000000001</v>
      </c>
      <c r="E17" s="1">
        <v>2.44</v>
      </c>
      <c r="F17" s="1">
        <v>12.25</v>
      </c>
    </row>
    <row r="18" spans="1:6" x14ac:dyDescent="0.25">
      <c r="A18" t="s">
        <v>278</v>
      </c>
      <c r="B18">
        <v>195</v>
      </c>
      <c r="C18" s="1">
        <v>5.5591599999999998E-2</v>
      </c>
      <c r="D18" s="1">
        <v>3.4795699999999999E-2</v>
      </c>
      <c r="E18" s="1">
        <v>5.8600000000000004E-4</v>
      </c>
      <c r="F18" s="1">
        <v>0.161555</v>
      </c>
    </row>
    <row r="19" spans="1:6" x14ac:dyDescent="0.25">
      <c r="A19" t="s">
        <v>279</v>
      </c>
      <c r="B19">
        <v>196</v>
      </c>
      <c r="C19" s="1">
        <v>0.74376730000000002</v>
      </c>
      <c r="D19" s="1">
        <v>0.1472019</v>
      </c>
      <c r="E19" s="1">
        <v>0.4</v>
      </c>
      <c r="F19" s="1">
        <v>1</v>
      </c>
    </row>
    <row r="20" spans="1:6" x14ac:dyDescent="0.25">
      <c r="A20" t="s">
        <v>119</v>
      </c>
      <c r="B20">
        <v>189</v>
      </c>
      <c r="C20" s="1">
        <v>67.243920000000003</v>
      </c>
      <c r="D20" s="1">
        <v>14.25231</v>
      </c>
      <c r="E20" s="1">
        <v>27.23</v>
      </c>
      <c r="F20" s="1">
        <v>93.46</v>
      </c>
    </row>
    <row r="21" spans="1:6" x14ac:dyDescent="0.25">
      <c r="A21" t="s">
        <v>420</v>
      </c>
      <c r="B21">
        <v>195</v>
      </c>
      <c r="C21" s="1">
        <v>8.2435379999999991</v>
      </c>
      <c r="D21" s="1">
        <v>1.415654</v>
      </c>
      <c r="E21" s="1">
        <v>1.58</v>
      </c>
      <c r="F21" s="1">
        <v>9.89</v>
      </c>
    </row>
    <row r="22" spans="1:6" x14ac:dyDescent="0.25">
      <c r="A22" t="s">
        <v>421</v>
      </c>
      <c r="B22">
        <v>201</v>
      </c>
      <c r="C22" s="1">
        <v>7.7685069999999996</v>
      </c>
      <c r="D22" s="1">
        <v>1.845186</v>
      </c>
      <c r="E22" s="1">
        <v>1.25</v>
      </c>
      <c r="F22" s="1">
        <v>9.84</v>
      </c>
    </row>
    <row r="23" spans="1:6" x14ac:dyDescent="0.25">
      <c r="A23" t="s">
        <v>422</v>
      </c>
      <c r="B23">
        <v>201</v>
      </c>
      <c r="C23" s="1">
        <v>7.366517</v>
      </c>
      <c r="D23" s="1">
        <v>1.2595449999999999</v>
      </c>
      <c r="E23" s="1">
        <v>3.62</v>
      </c>
      <c r="F23" s="1">
        <v>9.7799999999999994</v>
      </c>
    </row>
    <row r="24" spans="1:6" x14ac:dyDescent="0.25">
      <c r="A24" t="s">
        <v>423</v>
      </c>
      <c r="B24">
        <v>198</v>
      </c>
      <c r="C24" s="1">
        <v>6.4905049999999997</v>
      </c>
      <c r="D24" s="1">
        <v>1.150935</v>
      </c>
      <c r="E24" s="1">
        <v>3.71</v>
      </c>
      <c r="F24" s="1">
        <v>8.85</v>
      </c>
    </row>
    <row r="25" spans="1:6" x14ac:dyDescent="0.25">
      <c r="A25" t="s">
        <v>105</v>
      </c>
      <c r="B25">
        <v>203</v>
      </c>
      <c r="C25" s="1">
        <v>7.4398280000000003</v>
      </c>
      <c r="D25" s="1">
        <v>1.120633</v>
      </c>
      <c r="E25" s="1">
        <v>4.1924999999999999</v>
      </c>
      <c r="F25" s="1">
        <v>9.14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11</vt:i4>
      </vt:variant>
    </vt:vector>
  </HeadingPairs>
  <TitlesOfParts>
    <vt:vector size="11" baseType="lpstr">
      <vt:lpstr>Info</vt:lpstr>
      <vt:lpstr>Scatterplots</vt:lpstr>
      <vt:lpstr>BACE results</vt:lpstr>
      <vt:lpstr>FE short sample</vt:lpstr>
      <vt:lpstr>OLS_short</vt:lpstr>
      <vt:lpstr>FE long sample</vt:lpstr>
      <vt:lpstr>OLS long sample</vt:lpstr>
      <vt:lpstr>DATA_short</vt:lpstr>
      <vt:lpstr>Data_long</vt:lpstr>
      <vt:lpstr>Desc.short</vt:lpstr>
      <vt:lpstr>Desc_long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</dc:creator>
  <cp:lastModifiedBy>Antus</cp:lastModifiedBy>
  <dcterms:created xsi:type="dcterms:W3CDTF">2009-05-20T10:24:11Z</dcterms:created>
  <dcterms:modified xsi:type="dcterms:W3CDTF">2011-05-05T09:39:36Z</dcterms:modified>
</cp:coreProperties>
</file>