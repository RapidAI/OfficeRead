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560" yWindow="560" windowWidth="24440" windowHeight="17320" tabRatio="500"/>
  </bookViews>
  <sheets>
    <sheet name="CEEP_Round_1_Analysis" sheetId="2" r:id="rId1"/>
  </sheets>
  <definedNames>
    <definedName name="_xlnm._FilterDatabase" localSheetId="0" hidden="1">CEEP_Round_1_Analysis!$A$6:$J$69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4" i="2" l="1"/>
  <c r="C75" i="2"/>
  <c r="C76" i="2"/>
  <c r="C77" i="2"/>
  <c r="C94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40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5" i="2"/>
  <c r="H66" i="2"/>
  <c r="H67" i="2"/>
  <c r="H68" i="2"/>
  <c r="H69" i="2"/>
  <c r="H7" i="2"/>
  <c r="H8" i="2"/>
  <c r="H9" i="2"/>
  <c r="H10" i="2"/>
  <c r="H11" i="2"/>
  <c r="H12" i="2"/>
  <c r="H37" i="2"/>
  <c r="H38" i="2"/>
  <c r="H39" i="2"/>
  <c r="H41" i="2"/>
  <c r="H42" i="2"/>
  <c r="H43" i="2"/>
  <c r="H63" i="2"/>
  <c r="H64" i="2"/>
  <c r="H13" i="2"/>
  <c r="D86" i="2"/>
  <c r="D87" i="2"/>
  <c r="D88" i="2"/>
  <c r="D89" i="2"/>
  <c r="D90" i="2"/>
  <c r="D91" i="2"/>
  <c r="D92" i="2"/>
  <c r="D93" i="2"/>
  <c r="D94" i="2"/>
</calcChain>
</file>

<file path=xl/sharedStrings.xml><?xml version="1.0" encoding="utf-8"?>
<sst xmlns="http://schemas.openxmlformats.org/spreadsheetml/2006/main" count="411" uniqueCount="242">
  <si>
    <t xml:space="preserve">Upgrade internal and outdoor lighting in the Southern Gateway Centre. </t>
    <phoneticPr fontId="3" type="noConversion"/>
  </si>
  <si>
    <t xml:space="preserve">Installation of a tri-generation system to replace current heating and cooling. </t>
    <phoneticPr fontId="3" type="noConversion"/>
  </si>
  <si>
    <t xml:space="preserve">Upgrade the heating, cooling and ventilation system. </t>
    <phoneticPr fontId="3" type="noConversion"/>
  </si>
  <si>
    <t xml:space="preserve">Installation of a co-generation system to replace current pool heating and space heating and cooling systems. </t>
    <phoneticPr fontId="3" type="noConversion"/>
  </si>
  <si>
    <t xml:space="preserve">Upgrade pumps in the town’s water supply pumping stations. </t>
    <phoneticPr fontId="3" type="noConversion"/>
  </si>
  <si>
    <t xml:space="preserve">Upgrade air conditioning system in the administration building. </t>
    <phoneticPr fontId="3" type="noConversion"/>
  </si>
  <si>
    <t>No</t>
    <phoneticPr fontId="3" type="noConversion"/>
  </si>
  <si>
    <t>ACT</t>
    <phoneticPr fontId="3" type="noConversion"/>
  </si>
  <si>
    <t>NSW</t>
    <phoneticPr fontId="3" type="noConversion"/>
  </si>
  <si>
    <t>NT</t>
    <phoneticPr fontId="3" type="noConversion"/>
  </si>
  <si>
    <t>SA</t>
    <phoneticPr fontId="3" type="noConversion"/>
  </si>
  <si>
    <t>Tas</t>
    <phoneticPr fontId="3" type="noConversion"/>
  </si>
  <si>
    <t>Vic</t>
    <phoneticPr fontId="3" type="noConversion"/>
  </si>
  <si>
    <t>Qld</t>
    <phoneticPr fontId="3" type="noConversion"/>
  </si>
  <si>
    <t>WA</t>
    <phoneticPr fontId="3" type="noConversion"/>
  </si>
  <si>
    <t>Total</t>
    <phoneticPr fontId="3" type="noConversion"/>
  </si>
  <si>
    <t xml:space="preserve">Retrofit outdoor lighting and upgrade energy management systems in a number of council facilities. </t>
    <phoneticPr fontId="3" type="noConversion"/>
  </si>
  <si>
    <t xml:space="preserve">Large-scale retrofit to street lighting across the council area. </t>
    <phoneticPr fontId="3" type="noConversion"/>
  </si>
  <si>
    <t xml:space="preserve">Upgrade street lighting in nine communities across the council area. </t>
    <phoneticPr fontId="3" type="noConversion"/>
  </si>
  <si>
    <t xml:space="preserve">Upgrade air conditioning in the Alice Springs Library. </t>
    <phoneticPr fontId="3" type="noConversion"/>
  </si>
  <si>
    <t xml:space="preserve">Installation of a co-generation system to replace the pool and space heating systems and upgrade the building management system. </t>
    <phoneticPr fontId="3" type="noConversion"/>
  </si>
  <si>
    <t xml:space="preserve">Upgrade lighting, heating, cooling and ventilation systems and water heating systems in four facilities. </t>
    <phoneticPr fontId="3" type="noConversion"/>
  </si>
  <si>
    <t xml:space="preserve">Upgrade open space and outdoor lighting. </t>
    <phoneticPr fontId="3" type="noConversion"/>
  </si>
  <si>
    <t xml:space="preserve">Retrofit the lighting, heating and air- conditioning systems and improve the thermal efficiency of the main community hub and works depot. </t>
    <phoneticPr fontId="3" type="noConversion"/>
  </si>
  <si>
    <t xml:space="preserve">Upgrade street lights across the council area. </t>
    <phoneticPr fontId="3" type="noConversion"/>
  </si>
  <si>
    <t xml:space="preserve">Upgrade the lighting, heating, cooling and ventilation system and pool equipment in two aquatic centres and upgrade the heating, cooling and ventilation system in the National Wool Museum. </t>
    <phoneticPr fontId="3" type="noConversion"/>
  </si>
  <si>
    <t>Total successful council applications</t>
    <phoneticPr fontId="3" type="noConversion"/>
  </si>
  <si>
    <t xml:space="preserve">Southern Gateway Centre Efficient Lighting Retrofit Project </t>
    <phoneticPr fontId="3" type="noConversion"/>
  </si>
  <si>
    <t xml:space="preserve">Upgrade the lighting and heating, cooling and ventilation systems and improve thermal efficiency in seven council facilities. </t>
    <phoneticPr fontId="3" type="noConversion"/>
  </si>
  <si>
    <t xml:space="preserve">Installation of a co-generation plant at the aquatic centre. </t>
    <phoneticPr fontId="3" type="noConversion"/>
  </si>
  <si>
    <t xml:space="preserve">Upgrade the lighting and heating, ventilation and air conditioning system and building management control system. </t>
    <phoneticPr fontId="3" type="noConversion"/>
  </si>
  <si>
    <t xml:space="preserve">Installation of a tri-generation system to replace current heating and cooling systems for the centre. </t>
    <phoneticPr fontId="3" type="noConversion"/>
  </si>
  <si>
    <t xml:space="preserve">Installation of tri-generation units in Town Hall House and Prince Albert Pool to replace current space and pool heating systems. </t>
    <phoneticPr fontId="3" type="noConversion"/>
  </si>
  <si>
    <t xml:space="preserve">Upgrade the lighting, ventilation and air conditioning and hot water systems in four buildings. </t>
    <phoneticPr fontId="3" type="noConversion"/>
  </si>
  <si>
    <t xml:space="preserve">Installation of a cogeneration plant to upgrade the pool heating, heating, cooling and ventilation systems, upgrade lighting, improve thermal efficiency, and install a pool blanket. </t>
    <phoneticPr fontId="3" type="noConversion"/>
  </si>
  <si>
    <t xml:space="preserve">Upgrade street lighting across the council area. </t>
    <phoneticPr fontId="3" type="noConversion"/>
  </si>
  <si>
    <t xml:space="preserve">Upgrade street lighting and internal lighting, heating, cooling and ventilation systems, hot water systems and improve thermal efficiency in five facilities. </t>
    <phoneticPr fontId="3" type="noConversion"/>
  </si>
  <si>
    <t xml:space="preserve">Upgrade lighting and heating, ventilation and cooling services in seven facilities. </t>
    <phoneticPr fontId="3" type="noConversion"/>
  </si>
  <si>
    <t xml:space="preserve">Upgrade the lighting, heating cooling and ventilation system and install double glazing in the Kingston City Hall and the Kingston Arts Centre </t>
    <phoneticPr fontId="3" type="noConversion"/>
  </si>
  <si>
    <t xml:space="preserve">Upgrade the lighting and hot water system. </t>
    <phoneticPr fontId="3" type="noConversion"/>
  </si>
  <si>
    <t xml:space="preserve">Installation of a co-generation plant in two council-owned facilities to replace current heating systems. </t>
    <phoneticPr fontId="3" type="noConversion"/>
  </si>
  <si>
    <t>Lighting</t>
    <phoneticPr fontId="3" type="noConversion"/>
  </si>
  <si>
    <t>Both</t>
    <phoneticPr fontId="3" type="noConversion"/>
  </si>
  <si>
    <t>Total value of successful council applications</t>
    <phoneticPr fontId="3" type="noConversion"/>
  </si>
  <si>
    <t xml:space="preserve">Re-energising Perth's Eastern Region: Energy Efficient Lighting, Air-Conditioning and Pool Pump Retrofits of Key Community Facilities in Perth's Eastern Region </t>
    <phoneticPr fontId="3" type="noConversion"/>
  </si>
  <si>
    <t xml:space="preserve">Upgrade lighting and the heating, cooling and ventilation system in the community health centre. </t>
    <phoneticPr fontId="3" type="noConversion"/>
  </si>
  <si>
    <t xml:space="preserve">Upgrade the building heating, ventilation and air conditioning system. </t>
    <phoneticPr fontId="3" type="noConversion"/>
  </si>
  <si>
    <t xml:space="preserve">Retrofit lighting, ventilation, insulation, heating and cooling systems. </t>
    <phoneticPr fontId="3" type="noConversion"/>
  </si>
  <si>
    <t xml:space="preserve">Retrofit the town hall for thermal efficiency and upgrade the lighting and heating systems. </t>
    <phoneticPr fontId="3" type="noConversion"/>
  </si>
  <si>
    <t xml:space="preserve">Retrofit the lighting and air conditioning and improve thermal efficiency in a number of buildings across the council area. </t>
    <phoneticPr fontId="3" type="noConversion"/>
  </si>
  <si>
    <t xml:space="preserve">Upgrade lighting, insulation and the building management system in the main facility. </t>
    <phoneticPr fontId="3" type="noConversion"/>
  </si>
  <si>
    <t xml:space="preserve">Install roof and wall skylights and upgrade lighting at the Nazareth Catholic Community multipurpose facility. </t>
    <phoneticPr fontId="3" type="noConversion"/>
  </si>
  <si>
    <t xml:space="preserve">Upgrade the lighting, improve thermal efficiency and install smart meters in four facilities. </t>
    <phoneticPr fontId="3" type="noConversion"/>
  </si>
  <si>
    <t xml:space="preserve">Retrofit lighting, apply insulation paints to roofs, draft-proof and install shower timers in eleven buildings. </t>
    <phoneticPr fontId="3" type="noConversion"/>
  </si>
  <si>
    <t xml:space="preserve">Upgrade the air conditioning and pool heating. </t>
    <phoneticPr fontId="3" type="noConversion"/>
  </si>
  <si>
    <t xml:space="preserve">Cairns Regional Council </t>
  </si>
  <si>
    <t xml:space="preserve">Cairns Regional Council - Targeting the Top 20 - Energy Efficiency Upgrades in Council Facilities </t>
  </si>
  <si>
    <t>Org Type</t>
    <phoneticPr fontId="3" type="noConversion"/>
  </si>
  <si>
    <t>Project Type</t>
    <phoneticPr fontId="3" type="noConversion"/>
  </si>
  <si>
    <t xml:space="preserve">Energy Efficient Upgrade of Tumbarumba's Water Supply Pumping Stations </t>
    <phoneticPr fontId="3" type="noConversion"/>
  </si>
  <si>
    <t xml:space="preserve">Upgrade the lighting, heating, cooling and ventilation system and building management system in the Riverside Theatre and upgrade the lighting in four car parks. </t>
    <phoneticPr fontId="3" type="noConversion"/>
  </si>
  <si>
    <t xml:space="preserve">Retrofit street lighting across the council area. </t>
    <phoneticPr fontId="3" type="noConversion"/>
  </si>
  <si>
    <t>Council</t>
  </si>
  <si>
    <t>Council</t>
    <phoneticPr fontId="3" type="noConversion"/>
  </si>
  <si>
    <t>Council</t>
    <phoneticPr fontId="3" type="noConversion"/>
  </si>
  <si>
    <t>NFP</t>
    <phoneticPr fontId="3" type="noConversion"/>
  </si>
  <si>
    <t>South West Sustainability Partnership</t>
    <phoneticPr fontId="3" type="noConversion"/>
  </si>
  <si>
    <t xml:space="preserve">Upgrade the lighting and heating, cooling and ventilation system. </t>
    <phoneticPr fontId="3" type="noConversion"/>
  </si>
  <si>
    <t xml:space="preserve">Upgrade lighting and improve thermal efficiency in the library. </t>
    <phoneticPr fontId="3" type="noConversion"/>
  </si>
  <si>
    <t xml:space="preserve">Upgrade the lighting and heating, cooling and ventilation system and improve thermal efficiency in two facilities. </t>
    <phoneticPr fontId="3" type="noConversion"/>
  </si>
  <si>
    <t xml:space="preserve">Upgrade lighting, heating ventilation and air conditioning systems and improve thermal efficiency in three council sites. </t>
    <phoneticPr fontId="3" type="noConversion"/>
  </si>
  <si>
    <t xml:space="preserve">Installation of a tri-generation system to replace the heating and air conditioning and hot water systems. </t>
    <phoneticPr fontId="3" type="noConversion"/>
  </si>
  <si>
    <t xml:space="preserve">Installation of co-generation plants to upgrade current pool and space heating and upgrade lighting and building management systems and improve thermal efficiency in two facilities. </t>
    <phoneticPr fontId="3" type="noConversion"/>
  </si>
  <si>
    <t xml:space="preserve">City of Greater Geelong </t>
  </si>
  <si>
    <t xml:space="preserve">Implementing Geelong’s Low Carbon Growth Plan through Energy Efficiency in Council </t>
  </si>
  <si>
    <t xml:space="preserve">City of Newcastle </t>
  </si>
  <si>
    <t xml:space="preserve">Newcastle Smart Buildings Smart Workforce - Integrating Advanced Energy Management Practices and Next Generation Energy Efficiency Upgrades Across High-use Social, Cultural, Recreational and Key Council Operational Sites </t>
  </si>
  <si>
    <t xml:space="preserve">Parramatta City Council </t>
  </si>
  <si>
    <t xml:space="preserve">Accelerating Energy Efficiency Improvements to Parramatta’s Central Business District </t>
  </si>
  <si>
    <t>Lighting</t>
    <phoneticPr fontId="3" type="noConversion"/>
  </si>
  <si>
    <t xml:space="preserve">Gloucester Shire Council </t>
    <phoneticPr fontId="3" type="noConversion"/>
  </si>
  <si>
    <t xml:space="preserve">Eastern Metropolitan Regional Council </t>
    <phoneticPr fontId="3" type="noConversion"/>
  </si>
  <si>
    <t xml:space="preserve">Kogarah City Council </t>
  </si>
  <si>
    <t xml:space="preserve">Sustainable Lighting Retrofit - Lighting the Way to an Energy Efficient Kogarah </t>
  </si>
  <si>
    <t xml:space="preserve">City of Canada Bay Council </t>
  </si>
  <si>
    <t xml:space="preserve">Upgrade street lighting in Bassendean and upgrade internal lighting, pool heating and pool pumps in two aquatic centres and a library in Bayswater and Mundaring. </t>
    <phoneticPr fontId="3" type="noConversion"/>
  </si>
  <si>
    <t xml:space="preserve">WA </t>
    <phoneticPr fontId="3" type="noConversion"/>
  </si>
  <si>
    <t xml:space="preserve">Upgrade pool and space heating with ground source heat pumps, upgrade the existing process control hardware and software and install variable speed drives on pool circulation pumps. </t>
    <phoneticPr fontId="3" type="noConversion"/>
  </si>
  <si>
    <t xml:space="preserve">Retrofit street lighting across four remote locations in the Pilbara Region. </t>
    <phoneticPr fontId="3" type="noConversion"/>
  </si>
  <si>
    <t xml:space="preserve">Installation of a system of ground source heat pumps and solar thermal heating to replace the current natural gas fired heating system. </t>
    <phoneticPr fontId="3" type="noConversion"/>
  </si>
  <si>
    <t xml:space="preserve">Leichhardt Council </t>
  </si>
  <si>
    <t xml:space="preserve">Leichhardt Park Aquatic Centre Cogeneration Project </t>
  </si>
  <si>
    <t xml:space="preserve">Frankston City Council "Annex43" and "Peninsula Reserve Pavilion" Energy Efficiency Project (FCC APRPEEP) </t>
  </si>
  <si>
    <t xml:space="preserve">North Sydney Council Energy Efficiency Project </t>
  </si>
  <si>
    <t xml:space="preserve">Council of the City of Sydney </t>
  </si>
  <si>
    <t xml:space="preserve">City of Sydney Trigeneration Installation </t>
  </si>
  <si>
    <t xml:space="preserve">Tamworth Regional Council </t>
  </si>
  <si>
    <t xml:space="preserve">Upgrade of the Art Gallery Lighting to New Energy Efficient LED Lumiaires </t>
  </si>
  <si>
    <t xml:space="preserve">Upgrade internal lighting. </t>
  </si>
  <si>
    <t xml:space="preserve">Willoughby City Council </t>
  </si>
  <si>
    <t xml:space="preserve">The Living Building: The Concourse Trigeneration Project </t>
  </si>
  <si>
    <t>Upgrade of Pumps, Lighting and Water Heating at Lismore Memorial Baths and Goonellabah Sports &amp; Aquatic Centre</t>
    <phoneticPr fontId="3" type="noConversion"/>
  </si>
  <si>
    <t xml:space="preserve">Upgrade pool pumps, lighting, air conditioning and water heating in two facilities. </t>
    <phoneticPr fontId="3" type="noConversion"/>
  </si>
  <si>
    <t>NFP</t>
  </si>
  <si>
    <t>NFP</t>
    <phoneticPr fontId="3" type="noConversion"/>
  </si>
  <si>
    <t>NFP</t>
    <phoneticPr fontId="3" type="noConversion"/>
  </si>
  <si>
    <t xml:space="preserve">Wagga Wagga City Council </t>
  </si>
  <si>
    <t xml:space="preserve">Oasis Aquatic Centre Co-generation Project </t>
  </si>
  <si>
    <t xml:space="preserve">Brisbane City Council </t>
  </si>
  <si>
    <t xml:space="preserve">Change in the Streets - Brisbane's 25,000 Street Lights Retrofit Program </t>
  </si>
  <si>
    <t xml:space="preserve">QLD </t>
  </si>
  <si>
    <t xml:space="preserve">Townsville City Council </t>
  </si>
  <si>
    <t>Replace street lights across the following council areas: Colac Otway Shire Council Corangamite Shire Council Southern Grampians Shire Council Moyne Shire Council Warrnambool City Council. Glenelg Shire Council.</t>
    <phoneticPr fontId="3" type="noConversion"/>
  </si>
  <si>
    <t xml:space="preserve">VIC </t>
    <phoneticPr fontId="3" type="noConversion"/>
  </si>
  <si>
    <t>Council</t>
    <phoneticPr fontId="3" type="noConversion"/>
  </si>
  <si>
    <t>Buildings</t>
  </si>
  <si>
    <t>Buildings</t>
    <phoneticPr fontId="3" type="noConversion"/>
  </si>
  <si>
    <t>Lighting</t>
    <phoneticPr fontId="3" type="noConversion"/>
  </si>
  <si>
    <t xml:space="preserve">Cardinia Life Energy Efficiency Project Including Lighting Upgrade, HVAC Tuning and Microturbine Installation </t>
  </si>
  <si>
    <t xml:space="preserve">Yarra City Council </t>
  </si>
  <si>
    <t xml:space="preserve">Richmond Library Energy Efficiency Commercial Demonstration Site </t>
  </si>
  <si>
    <t xml:space="preserve">Cardinia Shire Council </t>
  </si>
  <si>
    <t xml:space="preserve">Wyndham City Council </t>
  </si>
  <si>
    <t xml:space="preserve">Wyndham Leisure and Events Centre Energy Efficiency Project </t>
  </si>
  <si>
    <t xml:space="preserve">Port Stephens Council </t>
  </si>
  <si>
    <t xml:space="preserve">Energy Efficiency Upgrade to Heating Ventilation &amp; Air Conditioning System at Port Stephens Council's Raymond Terrace Community Care Centre </t>
  </si>
  <si>
    <t xml:space="preserve">ACT Government (Community Services Directorate) </t>
  </si>
  <si>
    <t xml:space="preserve">City of Boroondara </t>
  </si>
  <si>
    <t xml:space="preserve">Stage 2 - Municipal-Wide Bulk- Change to Safe and Sustainable Street Lighting </t>
  </si>
  <si>
    <t xml:space="preserve">Darebin - Pooling Energy Savings </t>
  </si>
  <si>
    <t xml:space="preserve">Frankston City Council </t>
  </si>
  <si>
    <t xml:space="preserve">Frankston City Council Arts Precinct Tri-Generation and Microgeneration </t>
  </si>
  <si>
    <t xml:space="preserve">Moreland City Council </t>
  </si>
  <si>
    <t xml:space="preserve">City of Canada Bay Council Community Facility Carbon Reduction Project, Retrofitting Concord Oval, Five Dock Leisure Centre, Civic Centre and Council Depot </t>
  </si>
  <si>
    <t xml:space="preserve">East Arnhem Shire Council </t>
  </si>
  <si>
    <t xml:space="preserve">East Arnhem Shire Council Street Lighting Replacement Project </t>
  </si>
  <si>
    <t xml:space="preserve">Glen Eira City Council </t>
  </si>
  <si>
    <t xml:space="preserve">Implementation of Energy Saving Measures at Moorleigh Community Village </t>
  </si>
  <si>
    <t xml:space="preserve">Kingston City Council </t>
  </si>
  <si>
    <t xml:space="preserve">Kingston Arts Precinct Energy Efficiency Improvement Project </t>
  </si>
  <si>
    <t xml:space="preserve">City of Greater Bendigo </t>
  </si>
  <si>
    <t xml:space="preserve">Energy Efficiency Installations in Seven of City of Greater Bendigo's Highest Energy Using Facilities </t>
  </si>
  <si>
    <t xml:space="preserve">Woollahra Municipal Council </t>
  </si>
  <si>
    <t xml:space="preserve">Energy Efficiency at Woollahra Council Chambers </t>
  </si>
  <si>
    <t xml:space="preserve">Brimbank City Council </t>
  </si>
  <si>
    <t xml:space="preserve">Powering Down- Realising Greenhouse Reductions in Street Lighting, Municipal Offices and Leisure Centres at Brimbank City Council </t>
  </si>
  <si>
    <t xml:space="preserve">Lismore City Council </t>
  </si>
  <si>
    <t xml:space="preserve">Energy Transformation Townsville: An Innovative Adaptive System of Smart Energy Demand Management, Energy Efficiency and Community Engagement </t>
  </si>
  <si>
    <t xml:space="preserve">Corangamite Shire Council </t>
  </si>
  <si>
    <t xml:space="preserve">Corangamite Shire Emission Reduction Scheme for Camperdown Depot and Camperdown Community Centre </t>
  </si>
  <si>
    <t xml:space="preserve">Cradle Coast Authority </t>
  </si>
  <si>
    <t xml:space="preserve">Portside Building Retrofit - Regional Showcase </t>
  </si>
  <si>
    <t xml:space="preserve">City of Kalgoorlie- Boulder </t>
  </si>
  <si>
    <t xml:space="preserve">Low Carbon and Energy Efficient Pool Heating for the Goldfields Oasis Leisure Centre </t>
  </si>
  <si>
    <t xml:space="preserve">Central NSW Councils </t>
  </si>
  <si>
    <t xml:space="preserve">Learning And Sharing Energy Efficiency Program in Central NSW </t>
  </si>
  <si>
    <t xml:space="preserve">ACT Community Facilities Go Energy Smart </t>
  </si>
  <si>
    <t xml:space="preserve">Upgrade the lighting, heating, cooling and ventilation system and insulation in 12 community hub buildings. </t>
  </si>
  <si>
    <t xml:space="preserve">ACT </t>
  </si>
  <si>
    <t xml:space="preserve">Bankstown City Council </t>
  </si>
  <si>
    <t xml:space="preserve">The Bankstown Generation Project </t>
  </si>
  <si>
    <t xml:space="preserve">City of Darebin </t>
  </si>
  <si>
    <t xml:space="preserve">Western Australian Local Government Association </t>
  </si>
  <si>
    <t xml:space="preserve">WA Rural &amp; Regional LED Street Light Retrofit - Pilbara Phase 1 </t>
  </si>
  <si>
    <t xml:space="preserve">Rural City of Wangaratta </t>
  </si>
  <si>
    <t xml:space="preserve">Cogeneration at Wangaratta Indoor Sports and Aquatic Centre </t>
  </si>
  <si>
    <t xml:space="preserve">Brunswick Town Hall, Fawkner and Coburg Leisure Precincts – Energy Efficient Community Hubs </t>
  </si>
  <si>
    <t xml:space="preserve">Wollongong City Council </t>
  </si>
  <si>
    <t xml:space="preserve">Police and Community Youth Clubs NSW </t>
  </si>
  <si>
    <t xml:space="preserve">Lighting Retrofit PCYC NSW </t>
  </si>
  <si>
    <t xml:space="preserve">Retrofit lighting in 59 PCYC club buildings in NSW. </t>
  </si>
  <si>
    <t xml:space="preserve">Southern Midlands Council </t>
  </si>
  <si>
    <t xml:space="preserve">Implementing and Promoting Energy Efficiency Solutions in Heritage Buildings Through Retrofitting the 1880's Southern Midlands Town Hall </t>
  </si>
  <si>
    <t xml:space="preserve">TAS </t>
  </si>
  <si>
    <t xml:space="preserve">City of Busselton </t>
  </si>
  <si>
    <t xml:space="preserve">Geothermal Heating of the City of Busselton Geographe Leisure Centre </t>
  </si>
  <si>
    <t xml:space="preserve">Upgrade the heating system of a number of buildings at the Geographe Leisure Centre using a geothermal heat source. </t>
  </si>
  <si>
    <t xml:space="preserve">Bass Coast Shire Council </t>
  </si>
  <si>
    <t xml:space="preserve">Bass Coast Shire Council Street Lighting Bulk Change </t>
  </si>
  <si>
    <t xml:space="preserve">Alice Springs Public Library - Air Conditioning upgrade </t>
  </si>
  <si>
    <t xml:space="preserve">NT </t>
  </si>
  <si>
    <t xml:space="preserve">Air Conditioning Reconditioned in Gloucester Shire Councils Administration Building </t>
  </si>
  <si>
    <t xml:space="preserve">Baw Baw Shire Council </t>
  </si>
  <si>
    <t xml:space="preserve">Baw Baw Shire Council Street Lighting Bulk Change </t>
  </si>
  <si>
    <t xml:space="preserve">North Sydney Council </t>
  </si>
  <si>
    <t xml:space="preserve">Installation of Cogeneration at North Sydney Olympic Pool </t>
  </si>
  <si>
    <t xml:space="preserve">Ross House Association </t>
  </si>
  <si>
    <t xml:space="preserve">Greening Ross House: A Place Where Community Groups Grow </t>
  </si>
  <si>
    <t xml:space="preserve">VIC </t>
  </si>
  <si>
    <t xml:space="preserve">Blacktown Workers Club Ltd </t>
  </si>
  <si>
    <t xml:space="preserve">Variable Speed Drives at Blacktown Workers Club </t>
  </si>
  <si>
    <t xml:space="preserve">Install electronic variable speed drives in two chilled water pumps in the club’s main building. </t>
  </si>
  <si>
    <t xml:space="preserve">NSW </t>
  </si>
  <si>
    <t xml:space="preserve">Nazareth Catholic Community </t>
  </si>
  <si>
    <t xml:space="preserve">Nazareth Catholic Community Multi-Purpose Facility Energy Efficiency and Natural Lighting Project </t>
  </si>
  <si>
    <t xml:space="preserve">SA </t>
  </si>
  <si>
    <t xml:space="preserve">Temora Aviation Museum Inc. </t>
  </si>
  <si>
    <t xml:space="preserve">Lighting Retrofit and Upgrade for Museum Public Exhibition Areas </t>
  </si>
  <si>
    <t xml:space="preserve">Upgrade lighting in the museum's two main public exhibition areas. </t>
  </si>
  <si>
    <t xml:space="preserve">Tumbarumba Shire Council </t>
  </si>
  <si>
    <t xml:space="preserve">Maitland City Bowls Sports and Recreation Club </t>
  </si>
  <si>
    <t xml:space="preserve">Trigeneration and Electric Duct Heating Retrofit </t>
  </si>
  <si>
    <t xml:space="preserve">Installation of a tri-generation system to upgrade heating and cooling for the club. </t>
  </si>
  <si>
    <t xml:space="preserve">Castle Hill RSL Club Limited </t>
  </si>
  <si>
    <t xml:space="preserve">Installation of Trigeneration System at Castle Hill RSL Club (Installation of a Containerised SEVA MAN 405 &amp; Containerised HSA99H2 - Trigeneration System) </t>
  </si>
  <si>
    <t xml:space="preserve">Novita Children's Services </t>
  </si>
  <si>
    <t xml:space="preserve">Shire of Manjimup </t>
  </si>
  <si>
    <t xml:space="preserve">Installation of Energy Efficient Pumping and High Efficiency Pool and Space Heating Technologies at the Manjimup Regional AquaCentre </t>
  </si>
  <si>
    <t xml:space="preserve">HVAC and lighting upgrade in Merri Community Health Services Ltd - 93 Bell Street Coburg </t>
  </si>
  <si>
    <t xml:space="preserve">Multiple Sclerosis Society of Western Australia (Inc) </t>
  </si>
  <si>
    <t xml:space="preserve">Geothermal Heating and Cooling Pilot </t>
  </si>
  <si>
    <t xml:space="preserve">WA </t>
  </si>
  <si>
    <t>Percentage</t>
    <phoneticPr fontId="3" type="noConversion"/>
  </si>
  <si>
    <t>Percentage of applications successful</t>
    <phoneticPr fontId="3" type="noConversion"/>
  </si>
  <si>
    <t>Total successful councils</t>
    <phoneticPr fontId="3" type="noConversion"/>
  </si>
  <si>
    <t xml:space="preserve">South Gippsland Shire Council </t>
  </si>
  <si>
    <t xml:space="preserve">South Gippsland Shire Green Street Lighting Program </t>
  </si>
  <si>
    <t xml:space="preserve">Alice Springs Town Council </t>
  </si>
  <si>
    <t xml:space="preserve">Comprehensive Energy Efficiency Upgrade of Novita Children's Services Main Facility. </t>
  </si>
  <si>
    <t xml:space="preserve">Ruah Community Services </t>
  </si>
  <si>
    <t xml:space="preserve">Operation Cool Gecko </t>
  </si>
  <si>
    <t xml:space="preserve">Merri Community Health Services Limited </t>
  </si>
  <si>
    <t xml:space="preserve">The Great South Coast Street Smart Lighting Program </t>
    <phoneticPr fontId="3" type="noConversion"/>
  </si>
  <si>
    <t xml:space="preserve">District Council Orroroo Carrieton </t>
  </si>
  <si>
    <t xml:space="preserve">Installation of Energy Management Systems, Lighting, Air-Conditioning to Council &amp; Community Buildings and Infrastructures </t>
  </si>
  <si>
    <t xml:space="preserve">Organisation Name </t>
  </si>
  <si>
    <t xml:space="preserve">Project Title </t>
  </si>
  <si>
    <t xml:space="preserve">Project Description </t>
  </si>
  <si>
    <t xml:space="preserve">State </t>
  </si>
  <si>
    <t xml:space="preserve">Amount Requested </t>
  </si>
  <si>
    <t xml:space="preserve">Total Project Cost </t>
  </si>
  <si>
    <t>Total successful</t>
  </si>
  <si>
    <t>Total applications</t>
  </si>
  <si>
    <t>Average percentage</t>
  </si>
  <si>
    <t>Total project cost</t>
  </si>
  <si>
    <t>Total amount received</t>
  </si>
  <si>
    <t>CEEP Round 1: Successful Projects</t>
  </si>
  <si>
    <t xml:space="preserve">The information contained in this document is for the use of Australian coucils for information and estimation purposes only.
</t>
  </si>
  <si>
    <t xml:space="preserve">Ironbark Group Pty Ltd undertakes no duty to or accepts any responsibility to any third party who may rely upon this document. </t>
  </si>
  <si>
    <t>A Brief Summary</t>
  </si>
  <si>
    <t>The Small Print: this document is for information purposes only</t>
  </si>
  <si>
    <t>Any questions, thoughts, or spreadsheet not working? Please contact Ironbark on 1300 288 262 or www.realaction.com.au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</si>
</sst>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Arial"/>
    </font>
    <font>
      <sz val="12"/>
      <color indexed="8"/>
      <name val="Calibri"/>
      <family val="2"/>
    </font>
    <font>
      <b/>
      <sz val="11"/>
      <color indexed="8"/>
      <name val="Gill Sans"/>
    </font>
    <font>
      <sz val="11"/>
      <color indexed="8"/>
      <name val="Gill Sans"/>
    </font>
    <font>
      <b/>
      <sz val="34"/>
      <color indexed="8"/>
      <name val="Gill Sans"/>
    </font>
    <font>
      <b/>
      <sz val="16"/>
      <color indexed="8"/>
      <name val="Gill Sans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6" fillId="3" borderId="0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6" fontId="6" fillId="3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6" fontId="6" fillId="3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9" fontId="6" fillId="3" borderId="0" xfId="3" applyFont="1" applyFill="1" applyBorder="1" applyAlignment="1">
      <alignment horizontal="left" vertical="top"/>
    </xf>
    <xf numFmtId="9" fontId="6" fillId="3" borderId="1" xfId="3" applyFont="1" applyFill="1" applyBorder="1" applyAlignment="1">
      <alignment horizontal="left" vertical="top"/>
    </xf>
    <xf numFmtId="9" fontId="6" fillId="3" borderId="1" xfId="3" applyFont="1" applyFill="1" applyBorder="1" applyAlignment="1">
      <alignment horizontal="left" vertical="top" wrapText="1"/>
    </xf>
    <xf numFmtId="6" fontId="6" fillId="3" borderId="0" xfId="0" applyNumberFormat="1" applyFont="1" applyFill="1" applyBorder="1" applyAlignment="1">
      <alignment horizontal="left" vertical="top"/>
    </xf>
    <xf numFmtId="9" fontId="6" fillId="4" borderId="1" xfId="3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left" vertical="top"/>
    </xf>
  </cellXfs>
  <cellStyles count="4">
    <cellStyle name="Followed Hyperlink" xfId="2" builtinId="9" hidden="1"/>
    <cellStyle name="Hyperlink" xfId="1" builtinId="8" hidden="1"/>
    <cellStyle name="Normal" xfId="0" builtinId="0"/>
    <cellStyle name="Percent" xfId="3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38100</xdr:rowOff>
    </xdr:from>
    <xdr:to>
      <xdr:col>1</xdr:col>
      <xdr:colOff>2501900</xdr:colOff>
      <xdr:row>1</xdr:row>
      <xdr:rowOff>1727200</xdr:rowOff>
    </xdr:to>
    <xdr:pic>
      <xdr:nvPicPr>
        <xdr:cNvPr id="2" name="Picture 1" descr="Ironbark_logo.jp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27" t="11806" r="10189" b="13425"/>
        <a:stretch/>
      </xdr:blipFill>
      <xdr:spPr>
        <a:xfrm>
          <a:off x="698500" y="215900"/>
          <a:ext cx="2476500" cy="168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2"/>
  <sheetViews>
    <sheetView tabSelected="1" workbookViewId="0">
      <selection activeCell="C5" sqref="C5"/>
    </sheetView>
  </sheetViews>
  <sheetFormatPr baseColWidth="10" defaultRowHeight="14" x14ac:dyDescent="0"/>
  <cols>
    <col min="1" max="1" width="4.5" style="1" customWidth="1"/>
    <col min="2" max="2" width="39.6640625" style="1" customWidth="1"/>
    <col min="3" max="3" width="44" style="1" customWidth="1"/>
    <col min="4" max="4" width="42.5" style="1" customWidth="1"/>
    <col min="5" max="5" width="10.83203125" style="1"/>
    <col min="6" max="6" width="11.33203125" style="1" bestFit="1" customWidth="1"/>
    <col min="7" max="9" width="15" style="1" customWidth="1"/>
    <col min="10" max="10" width="14.33203125" style="1" customWidth="1"/>
    <col min="11" max="16384" width="10.83203125" style="1"/>
  </cols>
  <sheetData>
    <row r="2" spans="1:10" ht="143" customHeight="1">
      <c r="C2" s="13" t="s">
        <v>236</v>
      </c>
    </row>
    <row r="3" spans="1:10">
      <c r="B3" s="1" t="s">
        <v>241</v>
      </c>
    </row>
    <row r="6" spans="1:10" ht="28">
      <c r="A6" s="6" t="s">
        <v>6</v>
      </c>
      <c r="B6" s="6" t="s">
        <v>225</v>
      </c>
      <c r="C6" s="6" t="s">
        <v>226</v>
      </c>
      <c r="D6" s="6" t="s">
        <v>227</v>
      </c>
      <c r="E6" s="6" t="s">
        <v>228</v>
      </c>
      <c r="F6" s="6" t="s">
        <v>229</v>
      </c>
      <c r="G6" s="6" t="s">
        <v>230</v>
      </c>
      <c r="H6" s="6" t="s">
        <v>212</v>
      </c>
      <c r="I6" s="6" t="s">
        <v>57</v>
      </c>
      <c r="J6" s="7" t="s">
        <v>58</v>
      </c>
    </row>
    <row r="7" spans="1:10" ht="28">
      <c r="A7" s="2">
        <v>1</v>
      </c>
      <c r="B7" s="2" t="s">
        <v>126</v>
      </c>
      <c r="C7" s="2" t="s">
        <v>156</v>
      </c>
      <c r="D7" s="2" t="s">
        <v>157</v>
      </c>
      <c r="E7" s="2" t="s">
        <v>158</v>
      </c>
      <c r="F7" s="3">
        <v>3205000</v>
      </c>
      <c r="G7" s="3">
        <v>6523886</v>
      </c>
      <c r="H7" s="10">
        <f>F7/G7</f>
        <v>0.49127161326853352</v>
      </c>
      <c r="I7" s="3" t="s">
        <v>105</v>
      </c>
      <c r="J7" s="4" t="s">
        <v>116</v>
      </c>
    </row>
    <row r="8" spans="1:10" ht="28">
      <c r="A8" s="2">
        <v>2</v>
      </c>
      <c r="B8" s="2" t="s">
        <v>189</v>
      </c>
      <c r="C8" s="2" t="s">
        <v>190</v>
      </c>
      <c r="D8" s="2" t="s">
        <v>191</v>
      </c>
      <c r="E8" s="2" t="s">
        <v>192</v>
      </c>
      <c r="F8" s="3">
        <v>32683</v>
      </c>
      <c r="G8" s="3">
        <v>65366</v>
      </c>
      <c r="H8" s="10">
        <f>F8/G8</f>
        <v>0.5</v>
      </c>
      <c r="I8" s="3" t="s">
        <v>103</v>
      </c>
      <c r="J8" s="4" t="s">
        <v>115</v>
      </c>
    </row>
    <row r="9" spans="1:10" ht="28">
      <c r="A9" s="2">
        <v>3</v>
      </c>
      <c r="B9" s="2" t="s">
        <v>196</v>
      </c>
      <c r="C9" s="2" t="s">
        <v>197</v>
      </c>
      <c r="D9" s="2" t="s">
        <v>198</v>
      </c>
      <c r="E9" s="2" t="s">
        <v>192</v>
      </c>
      <c r="F9" s="3">
        <v>118126</v>
      </c>
      <c r="G9" s="3">
        <v>236252</v>
      </c>
      <c r="H9" s="10">
        <f>F9/G9</f>
        <v>0.5</v>
      </c>
      <c r="I9" s="3" t="s">
        <v>103</v>
      </c>
      <c r="J9" s="4" t="s">
        <v>115</v>
      </c>
    </row>
    <row r="10" spans="1:10" ht="28">
      <c r="A10" s="2">
        <v>4</v>
      </c>
      <c r="B10" s="2" t="s">
        <v>200</v>
      </c>
      <c r="C10" s="2" t="s">
        <v>201</v>
      </c>
      <c r="D10" s="2" t="s">
        <v>202</v>
      </c>
      <c r="E10" s="2" t="s">
        <v>192</v>
      </c>
      <c r="F10" s="3">
        <v>403607</v>
      </c>
      <c r="G10" s="3">
        <v>807213</v>
      </c>
      <c r="H10" s="10">
        <f>F10/G10</f>
        <v>0.50000061941519769</v>
      </c>
      <c r="I10" s="3" t="s">
        <v>103</v>
      </c>
      <c r="J10" s="4" t="s">
        <v>115</v>
      </c>
    </row>
    <row r="11" spans="1:10" ht="42">
      <c r="A11" s="2">
        <v>5</v>
      </c>
      <c r="B11" s="2" t="s">
        <v>203</v>
      </c>
      <c r="C11" s="2" t="s">
        <v>204</v>
      </c>
      <c r="D11" s="2" t="s">
        <v>202</v>
      </c>
      <c r="E11" s="2" t="s">
        <v>192</v>
      </c>
      <c r="F11" s="3">
        <v>495402</v>
      </c>
      <c r="G11" s="3">
        <v>990804</v>
      </c>
      <c r="H11" s="10">
        <f>F11/G11</f>
        <v>0.5</v>
      </c>
      <c r="I11" s="3" t="s">
        <v>103</v>
      </c>
      <c r="J11" s="4" t="s">
        <v>115</v>
      </c>
    </row>
    <row r="12" spans="1:10">
      <c r="A12" s="2">
        <v>6</v>
      </c>
      <c r="B12" s="2" t="s">
        <v>168</v>
      </c>
      <c r="C12" s="2" t="s">
        <v>169</v>
      </c>
      <c r="D12" s="2" t="s">
        <v>170</v>
      </c>
      <c r="E12" s="2" t="s">
        <v>192</v>
      </c>
      <c r="F12" s="3">
        <v>886022</v>
      </c>
      <c r="G12" s="3">
        <v>1722044</v>
      </c>
      <c r="H12" s="10">
        <f>F12/G12</f>
        <v>0.51451763137294981</v>
      </c>
      <c r="I12" s="3" t="s">
        <v>103</v>
      </c>
      <c r="J12" s="4" t="s">
        <v>115</v>
      </c>
    </row>
    <row r="13" spans="1:10" ht="28">
      <c r="A13" s="2">
        <v>7</v>
      </c>
      <c r="B13" s="2" t="s">
        <v>80</v>
      </c>
      <c r="C13" s="2" t="s">
        <v>181</v>
      </c>
      <c r="D13" s="2" t="s">
        <v>5</v>
      </c>
      <c r="E13" s="2" t="s">
        <v>192</v>
      </c>
      <c r="F13" s="3">
        <v>20000</v>
      </c>
      <c r="G13" s="3">
        <v>40000</v>
      </c>
      <c r="H13" s="10">
        <f>F13/G13</f>
        <v>0.5</v>
      </c>
      <c r="I13" s="3" t="s">
        <v>63</v>
      </c>
      <c r="J13" s="4" t="s">
        <v>115</v>
      </c>
    </row>
    <row r="14" spans="1:10" ht="28">
      <c r="A14" s="2">
        <v>8</v>
      </c>
      <c r="B14" s="2" t="s">
        <v>154</v>
      </c>
      <c r="C14" s="2" t="s">
        <v>155</v>
      </c>
      <c r="D14" s="2"/>
      <c r="E14" s="2" t="s">
        <v>192</v>
      </c>
      <c r="F14" s="3">
        <v>1123861</v>
      </c>
      <c r="G14" s="3">
        <v>2514487</v>
      </c>
      <c r="H14" s="10">
        <f>F14/G14</f>
        <v>0.44695438870831306</v>
      </c>
      <c r="I14" s="3" t="s">
        <v>62</v>
      </c>
      <c r="J14" s="4" t="s">
        <v>115</v>
      </c>
    </row>
    <row r="15" spans="1:10" ht="28">
      <c r="A15" s="2">
        <v>9</v>
      </c>
      <c r="B15" s="2" t="s">
        <v>199</v>
      </c>
      <c r="C15" s="2" t="s">
        <v>59</v>
      </c>
      <c r="D15" s="2" t="s">
        <v>4</v>
      </c>
      <c r="E15" s="2" t="s">
        <v>192</v>
      </c>
      <c r="F15" s="3">
        <v>75000</v>
      </c>
      <c r="G15" s="3">
        <v>150000</v>
      </c>
      <c r="H15" s="10">
        <f>F15/G15</f>
        <v>0.5</v>
      </c>
      <c r="I15" s="3" t="s">
        <v>62</v>
      </c>
      <c r="J15" s="4" t="s">
        <v>115</v>
      </c>
    </row>
    <row r="16" spans="1:10" ht="42">
      <c r="A16" s="2">
        <v>10</v>
      </c>
      <c r="B16" s="2" t="s">
        <v>146</v>
      </c>
      <c r="C16" s="2" t="s">
        <v>101</v>
      </c>
      <c r="D16" s="2" t="s">
        <v>102</v>
      </c>
      <c r="E16" s="2" t="s">
        <v>192</v>
      </c>
      <c r="F16" s="3">
        <v>317940</v>
      </c>
      <c r="G16" s="3">
        <v>637980</v>
      </c>
      <c r="H16" s="10">
        <f>F16/G16</f>
        <v>0.49835418038183016</v>
      </c>
      <c r="I16" s="3" t="s">
        <v>62</v>
      </c>
      <c r="J16" s="4" t="s">
        <v>115</v>
      </c>
    </row>
    <row r="17" spans="1:10" ht="42">
      <c r="A17" s="2">
        <v>11</v>
      </c>
      <c r="B17" s="2" t="s">
        <v>184</v>
      </c>
      <c r="C17" s="2" t="s">
        <v>185</v>
      </c>
      <c r="D17" s="2" t="s">
        <v>3</v>
      </c>
      <c r="E17" s="2" t="s">
        <v>192</v>
      </c>
      <c r="F17" s="3">
        <v>317350</v>
      </c>
      <c r="G17" s="3">
        <v>634700</v>
      </c>
      <c r="H17" s="10">
        <f>F17/G17</f>
        <v>0.5</v>
      </c>
      <c r="I17" s="3" t="s">
        <v>62</v>
      </c>
      <c r="J17" s="4" t="s">
        <v>115</v>
      </c>
    </row>
    <row r="18" spans="1:10" ht="42">
      <c r="A18" s="2">
        <v>12</v>
      </c>
      <c r="B18" s="2" t="s">
        <v>124</v>
      </c>
      <c r="C18" s="2" t="s">
        <v>125</v>
      </c>
      <c r="D18" s="2" t="s">
        <v>2</v>
      </c>
      <c r="E18" s="2" t="s">
        <v>192</v>
      </c>
      <c r="F18" s="3">
        <v>166039</v>
      </c>
      <c r="G18" s="3">
        <v>332078</v>
      </c>
      <c r="H18" s="10">
        <f>F18/G18</f>
        <v>0.5</v>
      </c>
      <c r="I18" s="3" t="s">
        <v>62</v>
      </c>
      <c r="J18" s="4" t="s">
        <v>115</v>
      </c>
    </row>
    <row r="19" spans="1:10" ht="28">
      <c r="A19" s="2">
        <v>13</v>
      </c>
      <c r="B19" s="2" t="s">
        <v>159</v>
      </c>
      <c r="C19" s="2" t="s">
        <v>160</v>
      </c>
      <c r="D19" s="2" t="s">
        <v>1</v>
      </c>
      <c r="E19" s="2" t="s">
        <v>192</v>
      </c>
      <c r="F19" s="3">
        <v>2012450</v>
      </c>
      <c r="G19" s="3">
        <v>4024900</v>
      </c>
      <c r="H19" s="10">
        <f>F19/G19</f>
        <v>0.5</v>
      </c>
      <c r="I19" s="3" t="s">
        <v>62</v>
      </c>
      <c r="J19" s="4" t="s">
        <v>115</v>
      </c>
    </row>
    <row r="20" spans="1:10" ht="28">
      <c r="A20" s="2">
        <v>14</v>
      </c>
      <c r="B20" s="2" t="s">
        <v>167</v>
      </c>
      <c r="C20" s="2" t="s">
        <v>27</v>
      </c>
      <c r="D20" s="2" t="s">
        <v>0</v>
      </c>
      <c r="E20" s="2" t="s">
        <v>192</v>
      </c>
      <c r="F20" s="3">
        <v>150000</v>
      </c>
      <c r="G20" s="3">
        <v>300000</v>
      </c>
      <c r="H20" s="10">
        <f>F20/G20</f>
        <v>0.5</v>
      </c>
      <c r="I20" s="3" t="s">
        <v>62</v>
      </c>
      <c r="J20" s="4" t="s">
        <v>115</v>
      </c>
    </row>
    <row r="21" spans="1:10" ht="28">
      <c r="A21" s="2">
        <v>15</v>
      </c>
      <c r="B21" s="2" t="s">
        <v>184</v>
      </c>
      <c r="C21" s="2" t="s">
        <v>93</v>
      </c>
      <c r="D21" s="2" t="s">
        <v>33</v>
      </c>
      <c r="E21" s="2" t="s">
        <v>192</v>
      </c>
      <c r="F21" s="3">
        <v>82732</v>
      </c>
      <c r="G21" s="3">
        <v>355232</v>
      </c>
      <c r="H21" s="12">
        <f>F21/G21</f>
        <v>0.23289568507341682</v>
      </c>
      <c r="I21" s="3" t="s">
        <v>62</v>
      </c>
      <c r="J21" s="4" t="s">
        <v>115</v>
      </c>
    </row>
    <row r="22" spans="1:10" ht="42">
      <c r="A22" s="2">
        <v>16</v>
      </c>
      <c r="B22" s="2" t="s">
        <v>94</v>
      </c>
      <c r="C22" s="2" t="s">
        <v>95</v>
      </c>
      <c r="D22" s="2" t="s">
        <v>32</v>
      </c>
      <c r="E22" s="2" t="s">
        <v>192</v>
      </c>
      <c r="F22" s="3">
        <v>5000000</v>
      </c>
      <c r="G22" s="3">
        <v>17190000</v>
      </c>
      <c r="H22" s="12">
        <f>F22/G22</f>
        <v>0.29086678301337987</v>
      </c>
      <c r="I22" s="3" t="s">
        <v>62</v>
      </c>
      <c r="J22" s="4" t="s">
        <v>115</v>
      </c>
    </row>
    <row r="23" spans="1:10" ht="28">
      <c r="A23" s="2">
        <v>17</v>
      </c>
      <c r="B23" s="2" t="s">
        <v>96</v>
      </c>
      <c r="C23" s="2" t="s">
        <v>97</v>
      </c>
      <c r="D23" s="2" t="s">
        <v>98</v>
      </c>
      <c r="E23" s="2" t="s">
        <v>192</v>
      </c>
      <c r="F23" s="3">
        <v>50000</v>
      </c>
      <c r="G23" s="3">
        <v>115610</v>
      </c>
      <c r="H23" s="10">
        <f>F23/G23</f>
        <v>0.43248853905371509</v>
      </c>
      <c r="I23" s="3" t="s">
        <v>62</v>
      </c>
      <c r="J23" s="4" t="s">
        <v>115</v>
      </c>
    </row>
    <row r="24" spans="1:10" ht="28">
      <c r="A24" s="2">
        <v>18</v>
      </c>
      <c r="B24" s="2" t="s">
        <v>99</v>
      </c>
      <c r="C24" s="2" t="s">
        <v>100</v>
      </c>
      <c r="D24" s="2" t="s">
        <v>31</v>
      </c>
      <c r="E24" s="2" t="s">
        <v>192</v>
      </c>
      <c r="F24" s="3">
        <v>699885</v>
      </c>
      <c r="G24" s="3">
        <v>1399770</v>
      </c>
      <c r="H24" s="10">
        <f>F24/G24</f>
        <v>0.5</v>
      </c>
      <c r="I24" s="3" t="s">
        <v>62</v>
      </c>
      <c r="J24" s="4" t="s">
        <v>115</v>
      </c>
    </row>
    <row r="25" spans="1:10" ht="42">
      <c r="A25" s="2">
        <v>19</v>
      </c>
      <c r="B25" s="2" t="s">
        <v>142</v>
      </c>
      <c r="C25" s="2" t="s">
        <v>143</v>
      </c>
      <c r="D25" s="2" t="s">
        <v>30</v>
      </c>
      <c r="E25" s="2" t="s">
        <v>192</v>
      </c>
      <c r="F25" s="3">
        <v>350000</v>
      </c>
      <c r="G25" s="3">
        <v>700000</v>
      </c>
      <c r="H25" s="10">
        <f>F25/G25</f>
        <v>0.5</v>
      </c>
      <c r="I25" s="3" t="s">
        <v>62</v>
      </c>
      <c r="J25" s="4" t="s">
        <v>115</v>
      </c>
    </row>
    <row r="26" spans="1:10" ht="28">
      <c r="A26" s="2">
        <v>20</v>
      </c>
      <c r="B26" s="2" t="s">
        <v>106</v>
      </c>
      <c r="C26" s="2" t="s">
        <v>107</v>
      </c>
      <c r="D26" s="2" t="s">
        <v>29</v>
      </c>
      <c r="E26" s="2" t="s">
        <v>192</v>
      </c>
      <c r="F26" s="3">
        <v>375075</v>
      </c>
      <c r="G26" s="3">
        <v>776520</v>
      </c>
      <c r="H26" s="10">
        <f>F26/G26</f>
        <v>0.48302039870190078</v>
      </c>
      <c r="I26" s="3" t="s">
        <v>62</v>
      </c>
      <c r="J26" s="4" t="s">
        <v>115</v>
      </c>
    </row>
    <row r="27" spans="1:10" ht="70">
      <c r="A27" s="2">
        <v>21</v>
      </c>
      <c r="B27" s="2" t="s">
        <v>75</v>
      </c>
      <c r="C27" s="2" t="s">
        <v>76</v>
      </c>
      <c r="D27" s="2" t="s">
        <v>28</v>
      </c>
      <c r="E27" s="2" t="s">
        <v>192</v>
      </c>
      <c r="F27" s="3">
        <v>1750154</v>
      </c>
      <c r="G27" s="3">
        <v>3750154</v>
      </c>
      <c r="H27" s="10">
        <f>F27/G27</f>
        <v>0.46668856798947456</v>
      </c>
      <c r="I27" s="3" t="s">
        <v>64</v>
      </c>
      <c r="J27" s="4" t="s">
        <v>116</v>
      </c>
    </row>
    <row r="28" spans="1:10" ht="56">
      <c r="A28" s="2">
        <v>22</v>
      </c>
      <c r="B28" s="2" t="s">
        <v>77</v>
      </c>
      <c r="C28" s="2" t="s">
        <v>78</v>
      </c>
      <c r="D28" s="2" t="s">
        <v>60</v>
      </c>
      <c r="E28" s="2" t="s">
        <v>192</v>
      </c>
      <c r="F28" s="3">
        <v>558585</v>
      </c>
      <c r="G28" s="3">
        <v>1187170</v>
      </c>
      <c r="H28" s="10">
        <f>F28/G28</f>
        <v>0.47051812293100398</v>
      </c>
      <c r="I28" s="3" t="s">
        <v>62</v>
      </c>
      <c r="J28" s="4" t="s">
        <v>115</v>
      </c>
    </row>
    <row r="29" spans="1:10" ht="28">
      <c r="A29" s="2">
        <v>23</v>
      </c>
      <c r="B29" s="2" t="s">
        <v>82</v>
      </c>
      <c r="C29" s="2" t="s">
        <v>83</v>
      </c>
      <c r="D29" s="2" t="s">
        <v>22</v>
      </c>
      <c r="E29" s="2" t="s">
        <v>192</v>
      </c>
      <c r="F29" s="3">
        <v>62750</v>
      </c>
      <c r="G29" s="3">
        <v>125500</v>
      </c>
      <c r="H29" s="10">
        <f>F29/G29</f>
        <v>0.5</v>
      </c>
      <c r="I29" s="3" t="s">
        <v>62</v>
      </c>
      <c r="J29" s="4" t="s">
        <v>117</v>
      </c>
    </row>
    <row r="30" spans="1:10" ht="42">
      <c r="A30" s="2">
        <v>24</v>
      </c>
      <c r="B30" s="2" t="s">
        <v>84</v>
      </c>
      <c r="C30" s="2" t="s">
        <v>133</v>
      </c>
      <c r="D30" s="2" t="s">
        <v>21</v>
      </c>
      <c r="E30" s="2" t="s">
        <v>192</v>
      </c>
      <c r="F30" s="3">
        <v>720000</v>
      </c>
      <c r="G30" s="3">
        <v>1440000</v>
      </c>
      <c r="H30" s="10">
        <f>F30/G30</f>
        <v>0.5</v>
      </c>
      <c r="I30" s="3" t="s">
        <v>62</v>
      </c>
      <c r="J30" s="4" t="s">
        <v>115</v>
      </c>
    </row>
    <row r="31" spans="1:10" ht="42">
      <c r="A31" s="2">
        <v>25</v>
      </c>
      <c r="B31" s="2" t="s">
        <v>90</v>
      </c>
      <c r="C31" s="2" t="s">
        <v>91</v>
      </c>
      <c r="D31" s="2" t="s">
        <v>20</v>
      </c>
      <c r="E31" s="2" t="s">
        <v>192</v>
      </c>
      <c r="F31" s="3">
        <v>459844</v>
      </c>
      <c r="G31" s="3">
        <v>1270670</v>
      </c>
      <c r="H31" s="12">
        <f>F31/G31</f>
        <v>0.36189097090511307</v>
      </c>
      <c r="I31" s="3" t="s">
        <v>62</v>
      </c>
      <c r="J31" s="4" t="s">
        <v>115</v>
      </c>
    </row>
    <row r="32" spans="1:10">
      <c r="A32" s="2">
        <v>26</v>
      </c>
      <c r="B32" s="2" t="s">
        <v>217</v>
      </c>
      <c r="C32" s="2" t="s">
        <v>179</v>
      </c>
      <c r="D32" s="2" t="s">
        <v>19</v>
      </c>
      <c r="E32" s="2" t="s">
        <v>180</v>
      </c>
      <c r="F32" s="3">
        <v>257500</v>
      </c>
      <c r="G32" s="3">
        <v>535000</v>
      </c>
      <c r="H32" s="10">
        <f>F32/G32</f>
        <v>0.48130841121495327</v>
      </c>
      <c r="I32" s="3" t="s">
        <v>62</v>
      </c>
      <c r="J32" s="4" t="s">
        <v>115</v>
      </c>
    </row>
    <row r="33" spans="1:10" ht="28">
      <c r="A33" s="2">
        <v>27</v>
      </c>
      <c r="B33" s="2" t="s">
        <v>134</v>
      </c>
      <c r="C33" s="2" t="s">
        <v>135</v>
      </c>
      <c r="D33" s="2" t="s">
        <v>18</v>
      </c>
      <c r="E33" s="2" t="s">
        <v>180</v>
      </c>
      <c r="F33" s="3">
        <v>219528</v>
      </c>
      <c r="G33" s="3">
        <v>434056</v>
      </c>
      <c r="H33" s="10">
        <f>F33/G33</f>
        <v>0.50575962548611242</v>
      </c>
      <c r="I33" s="3" t="s">
        <v>62</v>
      </c>
      <c r="J33" s="4" t="s">
        <v>41</v>
      </c>
    </row>
    <row r="34" spans="1:10" ht="28">
      <c r="A34" s="2">
        <v>28</v>
      </c>
      <c r="B34" s="2" t="s">
        <v>108</v>
      </c>
      <c r="C34" s="2" t="s">
        <v>109</v>
      </c>
      <c r="D34" s="2" t="s">
        <v>17</v>
      </c>
      <c r="E34" s="2" t="s">
        <v>110</v>
      </c>
      <c r="F34" s="3">
        <v>5000000</v>
      </c>
      <c r="G34" s="3">
        <v>10000000</v>
      </c>
      <c r="H34" s="10">
        <f>F34/G34</f>
        <v>0.5</v>
      </c>
      <c r="I34" s="3" t="s">
        <v>62</v>
      </c>
      <c r="J34" s="4" t="s">
        <v>41</v>
      </c>
    </row>
    <row r="35" spans="1:10" ht="42">
      <c r="A35" s="2">
        <v>29</v>
      </c>
      <c r="B35" s="2" t="s">
        <v>111</v>
      </c>
      <c r="C35" s="2" t="s">
        <v>147</v>
      </c>
      <c r="D35" s="2" t="s">
        <v>16</v>
      </c>
      <c r="E35" s="2" t="s">
        <v>110</v>
      </c>
      <c r="F35" s="3">
        <v>813000</v>
      </c>
      <c r="G35" s="3">
        <v>1626000</v>
      </c>
      <c r="H35" s="10">
        <f>F35/G35</f>
        <v>0.5</v>
      </c>
      <c r="I35" s="3" t="s">
        <v>62</v>
      </c>
      <c r="J35" s="4" t="s">
        <v>115</v>
      </c>
    </row>
    <row r="36" spans="1:10" ht="28">
      <c r="A36" s="2">
        <v>30</v>
      </c>
      <c r="B36" s="2" t="s">
        <v>55</v>
      </c>
      <c r="C36" s="2" t="s">
        <v>56</v>
      </c>
      <c r="D36" s="2" t="s">
        <v>52</v>
      </c>
      <c r="E36" s="2" t="s">
        <v>110</v>
      </c>
      <c r="F36" s="3">
        <v>295450</v>
      </c>
      <c r="G36" s="3">
        <v>590000</v>
      </c>
      <c r="H36" s="10">
        <f>F36/G36</f>
        <v>0.5007627118644068</v>
      </c>
      <c r="I36" s="3" t="s">
        <v>62</v>
      </c>
      <c r="J36" s="4" t="s">
        <v>115</v>
      </c>
    </row>
    <row r="37" spans="1:10" ht="42">
      <c r="A37" s="2">
        <v>31</v>
      </c>
      <c r="B37" s="2" t="s">
        <v>193</v>
      </c>
      <c r="C37" s="2" t="s">
        <v>194</v>
      </c>
      <c r="D37" s="2" t="s">
        <v>51</v>
      </c>
      <c r="E37" s="2" t="s">
        <v>195</v>
      </c>
      <c r="F37" s="3">
        <v>35110</v>
      </c>
      <c r="G37" s="3">
        <v>70220</v>
      </c>
      <c r="H37" s="10">
        <f>F37/G37</f>
        <v>0.5</v>
      </c>
      <c r="I37" s="3" t="s">
        <v>65</v>
      </c>
      <c r="J37" s="4" t="s">
        <v>115</v>
      </c>
    </row>
    <row r="38" spans="1:10" ht="28">
      <c r="A38" s="2">
        <v>32</v>
      </c>
      <c r="B38" s="2" t="s">
        <v>205</v>
      </c>
      <c r="C38" s="2" t="s">
        <v>218</v>
      </c>
      <c r="D38" s="2" t="s">
        <v>50</v>
      </c>
      <c r="E38" s="2" t="s">
        <v>195</v>
      </c>
      <c r="F38" s="3">
        <v>256000</v>
      </c>
      <c r="G38" s="3">
        <v>512000</v>
      </c>
      <c r="H38" s="10">
        <f>F38/G38</f>
        <v>0.5</v>
      </c>
      <c r="I38" s="3" t="s">
        <v>65</v>
      </c>
      <c r="J38" s="4" t="s">
        <v>115</v>
      </c>
    </row>
    <row r="39" spans="1:10" ht="42">
      <c r="A39" s="2">
        <v>33</v>
      </c>
      <c r="B39" s="2" t="s">
        <v>223</v>
      </c>
      <c r="C39" s="2" t="s">
        <v>224</v>
      </c>
      <c r="D39" s="2" t="s">
        <v>49</v>
      </c>
      <c r="E39" s="2" t="s">
        <v>195</v>
      </c>
      <c r="F39" s="3">
        <v>79075</v>
      </c>
      <c r="G39" s="3">
        <v>158650</v>
      </c>
      <c r="H39" s="10">
        <f>F39/G39</f>
        <v>0.49842420422313266</v>
      </c>
      <c r="I39" s="3" t="s">
        <v>104</v>
      </c>
      <c r="J39" s="4" t="s">
        <v>115</v>
      </c>
    </row>
    <row r="40" spans="1:10" ht="42">
      <c r="A40" s="2">
        <v>34</v>
      </c>
      <c r="B40" s="2" t="s">
        <v>171</v>
      </c>
      <c r="C40" s="2" t="s">
        <v>172</v>
      </c>
      <c r="D40" s="2" t="s">
        <v>48</v>
      </c>
      <c r="E40" s="2" t="s">
        <v>173</v>
      </c>
      <c r="F40" s="3">
        <v>25646</v>
      </c>
      <c r="G40" s="3">
        <v>59098</v>
      </c>
      <c r="H40" s="10">
        <f>F40/G40</f>
        <v>0.43395715591052153</v>
      </c>
      <c r="I40" s="3" t="s">
        <v>62</v>
      </c>
      <c r="J40" s="4" t="s">
        <v>115</v>
      </c>
    </row>
    <row r="41" spans="1:10" ht="28">
      <c r="A41" s="2">
        <v>35</v>
      </c>
      <c r="B41" s="2" t="s">
        <v>150</v>
      </c>
      <c r="C41" s="2" t="s">
        <v>151</v>
      </c>
      <c r="D41" s="2" t="s">
        <v>47</v>
      </c>
      <c r="E41" s="2" t="s">
        <v>173</v>
      </c>
      <c r="F41" s="3">
        <v>125500</v>
      </c>
      <c r="G41" s="3">
        <v>261137</v>
      </c>
      <c r="H41" s="10">
        <f>F41/G41</f>
        <v>0.48059064782087563</v>
      </c>
      <c r="I41" s="3" t="s">
        <v>104</v>
      </c>
      <c r="J41" s="4" t="s">
        <v>115</v>
      </c>
    </row>
    <row r="42" spans="1:10" ht="28">
      <c r="A42" s="2">
        <v>36</v>
      </c>
      <c r="B42" s="2" t="s">
        <v>186</v>
      </c>
      <c r="C42" s="2" t="s">
        <v>187</v>
      </c>
      <c r="D42" s="2" t="s">
        <v>46</v>
      </c>
      <c r="E42" s="2" t="s">
        <v>188</v>
      </c>
      <c r="F42" s="3">
        <v>395500</v>
      </c>
      <c r="G42" s="3">
        <v>806000</v>
      </c>
      <c r="H42" s="10">
        <f>F42/G42</f>
        <v>0.49069478908188585</v>
      </c>
      <c r="I42" s="3" t="s">
        <v>104</v>
      </c>
      <c r="J42" s="4" t="s">
        <v>115</v>
      </c>
    </row>
    <row r="43" spans="1:10" ht="28">
      <c r="A43" s="2">
        <v>37</v>
      </c>
      <c r="B43" s="2" t="s">
        <v>221</v>
      </c>
      <c r="C43" s="2" t="s">
        <v>208</v>
      </c>
      <c r="D43" s="2" t="s">
        <v>45</v>
      </c>
      <c r="E43" s="2" t="s">
        <v>188</v>
      </c>
      <c r="F43" s="3">
        <v>200000</v>
      </c>
      <c r="G43" s="3">
        <v>400000</v>
      </c>
      <c r="H43" s="10">
        <f>F43/G43</f>
        <v>0.5</v>
      </c>
      <c r="I43" s="3" t="s">
        <v>104</v>
      </c>
      <c r="J43" s="4" t="s">
        <v>115</v>
      </c>
    </row>
    <row r="44" spans="1:10">
      <c r="A44" s="2">
        <v>38</v>
      </c>
      <c r="B44" s="2" t="s">
        <v>177</v>
      </c>
      <c r="C44" s="2" t="s">
        <v>178</v>
      </c>
      <c r="D44" s="2" t="s">
        <v>24</v>
      </c>
      <c r="E44" s="2" t="s">
        <v>188</v>
      </c>
      <c r="F44" s="3">
        <v>291747</v>
      </c>
      <c r="G44" s="3">
        <v>1029489</v>
      </c>
      <c r="H44" s="12">
        <f>F44/G44</f>
        <v>0.28339010907353063</v>
      </c>
      <c r="I44" s="3" t="s">
        <v>62</v>
      </c>
      <c r="J44" s="4" t="s">
        <v>41</v>
      </c>
    </row>
    <row r="45" spans="1:10">
      <c r="A45" s="2">
        <v>39</v>
      </c>
      <c r="B45" s="2" t="s">
        <v>215</v>
      </c>
      <c r="C45" s="2" t="s">
        <v>216</v>
      </c>
      <c r="D45" s="2" t="s">
        <v>24</v>
      </c>
      <c r="E45" s="2" t="s">
        <v>188</v>
      </c>
      <c r="F45" s="3">
        <v>172812</v>
      </c>
      <c r="G45" s="3">
        <v>606821</v>
      </c>
      <c r="H45" s="12">
        <f>F45/G45</f>
        <v>0.28478249763933683</v>
      </c>
      <c r="I45" s="3" t="s">
        <v>62</v>
      </c>
      <c r="J45" s="4" t="s">
        <v>41</v>
      </c>
    </row>
    <row r="46" spans="1:10" ht="70">
      <c r="A46" s="2">
        <v>40</v>
      </c>
      <c r="B46" s="2" t="s">
        <v>66</v>
      </c>
      <c r="C46" s="2" t="s">
        <v>222</v>
      </c>
      <c r="D46" s="2" t="s">
        <v>112</v>
      </c>
      <c r="E46" s="2" t="s">
        <v>113</v>
      </c>
      <c r="F46" s="3">
        <v>1421890</v>
      </c>
      <c r="G46" s="3">
        <v>3039954</v>
      </c>
      <c r="H46" s="10">
        <f>F46/G46</f>
        <v>0.46773405123893325</v>
      </c>
      <c r="I46" s="3" t="s">
        <v>62</v>
      </c>
      <c r="J46" s="4" t="s">
        <v>41</v>
      </c>
    </row>
    <row r="47" spans="1:10" ht="42">
      <c r="A47" s="2">
        <v>41</v>
      </c>
      <c r="B47" s="2" t="s">
        <v>148</v>
      </c>
      <c r="C47" s="2" t="s">
        <v>149</v>
      </c>
      <c r="D47" s="2" t="s">
        <v>23</v>
      </c>
      <c r="E47" s="2" t="s">
        <v>188</v>
      </c>
      <c r="F47" s="3">
        <v>48400</v>
      </c>
      <c r="G47" s="3">
        <v>101200</v>
      </c>
      <c r="H47" s="10">
        <f>F47/G47</f>
        <v>0.47826086956521741</v>
      </c>
      <c r="I47" s="3" t="s">
        <v>114</v>
      </c>
      <c r="J47" s="4" t="s">
        <v>115</v>
      </c>
    </row>
    <row r="48" spans="1:10" ht="28">
      <c r="A48" s="2">
        <v>42</v>
      </c>
      <c r="B48" s="2" t="s">
        <v>164</v>
      </c>
      <c r="C48" s="2" t="s">
        <v>165</v>
      </c>
      <c r="D48" s="2" t="s">
        <v>40</v>
      </c>
      <c r="E48" s="2" t="s">
        <v>188</v>
      </c>
      <c r="F48" s="3">
        <v>310000</v>
      </c>
      <c r="G48" s="3">
        <v>625000</v>
      </c>
      <c r="H48" s="10">
        <f>F48/G48</f>
        <v>0.496</v>
      </c>
      <c r="I48" s="3" t="s">
        <v>62</v>
      </c>
      <c r="J48" s="4" t="s">
        <v>115</v>
      </c>
    </row>
    <row r="49" spans="1:10" ht="28">
      <c r="A49" s="2">
        <v>43</v>
      </c>
      <c r="B49" s="2" t="s">
        <v>136</v>
      </c>
      <c r="C49" s="2" t="s">
        <v>137</v>
      </c>
      <c r="D49" s="2" t="s">
        <v>39</v>
      </c>
      <c r="E49" s="2" t="s">
        <v>188</v>
      </c>
      <c r="F49" s="3">
        <v>49380</v>
      </c>
      <c r="G49" s="3">
        <v>98760</v>
      </c>
      <c r="H49" s="10">
        <f>F49/G49</f>
        <v>0.5</v>
      </c>
      <c r="I49" s="3" t="s">
        <v>62</v>
      </c>
      <c r="J49" s="4" t="s">
        <v>115</v>
      </c>
    </row>
    <row r="50" spans="1:10" ht="42">
      <c r="A50" s="2">
        <v>44</v>
      </c>
      <c r="B50" s="2" t="s">
        <v>138</v>
      </c>
      <c r="C50" s="2" t="s">
        <v>139</v>
      </c>
      <c r="D50" s="2" t="s">
        <v>38</v>
      </c>
      <c r="E50" s="2" t="s">
        <v>188</v>
      </c>
      <c r="F50" s="3">
        <v>375000</v>
      </c>
      <c r="G50" s="3">
        <v>750000</v>
      </c>
      <c r="H50" s="10">
        <f>F50/G50</f>
        <v>0.5</v>
      </c>
      <c r="I50" s="3" t="s">
        <v>62</v>
      </c>
      <c r="J50" s="4" t="s">
        <v>115</v>
      </c>
    </row>
    <row r="51" spans="1:10" ht="28">
      <c r="A51" s="2">
        <v>45</v>
      </c>
      <c r="B51" s="2" t="s">
        <v>140</v>
      </c>
      <c r="C51" s="2" t="s">
        <v>141</v>
      </c>
      <c r="D51" s="2" t="s">
        <v>37</v>
      </c>
      <c r="E51" s="2" t="s">
        <v>188</v>
      </c>
      <c r="F51" s="3">
        <v>380000</v>
      </c>
      <c r="G51" s="3">
        <v>760000</v>
      </c>
      <c r="H51" s="10">
        <f>F51/G51</f>
        <v>0.5</v>
      </c>
      <c r="I51" s="3" t="s">
        <v>62</v>
      </c>
      <c r="J51" s="4" t="s">
        <v>115</v>
      </c>
    </row>
    <row r="52" spans="1:10" ht="42">
      <c r="A52" s="2">
        <v>46</v>
      </c>
      <c r="B52" s="2" t="s">
        <v>144</v>
      </c>
      <c r="C52" s="2" t="s">
        <v>145</v>
      </c>
      <c r="D52" s="2" t="s">
        <v>36</v>
      </c>
      <c r="E52" s="2" t="s">
        <v>188</v>
      </c>
      <c r="F52" s="3">
        <v>3584593</v>
      </c>
      <c r="G52" s="3">
        <v>7278207</v>
      </c>
      <c r="H52" s="10">
        <f>F52/G52</f>
        <v>0.49251044934555999</v>
      </c>
      <c r="I52" s="3" t="s">
        <v>62</v>
      </c>
      <c r="J52" s="4" t="s">
        <v>42</v>
      </c>
    </row>
    <row r="53" spans="1:10">
      <c r="A53" s="2">
        <v>47</v>
      </c>
      <c r="B53" s="2" t="s">
        <v>182</v>
      </c>
      <c r="C53" s="2" t="s">
        <v>183</v>
      </c>
      <c r="D53" s="2" t="s">
        <v>35</v>
      </c>
      <c r="E53" s="2" t="s">
        <v>188</v>
      </c>
      <c r="F53" s="3">
        <v>489546</v>
      </c>
      <c r="G53" s="3">
        <v>1036527</v>
      </c>
      <c r="H53" s="10">
        <f>F53/G53</f>
        <v>0.47229449884084063</v>
      </c>
      <c r="I53" s="3" t="s">
        <v>62</v>
      </c>
      <c r="J53" s="4" t="s">
        <v>41</v>
      </c>
    </row>
    <row r="54" spans="1:10" ht="56">
      <c r="A54" s="2">
        <v>48</v>
      </c>
      <c r="B54" s="2" t="s">
        <v>122</v>
      </c>
      <c r="C54" s="2" t="s">
        <v>123</v>
      </c>
      <c r="D54" s="2" t="s">
        <v>34</v>
      </c>
      <c r="E54" s="2" t="s">
        <v>188</v>
      </c>
      <c r="F54" s="3">
        <v>1496511</v>
      </c>
      <c r="G54" s="3">
        <v>2993022</v>
      </c>
      <c r="H54" s="10">
        <f>F54/G54</f>
        <v>0.5</v>
      </c>
      <c r="I54" s="3" t="s">
        <v>62</v>
      </c>
      <c r="J54" s="4" t="s">
        <v>115</v>
      </c>
    </row>
    <row r="55" spans="1:10" ht="56">
      <c r="A55" s="2">
        <v>49</v>
      </c>
      <c r="B55" s="2" t="s">
        <v>161</v>
      </c>
      <c r="C55" s="2" t="s">
        <v>129</v>
      </c>
      <c r="D55" s="2" t="s">
        <v>72</v>
      </c>
      <c r="E55" s="2" t="s">
        <v>188</v>
      </c>
      <c r="F55" s="3">
        <v>875800</v>
      </c>
      <c r="G55" s="3">
        <v>2189500</v>
      </c>
      <c r="H55" s="10">
        <f>F55/G55</f>
        <v>0.4</v>
      </c>
      <c r="I55" s="3" t="s">
        <v>62</v>
      </c>
      <c r="J55" s="4" t="s">
        <v>115</v>
      </c>
    </row>
    <row r="56" spans="1:10" ht="28">
      <c r="A56" s="2">
        <v>50</v>
      </c>
      <c r="B56" s="2" t="s">
        <v>130</v>
      </c>
      <c r="C56" s="2" t="s">
        <v>131</v>
      </c>
      <c r="D56" s="2" t="s">
        <v>71</v>
      </c>
      <c r="E56" s="2" t="s">
        <v>188</v>
      </c>
      <c r="F56" s="3">
        <v>486035</v>
      </c>
      <c r="G56" s="3">
        <v>1011241</v>
      </c>
      <c r="H56" s="10">
        <f>F56/G56</f>
        <v>0.48063221329040257</v>
      </c>
      <c r="I56" s="3" t="s">
        <v>62</v>
      </c>
      <c r="J56" s="4" t="s">
        <v>115</v>
      </c>
    </row>
    <row r="57" spans="1:10" ht="42">
      <c r="A57" s="2">
        <v>51</v>
      </c>
      <c r="B57" s="2" t="s">
        <v>132</v>
      </c>
      <c r="C57" s="2" t="s">
        <v>166</v>
      </c>
      <c r="D57" s="2" t="s">
        <v>70</v>
      </c>
      <c r="E57" s="2" t="s">
        <v>188</v>
      </c>
      <c r="F57" s="3">
        <v>725000</v>
      </c>
      <c r="G57" s="3">
        <v>1450000</v>
      </c>
      <c r="H57" s="10">
        <f>F57/G57</f>
        <v>0.5</v>
      </c>
      <c r="I57" s="3" t="s">
        <v>62</v>
      </c>
      <c r="J57" s="4" t="s">
        <v>115</v>
      </c>
    </row>
    <row r="58" spans="1:10" ht="42">
      <c r="A58" s="2">
        <v>52</v>
      </c>
      <c r="B58" s="2" t="s">
        <v>130</v>
      </c>
      <c r="C58" s="2" t="s">
        <v>92</v>
      </c>
      <c r="D58" s="2" t="s">
        <v>69</v>
      </c>
      <c r="E58" s="2" t="s">
        <v>188</v>
      </c>
      <c r="F58" s="3">
        <v>151316</v>
      </c>
      <c r="G58" s="3">
        <v>308279</v>
      </c>
      <c r="H58" s="10">
        <f>F58/G58</f>
        <v>0.49084108875401827</v>
      </c>
      <c r="I58" s="3" t="s">
        <v>62</v>
      </c>
      <c r="J58" s="4" t="s">
        <v>115</v>
      </c>
    </row>
    <row r="59" spans="1:10" ht="28">
      <c r="A59" s="2">
        <v>53</v>
      </c>
      <c r="B59" s="2" t="s">
        <v>119</v>
      </c>
      <c r="C59" s="2" t="s">
        <v>120</v>
      </c>
      <c r="D59" s="2" t="s">
        <v>68</v>
      </c>
      <c r="E59" s="2" t="s">
        <v>188</v>
      </c>
      <c r="F59" s="3">
        <v>179513</v>
      </c>
      <c r="G59" s="3">
        <v>359025</v>
      </c>
      <c r="H59" s="10">
        <f>F59/G59</f>
        <v>0.50000139266067822</v>
      </c>
      <c r="I59" s="3" t="s">
        <v>62</v>
      </c>
      <c r="J59" s="4" t="s">
        <v>115</v>
      </c>
    </row>
    <row r="60" spans="1:10" ht="28">
      <c r="A60" s="2">
        <v>54</v>
      </c>
      <c r="B60" s="2" t="s">
        <v>121</v>
      </c>
      <c r="C60" s="2" t="s">
        <v>118</v>
      </c>
      <c r="D60" s="2" t="s">
        <v>67</v>
      </c>
      <c r="E60" s="2" t="s">
        <v>188</v>
      </c>
      <c r="F60" s="3">
        <v>369582</v>
      </c>
      <c r="G60" s="3">
        <v>739163</v>
      </c>
      <c r="H60" s="10">
        <f>F60/G60</f>
        <v>0.50000067644078505</v>
      </c>
      <c r="I60" s="3" t="s">
        <v>62</v>
      </c>
      <c r="J60" s="4" t="s">
        <v>115</v>
      </c>
    </row>
    <row r="61" spans="1:10" ht="56">
      <c r="A61" s="2">
        <v>55</v>
      </c>
      <c r="B61" s="2" t="s">
        <v>73</v>
      </c>
      <c r="C61" s="2" t="s">
        <v>74</v>
      </c>
      <c r="D61" s="2" t="s">
        <v>25</v>
      </c>
      <c r="E61" s="2" t="s">
        <v>188</v>
      </c>
      <c r="F61" s="3">
        <v>550000</v>
      </c>
      <c r="G61" s="3">
        <v>1100000</v>
      </c>
      <c r="H61" s="10">
        <f>F61/G61</f>
        <v>0.5</v>
      </c>
      <c r="I61" s="3" t="s">
        <v>62</v>
      </c>
      <c r="J61" s="4" t="s">
        <v>115</v>
      </c>
    </row>
    <row r="62" spans="1:10" ht="28">
      <c r="A62" s="2">
        <v>56</v>
      </c>
      <c r="B62" s="2" t="s">
        <v>127</v>
      </c>
      <c r="C62" s="2" t="s">
        <v>128</v>
      </c>
      <c r="D62" s="2" t="s">
        <v>61</v>
      </c>
      <c r="E62" s="2" t="s">
        <v>188</v>
      </c>
      <c r="F62" s="3">
        <v>460876</v>
      </c>
      <c r="G62" s="3">
        <v>2173314</v>
      </c>
      <c r="H62" s="12">
        <f>F62/G62</f>
        <v>0.21206139563818205</v>
      </c>
      <c r="I62" s="3" t="s">
        <v>62</v>
      </c>
      <c r="J62" s="4" t="s">
        <v>41</v>
      </c>
    </row>
    <row r="63" spans="1:10">
      <c r="A63" s="2">
        <v>57</v>
      </c>
      <c r="B63" s="2" t="s">
        <v>209</v>
      </c>
      <c r="C63" s="2" t="s">
        <v>210</v>
      </c>
      <c r="D63" s="2" t="s">
        <v>54</v>
      </c>
      <c r="E63" s="2" t="s">
        <v>211</v>
      </c>
      <c r="F63" s="3">
        <v>60113</v>
      </c>
      <c r="G63" s="3">
        <v>120226</v>
      </c>
      <c r="H63" s="10">
        <f>F63/G63</f>
        <v>0.5</v>
      </c>
      <c r="I63" s="3" t="s">
        <v>104</v>
      </c>
      <c r="J63" s="4" t="s">
        <v>115</v>
      </c>
    </row>
    <row r="64" spans="1:10" ht="28">
      <c r="A64" s="2">
        <v>58</v>
      </c>
      <c r="B64" s="2" t="s">
        <v>219</v>
      </c>
      <c r="C64" s="2" t="s">
        <v>220</v>
      </c>
      <c r="D64" s="2" t="s">
        <v>53</v>
      </c>
      <c r="E64" s="2" t="s">
        <v>211</v>
      </c>
      <c r="F64" s="3">
        <v>156131</v>
      </c>
      <c r="G64" s="3">
        <v>312262</v>
      </c>
      <c r="H64" s="10">
        <f>F64/G64</f>
        <v>0.5</v>
      </c>
      <c r="I64" s="3" t="s">
        <v>104</v>
      </c>
      <c r="J64" s="4" t="s">
        <v>115</v>
      </c>
    </row>
    <row r="65" spans="1:10" ht="42">
      <c r="A65" s="2">
        <v>59</v>
      </c>
      <c r="B65" s="2" t="s">
        <v>174</v>
      </c>
      <c r="C65" s="2" t="s">
        <v>175</v>
      </c>
      <c r="D65" s="2" t="s">
        <v>176</v>
      </c>
      <c r="E65" s="2" t="s">
        <v>211</v>
      </c>
      <c r="F65" s="3">
        <v>533206</v>
      </c>
      <c r="G65" s="3">
        <v>1066412</v>
      </c>
      <c r="H65" s="10">
        <f>F65/G65</f>
        <v>0.5</v>
      </c>
      <c r="I65" s="3" t="s">
        <v>62</v>
      </c>
      <c r="J65" s="4" t="s">
        <v>115</v>
      </c>
    </row>
    <row r="66" spans="1:10" ht="42">
      <c r="A66" s="2">
        <v>60</v>
      </c>
      <c r="B66" s="2" t="s">
        <v>152</v>
      </c>
      <c r="C66" s="2" t="s">
        <v>153</v>
      </c>
      <c r="D66" s="2" t="s">
        <v>89</v>
      </c>
      <c r="E66" s="2" t="s">
        <v>211</v>
      </c>
      <c r="F66" s="3">
        <v>622725</v>
      </c>
      <c r="G66" s="3">
        <v>1325856</v>
      </c>
      <c r="H66" s="10">
        <f>F66/G66</f>
        <v>0.46967770255593366</v>
      </c>
      <c r="I66" s="3" t="s">
        <v>62</v>
      </c>
      <c r="J66" s="4" t="s">
        <v>115</v>
      </c>
    </row>
    <row r="67" spans="1:10" ht="28">
      <c r="A67" s="2">
        <v>61</v>
      </c>
      <c r="B67" s="2" t="s">
        <v>162</v>
      </c>
      <c r="C67" s="2" t="s">
        <v>163</v>
      </c>
      <c r="D67" s="2" t="s">
        <v>88</v>
      </c>
      <c r="E67" s="2" t="s">
        <v>211</v>
      </c>
      <c r="F67" s="3">
        <v>538968</v>
      </c>
      <c r="G67" s="3">
        <v>1092936</v>
      </c>
      <c r="H67" s="10">
        <f>F67/G67</f>
        <v>0.49313775006038779</v>
      </c>
      <c r="I67" s="3" t="s">
        <v>62</v>
      </c>
      <c r="J67" s="4" t="s">
        <v>79</v>
      </c>
    </row>
    <row r="68" spans="1:10" ht="56">
      <c r="A68" s="2">
        <v>62</v>
      </c>
      <c r="B68" s="2" t="s">
        <v>206</v>
      </c>
      <c r="C68" s="2" t="s">
        <v>207</v>
      </c>
      <c r="D68" s="2" t="s">
        <v>87</v>
      </c>
      <c r="E68" s="2" t="s">
        <v>211</v>
      </c>
      <c r="F68" s="3">
        <v>258325</v>
      </c>
      <c r="G68" s="3">
        <v>551650</v>
      </c>
      <c r="H68" s="10">
        <f>F68/G68</f>
        <v>0.4682769872201577</v>
      </c>
      <c r="I68" s="3" t="s">
        <v>62</v>
      </c>
      <c r="J68" s="4" t="s">
        <v>115</v>
      </c>
    </row>
    <row r="69" spans="1:10" ht="56">
      <c r="A69" s="2">
        <v>63</v>
      </c>
      <c r="B69" s="2" t="s">
        <v>81</v>
      </c>
      <c r="C69" s="2" t="s">
        <v>44</v>
      </c>
      <c r="D69" s="2" t="s">
        <v>85</v>
      </c>
      <c r="E69" s="2" t="s">
        <v>86</v>
      </c>
      <c r="F69" s="3">
        <v>647420</v>
      </c>
      <c r="G69" s="3">
        <v>1294840</v>
      </c>
      <c r="H69" s="10">
        <f>F69/G69</f>
        <v>0.5</v>
      </c>
      <c r="I69" s="3" t="s">
        <v>62</v>
      </c>
      <c r="J69" s="4" t="s">
        <v>115</v>
      </c>
    </row>
    <row r="73" spans="1:10" ht="20">
      <c r="B73" s="15" t="s">
        <v>239</v>
      </c>
    </row>
    <row r="75" spans="1:10">
      <c r="B75" s="4" t="s">
        <v>235</v>
      </c>
      <c r="C75" s="5">
        <f>SUM(F7:F69)</f>
        <v>42369703</v>
      </c>
    </row>
    <row r="76" spans="1:10">
      <c r="B76" s="4" t="s">
        <v>234</v>
      </c>
      <c r="C76" s="5">
        <f>SUM(G7:G69)</f>
        <v>96156181</v>
      </c>
    </row>
    <row r="77" spans="1:10">
      <c r="B77" s="4" t="s">
        <v>233</v>
      </c>
      <c r="C77" s="9">
        <f>C75/C76</f>
        <v>0.4406342115438216</v>
      </c>
    </row>
    <row r="79" spans="1:10">
      <c r="B79" s="4" t="s">
        <v>232</v>
      </c>
      <c r="C79" s="4">
        <v>298</v>
      </c>
    </row>
    <row r="80" spans="1:10">
      <c r="B80" s="4" t="s">
        <v>231</v>
      </c>
      <c r="C80" s="4">
        <v>63</v>
      </c>
    </row>
    <row r="81" spans="2:4">
      <c r="B81" s="4" t="s">
        <v>26</v>
      </c>
      <c r="C81" s="4">
        <v>49</v>
      </c>
    </row>
    <row r="82" spans="2:4">
      <c r="B82" s="4" t="s">
        <v>214</v>
      </c>
      <c r="C82" s="4">
        <v>54</v>
      </c>
    </row>
    <row r="83" spans="2:4">
      <c r="B83" s="4" t="s">
        <v>43</v>
      </c>
      <c r="C83" s="5">
        <v>35921434</v>
      </c>
    </row>
    <row r="84" spans="2:4">
      <c r="B84" s="4" t="s">
        <v>213</v>
      </c>
      <c r="C84" s="9">
        <f>C80/C79</f>
        <v>0.21140939597315436</v>
      </c>
    </row>
    <row r="85" spans="2:4">
      <c r="C85" s="11"/>
    </row>
    <row r="86" spans="2:4">
      <c r="B86" s="4" t="s">
        <v>7</v>
      </c>
      <c r="C86" s="4">
        <v>1</v>
      </c>
      <c r="D86" s="9">
        <f>C86/$C$94</f>
        <v>1.5873015873015872E-2</v>
      </c>
    </row>
    <row r="87" spans="2:4">
      <c r="B87" s="4" t="s">
        <v>8</v>
      </c>
      <c r="C87" s="4">
        <v>24</v>
      </c>
      <c r="D87" s="9">
        <f>C87/$C$94</f>
        <v>0.38095238095238093</v>
      </c>
    </row>
    <row r="88" spans="2:4">
      <c r="B88" s="4" t="s">
        <v>9</v>
      </c>
      <c r="C88" s="4">
        <v>2</v>
      </c>
      <c r="D88" s="9">
        <f>C88/$C$94</f>
        <v>3.1746031746031744E-2</v>
      </c>
    </row>
    <row r="89" spans="2:4">
      <c r="B89" s="4" t="s">
        <v>10</v>
      </c>
      <c r="C89" s="4">
        <v>3</v>
      </c>
      <c r="D89" s="9">
        <f>C89/$C$94</f>
        <v>4.7619047619047616E-2</v>
      </c>
    </row>
    <row r="90" spans="2:4">
      <c r="B90" s="4" t="s">
        <v>11</v>
      </c>
      <c r="C90" s="4">
        <v>2</v>
      </c>
      <c r="D90" s="9">
        <f>C90/$C$94</f>
        <v>3.1746031746031744E-2</v>
      </c>
    </row>
    <row r="91" spans="2:4">
      <c r="B91" s="4" t="s">
        <v>12</v>
      </c>
      <c r="C91" s="4">
        <v>21</v>
      </c>
      <c r="D91" s="9">
        <f>C91/$C$94</f>
        <v>0.33333333333333331</v>
      </c>
    </row>
    <row r="92" spans="2:4">
      <c r="B92" s="4" t="s">
        <v>13</v>
      </c>
      <c r="C92" s="4">
        <v>3</v>
      </c>
      <c r="D92" s="9">
        <f>C92/$C$94</f>
        <v>4.7619047619047616E-2</v>
      </c>
    </row>
    <row r="93" spans="2:4">
      <c r="B93" s="4" t="s">
        <v>14</v>
      </c>
      <c r="C93" s="4">
        <v>7</v>
      </c>
      <c r="D93" s="9">
        <f>C93/$C$94</f>
        <v>0.1111111111111111</v>
      </c>
    </row>
    <row r="94" spans="2:4">
      <c r="B94" s="4" t="s">
        <v>15</v>
      </c>
      <c r="C94" s="4">
        <f>SUM(C86:C93)</f>
        <v>63</v>
      </c>
      <c r="D94" s="9">
        <f>SUM(D86:D93)</f>
        <v>1</v>
      </c>
    </row>
    <row r="100" spans="2:4">
      <c r="B100" s="14" t="s">
        <v>240</v>
      </c>
    </row>
    <row r="101" spans="2:4">
      <c r="B101" s="1" t="s">
        <v>237</v>
      </c>
    </row>
    <row r="102" spans="2:4">
      <c r="B102" s="1" t="s">
        <v>238</v>
      </c>
      <c r="D102" s="8"/>
    </row>
  </sheetData>
  <autoFilter ref="A6:J69">
    <sortState ref="A5:J67">
      <sortCondition ref="A4:A67"/>
    </sortState>
  </autoFilter>
  <sortState ref="A2:K65">
    <sortCondition descending="1" ref="H3:H65"/>
  </sortState>
  <phoneticPr fontId="3" type="noConversion"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CEEP_Round_1_Analysis</vt:lpstr>
    </vt:vector>
  </TitlesOfParts>
  <Company>Municipal Association of Victoria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Morris</dc:creator>
  <cp:lastModifiedBy>Lex</cp:lastModifiedBy>
  <dcterms:created xsi:type="dcterms:W3CDTF">2012-06-13T05:31:31Z</dcterms:created>
  <dcterms:modified xsi:type="dcterms:W3CDTF">2012-08-21T06:06:03Z</dcterms:modified>
</cp:coreProperties>
</file>