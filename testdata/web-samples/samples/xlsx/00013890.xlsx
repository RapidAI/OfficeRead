
<file path=[Content_Types].xml><?xml version="1.0" encoding="utf-8"?>
<Types xmlns="http://schemas.openxmlformats.org/package/2006/content-types">
  <Override PartName="/docProps/app.xml" ContentType="application/vnd.openxmlformats-officedocument.extended-properties+xml"/>
  <Override PartName="/xl/sharedStrings.xml" ContentType="application/vnd.openxmlformats-officedocument.spreadsheetml.sharedString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4.xml" ContentType="application/vnd.openxmlformats-officedocument.spreadsheetml.worksheet+xml"/>
  <Override PartName="/xl/calcChain.xml" ContentType="application/vnd.openxmlformats-officedocument.spreadsheetml.calcChain+xml"/>
  <Override PartName="/xl/worksheets/sheet2.xml" ContentType="application/vnd.openxmlformats-officedocument.spreadsheetml.worksheet+xml"/>
  <Default Extension="rels" ContentType="application/vnd.openxmlformats-package.relationships+xml"/>
  <Override PartName="/xl/worksheets/sheet5.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autoCompressPictures="0"/>
  <bookViews>
    <workbookView xWindow="120" yWindow="140" windowWidth="12120" windowHeight="8140" activeTab="1"/>
  </bookViews>
  <sheets>
    <sheet name="Policy &amp; Directions" sheetId="5" r:id="rId1"/>
    <sheet name="Petty Cash Request" sheetId="3" r:id="rId2"/>
    <sheet name="Voucher" sheetId="11" r:id="rId3"/>
    <sheet name="School Sample" sheetId="12" r:id="rId4"/>
    <sheet name="Choices" sheetId="2" r:id="rId5"/>
  </sheets>
  <definedNames>
    <definedName name="AcctDesc">Choices!$B$2:$B$18</definedName>
    <definedName name="Address">Choices!$I$2:$I$6</definedName>
    <definedName name="HarlemMiddle">Choices!#REF!</definedName>
    <definedName name="Period">Choices!#REF!</definedName>
    <definedName name="_xlnm.Print_Area" localSheetId="1">'Petty Cash Request'!$A$1:$H$80</definedName>
    <definedName name="_xlnm.Print_Area" localSheetId="0">'Policy &amp; Directions'!$A$1:$B$91</definedName>
    <definedName name="_xlnm.Print_Area" localSheetId="3">'School Sample'!$A$1:$H$80</definedName>
    <definedName name="_xlnm.Print_Area" localSheetId="2">Voucher!$A$1:$I$37</definedName>
    <definedName name="SchoolChart">Choices!$A$2:$A$18</definedName>
    <definedName name="SchoolEntity">Choices!$F$2:$F$8</definedName>
    <definedName name="VANChart">Choices!#REF!</definedName>
    <definedName name="VANEntity">Choices!#REF!</definedName>
  </definedNames>
  <calcPr calcId="125725"/>
  <extLst>
    <ext xmlns:mx="http://schemas.microsoft.com/office/mac/excel/2008/main" uri="http://schemas.microsoft.com/office/mac/excel/2008/main">
      <mx:ArchID Flags="2"/>
    </ext>
  </extLst>
</workbook>
</file>

<file path=xl/calcChain.xml><?xml version="1.0" encoding="utf-8"?>
<calcChain xmlns="http://schemas.openxmlformats.org/spreadsheetml/2006/main">
  <c r="G3" i="3"/>
  <c r="J3"/>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F71"/>
  <c r="C5"/>
  <c r="C14"/>
  <c r="C11"/>
  <c r="H61"/>
  <c r="H62"/>
  <c r="H64"/>
  <c r="C12"/>
  <c r="C13"/>
  <c r="C15"/>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H67"/>
  <c r="C16"/>
  <c r="C5" i="12"/>
  <c r="C13"/>
  <c r="J13"/>
  <c r="C20"/>
  <c r="J20"/>
  <c r="C21"/>
  <c r="J21"/>
  <c r="C22"/>
  <c r="J22"/>
  <c r="C23"/>
  <c r="J23"/>
  <c r="C24"/>
  <c r="J24"/>
  <c r="C25"/>
  <c r="J25"/>
  <c r="C26"/>
  <c r="J26"/>
  <c r="C27"/>
  <c r="J27"/>
  <c r="C28"/>
  <c r="J28"/>
  <c r="C29"/>
  <c r="J29"/>
  <c r="C30"/>
  <c r="J30"/>
  <c r="C31"/>
  <c r="J31"/>
  <c r="C32"/>
  <c r="J32"/>
  <c r="C33"/>
  <c r="J33"/>
  <c r="C34"/>
  <c r="J34"/>
  <c r="C35"/>
  <c r="J35"/>
  <c r="C36"/>
  <c r="J36"/>
  <c r="C37"/>
  <c r="J37"/>
  <c r="C38"/>
  <c r="J38"/>
  <c r="C39"/>
  <c r="J39"/>
  <c r="C40"/>
  <c r="J40"/>
  <c r="C41"/>
  <c r="J41"/>
  <c r="C42"/>
  <c r="J42"/>
  <c r="C43"/>
  <c r="J43"/>
  <c r="C44"/>
  <c r="J44"/>
  <c r="C45"/>
  <c r="J45"/>
  <c r="C46"/>
  <c r="J46"/>
  <c r="C47"/>
  <c r="J47"/>
  <c r="C48"/>
  <c r="J48"/>
  <c r="C49"/>
  <c r="J49"/>
  <c r="C50"/>
  <c r="J50"/>
  <c r="C51"/>
  <c r="J51"/>
  <c r="C52"/>
  <c r="J52"/>
  <c r="C53"/>
  <c r="J53"/>
  <c r="C54"/>
  <c r="J54"/>
  <c r="C55"/>
  <c r="J55"/>
  <c r="C56"/>
  <c r="J56"/>
  <c r="C57"/>
  <c r="J57"/>
  <c r="C58"/>
  <c r="J58"/>
  <c r="C59"/>
  <c r="J59"/>
  <c r="C60"/>
  <c r="J60"/>
  <c r="H61"/>
  <c r="H67"/>
  <c r="H62"/>
  <c r="H64"/>
  <c r="J3"/>
  <c r="C11"/>
  <c r="J11"/>
  <c r="C12"/>
  <c r="J12"/>
  <c r="C15"/>
  <c r="J15"/>
  <c r="C14"/>
  <c r="J14"/>
  <c r="C16"/>
  <c r="J16"/>
  <c r="C17"/>
  <c r="J17"/>
  <c r="C18"/>
  <c r="J18"/>
  <c r="C19"/>
  <c r="J19"/>
  <c r="F71"/>
</calcChain>
</file>

<file path=xl/sharedStrings.xml><?xml version="1.0" encoding="utf-8"?>
<sst xmlns="http://schemas.openxmlformats.org/spreadsheetml/2006/main" count="328" uniqueCount="149">
  <si>
    <t>Costs incurred to attract and retain students such as advertising.  Also includes costs associated with parent involvement and community development such as parent committee costs, parent mailings, non-recruiting parent information sessions, community information sessions or community sponsorships.</t>
  </si>
  <si>
    <t>Non-Instructional Travel &amp; Food</t>
  </si>
  <si>
    <t>Supplies used primarily in the administrative offices such as folders, binders, pens, pencils and paper clips.  The majority of supplies are used within the classroom or by teachers and should be coded to the classroom supplies account.</t>
  </si>
  <si>
    <t>Non-Instructional Equipment &amp; Furniture</t>
  </si>
  <si>
    <t xml:space="preserve">Costs associated with cleaning the facilities including cleaning/maintenance companies, cleaning supplies and bathroom supplies.  </t>
  </si>
  <si>
    <t xml:space="preserve">Ongoing facility &amp; grounds related maintenance and repair costs including things like repairs to air conditioners and water fountains.  Also includes minor improvements that do not qualify for capitalization but represent improvements to the facilities such as painting, student art boards and other temporary improvements.  </t>
  </si>
  <si>
    <t>Costs associated with recruiting new staff to any of the entities including advertising, job postings, job fairs, travel for potential recruits, and recruiting meals.</t>
  </si>
  <si>
    <t>Technology Supplies</t>
  </si>
  <si>
    <t>Supplies and small items associated with the technology infrastructure including replacement keyboards, routers, and cables</t>
  </si>
  <si>
    <t>All Expenses Require Original Receipts</t>
  </si>
  <si>
    <t>* Last updated June 22, 2010</t>
  </si>
  <si>
    <t>School Name 1</t>
  </si>
  <si>
    <t>School Name 2</t>
  </si>
  <si>
    <t>School Name 3</t>
  </si>
  <si>
    <t>School Name 4</t>
  </si>
  <si>
    <t>School Name 5</t>
  </si>
  <si>
    <t>[INSERT ORGANIZATION NAME] PETTY CASH VOUCHER DIRECTIONS</t>
  </si>
  <si>
    <t>[INSERT ORGANIZATION NAME] PETTY CASH POLICY</t>
  </si>
  <si>
    <t>[INSERT ORGANIZATION NAME] PETTY CASH FORM DIRECTIONS</t>
  </si>
  <si>
    <t>[INSERT ORGANIZATION NAME] PETTY CASH FORM DIRECTIONS - CONTINUED</t>
  </si>
  <si>
    <t>[INSERT ORGANIZATION NAME]</t>
  </si>
  <si>
    <t>Taxi from School 1 to School 2 for PD</t>
  </si>
  <si>
    <t>Binding Shop</t>
  </si>
  <si>
    <t>Descriptions for travel are required to include city &amp; state going to as well as purpose</t>
  </si>
  <si>
    <t>Descriptions for meals are required to include the names of all people eating</t>
  </si>
  <si>
    <t>Approver's Name</t>
  </si>
  <si>
    <t>Approver's Signature</t>
  </si>
  <si>
    <t>All expenses Require Receipts</t>
  </si>
  <si>
    <t>Equipment and furniture used outside of the classroom such as file cabinets, office fax machine or printer and office furniture.</t>
  </si>
  <si>
    <t>Travel, food and other costs not associated with professional development.  Such costs would include taxi costs at night, travel costs between entities, or costs associated with meetings with the district.</t>
  </si>
  <si>
    <t>Ending Date</t>
  </si>
  <si>
    <t>PETTY CASH REQUEST</t>
  </si>
  <si>
    <t>Total Expensed</t>
  </si>
  <si>
    <t>Implied Ending Balance</t>
  </si>
  <si>
    <t>Difference</t>
  </si>
  <si>
    <t>Explanation of Any Difference</t>
  </si>
  <si>
    <t>Person Requesting Funds</t>
  </si>
  <si>
    <t>Amount Requested</t>
  </si>
  <si>
    <t>Requester's Signature</t>
  </si>
  <si>
    <t>Previous Balance</t>
  </si>
  <si>
    <t>Cash Received</t>
  </si>
  <si>
    <t xml:space="preserve">Supplies used in the classroom, whether by students or teachers.  This should be used as the default supply code unless specific information identifies a more appropriate account. </t>
  </si>
  <si>
    <t>Food for school events including parent events, special occasion parties or student rewards.  Food service program shortfalls (such as lunch) should be coded under food service management.  Food for in-house professional development meetings should be coded under professional development.</t>
  </si>
  <si>
    <t>Professional Development OTPS</t>
  </si>
  <si>
    <t>Costs related to the training of principals, teachers or any other employees.   Food at staff meetings, staff gifts, conference costs, space rental costs for training or any other professional development related cost other than travel would be coded here.</t>
  </si>
  <si>
    <t>Travel</t>
  </si>
  <si>
    <t>Costs associated with mailing or shipping goods including couriers.  Typical vendors for this include Federal Express and the United States Postal Service.  Postage machine and online postage service costs would also be coded here.</t>
  </si>
  <si>
    <t>Student Recruiting &amp; Parent Involvement</t>
  </si>
  <si>
    <t>Note: If you need more lines, please let the finance staff know and they can add more lines.  Please do not add lines using another methodology as the formulas may not work.</t>
  </si>
  <si>
    <t>Look at cell F71.  It should say OK TO SEND.  If it indicates that there is an error, look at column J for information on the error and fix the error before sending in for processing</t>
  </si>
  <si>
    <t>Enter Account Title</t>
  </si>
  <si>
    <t>School's Chart of Accounts</t>
  </si>
  <si>
    <t>School Entity</t>
  </si>
  <si>
    <t>FINAL CHECK</t>
  </si>
  <si>
    <t>Please make sure to submit all of the items below</t>
  </si>
  <si>
    <t>1) This form with no Error Messages</t>
  </si>
  <si>
    <t>2) Employee signature or electonic approval if emailing</t>
  </si>
  <si>
    <t>4) All receipts taped to a standard sheet of paper with the receipts labeled to match the numbers in column A</t>
  </si>
  <si>
    <t>In cell E11, enter the vendor (company) that the purchase was made from that corresponds to the information inputted in cell B11</t>
  </si>
  <si>
    <t>In cell H11 enter the amount of the receipt corresponding to the information inputted in cell B11.  Include amounts for tips or delivery charges in the amount entered.</t>
  </si>
  <si>
    <t>Note: If you have a receipt that should be split between multiple account descriptions, you can use multiple lines to indicate this.  In each description, indicate the amount of the total receipt.</t>
  </si>
  <si>
    <t>Note: Column C will automatically fill itself - Please do not enter information in this column</t>
  </si>
  <si>
    <t>Descriptions for client entertainment are required to include date, purpose and client (donor) names</t>
  </si>
  <si>
    <t>Tape all receipts to standard pieces of paper (8 1/2 x 11 inch; please stay within the borders of the paper)</t>
  </si>
  <si>
    <t>Office Depot</t>
  </si>
  <si>
    <t>Date</t>
  </si>
  <si>
    <t>Description</t>
  </si>
  <si>
    <t>Entity</t>
  </si>
  <si>
    <t>Enter Entity</t>
  </si>
  <si>
    <t>Account Description</t>
  </si>
  <si>
    <t>Acct #</t>
  </si>
  <si>
    <t>Vendor</t>
  </si>
  <si>
    <t>Description of Goods</t>
  </si>
  <si>
    <t>Amount</t>
  </si>
  <si>
    <t>Durables Curriculum (Non-Capital)</t>
  </si>
  <si>
    <t>Classroom Supplies</t>
  </si>
  <si>
    <t>Food for Special Events</t>
  </si>
  <si>
    <t>Teacher Recruiting &amp; Orientation</t>
  </si>
  <si>
    <t>Field Lessons</t>
  </si>
  <si>
    <t>Office Supplies</t>
  </si>
  <si>
    <t>Postage &amp; Shipping</t>
  </si>
  <si>
    <t>Custodial Services &amp; Supplies</t>
  </si>
  <si>
    <t>Maintenance &amp; Repairs</t>
  </si>
  <si>
    <t>In cell H9, enter any amounts received for petty cash since the last submission</t>
  </si>
  <si>
    <t>In cell D5, using the pull down menu, pick the school that the petty cash request is for</t>
  </si>
  <si>
    <t>Textbooks, reading books and other curriculum materials that last more than a year but do not qualify for capitalization.</t>
  </si>
  <si>
    <t>Consumables</t>
  </si>
  <si>
    <t>Workbooks, textbooks or manipulatives that last less than one year related to any subject</t>
  </si>
  <si>
    <r>
      <t xml:space="preserve">In cell B11, using the pull down menu, pick the account description that best matches the items purchased in your first receipt.  If you are unsure about what the account descriptions mean, there are more detailed descriptions included on the </t>
    </r>
    <r>
      <rPr>
        <i/>
        <sz val="10"/>
        <rFont val="Arial"/>
        <family val="2"/>
      </rPr>
      <t>Choices</t>
    </r>
    <r>
      <rPr>
        <sz val="10"/>
        <rFont val="Arial"/>
      </rPr>
      <t xml:space="preserve"> tab in cells A2-C16.  For example, if you purchased math workbooks, you should select Consummables </t>
    </r>
  </si>
  <si>
    <t>In cell D11, enter the date of the receipt corresponding to the information inputted in cell B11.  If there is no date on the receipt, estimate the approximate date.</t>
  </si>
  <si>
    <t>In cell F11, enter a brief description of the goods purchased corresponding to the information inputted in cell B11.  If the receipt is for travel, indicate where the trip was to.  If the receipt was for food, list all names of the people that ate.  If the receipt is for client entertainment, include the date, purpose and client (donor) names</t>
  </si>
  <si>
    <t>Mark the receipt corresponding to the information inputted in cell B11 with the number in cell A11.  For example, if you were submitting the reimbursement on the School Sample tab, you would put a "1" on the receipt from Downtown Seafood</t>
  </si>
  <si>
    <t>Note: If petty cash was used to give a tip on an item that you have a receipt for, simply write the amount of the tip on the receipt and the total and circle the total.  If you just gave a tip (on an order that you bought through a vendor that gets a check, for example), write the amount of the tip on the paper with the other receipts, put a small explanation, the date and the vendor and put a box around it.</t>
  </si>
  <si>
    <t>Repeat steps 6-11 for each receipt</t>
  </si>
  <si>
    <t>_________________________</t>
  </si>
  <si>
    <t>Name of Borrower:</t>
  </si>
  <si>
    <t>Signature of Borrower:</t>
  </si>
  <si>
    <t>I understand that I am being provided the amount above, which will solely be used for school related purposes.  I understand that I am responsible for providing a receipt for the good/servies received for this money and returning any change (at which point this voucher will be disposed of).  I understand that if I fail to provide the receipt, that I am personally responsible for returning the full amount listed on this voucher to the school.</t>
  </si>
  <si>
    <r>
      <t>When to use</t>
    </r>
    <r>
      <rPr>
        <sz val="10"/>
        <rFont val="Arial"/>
      </rPr>
      <t xml:space="preserve">: Petty cash is NOT intended to pay for everyday expenses.  Instead it is intended to be used for things that can only be funded in cash, emergency items or very small dollar amount items.  Some examples would be a tip for a delivery person, food for a student test day, or a $3.50 purchase from the local hardware store.  Petty cash should not be used for large purchases.  Special approval is needed for items over $200.  Under no circumstances shall petty cash monies be used for non-business related items or to pay compensation.        </t>
    </r>
  </si>
  <si>
    <t>All cell references are for the Petty Cash tab unless indicated otherwise.  The Petty Cash tab is the only tab that needs to be submitted.  A Sample Completed Form is included in the School Sample tab</t>
  </si>
  <si>
    <t>Downtown Seafood</t>
  </si>
  <si>
    <t>Food for PD Event</t>
  </si>
  <si>
    <t>Certified Mail</t>
  </si>
  <si>
    <t>Package to State Ed</t>
  </si>
  <si>
    <t>My Pizza</t>
  </si>
  <si>
    <t>Pizza for event at library for 1st year parents</t>
  </si>
  <si>
    <t>Taxi</t>
  </si>
  <si>
    <t>Jake's Hardware</t>
  </si>
  <si>
    <t>Screwdriver</t>
  </si>
  <si>
    <t>Binding for PD books</t>
  </si>
  <si>
    <t>IHOP</t>
  </si>
  <si>
    <t>Food after museum trip for students</t>
  </si>
  <si>
    <t>Circuit City</t>
  </si>
  <si>
    <t>Replacement battery charger</t>
  </si>
  <si>
    <t>Emergency box of paper</t>
  </si>
  <si>
    <t>Didn't have change for 10/23 postage, teacher accepted $3</t>
  </si>
  <si>
    <t>In cell C3, type the name of the requester, which should be the petty cash custodian</t>
  </si>
  <si>
    <t>In cell G3, type in the date (it is currently set to the current date)</t>
  </si>
  <si>
    <t>In cell H8, enter the cash on hand at the time of the previous submission</t>
  </si>
  <si>
    <r>
      <t>Petty cash use</t>
    </r>
    <r>
      <rPr>
        <sz val="10"/>
        <rFont val="Arial"/>
      </rPr>
      <t xml:space="preserve">: Ideally petty cash is only given out when a receipt is being provided to the petty cash custodian.  For things that are delivered to the petty cash custodian, this is simple as the petty cash custodian pays the requested amount and immediately receives the receipt from the vendor.  In cases where the petty cash custodian is not the direct payer, the preferred method of payment would be for the employee to make the direct payment to the store/vendor and then provide the receipt to the petty cash custodian for reimbursement.  This procedure ensures that all receipts are maintained.  If this is not possible, the petty cash custodian may give cash to an employee with the assurance that all change and the related receipt will be returned to the petty cash custodian after the purchase.  In such a case, the petty cash custodian shall fill out a Petty Cash Voucher (see "Voucher" tab) and have the employee sign.  The voucher includes the name of the employee receiving the funds, the amount of funds provided, the date, the general purpose and a signed acknowledgement from the employee.  This voucher shall be provided to the employee once the cash/receipts have been returned.        </t>
    </r>
  </si>
  <si>
    <r>
      <t>Replenishment</t>
    </r>
    <r>
      <rPr>
        <sz val="10"/>
        <rFont val="Arial"/>
      </rPr>
      <t>: In order for petty cash to be replenished, the petty cash custodian must fill out and submit a petty cash request.  The petty cash request form includes the coding for all petty cash expenditures, a reconciliation between actual cash on hand and amounts provided, and a request for new funds.  The petty cash custodian should follow the directions included in this file when submitting requests and must submit all related receipts with the request.  Receipts should be taped to a piece of paper (fax copies are acceptable) in the order listed on the petty cash request form.  Custodians should make requests a few weeks before they would run out to ensure that they have sufficient petty cash on hand.</t>
    </r>
  </si>
  <si>
    <t>Petty Cash Voucher</t>
  </si>
  <si>
    <t>Date:</t>
  </si>
  <si>
    <t xml:space="preserve">Amount Provided:  $ </t>
  </si>
  <si>
    <t>Expected Use:</t>
  </si>
  <si>
    <r>
      <t>Thefts</t>
    </r>
    <r>
      <rPr>
        <sz val="10"/>
        <rFont val="Arial"/>
      </rPr>
      <t xml:space="preserve">: From time to time, there are thefts at the school.  If during such theft some petty cash funds are stolen, any related police report should be included with the next petty cash replenishment request along with the amount stolen.  If there is no police report, the principal shall acknowledge in writing that a theft has occurred, the date, basic circumstances and how much was stolen.           </t>
    </r>
  </si>
  <si>
    <r>
      <t>Control</t>
    </r>
    <r>
      <rPr>
        <sz val="10"/>
        <rFont val="Arial"/>
      </rPr>
      <t xml:space="preserve">: Each petty cash fund has a custodian assigned to it that is responsible for ensuring that all funds are stored securely, spent on appropriate items and all receipts/documentation are maintained.  The petty cash custodian is typically the school operations person.  Petty cash funds should be stored in a secure, locked location.  Only the petty cash custodian and Principal (for emergencies if the petty cash custodian is not available) shall have access to petty cash when not being used for an approved purchase.    </t>
    </r>
  </si>
  <si>
    <t>Explain to the staff member that they are personally responsible for providing either the receipts or cash totalling the amount of the voucher and that the money is to be spent solely for school purposes.</t>
  </si>
  <si>
    <t>Have that staff member sign the voucher acknowledging this information</t>
  </si>
  <si>
    <t>Give the staff member the amount of cash listed on the voucher</t>
  </si>
  <si>
    <t>After the event: Follow up with the staff member to get the cash and receipts on the voucher</t>
  </si>
  <si>
    <t>Once you receive the receipts and change, either give the voucher to the employee or shred it with them watching</t>
  </si>
  <si>
    <t>Costs related to field trips including trips to local businesses, colleges and museums.</t>
  </si>
  <si>
    <t>Actual Cash On Hand (Counted from the petty cash box)</t>
  </si>
  <si>
    <t>3) Approver signature or electronic approval from the manager</t>
  </si>
  <si>
    <t>* Last updated February 4, 2009</t>
  </si>
  <si>
    <r>
      <t>Amount on hand</t>
    </r>
    <r>
      <rPr>
        <sz val="10"/>
        <rFont val="Arial"/>
      </rPr>
      <t xml:space="preserve">: Under normal circumstances, the petty cash fund should contain between $200-$500 at any given time.  At certain times of the year, the schools tend to have above average cash needs.  At such times a request can be made by the petty cash custodian to have more than this amount on hand.  This request will be considered by the finance group and approved if it is reasonable.    </t>
    </r>
  </si>
  <si>
    <r>
      <t>Receipt/Document Retention</t>
    </r>
    <r>
      <rPr>
        <sz val="10"/>
        <rFont val="Arial"/>
      </rPr>
      <t xml:space="preserve">: The petty cash custodian is responsible for the retention of all original receipts and documentation.  At all time the sum of the receipts, petty cash vouchers and cash on hand should be equal to the amount given to the petty cash custodian.  </t>
    </r>
  </si>
  <si>
    <r>
      <t>Tips/Gratuities</t>
    </r>
    <r>
      <rPr>
        <sz val="10"/>
        <rFont val="Arial"/>
      </rPr>
      <t>: All tips should be indicated on the related receipt.  If a tip is funded out of petty cash, but the original purchase is not, a copy of the related receipt / documentation should be kept with the petty cash fund with a note indicating that only the tip (and the amount) is included in petty cash.  Tips should be provided in a manner consistent with how one would tip if they were using their own funds.</t>
    </r>
  </si>
  <si>
    <t xml:space="preserve">Sign &amp; date the form where it says Requester's Signature (Cell B75) and Date (Cell B79).  Then have your budget manager sign and date the form (Cells G76 and F79).  </t>
  </si>
  <si>
    <t xml:space="preserve">Enter the budget manager's name in cell E76.  The respective Principals are the budget managers for the schools.   </t>
  </si>
  <si>
    <r>
      <t>If submitting electronically</t>
    </r>
    <r>
      <rPr>
        <sz val="10"/>
        <rFont val="Arial"/>
      </rPr>
      <t>, email the fully approved form and receipts (scanned) to the Senior Accountant in the 4th Sector Solutions office.  Processing will begin once we receive the emailed form &amp; receipts, your approval and the budget manager's approval.  However, you still need to send the originals of the signed form and original receipts to the 4th Sector Solutions office.  Please keep a copy of all submitted items in case there is a problem during processing.</t>
    </r>
  </si>
  <si>
    <r>
      <t>If submitting directly by hard copy</t>
    </r>
    <r>
      <rPr>
        <sz val="10"/>
        <rFont val="Arial"/>
      </rPr>
      <t xml:space="preserve"> send the original signed form and original receipts to the 4th Sector Solutions office.  Please keep a copy of all submitted items in case there is a problem during processing.</t>
    </r>
  </si>
  <si>
    <t>FINAL CHECK: Before submitting, please make sure that cell F71 does not indicate any errors, it is approved by both yourself and the budget manager and that all receipts are included.</t>
  </si>
  <si>
    <t xml:space="preserve">The petty cash voucher is meant to be a temporary solution when cash needs to leave the petty cash box before the receipt is available.  For example, if a teacher needs to purchase food in the 500 wing of the school, but the petty cash box is in the 100 wing of the school, then the teacher may need to get the cash prior to actually making the purchase.  At all times, the sum of the petty cash vouchers, receipts and cash on hand should equal the amount of petty cash provided. </t>
  </si>
  <si>
    <t>Date the petty cash voucher with the date the cash is provided to the staff member</t>
  </si>
  <si>
    <t>Write the amount provided to the staff member</t>
  </si>
  <si>
    <t>Write a brief description of the intended purpose of the amount requested by the staff member</t>
  </si>
  <si>
    <t>Write the name of the staff member who is receiving the cash</t>
  </si>
</sst>
</file>

<file path=xl/styles.xml><?xml version="1.0" encoding="utf-8"?>
<styleSheet xmlns="http://schemas.openxmlformats.org/spreadsheetml/2006/main">
  <numFmts count="2">
    <numFmt numFmtId="43" formatCode="_(* #,##0.00_);_(* \(#,##0.00\);_(* &quot;-&quot;??_);_(@_)"/>
    <numFmt numFmtId="164" formatCode="m/d/yy;@"/>
  </numFmts>
  <fonts count="10">
    <font>
      <sz val="10"/>
      <name val="Arial"/>
    </font>
    <font>
      <sz val="10"/>
      <name val="Arial"/>
    </font>
    <font>
      <b/>
      <sz val="10"/>
      <name val="Arial"/>
      <family val="2"/>
    </font>
    <font>
      <b/>
      <sz val="14"/>
      <color indexed="12"/>
      <name val="Arial"/>
      <family val="2"/>
    </font>
    <font>
      <sz val="10"/>
      <name val="Arial"/>
    </font>
    <font>
      <i/>
      <sz val="8"/>
      <name val="Arial"/>
      <family val="2"/>
    </font>
    <font>
      <b/>
      <sz val="10"/>
      <color indexed="10"/>
      <name val="Arial"/>
      <family val="2"/>
    </font>
    <font>
      <i/>
      <sz val="10"/>
      <name val="Arial"/>
      <family val="2"/>
    </font>
    <font>
      <b/>
      <i/>
      <sz val="10"/>
      <name val="Arial"/>
      <family val="2"/>
    </font>
    <font>
      <b/>
      <sz val="16"/>
      <name val="Arial"/>
      <family val="2"/>
    </font>
  </fonts>
  <fills count="3">
    <fill>
      <patternFill patternType="none"/>
    </fill>
    <fill>
      <patternFill patternType="gray125"/>
    </fill>
    <fill>
      <patternFill patternType="solid">
        <fgColor indexed="9"/>
        <bgColor indexed="64"/>
      </patternFill>
    </fill>
  </fills>
  <borders count="16">
    <border>
      <left/>
      <right/>
      <top/>
      <bottom/>
      <diagonal/>
    </border>
    <border>
      <left style="medium">
        <color indexed="12"/>
      </left>
      <right/>
      <top style="medium">
        <color indexed="12"/>
      </top>
      <bottom style="medium">
        <color indexed="12"/>
      </bottom>
      <diagonal/>
    </border>
    <border>
      <left style="medium">
        <color indexed="17"/>
      </left>
      <right style="medium">
        <color indexed="17"/>
      </right>
      <top style="medium">
        <color indexed="17"/>
      </top>
      <bottom style="medium">
        <color indexed="17"/>
      </bottom>
      <diagonal/>
    </border>
    <border>
      <left style="medium">
        <color indexed="12"/>
      </left>
      <right style="medium">
        <color indexed="12"/>
      </right>
      <top style="medium">
        <color indexed="12"/>
      </top>
      <bottom style="medium">
        <color indexed="12"/>
      </bottom>
      <diagonal/>
    </border>
    <border>
      <left/>
      <right/>
      <top/>
      <bottom style="medium">
        <color indexed="64"/>
      </bottom>
      <diagonal/>
    </border>
    <border>
      <left style="medium">
        <color indexed="17"/>
      </left>
      <right/>
      <top style="medium">
        <color indexed="17"/>
      </top>
      <bottom/>
      <diagonal/>
    </border>
    <border>
      <left/>
      <right style="medium">
        <color indexed="17"/>
      </right>
      <top style="medium">
        <color indexed="17"/>
      </top>
      <bottom/>
      <diagonal/>
    </border>
    <border>
      <left style="medium">
        <color indexed="17"/>
      </left>
      <right/>
      <top/>
      <bottom style="medium">
        <color indexed="17"/>
      </bottom>
      <diagonal/>
    </border>
    <border>
      <left/>
      <right style="medium">
        <color indexed="17"/>
      </right>
      <top/>
      <bottom style="medium">
        <color indexed="17"/>
      </bottom>
      <diagonal/>
    </border>
    <border>
      <left/>
      <right/>
      <top style="thin">
        <color indexed="64"/>
      </top>
      <bottom/>
      <diagonal/>
    </border>
    <border>
      <left/>
      <right/>
      <top style="thin">
        <color indexed="64"/>
      </top>
      <bottom style="thin">
        <color indexed="64"/>
      </bottom>
      <diagonal/>
    </border>
    <border>
      <left/>
      <right/>
      <top style="medium">
        <color indexed="12"/>
      </top>
      <bottom style="medium">
        <color indexed="12"/>
      </bottom>
      <diagonal/>
    </border>
    <border>
      <left style="medium">
        <color indexed="48"/>
      </left>
      <right style="medium">
        <color indexed="48"/>
      </right>
      <top style="medium">
        <color indexed="48"/>
      </top>
      <bottom style="medium">
        <color indexed="48"/>
      </bottom>
      <diagonal/>
    </border>
    <border>
      <left/>
      <right style="medium">
        <color indexed="12"/>
      </right>
      <top style="medium">
        <color indexed="12"/>
      </top>
      <bottom style="medium">
        <color indexed="12"/>
      </bottom>
      <diagonal/>
    </border>
    <border>
      <left style="medium">
        <color indexed="17"/>
      </left>
      <right/>
      <top style="medium">
        <color indexed="17"/>
      </top>
      <bottom style="medium">
        <color indexed="17"/>
      </bottom>
      <diagonal/>
    </border>
    <border>
      <left/>
      <right style="medium">
        <color indexed="17"/>
      </right>
      <top style="medium">
        <color indexed="17"/>
      </top>
      <bottom style="medium">
        <color indexed="17"/>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4" fillId="0" borderId="0" xfId="0" applyFont="1"/>
    <xf numFmtId="0" fontId="0" fillId="0" borderId="0" xfId="0" applyProtection="1">
      <protection locked="0"/>
    </xf>
    <xf numFmtId="0" fontId="0" fillId="0" borderId="0" xfId="0" applyAlignment="1">
      <alignment wrapText="1"/>
    </xf>
    <xf numFmtId="0" fontId="2" fillId="0" borderId="0" xfId="0" applyFont="1" applyAlignment="1">
      <alignment wrapText="1"/>
    </xf>
    <xf numFmtId="0" fontId="4" fillId="0" borderId="0" xfId="0" applyFont="1" applyAlignment="1">
      <alignment wrapText="1"/>
    </xf>
    <xf numFmtId="0" fontId="2" fillId="0" borderId="0" xfId="0" applyFont="1" applyAlignment="1"/>
    <xf numFmtId="0" fontId="3" fillId="0" borderId="0" xfId="0" applyFont="1" applyProtection="1">
      <protection locked="0"/>
    </xf>
    <xf numFmtId="0" fontId="0" fillId="0" borderId="1" xfId="0" applyBorder="1" applyProtection="1">
      <protection locked="0"/>
    </xf>
    <xf numFmtId="0" fontId="2" fillId="0" borderId="0" xfId="0" applyFont="1" applyProtection="1">
      <protection locked="0"/>
    </xf>
    <xf numFmtId="0" fontId="6" fillId="0" borderId="0" xfId="0" applyFont="1" applyProtection="1">
      <protection locked="0"/>
    </xf>
    <xf numFmtId="0" fontId="2" fillId="0" borderId="0" xfId="0" applyFont="1" applyBorder="1" applyAlignment="1" applyProtection="1">
      <alignment horizontal="center"/>
      <protection locked="0"/>
    </xf>
    <xf numFmtId="0" fontId="2" fillId="0" borderId="0" xfId="0" applyFont="1" applyBorder="1" applyAlignment="1" applyProtection="1">
      <alignment horizontal="centerContinuous"/>
      <protection locked="0"/>
    </xf>
    <xf numFmtId="0" fontId="0" fillId="0" borderId="0" xfId="0" applyBorder="1" applyAlignment="1" applyProtection="1">
      <alignment horizontal="centerContinuous"/>
      <protection locked="0"/>
    </xf>
    <xf numFmtId="0" fontId="0" fillId="0" borderId="2" xfId="0" applyBorder="1" applyAlignment="1" applyProtection="1">
      <alignment wrapText="1"/>
      <protection locked="0"/>
    </xf>
    <xf numFmtId="14" fontId="0" fillId="0" borderId="1" xfId="0" applyNumberFormat="1" applyBorder="1" applyAlignment="1" applyProtection="1">
      <alignment horizontal="center"/>
      <protection locked="0"/>
    </xf>
    <xf numFmtId="0" fontId="0" fillId="0" borderId="3" xfId="0" applyBorder="1" applyAlignment="1" applyProtection="1">
      <alignment horizontal="center" shrinkToFit="1"/>
      <protection locked="0"/>
    </xf>
    <xf numFmtId="43" fontId="0" fillId="0" borderId="3" xfId="1" applyFont="1" applyBorder="1" applyAlignment="1" applyProtection="1">
      <alignment horizontal="center"/>
      <protection locked="0"/>
    </xf>
    <xf numFmtId="0" fontId="2" fillId="0" borderId="0" xfId="0" applyFont="1" applyBorder="1" applyProtection="1">
      <protection locked="0"/>
    </xf>
    <xf numFmtId="0" fontId="0" fillId="0" borderId="0" xfId="0" applyBorder="1" applyProtection="1">
      <protection locked="0"/>
    </xf>
    <xf numFmtId="0" fontId="0" fillId="0" borderId="0" xfId="0" applyBorder="1" applyAlignment="1" applyProtection="1">
      <alignment shrinkToFit="1"/>
      <protection locked="0"/>
    </xf>
    <xf numFmtId="0" fontId="0" fillId="0" borderId="0" xfId="0" applyBorder="1" applyAlignment="1" applyProtection="1">
      <alignment horizontal="centerContinuous" shrinkToFit="1"/>
      <protection locked="0"/>
    </xf>
    <xf numFmtId="0" fontId="5" fillId="0" borderId="0" xfId="0" applyFont="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Border="1" applyAlignment="1" applyProtection="1">
      <alignment horizontal="center"/>
      <protection locked="0"/>
    </xf>
    <xf numFmtId="0" fontId="0" fillId="0" borderId="0" xfId="0" applyAlignment="1" applyProtection="1">
      <alignment horizontal="centerContinuous"/>
      <protection locked="0"/>
    </xf>
    <xf numFmtId="0" fontId="0" fillId="0" borderId="9" xfId="0" applyBorder="1" applyAlignment="1" applyProtection="1">
      <alignment horizontal="center"/>
      <protection locked="0"/>
    </xf>
    <xf numFmtId="0" fontId="0" fillId="0" borderId="10" xfId="0" applyBorder="1" applyAlignment="1" applyProtection="1">
      <alignment horizontal="center"/>
    </xf>
    <xf numFmtId="0" fontId="0" fillId="0" borderId="0" xfId="0" applyProtection="1"/>
    <xf numFmtId="0" fontId="0" fillId="0" borderId="11" xfId="0" applyBorder="1" applyAlignment="1" applyProtection="1">
      <alignment horizontal="centerContinuous" wrapText="1"/>
      <protection locked="0"/>
    </xf>
    <xf numFmtId="0" fontId="2" fillId="2" borderId="0" xfId="0" applyFont="1" applyFill="1" applyBorder="1"/>
    <xf numFmtId="0" fontId="0" fillId="2" borderId="0" xfId="0" applyFill="1" applyBorder="1"/>
    <xf numFmtId="0" fontId="0" fillId="2" borderId="0" xfId="0" applyFill="1" applyBorder="1" applyAlignment="1">
      <alignment wrapText="1"/>
    </xf>
    <xf numFmtId="0" fontId="2" fillId="2" borderId="0" xfId="0" applyFont="1" applyFill="1" applyBorder="1" applyAlignment="1">
      <alignment horizontal="centerContinuous" wrapText="1"/>
    </xf>
    <xf numFmtId="0" fontId="4" fillId="2" borderId="0" xfId="0" applyFont="1" applyFill="1" applyBorder="1" applyAlignment="1">
      <alignment horizontal="left" wrapText="1"/>
    </xf>
    <xf numFmtId="0" fontId="0" fillId="2" borderId="0" xfId="0" applyFill="1" applyBorder="1" applyAlignment="1">
      <alignment horizontal="left" wrapText="1"/>
    </xf>
    <xf numFmtId="0" fontId="7" fillId="2" borderId="0" xfId="0" applyFont="1" applyFill="1" applyBorder="1" applyAlignment="1">
      <alignment horizontal="left" wrapText="1"/>
    </xf>
    <xf numFmtId="0" fontId="0" fillId="2" borderId="0" xfId="0" applyFill="1" applyBorder="1" applyAlignment="1">
      <alignment horizontal="left"/>
    </xf>
    <xf numFmtId="0" fontId="8" fillId="2" borderId="0" xfId="0" applyFont="1" applyFill="1" applyBorder="1" applyAlignment="1">
      <alignment horizontal="left" wrapText="1"/>
    </xf>
    <xf numFmtId="0" fontId="2" fillId="2" borderId="0" xfId="0" applyFont="1" applyFill="1" applyBorder="1" applyAlignment="1">
      <alignment vertical="center"/>
    </xf>
    <xf numFmtId="0" fontId="0" fillId="2" borderId="0" xfId="0" applyFill="1" applyBorder="1" applyAlignment="1">
      <alignment vertical="center"/>
    </xf>
    <xf numFmtId="0" fontId="7" fillId="2" borderId="0" xfId="0" applyFont="1" applyFill="1" applyBorder="1" applyAlignment="1">
      <alignment horizontal="centerContinuous" vertical="center" wrapText="1"/>
    </xf>
    <xf numFmtId="0" fontId="4" fillId="0" borderId="0" xfId="0" applyFont="1" applyBorder="1" applyAlignment="1" applyProtection="1">
      <protection locked="0"/>
    </xf>
    <xf numFmtId="0" fontId="0" fillId="0" borderId="1" xfId="0" applyBorder="1" applyAlignment="1" applyProtection="1">
      <alignment horizontal="centerContinuous" wrapText="1"/>
      <protection locked="0"/>
    </xf>
    <xf numFmtId="0" fontId="0" fillId="0" borderId="0" xfId="0" applyBorder="1" applyAlignment="1" applyProtection="1">
      <alignment horizontal="centerContinuous" wrapText="1"/>
      <protection locked="0"/>
    </xf>
    <xf numFmtId="43" fontId="0" fillId="0" borderId="0" xfId="1" applyFont="1" applyBorder="1" applyAlignment="1" applyProtection="1">
      <alignment horizontal="centerContinuous"/>
      <protection locked="0"/>
    </xf>
    <xf numFmtId="164" fontId="0" fillId="0" borderId="12" xfId="0" applyNumberFormat="1" applyBorder="1" applyProtection="1">
      <protection locked="0"/>
    </xf>
    <xf numFmtId="0" fontId="0" fillId="0" borderId="11" xfId="0" applyBorder="1" applyAlignment="1" applyProtection="1">
      <alignment horizontal="centerContinuous" wrapText="1"/>
    </xf>
    <xf numFmtId="43" fontId="0" fillId="0" borderId="13" xfId="1" applyFont="1" applyBorder="1" applyAlignment="1" applyProtection="1">
      <alignment horizontal="centerContinuous"/>
    </xf>
    <xf numFmtId="43" fontId="2" fillId="0" borderId="0" xfId="1" applyFont="1" applyBorder="1" applyAlignment="1" applyProtection="1">
      <alignment horizontal="center"/>
    </xf>
    <xf numFmtId="0" fontId="0" fillId="0" borderId="11" xfId="0" applyBorder="1" applyProtection="1"/>
    <xf numFmtId="0" fontId="0" fillId="0" borderId="13" xfId="0" applyBorder="1" applyProtection="1"/>
    <xf numFmtId="43" fontId="0" fillId="0" borderId="0" xfId="1" applyFont="1" applyBorder="1" applyAlignment="1" applyProtection="1">
      <alignment horizontal="centerContinuous"/>
    </xf>
    <xf numFmtId="43" fontId="1" fillId="0" borderId="3" xfId="1" applyBorder="1" applyAlignment="1" applyProtection="1">
      <alignment horizontal="center"/>
      <protection locked="0"/>
    </xf>
    <xf numFmtId="43" fontId="1" fillId="0" borderId="13" xfId="1" applyBorder="1" applyAlignment="1" applyProtection="1">
      <alignment horizontal="centerContinuous"/>
    </xf>
    <xf numFmtId="43" fontId="1" fillId="0" borderId="0" xfId="1" applyBorder="1" applyAlignment="1" applyProtection="1">
      <alignment horizontal="centerContinuous"/>
      <protection locked="0"/>
    </xf>
    <xf numFmtId="43" fontId="1" fillId="0" borderId="0" xfId="1" applyBorder="1" applyAlignment="1" applyProtection="1">
      <alignment horizontal="centerContinuous"/>
    </xf>
    <xf numFmtId="0" fontId="0" fillId="0" borderId="14" xfId="0" applyBorder="1" applyProtection="1">
      <protection locked="0"/>
    </xf>
    <xf numFmtId="0" fontId="0" fillId="0" borderId="9" xfId="0" applyBorder="1" applyAlignment="1" applyProtection="1">
      <alignment horizontal="centerContinuous"/>
      <protection locked="0"/>
    </xf>
    <xf numFmtId="0" fontId="0" fillId="0" borderId="0" xfId="0" applyAlignment="1" applyProtection="1">
      <alignment horizontal="center"/>
    </xf>
    <xf numFmtId="0" fontId="0" fillId="0" borderId="15" xfId="0" applyBorder="1" applyProtection="1"/>
    <xf numFmtId="0" fontId="2" fillId="2" borderId="0" xfId="0" applyFont="1" applyFill="1" applyBorder="1" applyAlignment="1">
      <alignment wrapText="1"/>
    </xf>
    <xf numFmtId="0" fontId="9" fillId="0" borderId="0" xfId="0" applyFont="1"/>
    <xf numFmtId="0" fontId="0" fillId="0" borderId="0" xfId="0" applyAlignment="1">
      <alignment horizontal="centerContinuous" wrapText="1"/>
    </xf>
    <xf numFmtId="43" fontId="1" fillId="0" borderId="11" xfId="1" applyBorder="1" applyAlignment="1" applyProtection="1">
      <alignment horizontal="center"/>
      <protection locked="0"/>
    </xf>
    <xf numFmtId="0" fontId="7" fillId="2" borderId="0" xfId="0" applyFont="1" applyFill="1" applyBorder="1" applyAlignment="1">
      <alignment wrapText="1"/>
    </xf>
    <xf numFmtId="0" fontId="4" fillId="0" borderId="11" xfId="0" applyFont="1" applyBorder="1" applyAlignment="1" applyProtection="1">
      <alignment horizontal="centerContinuous" wrapText="1"/>
      <protection locked="0"/>
    </xf>
    <xf numFmtId="0" fontId="4" fillId="0" borderId="0" xfId="0" applyFont="1" applyProtection="1">
      <protection locked="0"/>
    </xf>
  </cellXfs>
  <cellStyles count="2">
    <cellStyle name="Comma" xfId="1" builtinId="3"/>
    <cellStyle name="Normal" xfId="0" builtinId="0"/>
  </cellStyles>
  <dxfs count="6">
    <dxf>
      <fill>
        <patternFill>
          <bgColor indexed="13"/>
        </patternFill>
      </fill>
    </dxf>
    <dxf>
      <font>
        <b/>
        <i val="0"/>
        <condense val="0"/>
        <extend val="0"/>
      </font>
      <fill>
        <patternFill>
          <bgColor indexed="13"/>
        </patternFill>
      </fill>
    </dxf>
    <dxf>
      <fill>
        <patternFill>
          <bgColor indexed="13"/>
        </patternFill>
      </fill>
    </dxf>
    <dxf>
      <fill>
        <patternFill>
          <bgColor indexed="13"/>
        </patternFill>
      </fill>
    </dxf>
    <dxf>
      <font>
        <b/>
        <i val="0"/>
        <condense val="0"/>
        <extend val="0"/>
      </font>
      <fill>
        <patternFill>
          <bgColor indexed="13"/>
        </patternFill>
      </fill>
    </dxf>
    <dxf>
      <fill>
        <patternFill>
          <bgColor indexed="13"/>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B293"/>
  <sheetViews>
    <sheetView topLeftCell="A72" workbookViewId="0">
      <selection activeCell="A47" sqref="A47"/>
    </sheetView>
  </sheetViews>
  <sheetFormatPr baseColWidth="10" defaultColWidth="8.83203125" defaultRowHeight="12"/>
  <cols>
    <col min="1" max="1" width="3.33203125" style="36" customWidth="1"/>
    <col min="2" max="2" width="95.5" style="36" customWidth="1"/>
    <col min="3" max="16384" width="8.83203125" style="36"/>
  </cols>
  <sheetData>
    <row r="1" spans="1:2">
      <c r="A1" s="35" t="s">
        <v>17</v>
      </c>
    </row>
    <row r="3" spans="1:2" ht="60">
      <c r="B3" s="66" t="s">
        <v>98</v>
      </c>
    </row>
    <row r="5" spans="1:2" ht="48">
      <c r="B5" s="66" t="s">
        <v>136</v>
      </c>
    </row>
    <row r="6" spans="1:2">
      <c r="B6" s="37"/>
    </row>
    <row r="7" spans="1:2" ht="60">
      <c r="B7" s="66" t="s">
        <v>126</v>
      </c>
    </row>
    <row r="8" spans="1:2">
      <c r="B8" s="37"/>
    </row>
    <row r="9" spans="1:2" ht="120">
      <c r="B9" s="66" t="s">
        <v>119</v>
      </c>
    </row>
    <row r="10" spans="1:2">
      <c r="B10" s="37"/>
    </row>
    <row r="11" spans="1:2" ht="36">
      <c r="B11" s="66" t="s">
        <v>137</v>
      </c>
    </row>
    <row r="12" spans="1:2">
      <c r="B12" s="37"/>
    </row>
    <row r="13" spans="1:2" ht="48">
      <c r="B13" s="66" t="s">
        <v>138</v>
      </c>
    </row>
    <row r="14" spans="1:2">
      <c r="B14" s="37"/>
    </row>
    <row r="15" spans="1:2" ht="72">
      <c r="B15" s="66" t="s">
        <v>120</v>
      </c>
    </row>
    <row r="16" spans="1:2">
      <c r="B16" s="37"/>
    </row>
    <row r="17" spans="1:2" ht="48">
      <c r="B17" s="66" t="s">
        <v>125</v>
      </c>
    </row>
    <row r="18" spans="1:2">
      <c r="B18" s="35"/>
    </row>
    <row r="19" spans="1:2">
      <c r="A19" s="35" t="s">
        <v>18</v>
      </c>
    </row>
    <row r="20" spans="1:2" ht="8" customHeight="1">
      <c r="B20" s="40"/>
    </row>
    <row r="21" spans="1:2" ht="24">
      <c r="B21" s="41" t="s">
        <v>99</v>
      </c>
    </row>
    <row r="22" spans="1:2" ht="6" customHeight="1">
      <c r="A22" s="35"/>
      <c r="B22" s="40"/>
    </row>
    <row r="23" spans="1:2">
      <c r="A23" s="44">
        <v>1</v>
      </c>
      <c r="B23" s="40" t="s">
        <v>116</v>
      </c>
    </row>
    <row r="24" spans="1:2" ht="6" customHeight="1">
      <c r="A24" s="44"/>
      <c r="B24" s="40"/>
    </row>
    <row r="25" spans="1:2">
      <c r="A25" s="44">
        <v>2</v>
      </c>
      <c r="B25" s="40" t="s">
        <v>117</v>
      </c>
    </row>
    <row r="26" spans="1:2" ht="6" customHeight="1">
      <c r="A26" s="44"/>
      <c r="B26" s="40"/>
    </row>
    <row r="27" spans="1:2">
      <c r="A27" s="44">
        <v>3</v>
      </c>
      <c r="B27" s="40" t="s">
        <v>118</v>
      </c>
    </row>
    <row r="28" spans="1:2" ht="6" customHeight="1">
      <c r="A28" s="44"/>
      <c r="B28" s="40"/>
    </row>
    <row r="29" spans="1:2">
      <c r="A29" s="44">
        <v>4</v>
      </c>
      <c r="B29" s="40" t="s">
        <v>83</v>
      </c>
    </row>
    <row r="30" spans="1:2" ht="6" customHeight="1">
      <c r="A30" s="44"/>
      <c r="B30" s="40"/>
    </row>
    <row r="31" spans="1:2">
      <c r="A31" s="44">
        <v>5</v>
      </c>
      <c r="B31" s="40" t="s">
        <v>84</v>
      </c>
    </row>
    <row r="32" spans="1:2" ht="6" customHeight="1">
      <c r="A32" s="44"/>
      <c r="B32" s="40"/>
    </row>
    <row r="33" spans="1:2" ht="36">
      <c r="A33" s="44">
        <v>6</v>
      </c>
      <c r="B33" s="40" t="s">
        <v>88</v>
      </c>
    </row>
    <row r="34" spans="1:2" ht="6" customHeight="1">
      <c r="A34" s="44"/>
      <c r="B34" s="40"/>
    </row>
    <row r="35" spans="1:2">
      <c r="A35" s="45"/>
      <c r="B35" s="41" t="s">
        <v>61</v>
      </c>
    </row>
    <row r="36" spans="1:2" ht="6" customHeight="1">
      <c r="A36" s="46"/>
      <c r="B36" s="42"/>
    </row>
    <row r="37" spans="1:2" ht="24">
      <c r="A37" s="44">
        <v>7</v>
      </c>
      <c r="B37" s="40" t="s">
        <v>89</v>
      </c>
    </row>
    <row r="38" spans="1:2" ht="6" customHeight="1">
      <c r="A38" s="44"/>
      <c r="B38" s="40"/>
    </row>
    <row r="39" spans="1:2" ht="24">
      <c r="A39" s="44">
        <v>8</v>
      </c>
      <c r="B39" s="40" t="s">
        <v>58</v>
      </c>
    </row>
    <row r="40" spans="1:2" ht="6" customHeight="1">
      <c r="A40" s="44"/>
      <c r="B40" s="40"/>
    </row>
    <row r="41" spans="1:2" ht="36">
      <c r="A41" s="44">
        <v>9</v>
      </c>
      <c r="B41" s="40" t="s">
        <v>90</v>
      </c>
    </row>
    <row r="42" spans="1:2" ht="6" customHeight="1">
      <c r="A42" s="44"/>
      <c r="B42" s="40"/>
    </row>
    <row r="43" spans="1:2" ht="24">
      <c r="A43" s="44">
        <v>10</v>
      </c>
      <c r="B43" s="40" t="s">
        <v>59</v>
      </c>
    </row>
    <row r="44" spans="1:2" ht="6" customHeight="1">
      <c r="A44" s="44"/>
      <c r="B44" s="40"/>
    </row>
    <row r="45" spans="1:2" ht="24">
      <c r="A45" s="45"/>
      <c r="B45" s="41" t="s">
        <v>60</v>
      </c>
    </row>
    <row r="46" spans="1:2" ht="6" customHeight="1">
      <c r="A46" s="46"/>
      <c r="B46" s="39"/>
    </row>
    <row r="47" spans="1:2">
      <c r="A47" s="35" t="s">
        <v>19</v>
      </c>
    </row>
    <row r="48" spans="1:2" ht="9.5" customHeight="1">
      <c r="A48" s="35"/>
    </row>
    <row r="49" spans="1:2" ht="24">
      <c r="A49" s="44">
        <v>11</v>
      </c>
      <c r="B49" s="40" t="s">
        <v>91</v>
      </c>
    </row>
    <row r="50" spans="1:2" ht="6" customHeight="1">
      <c r="A50" s="44"/>
      <c r="B50" s="40"/>
    </row>
    <row r="51" spans="1:2" ht="48">
      <c r="A51" s="44"/>
      <c r="B51" s="41" t="s">
        <v>92</v>
      </c>
    </row>
    <row r="52" spans="1:2" ht="6" customHeight="1">
      <c r="A52" s="44"/>
      <c r="B52" s="40"/>
    </row>
    <row r="53" spans="1:2">
      <c r="A53" s="44">
        <v>12</v>
      </c>
      <c r="B53" s="40" t="s">
        <v>93</v>
      </c>
    </row>
    <row r="54" spans="1:2" ht="6" customHeight="1">
      <c r="A54" s="44"/>
      <c r="B54" s="40"/>
    </row>
    <row r="55" spans="1:2" ht="24">
      <c r="A55" s="45"/>
      <c r="B55" s="41" t="s">
        <v>48</v>
      </c>
    </row>
    <row r="56" spans="1:2" ht="6" customHeight="1">
      <c r="A56" s="46"/>
      <c r="B56" s="39"/>
    </row>
    <row r="57" spans="1:2" ht="24">
      <c r="A57" s="44">
        <v>13</v>
      </c>
      <c r="B57" s="40" t="s">
        <v>49</v>
      </c>
    </row>
    <row r="58" spans="1:2" ht="6" customHeight="1">
      <c r="A58" s="44"/>
      <c r="B58" s="40"/>
    </row>
    <row r="59" spans="1:2">
      <c r="A59" s="44">
        <v>14</v>
      </c>
      <c r="B59" s="40" t="s">
        <v>140</v>
      </c>
    </row>
    <row r="60" spans="1:2" ht="6" customHeight="1">
      <c r="A60" s="44"/>
      <c r="B60" s="40"/>
    </row>
    <row r="61" spans="1:2">
      <c r="A61" s="44">
        <v>15</v>
      </c>
      <c r="B61" s="40" t="s">
        <v>63</v>
      </c>
    </row>
    <row r="62" spans="1:2" ht="6" customHeight="1">
      <c r="A62" s="44"/>
      <c r="B62" s="40"/>
    </row>
    <row r="63" spans="1:2" ht="24">
      <c r="A63" s="44">
        <v>16</v>
      </c>
      <c r="B63" s="40" t="s">
        <v>139</v>
      </c>
    </row>
    <row r="64" spans="1:2" ht="6" customHeight="1">
      <c r="A64" s="35"/>
      <c r="B64" s="40"/>
    </row>
    <row r="65" spans="1:2" ht="48">
      <c r="A65" s="44">
        <v>17</v>
      </c>
      <c r="B65" s="43" t="s">
        <v>141</v>
      </c>
    </row>
    <row r="66" spans="1:2" ht="6" customHeight="1">
      <c r="A66" s="44"/>
      <c r="B66" s="40"/>
    </row>
    <row r="67" spans="1:2" ht="24">
      <c r="A67" s="44">
        <v>18</v>
      </c>
      <c r="B67" s="43" t="s">
        <v>142</v>
      </c>
    </row>
    <row r="68" spans="1:2" ht="6" customHeight="1">
      <c r="A68" s="44"/>
      <c r="B68" s="40"/>
    </row>
    <row r="69" spans="1:2" ht="24">
      <c r="B69" s="38" t="s">
        <v>143</v>
      </c>
    </row>
    <row r="70" spans="1:2">
      <c r="A70" s="35"/>
      <c r="B70" s="40"/>
    </row>
    <row r="71" spans="1:2">
      <c r="A71" s="35" t="s">
        <v>16</v>
      </c>
      <c r="B71" s="37"/>
    </row>
    <row r="72" spans="1:2">
      <c r="B72" s="37"/>
    </row>
    <row r="73" spans="1:2" ht="48">
      <c r="B73" s="70" t="s">
        <v>144</v>
      </c>
    </row>
    <row r="74" spans="1:2">
      <c r="B74" s="37"/>
    </row>
    <row r="75" spans="1:2">
      <c r="A75" s="35">
        <v>1</v>
      </c>
      <c r="B75" s="37" t="s">
        <v>145</v>
      </c>
    </row>
    <row r="76" spans="1:2" ht="5.5" customHeight="1">
      <c r="B76" s="37"/>
    </row>
    <row r="77" spans="1:2">
      <c r="A77" s="35">
        <v>2</v>
      </c>
      <c r="B77" s="37" t="s">
        <v>146</v>
      </c>
    </row>
    <row r="78" spans="1:2" ht="5.5" customHeight="1">
      <c r="B78" s="37"/>
    </row>
    <row r="79" spans="1:2">
      <c r="A79" s="35">
        <v>3</v>
      </c>
      <c r="B79" s="37" t="s">
        <v>147</v>
      </c>
    </row>
    <row r="80" spans="1:2" ht="5.5" customHeight="1">
      <c r="B80" s="37"/>
    </row>
    <row r="81" spans="1:2">
      <c r="A81" s="35">
        <v>4</v>
      </c>
      <c r="B81" s="37" t="s">
        <v>148</v>
      </c>
    </row>
    <row r="82" spans="1:2" ht="5.5" customHeight="1">
      <c r="B82" s="37"/>
    </row>
    <row r="83" spans="1:2" ht="24">
      <c r="A83" s="35">
        <v>5</v>
      </c>
      <c r="B83" s="37" t="s">
        <v>127</v>
      </c>
    </row>
    <row r="84" spans="1:2" ht="5.5" customHeight="1">
      <c r="B84" s="37"/>
    </row>
    <row r="85" spans="1:2">
      <c r="A85" s="35">
        <v>6</v>
      </c>
      <c r="B85" s="37" t="s">
        <v>128</v>
      </c>
    </row>
    <row r="86" spans="1:2" ht="5.5" customHeight="1">
      <c r="B86" s="37"/>
    </row>
    <row r="87" spans="1:2">
      <c r="A87" s="35">
        <v>7</v>
      </c>
      <c r="B87" s="37" t="s">
        <v>129</v>
      </c>
    </row>
    <row r="88" spans="1:2" ht="5.5" customHeight="1">
      <c r="B88" s="37"/>
    </row>
    <row r="89" spans="1:2">
      <c r="A89" s="35">
        <v>8</v>
      </c>
      <c r="B89" s="37" t="s">
        <v>130</v>
      </c>
    </row>
    <row r="90" spans="1:2" ht="5.5" customHeight="1">
      <c r="B90" s="37"/>
    </row>
    <row r="91" spans="1:2">
      <c r="A91" s="35">
        <v>9</v>
      </c>
      <c r="B91" s="37" t="s">
        <v>131</v>
      </c>
    </row>
    <row r="92" spans="1:2">
      <c r="B92" s="37"/>
    </row>
    <row r="93" spans="1:2">
      <c r="B93" s="37"/>
    </row>
    <row r="94" spans="1:2">
      <c r="B94" s="37"/>
    </row>
    <row r="95" spans="1:2">
      <c r="B95" s="37"/>
    </row>
    <row r="96" spans="1:2">
      <c r="B96" s="37"/>
    </row>
    <row r="97" spans="2:2">
      <c r="B97" s="37"/>
    </row>
    <row r="98" spans="2:2">
      <c r="B98" s="37"/>
    </row>
    <row r="99" spans="2:2">
      <c r="B99" s="37"/>
    </row>
    <row r="100" spans="2:2">
      <c r="B100" s="37"/>
    </row>
    <row r="101" spans="2:2">
      <c r="B101" s="37"/>
    </row>
    <row r="102" spans="2:2">
      <c r="B102" s="37"/>
    </row>
    <row r="103" spans="2:2">
      <c r="B103" s="37"/>
    </row>
    <row r="104" spans="2:2">
      <c r="B104" s="37"/>
    </row>
    <row r="105" spans="2:2">
      <c r="B105" s="37"/>
    </row>
    <row r="106" spans="2:2">
      <c r="B106" s="37"/>
    </row>
    <row r="107" spans="2:2">
      <c r="B107" s="37"/>
    </row>
    <row r="108" spans="2:2">
      <c r="B108" s="37"/>
    </row>
    <row r="109" spans="2:2">
      <c r="B109" s="37"/>
    </row>
    <row r="110" spans="2:2">
      <c r="B110" s="37"/>
    </row>
    <row r="111" spans="2:2">
      <c r="B111" s="37"/>
    </row>
    <row r="112" spans="2:2">
      <c r="B112" s="37"/>
    </row>
    <row r="113" spans="2:2">
      <c r="B113" s="37"/>
    </row>
    <row r="114" spans="2:2">
      <c r="B114" s="37"/>
    </row>
    <row r="115" spans="2:2">
      <c r="B115" s="37"/>
    </row>
    <row r="116" spans="2:2">
      <c r="B116" s="37"/>
    </row>
    <row r="117" spans="2:2">
      <c r="B117" s="37"/>
    </row>
    <row r="118" spans="2:2">
      <c r="B118" s="37"/>
    </row>
    <row r="119" spans="2:2">
      <c r="B119" s="37"/>
    </row>
    <row r="120" spans="2:2">
      <c r="B120" s="37"/>
    </row>
    <row r="121" spans="2:2">
      <c r="B121" s="37"/>
    </row>
    <row r="122" spans="2:2">
      <c r="B122" s="37"/>
    </row>
    <row r="123" spans="2:2">
      <c r="B123" s="37"/>
    </row>
    <row r="124" spans="2:2">
      <c r="B124" s="37"/>
    </row>
    <row r="125" spans="2:2">
      <c r="B125" s="37"/>
    </row>
    <row r="126" spans="2:2">
      <c r="B126" s="37"/>
    </row>
    <row r="127" spans="2:2">
      <c r="B127" s="37"/>
    </row>
    <row r="128" spans="2:2">
      <c r="B128" s="37"/>
    </row>
    <row r="129" spans="2:2">
      <c r="B129" s="37"/>
    </row>
    <row r="130" spans="2:2">
      <c r="B130" s="37"/>
    </row>
    <row r="131" spans="2:2">
      <c r="B131" s="37"/>
    </row>
    <row r="132" spans="2:2">
      <c r="B132" s="37"/>
    </row>
    <row r="133" spans="2:2">
      <c r="B133" s="37"/>
    </row>
    <row r="134" spans="2:2">
      <c r="B134" s="37"/>
    </row>
    <row r="135" spans="2:2">
      <c r="B135" s="37"/>
    </row>
    <row r="136" spans="2:2">
      <c r="B136" s="37"/>
    </row>
    <row r="137" spans="2:2">
      <c r="B137" s="37"/>
    </row>
    <row r="138" spans="2:2">
      <c r="B138" s="37"/>
    </row>
    <row r="139" spans="2:2">
      <c r="B139" s="37"/>
    </row>
    <row r="140" spans="2:2">
      <c r="B140" s="37"/>
    </row>
    <row r="141" spans="2:2">
      <c r="B141" s="37"/>
    </row>
    <row r="142" spans="2:2">
      <c r="B142" s="37"/>
    </row>
    <row r="143" spans="2:2">
      <c r="B143" s="37"/>
    </row>
    <row r="144" spans="2:2">
      <c r="B144" s="37"/>
    </row>
    <row r="145" spans="2:2">
      <c r="B145" s="37"/>
    </row>
    <row r="146" spans="2:2">
      <c r="B146" s="37"/>
    </row>
    <row r="147" spans="2:2">
      <c r="B147" s="37"/>
    </row>
    <row r="148" spans="2:2">
      <c r="B148" s="37"/>
    </row>
    <row r="149" spans="2:2">
      <c r="B149" s="37"/>
    </row>
    <row r="150" spans="2:2">
      <c r="B150" s="37"/>
    </row>
    <row r="151" spans="2:2">
      <c r="B151" s="37"/>
    </row>
    <row r="152" spans="2:2">
      <c r="B152" s="37"/>
    </row>
    <row r="153" spans="2:2">
      <c r="B153" s="37"/>
    </row>
    <row r="154" spans="2:2">
      <c r="B154" s="37"/>
    </row>
    <row r="155" spans="2:2">
      <c r="B155" s="37"/>
    </row>
    <row r="156" spans="2:2">
      <c r="B156" s="37"/>
    </row>
    <row r="157" spans="2:2">
      <c r="B157" s="37"/>
    </row>
    <row r="158" spans="2:2">
      <c r="B158" s="37"/>
    </row>
    <row r="159" spans="2:2">
      <c r="B159" s="37"/>
    </row>
    <row r="160" spans="2:2">
      <c r="B160" s="37"/>
    </row>
    <row r="161" spans="2:2">
      <c r="B161" s="37"/>
    </row>
    <row r="162" spans="2:2">
      <c r="B162" s="37"/>
    </row>
    <row r="163" spans="2:2">
      <c r="B163" s="37"/>
    </row>
    <row r="164" spans="2:2">
      <c r="B164" s="37"/>
    </row>
    <row r="165" spans="2:2">
      <c r="B165" s="37"/>
    </row>
    <row r="166" spans="2:2">
      <c r="B166" s="37"/>
    </row>
    <row r="167" spans="2:2">
      <c r="B167" s="37"/>
    </row>
    <row r="168" spans="2:2">
      <c r="B168" s="37"/>
    </row>
    <row r="169" spans="2:2">
      <c r="B169" s="37"/>
    </row>
    <row r="170" spans="2:2">
      <c r="B170" s="37"/>
    </row>
    <row r="171" spans="2:2">
      <c r="B171" s="37"/>
    </row>
    <row r="172" spans="2:2">
      <c r="B172" s="37"/>
    </row>
    <row r="173" spans="2:2">
      <c r="B173" s="37"/>
    </row>
    <row r="174" spans="2:2">
      <c r="B174" s="37"/>
    </row>
    <row r="175" spans="2:2">
      <c r="B175" s="37"/>
    </row>
    <row r="176" spans="2:2">
      <c r="B176" s="37"/>
    </row>
    <row r="177" spans="2:2">
      <c r="B177" s="37"/>
    </row>
    <row r="178" spans="2:2">
      <c r="B178" s="37"/>
    </row>
    <row r="179" spans="2:2">
      <c r="B179" s="37"/>
    </row>
    <row r="180" spans="2:2">
      <c r="B180" s="37"/>
    </row>
    <row r="181" spans="2:2">
      <c r="B181" s="37"/>
    </row>
    <row r="182" spans="2:2">
      <c r="B182" s="37"/>
    </row>
    <row r="183" spans="2:2">
      <c r="B183" s="37"/>
    </row>
    <row r="184" spans="2:2">
      <c r="B184" s="37"/>
    </row>
    <row r="185" spans="2:2">
      <c r="B185" s="37"/>
    </row>
    <row r="186" spans="2:2">
      <c r="B186" s="37"/>
    </row>
    <row r="187" spans="2:2">
      <c r="B187" s="37"/>
    </row>
    <row r="188" spans="2:2">
      <c r="B188" s="37"/>
    </row>
    <row r="189" spans="2:2">
      <c r="B189" s="37"/>
    </row>
    <row r="190" spans="2:2">
      <c r="B190" s="37"/>
    </row>
    <row r="191" spans="2:2">
      <c r="B191" s="37"/>
    </row>
    <row r="192" spans="2:2">
      <c r="B192" s="37"/>
    </row>
    <row r="193" spans="2:2">
      <c r="B193" s="37"/>
    </row>
    <row r="194" spans="2:2">
      <c r="B194" s="37"/>
    </row>
    <row r="195" spans="2:2">
      <c r="B195" s="37"/>
    </row>
    <row r="196" spans="2:2">
      <c r="B196" s="37"/>
    </row>
    <row r="197" spans="2:2">
      <c r="B197" s="37"/>
    </row>
    <row r="198" spans="2:2">
      <c r="B198" s="37"/>
    </row>
    <row r="199" spans="2:2">
      <c r="B199" s="37"/>
    </row>
    <row r="200" spans="2:2">
      <c r="B200" s="37"/>
    </row>
    <row r="201" spans="2:2">
      <c r="B201" s="37"/>
    </row>
    <row r="202" spans="2:2">
      <c r="B202" s="37"/>
    </row>
    <row r="203" spans="2:2">
      <c r="B203" s="37"/>
    </row>
    <row r="204" spans="2:2">
      <c r="B204" s="37"/>
    </row>
    <row r="205" spans="2:2">
      <c r="B205" s="37"/>
    </row>
    <row r="206" spans="2:2">
      <c r="B206" s="37"/>
    </row>
    <row r="207" spans="2:2">
      <c r="B207" s="37"/>
    </row>
    <row r="208" spans="2:2">
      <c r="B208" s="37"/>
    </row>
    <row r="209" spans="2:2">
      <c r="B209" s="37"/>
    </row>
    <row r="210" spans="2:2">
      <c r="B210" s="37"/>
    </row>
    <row r="211" spans="2:2">
      <c r="B211" s="37"/>
    </row>
    <row r="212" spans="2:2">
      <c r="B212" s="37"/>
    </row>
    <row r="213" spans="2:2">
      <c r="B213" s="37"/>
    </row>
    <row r="214" spans="2:2">
      <c r="B214" s="37"/>
    </row>
    <row r="215" spans="2:2">
      <c r="B215" s="37"/>
    </row>
    <row r="216" spans="2:2">
      <c r="B216" s="37"/>
    </row>
    <row r="217" spans="2:2">
      <c r="B217" s="37"/>
    </row>
    <row r="218" spans="2:2">
      <c r="B218" s="37"/>
    </row>
    <row r="219" spans="2:2">
      <c r="B219" s="37"/>
    </row>
    <row r="220" spans="2:2">
      <c r="B220" s="37"/>
    </row>
    <row r="221" spans="2:2">
      <c r="B221" s="37"/>
    </row>
    <row r="222" spans="2:2">
      <c r="B222" s="37"/>
    </row>
    <row r="223" spans="2:2">
      <c r="B223" s="37"/>
    </row>
    <row r="224" spans="2:2">
      <c r="B224" s="37"/>
    </row>
    <row r="225" spans="2:2">
      <c r="B225" s="37"/>
    </row>
    <row r="226" spans="2:2">
      <c r="B226" s="37"/>
    </row>
    <row r="227" spans="2:2">
      <c r="B227" s="37"/>
    </row>
    <row r="228" spans="2:2">
      <c r="B228" s="37"/>
    </row>
    <row r="229" spans="2:2">
      <c r="B229" s="37"/>
    </row>
    <row r="230" spans="2:2">
      <c r="B230" s="37"/>
    </row>
    <row r="231" spans="2:2">
      <c r="B231" s="37"/>
    </row>
    <row r="232" spans="2:2">
      <c r="B232" s="37"/>
    </row>
    <row r="233" spans="2:2">
      <c r="B233" s="37"/>
    </row>
    <row r="234" spans="2:2">
      <c r="B234" s="37"/>
    </row>
    <row r="235" spans="2:2">
      <c r="B235" s="37"/>
    </row>
    <row r="236" spans="2:2">
      <c r="B236" s="37"/>
    </row>
    <row r="237" spans="2:2">
      <c r="B237" s="37"/>
    </row>
    <row r="238" spans="2:2">
      <c r="B238" s="37"/>
    </row>
    <row r="239" spans="2:2">
      <c r="B239" s="37"/>
    </row>
    <row r="240" spans="2:2">
      <c r="B240" s="37"/>
    </row>
    <row r="241" spans="2:2">
      <c r="B241" s="37"/>
    </row>
    <row r="242" spans="2:2">
      <c r="B242" s="37"/>
    </row>
    <row r="243" spans="2:2">
      <c r="B243" s="37"/>
    </row>
    <row r="244" spans="2:2">
      <c r="B244" s="37"/>
    </row>
    <row r="245" spans="2:2">
      <c r="B245" s="37"/>
    </row>
    <row r="246" spans="2:2">
      <c r="B246" s="37"/>
    </row>
    <row r="247" spans="2:2">
      <c r="B247" s="37"/>
    </row>
    <row r="248" spans="2:2">
      <c r="B248" s="37"/>
    </row>
    <row r="249" spans="2:2">
      <c r="B249" s="37"/>
    </row>
    <row r="250" spans="2:2">
      <c r="B250" s="37"/>
    </row>
    <row r="251" spans="2:2">
      <c r="B251" s="37"/>
    </row>
    <row r="252" spans="2:2">
      <c r="B252" s="37"/>
    </row>
    <row r="253" spans="2:2">
      <c r="B253" s="37"/>
    </row>
    <row r="254" spans="2:2">
      <c r="B254" s="37"/>
    </row>
    <row r="255" spans="2:2">
      <c r="B255" s="37"/>
    </row>
    <row r="256" spans="2:2">
      <c r="B256" s="37"/>
    </row>
    <row r="257" spans="2:2">
      <c r="B257" s="37"/>
    </row>
    <row r="258" spans="2:2">
      <c r="B258" s="37"/>
    </row>
    <row r="259" spans="2:2">
      <c r="B259" s="37"/>
    </row>
    <row r="260" spans="2:2">
      <c r="B260" s="37"/>
    </row>
    <row r="261" spans="2:2">
      <c r="B261" s="37"/>
    </row>
    <row r="262" spans="2:2">
      <c r="B262" s="37"/>
    </row>
    <row r="263" spans="2:2">
      <c r="B263" s="37"/>
    </row>
    <row r="264" spans="2:2">
      <c r="B264" s="37"/>
    </row>
    <row r="265" spans="2:2">
      <c r="B265" s="37"/>
    </row>
    <row r="266" spans="2:2">
      <c r="B266" s="37"/>
    </row>
    <row r="267" spans="2:2">
      <c r="B267" s="37"/>
    </row>
    <row r="268" spans="2:2">
      <c r="B268" s="37"/>
    </row>
    <row r="269" spans="2:2">
      <c r="B269" s="37"/>
    </row>
    <row r="270" spans="2:2">
      <c r="B270" s="37"/>
    </row>
    <row r="271" spans="2:2">
      <c r="B271" s="37"/>
    </row>
    <row r="272" spans="2:2">
      <c r="B272" s="37"/>
    </row>
    <row r="273" spans="2:2">
      <c r="B273" s="37"/>
    </row>
    <row r="274" spans="2:2">
      <c r="B274" s="37"/>
    </row>
    <row r="275" spans="2:2">
      <c r="B275" s="37"/>
    </row>
    <row r="276" spans="2:2">
      <c r="B276" s="37"/>
    </row>
    <row r="277" spans="2:2">
      <c r="B277" s="37"/>
    </row>
    <row r="278" spans="2:2">
      <c r="B278" s="37"/>
    </row>
    <row r="279" spans="2:2">
      <c r="B279" s="37"/>
    </row>
    <row r="280" spans="2:2">
      <c r="B280" s="37"/>
    </row>
    <row r="281" spans="2:2">
      <c r="B281" s="37"/>
    </row>
    <row r="282" spans="2:2">
      <c r="B282" s="37"/>
    </row>
    <row r="283" spans="2:2">
      <c r="B283" s="37"/>
    </row>
    <row r="284" spans="2:2">
      <c r="B284" s="37"/>
    </row>
    <row r="285" spans="2:2">
      <c r="B285" s="37"/>
    </row>
    <row r="286" spans="2:2">
      <c r="B286" s="37"/>
    </row>
    <row r="287" spans="2:2">
      <c r="B287" s="37"/>
    </row>
    <row r="288" spans="2:2">
      <c r="B288" s="37"/>
    </row>
    <row r="289" spans="2:2">
      <c r="B289" s="37"/>
    </row>
    <row r="290" spans="2:2">
      <c r="B290" s="37"/>
    </row>
    <row r="291" spans="2:2">
      <c r="B291" s="37"/>
    </row>
    <row r="292" spans="2:2">
      <c r="B292" s="37"/>
    </row>
    <row r="293" spans="2:2">
      <c r="B293" s="37"/>
    </row>
  </sheetData>
  <phoneticPr fontId="0" type="noConversion"/>
  <pageMargins left="0.75" right="0.75" top="1" bottom="1" header="0.5" footer="0.5"/>
  <headerFooter alignWithMargins="0">
    <oddFooter>&amp;L&amp;A&amp;C&amp;D&amp;RPage &amp;P</oddFooter>
  </headerFooter>
  <rowBreaks count="3" manualBreakCount="3">
    <brk id="18" max="1" man="1"/>
    <brk id="46" max="1" man="1"/>
    <brk id="70" max="16383" man="1"/>
  </rowBreak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J92"/>
  <sheetViews>
    <sheetView showGridLines="0" tabSelected="1" workbookViewId="0">
      <selection activeCell="B11" sqref="B11"/>
    </sheetView>
  </sheetViews>
  <sheetFormatPr baseColWidth="10" defaultColWidth="8.83203125" defaultRowHeight="12"/>
  <cols>
    <col min="1" max="1" width="4.33203125" style="3" customWidth="1"/>
    <col min="2" max="2" width="28.33203125" style="3" customWidth="1"/>
    <col min="3" max="3" width="9.1640625" style="3" customWidth="1"/>
    <col min="4" max="4" width="15.33203125" style="3" customWidth="1"/>
    <col min="5" max="5" width="20" style="3" customWidth="1"/>
    <col min="6" max="6" width="18.5" style="3" customWidth="1"/>
    <col min="7" max="7" width="19.83203125" style="3" customWidth="1"/>
    <col min="8" max="8" width="13.6640625" style="3" customWidth="1"/>
    <col min="9" max="9" width="9.1640625" style="3" customWidth="1"/>
    <col min="10" max="10" width="9.1640625" style="33" customWidth="1"/>
    <col min="11" max="16384" width="8.83203125" style="3"/>
  </cols>
  <sheetData>
    <row r="1" spans="1:10" ht="17">
      <c r="A1" s="8" t="s">
        <v>20</v>
      </c>
      <c r="F1" s="8" t="s">
        <v>31</v>
      </c>
    </row>
    <row r="2" spans="1:10" ht="13" thickBot="1"/>
    <row r="3" spans="1:10" ht="13" thickBot="1">
      <c r="B3" s="10" t="s">
        <v>36</v>
      </c>
      <c r="C3" s="9"/>
      <c r="D3" s="55"/>
      <c r="E3" s="56"/>
      <c r="F3" s="10" t="s">
        <v>30</v>
      </c>
      <c r="G3" s="51">
        <f ca="1">TODAY()</f>
        <v>40434</v>
      </c>
      <c r="J3" s="33" t="str">
        <f ca="1">IF(C3="Enter Requester","Need to Enter Requester",IF(G3="Enter Date","Need to Enter Date",IF(D5="Enter Entity","Need to Enter Entity",IF(H64&gt;10,IF(F65="","Need to Enter Explanation for Shortfall",""),""))))</f>
        <v>Need to Enter Entity</v>
      </c>
    </row>
    <row r="4" spans="1:10" ht="13" thickBot="1"/>
    <row r="5" spans="1:10" ht="13" thickBot="1">
      <c r="B5" s="10" t="s">
        <v>67</v>
      </c>
      <c r="C5" s="64">
        <f>VLOOKUP(D5,Choices!F2:G8,2,FALSE)</f>
        <v>0</v>
      </c>
      <c r="D5" s="62" t="s">
        <v>68</v>
      </c>
      <c r="E5" s="65"/>
    </row>
    <row r="7" spans="1:10" ht="13" thickBot="1">
      <c r="B7" s="12" t="s">
        <v>69</v>
      </c>
      <c r="C7" s="12" t="s">
        <v>70</v>
      </c>
      <c r="D7" s="12" t="s">
        <v>65</v>
      </c>
      <c r="E7" s="12" t="s">
        <v>71</v>
      </c>
      <c r="F7" s="13" t="s">
        <v>72</v>
      </c>
      <c r="G7" s="14"/>
      <c r="H7" s="12" t="s">
        <v>73</v>
      </c>
    </row>
    <row r="8" spans="1:10" ht="13" thickBot="1">
      <c r="B8" s="47" t="s">
        <v>39</v>
      </c>
      <c r="D8" s="12"/>
      <c r="E8" s="12"/>
      <c r="F8" s="13"/>
      <c r="G8" s="14"/>
      <c r="H8" s="18">
        <v>0</v>
      </c>
    </row>
    <row r="9" spans="1:10" ht="13" thickBot="1">
      <c r="B9" s="47" t="s">
        <v>40</v>
      </c>
      <c r="D9" s="12"/>
      <c r="E9" s="12"/>
      <c r="F9" s="13"/>
      <c r="G9" s="14"/>
      <c r="H9" s="18"/>
    </row>
    <row r="10" spans="1:10" ht="9" customHeight="1" thickBot="1">
      <c r="B10" s="47"/>
      <c r="D10" s="12"/>
      <c r="E10" s="12"/>
      <c r="F10" s="13"/>
      <c r="G10" s="14"/>
      <c r="H10" s="69"/>
    </row>
    <row r="11" spans="1:10" ht="13" thickBot="1">
      <c r="A11" s="3">
        <v>1</v>
      </c>
      <c r="B11" s="15" t="s">
        <v>50</v>
      </c>
      <c r="C11" s="32" t="str">
        <f>IF(B11="Enter Account Title","",$C$5*1000000+VLOOKUP(B11,Choices!$A$3:$C$18,3,FALSE))</f>
        <v/>
      </c>
      <c r="D11" s="16"/>
      <c r="E11" s="17"/>
      <c r="F11" s="34"/>
      <c r="G11" s="34"/>
      <c r="H11" s="18"/>
      <c r="J11" s="33" t="str">
        <f>IF(H11=0,"",IF(C11="","Error",""))</f>
        <v/>
      </c>
    </row>
    <row r="12" spans="1:10" ht="13" thickBot="1">
      <c r="A12" s="3">
        <v>2</v>
      </c>
      <c r="B12" s="15" t="s">
        <v>50</v>
      </c>
      <c r="C12" s="32" t="str">
        <f>IF(B12="Enter Account Title","",$C$5*1000000+VLOOKUP(B12,Choices!$A$3:$C$18,3,FALSE))</f>
        <v/>
      </c>
      <c r="D12" s="16"/>
      <c r="E12" s="17"/>
      <c r="F12" s="34"/>
      <c r="G12" s="34"/>
      <c r="H12" s="18"/>
      <c r="J12" s="33" t="str">
        <f t="shared" ref="J12:J60" si="0">IF(H12=0,"",IF(C12="","Error",""))</f>
        <v/>
      </c>
    </row>
    <row r="13" spans="1:10" ht="13" thickBot="1">
      <c r="A13" s="3">
        <v>3</v>
      </c>
      <c r="B13" s="15" t="s">
        <v>50</v>
      </c>
      <c r="C13" s="32" t="str">
        <f>IF(B13="Enter Account Title","",$C$5*1000000+VLOOKUP(B13,Choices!$A$3:$C$18,3,FALSE))</f>
        <v/>
      </c>
      <c r="D13" s="16"/>
      <c r="E13" s="17"/>
      <c r="F13" s="34"/>
      <c r="G13" s="34"/>
      <c r="H13" s="18"/>
      <c r="J13" s="33" t="str">
        <f t="shared" si="0"/>
        <v/>
      </c>
    </row>
    <row r="14" spans="1:10" ht="13" thickBot="1">
      <c r="A14" s="3">
        <v>4</v>
      </c>
      <c r="B14" s="15" t="s">
        <v>50</v>
      </c>
      <c r="C14" s="32" t="str">
        <f>IF(B14="Enter Account Title","",$C$5*1000000+VLOOKUP(B14,Choices!$A$3:$C$18,3,FALSE))</f>
        <v/>
      </c>
      <c r="D14" s="16"/>
      <c r="E14" s="17"/>
      <c r="F14" s="34"/>
      <c r="G14" s="34"/>
      <c r="H14" s="18"/>
      <c r="J14" s="33" t="str">
        <f t="shared" si="0"/>
        <v/>
      </c>
    </row>
    <row r="15" spans="1:10" ht="13" thickBot="1">
      <c r="A15" s="3">
        <v>5</v>
      </c>
      <c r="B15" s="15" t="s">
        <v>50</v>
      </c>
      <c r="C15" s="32" t="str">
        <f>IF(B15="Enter Account Title","",$C$5*1000000+VLOOKUP(B15,Choices!$A$3:$C$18,3,FALSE))</f>
        <v/>
      </c>
      <c r="D15" s="16"/>
      <c r="E15" s="17"/>
      <c r="F15" s="34"/>
      <c r="G15" s="34"/>
      <c r="H15" s="18"/>
      <c r="J15" s="33" t="str">
        <f t="shared" si="0"/>
        <v/>
      </c>
    </row>
    <row r="16" spans="1:10" ht="13" thickBot="1">
      <c r="A16" s="3">
        <v>6</v>
      </c>
      <c r="B16" s="15" t="s">
        <v>50</v>
      </c>
      <c r="C16" s="32" t="str">
        <f>IF(B16="Enter Account Title","",$C$5*1000000+VLOOKUP(B16,Choices!$A$3:$C$18,3,FALSE))</f>
        <v/>
      </c>
      <c r="D16" s="16"/>
      <c r="E16" s="17"/>
      <c r="F16" s="34"/>
      <c r="G16" s="34"/>
      <c r="H16" s="18"/>
      <c r="J16" s="33" t="str">
        <f t="shared" si="0"/>
        <v/>
      </c>
    </row>
    <row r="17" spans="1:10" ht="13" thickBot="1">
      <c r="A17" s="3">
        <v>7</v>
      </c>
      <c r="B17" s="15" t="s">
        <v>50</v>
      </c>
      <c r="C17" s="32" t="str">
        <f>IF(B17="Enter Account Title","",$C$5*1000000+VLOOKUP(B17,Choices!$A$3:$C$18,3,FALSE))</f>
        <v/>
      </c>
      <c r="D17" s="16"/>
      <c r="E17" s="17"/>
      <c r="F17" s="34"/>
      <c r="G17" s="34"/>
      <c r="H17" s="18"/>
      <c r="J17" s="33" t="str">
        <f t="shared" si="0"/>
        <v/>
      </c>
    </row>
    <row r="18" spans="1:10" ht="13" thickBot="1">
      <c r="A18" s="3">
        <v>8</v>
      </c>
      <c r="B18" s="15" t="s">
        <v>50</v>
      </c>
      <c r="C18" s="32" t="str">
        <f>IF(B18="Enter Account Title","",$C$5*1000000+VLOOKUP(B18,Choices!$A$3:$C$18,3,FALSE))</f>
        <v/>
      </c>
      <c r="D18" s="16"/>
      <c r="E18" s="17"/>
      <c r="F18" s="71"/>
      <c r="G18" s="34"/>
      <c r="H18" s="18"/>
      <c r="J18" s="33" t="str">
        <f t="shared" si="0"/>
        <v/>
      </c>
    </row>
    <row r="19" spans="1:10" ht="13" thickBot="1">
      <c r="A19" s="3">
        <v>9</v>
      </c>
      <c r="B19" s="15" t="s">
        <v>50</v>
      </c>
      <c r="C19" s="32" t="str">
        <f>IF(B19="Enter Account Title","",$C$5*1000000+VLOOKUP(B19,Choices!$A$3:$C$18,3,FALSE))</f>
        <v/>
      </c>
      <c r="D19" s="16"/>
      <c r="E19" s="17"/>
      <c r="F19" s="34"/>
      <c r="G19" s="34"/>
      <c r="H19" s="18"/>
      <c r="J19" s="33" t="str">
        <f t="shared" si="0"/>
        <v/>
      </c>
    </row>
    <row r="20" spans="1:10" ht="13" thickBot="1">
      <c r="A20" s="3">
        <v>10</v>
      </c>
      <c r="B20" s="15" t="s">
        <v>50</v>
      </c>
      <c r="C20" s="32" t="str">
        <f>IF(B20="Enter Account Title","",$C$5*1000000+VLOOKUP(B20,Choices!$A$3:$C$18,3,FALSE))</f>
        <v/>
      </c>
      <c r="D20" s="16"/>
      <c r="E20" s="17"/>
      <c r="F20" s="34"/>
      <c r="G20" s="34"/>
      <c r="H20" s="18"/>
      <c r="J20" s="33" t="str">
        <f t="shared" si="0"/>
        <v/>
      </c>
    </row>
    <row r="21" spans="1:10" ht="13" thickBot="1">
      <c r="A21" s="3">
        <v>11</v>
      </c>
      <c r="B21" s="15" t="s">
        <v>50</v>
      </c>
      <c r="C21" s="32" t="str">
        <f>IF(B21="Enter Account Title","",$C$5*1000000+VLOOKUP(B21,Choices!$A$3:$C$18,3,FALSE))</f>
        <v/>
      </c>
      <c r="D21" s="16"/>
      <c r="E21" s="17"/>
      <c r="F21" s="34"/>
      <c r="G21" s="34"/>
      <c r="H21" s="18"/>
      <c r="J21" s="33" t="str">
        <f t="shared" si="0"/>
        <v/>
      </c>
    </row>
    <row r="22" spans="1:10" ht="13" thickBot="1">
      <c r="A22" s="3">
        <v>12</v>
      </c>
      <c r="B22" s="15" t="s">
        <v>50</v>
      </c>
      <c r="C22" s="32" t="str">
        <f>IF(B22="Enter Account Title","",$C$5*1000000+VLOOKUP(B22,Choices!$A$3:$C$18,3,FALSE))</f>
        <v/>
      </c>
      <c r="D22" s="16"/>
      <c r="E22" s="17"/>
      <c r="F22" s="34"/>
      <c r="G22" s="34"/>
      <c r="H22" s="18"/>
      <c r="J22" s="33" t="str">
        <f t="shared" si="0"/>
        <v/>
      </c>
    </row>
    <row r="23" spans="1:10" ht="13" thickBot="1">
      <c r="A23" s="3">
        <v>13</v>
      </c>
      <c r="B23" s="15" t="s">
        <v>50</v>
      </c>
      <c r="C23" s="32" t="str">
        <f>IF(B23="Enter Account Title","",$C$5*1000000+VLOOKUP(B23,Choices!$A$3:$C$18,3,FALSE))</f>
        <v/>
      </c>
      <c r="D23" s="16"/>
      <c r="E23" s="17"/>
      <c r="F23" s="34"/>
      <c r="G23" s="34"/>
      <c r="H23" s="18"/>
      <c r="J23" s="33" t="str">
        <f t="shared" si="0"/>
        <v/>
      </c>
    </row>
    <row r="24" spans="1:10" ht="13" thickBot="1">
      <c r="A24" s="3">
        <v>14</v>
      </c>
      <c r="B24" s="15" t="s">
        <v>50</v>
      </c>
      <c r="C24" s="32" t="str">
        <f>IF(B24="Enter Account Title","",$C$5*1000000+VLOOKUP(B24,Choices!$A$3:$C$18,3,FALSE))</f>
        <v/>
      </c>
      <c r="D24" s="16"/>
      <c r="E24" s="17"/>
      <c r="F24" s="34"/>
      <c r="G24" s="34"/>
      <c r="H24" s="18"/>
      <c r="J24" s="33" t="str">
        <f t="shared" si="0"/>
        <v/>
      </c>
    </row>
    <row r="25" spans="1:10" ht="13" thickBot="1">
      <c r="A25" s="3">
        <v>15</v>
      </c>
      <c r="B25" s="15" t="s">
        <v>50</v>
      </c>
      <c r="C25" s="32" t="str">
        <f>IF(B25="Enter Account Title","",$C$5*1000000+VLOOKUP(B25,Choices!$A$3:$C$18,3,FALSE))</f>
        <v/>
      </c>
      <c r="D25" s="16"/>
      <c r="E25" s="17"/>
      <c r="F25" s="34"/>
      <c r="G25" s="34"/>
      <c r="H25" s="18"/>
      <c r="J25" s="33" t="str">
        <f t="shared" si="0"/>
        <v/>
      </c>
    </row>
    <row r="26" spans="1:10" ht="13" thickBot="1">
      <c r="A26" s="3">
        <v>16</v>
      </c>
      <c r="B26" s="15" t="s">
        <v>50</v>
      </c>
      <c r="C26" s="32" t="str">
        <f>IF(B26="Enter Account Title","",$C$5*1000000+VLOOKUP(B26,Choices!$A$3:$C$18,3,FALSE))</f>
        <v/>
      </c>
      <c r="D26" s="16"/>
      <c r="E26" s="17"/>
      <c r="F26" s="34"/>
      <c r="G26" s="34"/>
      <c r="H26" s="18"/>
      <c r="J26" s="33" t="str">
        <f t="shared" si="0"/>
        <v/>
      </c>
    </row>
    <row r="27" spans="1:10" ht="13" thickBot="1">
      <c r="A27" s="3">
        <v>17</v>
      </c>
      <c r="B27" s="15" t="s">
        <v>50</v>
      </c>
      <c r="C27" s="32" t="str">
        <f>IF(B27="Enter Account Title","",$C$5*1000000+VLOOKUP(B27,Choices!$A$3:$C$18,3,FALSE))</f>
        <v/>
      </c>
      <c r="D27" s="16"/>
      <c r="E27" s="17"/>
      <c r="F27" s="34"/>
      <c r="G27" s="34"/>
      <c r="H27" s="18"/>
      <c r="J27" s="33" t="str">
        <f t="shared" si="0"/>
        <v/>
      </c>
    </row>
    <row r="28" spans="1:10" ht="13" thickBot="1">
      <c r="A28" s="3">
        <v>18</v>
      </c>
      <c r="B28" s="15" t="s">
        <v>50</v>
      </c>
      <c r="C28" s="32" t="str">
        <f>IF(B28="Enter Account Title","",$C$5*1000000+VLOOKUP(B28,Choices!$A$3:$C$18,3,FALSE))</f>
        <v/>
      </c>
      <c r="D28" s="16"/>
      <c r="E28" s="17"/>
      <c r="F28" s="34"/>
      <c r="G28" s="34"/>
      <c r="H28" s="18"/>
      <c r="J28" s="33" t="str">
        <f t="shared" si="0"/>
        <v/>
      </c>
    </row>
    <row r="29" spans="1:10" ht="13" thickBot="1">
      <c r="A29" s="3">
        <v>19</v>
      </c>
      <c r="B29" s="15" t="s">
        <v>50</v>
      </c>
      <c r="C29" s="32" t="str">
        <f>IF(B29="Enter Account Title","",$C$5*1000000+VLOOKUP(B29,Choices!$A$3:$C$18,3,FALSE))</f>
        <v/>
      </c>
      <c r="D29" s="16"/>
      <c r="E29" s="17"/>
      <c r="F29" s="34"/>
      <c r="G29" s="34"/>
      <c r="H29" s="18"/>
      <c r="J29" s="33" t="str">
        <f t="shared" si="0"/>
        <v/>
      </c>
    </row>
    <row r="30" spans="1:10" ht="13" thickBot="1">
      <c r="A30" s="3">
        <v>20</v>
      </c>
      <c r="B30" s="15" t="s">
        <v>50</v>
      </c>
      <c r="C30" s="32" t="str">
        <f>IF(B30="Enter Account Title","",$C$5*1000000+VLOOKUP(B30,Choices!$A$3:$C$18,3,FALSE))</f>
        <v/>
      </c>
      <c r="D30" s="16"/>
      <c r="E30" s="17"/>
      <c r="F30" s="34"/>
      <c r="G30" s="34"/>
      <c r="H30" s="18"/>
      <c r="J30" s="33" t="str">
        <f t="shared" si="0"/>
        <v/>
      </c>
    </row>
    <row r="31" spans="1:10" ht="13" hidden="1" thickBot="1">
      <c r="A31" s="3">
        <v>21</v>
      </c>
      <c r="B31" s="15" t="s">
        <v>50</v>
      </c>
      <c r="C31" s="32" t="str">
        <f>IF(B31="Enter Account Title","",$C$5*1000000+VLOOKUP(B31,Choices!$A$3:$C$18,3,FALSE))</f>
        <v/>
      </c>
      <c r="D31" s="16"/>
      <c r="E31" s="17"/>
      <c r="F31" s="34"/>
      <c r="G31" s="34"/>
      <c r="H31" s="18"/>
      <c r="J31" s="33" t="str">
        <f t="shared" si="0"/>
        <v/>
      </c>
    </row>
    <row r="32" spans="1:10" ht="13" hidden="1" thickBot="1">
      <c r="A32" s="3">
        <v>22</v>
      </c>
      <c r="B32" s="15" t="s">
        <v>50</v>
      </c>
      <c r="C32" s="32" t="str">
        <f>IF(B32="Enter Account Title","",$C$5*1000000+VLOOKUP(B32,Choices!$A$3:$C$18,3,FALSE))</f>
        <v/>
      </c>
      <c r="D32" s="16"/>
      <c r="E32" s="17"/>
      <c r="F32" s="34"/>
      <c r="G32" s="34"/>
      <c r="H32" s="18"/>
      <c r="J32" s="33" t="str">
        <f t="shared" si="0"/>
        <v/>
      </c>
    </row>
    <row r="33" spans="1:10" ht="13" hidden="1" thickBot="1">
      <c r="A33" s="3">
        <v>23</v>
      </c>
      <c r="B33" s="15" t="s">
        <v>50</v>
      </c>
      <c r="C33" s="32" t="str">
        <f>IF(B33="Enter Account Title","",$C$5*1000000+VLOOKUP(B33,Choices!$A$3:$C$18,3,FALSE))</f>
        <v/>
      </c>
      <c r="D33" s="16"/>
      <c r="E33" s="17"/>
      <c r="F33" s="34"/>
      <c r="G33" s="34"/>
      <c r="H33" s="18"/>
      <c r="J33" s="33" t="str">
        <f t="shared" si="0"/>
        <v/>
      </c>
    </row>
    <row r="34" spans="1:10" ht="13" hidden="1" thickBot="1">
      <c r="A34" s="3">
        <v>24</v>
      </c>
      <c r="B34" s="15" t="s">
        <v>50</v>
      </c>
      <c r="C34" s="32" t="str">
        <f>IF(B34="Enter Account Title","",$C$5*1000000+VLOOKUP(B34,Choices!$A$3:$C$18,3,FALSE))</f>
        <v/>
      </c>
      <c r="D34" s="16"/>
      <c r="E34" s="17"/>
      <c r="F34" s="34"/>
      <c r="G34" s="34"/>
      <c r="H34" s="18"/>
      <c r="J34" s="33" t="str">
        <f t="shared" si="0"/>
        <v/>
      </c>
    </row>
    <row r="35" spans="1:10" ht="13" hidden="1" thickBot="1">
      <c r="A35" s="3">
        <v>25</v>
      </c>
      <c r="B35" s="15" t="s">
        <v>50</v>
      </c>
      <c r="C35" s="32" t="str">
        <f>IF(B35="Enter Account Title","",$C$5*1000000+VLOOKUP(B35,Choices!$A$3:$C$18,3,FALSE))</f>
        <v/>
      </c>
      <c r="D35" s="16"/>
      <c r="E35" s="17"/>
      <c r="F35" s="34"/>
      <c r="G35" s="34"/>
      <c r="H35" s="18"/>
      <c r="J35" s="33" t="str">
        <f t="shared" si="0"/>
        <v/>
      </c>
    </row>
    <row r="36" spans="1:10" ht="13" hidden="1" thickBot="1">
      <c r="A36" s="3">
        <v>26</v>
      </c>
      <c r="B36" s="15" t="s">
        <v>50</v>
      </c>
      <c r="C36" s="32" t="str">
        <f>IF(B36="Enter Account Title","",$C$5*1000000+VLOOKUP(B36,Choices!$A$3:$C$18,3,FALSE))</f>
        <v/>
      </c>
      <c r="D36" s="16"/>
      <c r="E36" s="17"/>
      <c r="F36" s="34"/>
      <c r="G36" s="34"/>
      <c r="H36" s="18"/>
      <c r="J36" s="33" t="str">
        <f t="shared" si="0"/>
        <v/>
      </c>
    </row>
    <row r="37" spans="1:10" ht="13" hidden="1" thickBot="1">
      <c r="A37" s="3">
        <v>27</v>
      </c>
      <c r="B37" s="15" t="s">
        <v>50</v>
      </c>
      <c r="C37" s="32" t="str">
        <f>IF(B37="Enter Account Title","",$C$5*1000000+VLOOKUP(B37,Choices!$A$3:$C$18,3,FALSE))</f>
        <v/>
      </c>
      <c r="D37" s="16"/>
      <c r="E37" s="17"/>
      <c r="F37" s="34"/>
      <c r="G37" s="34"/>
      <c r="H37" s="18"/>
      <c r="J37" s="33" t="str">
        <f t="shared" si="0"/>
        <v/>
      </c>
    </row>
    <row r="38" spans="1:10" ht="13" hidden="1" thickBot="1">
      <c r="A38" s="3">
        <v>28</v>
      </c>
      <c r="B38" s="15" t="s">
        <v>50</v>
      </c>
      <c r="C38" s="32" t="str">
        <f>IF(B38="Enter Account Title","",$C$5*1000000+VLOOKUP(B38,Choices!$A$3:$C$18,3,FALSE))</f>
        <v/>
      </c>
      <c r="D38" s="16"/>
      <c r="E38" s="17"/>
      <c r="F38" s="34"/>
      <c r="G38" s="34"/>
      <c r="H38" s="18"/>
      <c r="J38" s="33" t="str">
        <f t="shared" si="0"/>
        <v/>
      </c>
    </row>
    <row r="39" spans="1:10" ht="13" hidden="1" thickBot="1">
      <c r="A39" s="3">
        <v>29</v>
      </c>
      <c r="B39" s="15" t="s">
        <v>50</v>
      </c>
      <c r="C39" s="32" t="str">
        <f>IF(B39="Enter Account Title","",$C$5*1000000+VLOOKUP(B39,Choices!$A$3:$C$18,3,FALSE))</f>
        <v/>
      </c>
      <c r="D39" s="16"/>
      <c r="E39" s="17"/>
      <c r="F39" s="34"/>
      <c r="G39" s="34"/>
      <c r="H39" s="18"/>
      <c r="J39" s="33" t="str">
        <f t="shared" si="0"/>
        <v/>
      </c>
    </row>
    <row r="40" spans="1:10" ht="13" hidden="1" thickBot="1">
      <c r="A40" s="3">
        <v>30</v>
      </c>
      <c r="B40" s="15" t="s">
        <v>50</v>
      </c>
      <c r="C40" s="32" t="str">
        <f>IF(B40="Enter Account Title","",$C$5*1000000+VLOOKUP(B40,Choices!$A$3:$C$18,3,FALSE))</f>
        <v/>
      </c>
      <c r="D40" s="16"/>
      <c r="E40" s="17"/>
      <c r="F40" s="34"/>
      <c r="G40" s="34"/>
      <c r="H40" s="18"/>
      <c r="J40" s="33" t="str">
        <f t="shared" si="0"/>
        <v/>
      </c>
    </row>
    <row r="41" spans="1:10" ht="13" hidden="1" thickBot="1">
      <c r="A41" s="3">
        <v>31</v>
      </c>
      <c r="B41" s="15" t="s">
        <v>50</v>
      </c>
      <c r="C41" s="32" t="str">
        <f>IF(B41="Enter Account Title","",$C$5*1000000+VLOOKUP(B41,Choices!$A$3:$C$18,3,FALSE))</f>
        <v/>
      </c>
      <c r="D41" s="16"/>
      <c r="E41" s="17"/>
      <c r="F41" s="34"/>
      <c r="G41" s="34"/>
      <c r="H41" s="18"/>
      <c r="J41" s="33" t="str">
        <f t="shared" si="0"/>
        <v/>
      </c>
    </row>
    <row r="42" spans="1:10" ht="13" hidden="1" thickBot="1">
      <c r="A42" s="3">
        <v>32</v>
      </c>
      <c r="B42" s="15" t="s">
        <v>50</v>
      </c>
      <c r="C42" s="32" t="str">
        <f>IF(B42="Enter Account Title","",$C$5*1000000+VLOOKUP(B42,Choices!$A$3:$C$18,3,FALSE))</f>
        <v/>
      </c>
      <c r="D42" s="16"/>
      <c r="E42" s="17"/>
      <c r="F42" s="34"/>
      <c r="G42" s="34"/>
      <c r="H42" s="18"/>
      <c r="J42" s="33" t="str">
        <f t="shared" si="0"/>
        <v/>
      </c>
    </row>
    <row r="43" spans="1:10" ht="13" hidden="1" thickBot="1">
      <c r="A43" s="3">
        <v>33</v>
      </c>
      <c r="B43" s="15" t="s">
        <v>50</v>
      </c>
      <c r="C43" s="32" t="str">
        <f>IF(B43="Enter Account Title","",$C$5*1000000+VLOOKUP(B43,Choices!$A$3:$C$18,3,FALSE))</f>
        <v/>
      </c>
      <c r="D43" s="16"/>
      <c r="E43" s="17"/>
      <c r="F43" s="34"/>
      <c r="G43" s="34"/>
      <c r="H43" s="18"/>
      <c r="J43" s="33" t="str">
        <f t="shared" si="0"/>
        <v/>
      </c>
    </row>
    <row r="44" spans="1:10" ht="13" hidden="1" thickBot="1">
      <c r="A44" s="3">
        <v>34</v>
      </c>
      <c r="B44" s="15" t="s">
        <v>50</v>
      </c>
      <c r="C44" s="32" t="str">
        <f>IF(B44="Enter Account Title","",$C$5*1000000+VLOOKUP(B44,Choices!$A$3:$C$18,3,FALSE))</f>
        <v/>
      </c>
      <c r="D44" s="16"/>
      <c r="E44" s="17"/>
      <c r="F44" s="34"/>
      <c r="G44" s="34"/>
      <c r="H44" s="18"/>
      <c r="J44" s="33" t="str">
        <f t="shared" si="0"/>
        <v/>
      </c>
    </row>
    <row r="45" spans="1:10" ht="13" hidden="1" thickBot="1">
      <c r="A45" s="3">
        <v>35</v>
      </c>
      <c r="B45" s="15" t="s">
        <v>50</v>
      </c>
      <c r="C45" s="32" t="str">
        <f>IF(B45="Enter Account Title","",$C$5*1000000+VLOOKUP(B45,Choices!$A$3:$C$18,3,FALSE))</f>
        <v/>
      </c>
      <c r="D45" s="16"/>
      <c r="E45" s="17"/>
      <c r="F45" s="34"/>
      <c r="G45" s="34"/>
      <c r="H45" s="18"/>
      <c r="J45" s="33" t="str">
        <f t="shared" si="0"/>
        <v/>
      </c>
    </row>
    <row r="46" spans="1:10" ht="13" hidden="1" thickBot="1">
      <c r="A46" s="3">
        <v>36</v>
      </c>
      <c r="B46" s="15" t="s">
        <v>50</v>
      </c>
      <c r="C46" s="32" t="str">
        <f>IF(B46="Enter Account Title","",$C$5*1000000+VLOOKUP(B46,Choices!$A$3:$C$18,3,FALSE))</f>
        <v/>
      </c>
      <c r="D46" s="16"/>
      <c r="E46" s="17"/>
      <c r="F46" s="34"/>
      <c r="G46" s="34"/>
      <c r="H46" s="18"/>
      <c r="J46" s="33" t="str">
        <f t="shared" si="0"/>
        <v/>
      </c>
    </row>
    <row r="47" spans="1:10" ht="13" hidden="1" thickBot="1">
      <c r="A47" s="3">
        <v>37</v>
      </c>
      <c r="B47" s="15" t="s">
        <v>50</v>
      </c>
      <c r="C47" s="32" t="str">
        <f>IF(B47="Enter Account Title","",$C$5*1000000+VLOOKUP(B47,Choices!$A$3:$C$18,3,FALSE))</f>
        <v/>
      </c>
      <c r="D47" s="16"/>
      <c r="E47" s="17"/>
      <c r="F47" s="34"/>
      <c r="G47" s="34"/>
      <c r="H47" s="18"/>
      <c r="J47" s="33" t="str">
        <f t="shared" si="0"/>
        <v/>
      </c>
    </row>
    <row r="48" spans="1:10" ht="13" hidden="1" thickBot="1">
      <c r="A48" s="3">
        <v>38</v>
      </c>
      <c r="B48" s="15" t="s">
        <v>50</v>
      </c>
      <c r="C48" s="32" t="str">
        <f>IF(B48="Enter Account Title","",$C$5*1000000+VLOOKUP(B48,Choices!$A$3:$C$18,3,FALSE))</f>
        <v/>
      </c>
      <c r="D48" s="16"/>
      <c r="E48" s="17"/>
      <c r="F48" s="34"/>
      <c r="G48" s="34"/>
      <c r="H48" s="18"/>
      <c r="J48" s="33" t="str">
        <f t="shared" si="0"/>
        <v/>
      </c>
    </row>
    <row r="49" spans="1:10" ht="13" hidden="1" thickBot="1">
      <c r="A49" s="3">
        <v>39</v>
      </c>
      <c r="B49" s="15" t="s">
        <v>50</v>
      </c>
      <c r="C49" s="32" t="str">
        <f>IF(B49="Enter Account Title","",$C$5*1000000+VLOOKUP(B49,Choices!$A$3:$C$18,3,FALSE))</f>
        <v/>
      </c>
      <c r="D49" s="16"/>
      <c r="E49" s="17"/>
      <c r="F49" s="34"/>
      <c r="G49" s="34"/>
      <c r="H49" s="18"/>
      <c r="J49" s="33" t="str">
        <f t="shared" si="0"/>
        <v/>
      </c>
    </row>
    <row r="50" spans="1:10" ht="13" hidden="1" thickBot="1">
      <c r="A50" s="3">
        <v>40</v>
      </c>
      <c r="B50" s="15" t="s">
        <v>50</v>
      </c>
      <c r="C50" s="32" t="str">
        <f>IF(B50="Enter Account Title","",$C$5*1000000+VLOOKUP(B50,Choices!$A$3:$C$18,3,FALSE))</f>
        <v/>
      </c>
      <c r="D50" s="16"/>
      <c r="E50" s="17"/>
      <c r="F50" s="34"/>
      <c r="G50" s="34"/>
      <c r="H50" s="18"/>
      <c r="J50" s="33" t="str">
        <f t="shared" si="0"/>
        <v/>
      </c>
    </row>
    <row r="51" spans="1:10" ht="13" hidden="1" thickBot="1">
      <c r="A51" s="3">
        <v>41</v>
      </c>
      <c r="B51" s="15" t="s">
        <v>50</v>
      </c>
      <c r="C51" s="32" t="str">
        <f>IF(B51="Enter Account Title","",$C$5*1000000+VLOOKUP(B51,Choices!$A$3:$C$18,3,FALSE))</f>
        <v/>
      </c>
      <c r="D51" s="16"/>
      <c r="E51" s="17"/>
      <c r="F51" s="34"/>
      <c r="G51" s="34"/>
      <c r="H51" s="18"/>
      <c r="J51" s="33" t="str">
        <f t="shared" si="0"/>
        <v/>
      </c>
    </row>
    <row r="52" spans="1:10" ht="13" hidden="1" thickBot="1">
      <c r="A52" s="3">
        <v>42</v>
      </c>
      <c r="B52" s="15" t="s">
        <v>50</v>
      </c>
      <c r="C52" s="32" t="str">
        <f>IF(B52="Enter Account Title","",$C$5*1000000+VLOOKUP(B52,Choices!$A$3:$C$18,3,FALSE))</f>
        <v/>
      </c>
      <c r="D52" s="16"/>
      <c r="E52" s="17"/>
      <c r="F52" s="34"/>
      <c r="G52" s="34"/>
      <c r="H52" s="18"/>
      <c r="J52" s="33" t="str">
        <f t="shared" si="0"/>
        <v/>
      </c>
    </row>
    <row r="53" spans="1:10" ht="13" hidden="1" thickBot="1">
      <c r="A53" s="3">
        <v>43</v>
      </c>
      <c r="B53" s="15" t="s">
        <v>50</v>
      </c>
      <c r="C53" s="32" t="str">
        <f>IF(B53="Enter Account Title","",$C$5*1000000+VLOOKUP(B53,Choices!$A$3:$C$18,3,FALSE))</f>
        <v/>
      </c>
      <c r="D53" s="16"/>
      <c r="E53" s="17"/>
      <c r="F53" s="34"/>
      <c r="G53" s="34"/>
      <c r="H53" s="18"/>
      <c r="J53" s="33" t="str">
        <f t="shared" si="0"/>
        <v/>
      </c>
    </row>
    <row r="54" spans="1:10" ht="13" hidden="1" thickBot="1">
      <c r="A54" s="3">
        <v>44</v>
      </c>
      <c r="B54" s="15" t="s">
        <v>50</v>
      </c>
      <c r="C54" s="32" t="str">
        <f>IF(B54="Enter Account Title","",$C$5*1000000+VLOOKUP(B54,Choices!$A$3:$C$18,3,FALSE))</f>
        <v/>
      </c>
      <c r="D54" s="16"/>
      <c r="E54" s="17"/>
      <c r="F54" s="34"/>
      <c r="G54" s="34"/>
      <c r="H54" s="18"/>
      <c r="J54" s="33" t="str">
        <f t="shared" si="0"/>
        <v/>
      </c>
    </row>
    <row r="55" spans="1:10" ht="13" hidden="1" thickBot="1">
      <c r="A55" s="3">
        <v>45</v>
      </c>
      <c r="B55" s="15" t="s">
        <v>50</v>
      </c>
      <c r="C55" s="32" t="str">
        <f>IF(B55="Enter Account Title","",$C$5*1000000+VLOOKUP(B55,Choices!$A$3:$C$18,3,FALSE))</f>
        <v/>
      </c>
      <c r="D55" s="16"/>
      <c r="E55" s="17"/>
      <c r="F55" s="34"/>
      <c r="G55" s="34"/>
      <c r="H55" s="18"/>
      <c r="J55" s="33" t="str">
        <f t="shared" si="0"/>
        <v/>
      </c>
    </row>
    <row r="56" spans="1:10" ht="13" hidden="1" thickBot="1">
      <c r="A56" s="3">
        <v>46</v>
      </c>
      <c r="B56" s="15" t="s">
        <v>50</v>
      </c>
      <c r="C56" s="32" t="str">
        <f>IF(B56="Enter Account Title","",$C$5*1000000+VLOOKUP(B56,Choices!$A$3:$C$18,3,FALSE))</f>
        <v/>
      </c>
      <c r="D56" s="16"/>
      <c r="E56" s="17"/>
      <c r="F56" s="34"/>
      <c r="G56" s="34"/>
      <c r="H56" s="18"/>
      <c r="J56" s="33" t="str">
        <f t="shared" si="0"/>
        <v/>
      </c>
    </row>
    <row r="57" spans="1:10" ht="13" hidden="1" thickBot="1">
      <c r="A57" s="3">
        <v>47</v>
      </c>
      <c r="B57" s="15" t="s">
        <v>50</v>
      </c>
      <c r="C57" s="32" t="str">
        <f>IF(B57="Enter Account Title","",$C$5*1000000+VLOOKUP(B57,Choices!$A$3:$C$18,3,FALSE))</f>
        <v/>
      </c>
      <c r="D57" s="16"/>
      <c r="E57" s="17"/>
      <c r="F57" s="34"/>
      <c r="G57" s="34"/>
      <c r="H57" s="18"/>
      <c r="J57" s="33" t="str">
        <f t="shared" si="0"/>
        <v/>
      </c>
    </row>
    <row r="58" spans="1:10" ht="13" hidden="1" thickBot="1">
      <c r="A58" s="3">
        <v>48</v>
      </c>
      <c r="B58" s="15" t="s">
        <v>50</v>
      </c>
      <c r="C58" s="32" t="str">
        <f>IF(B58="Enter Account Title","",$C$5*1000000+VLOOKUP(B58,Choices!$A$3:$C$18,3,FALSE))</f>
        <v/>
      </c>
      <c r="D58" s="16"/>
      <c r="E58" s="17"/>
      <c r="F58" s="34"/>
      <c r="G58" s="34"/>
      <c r="H58" s="18"/>
      <c r="J58" s="33" t="str">
        <f t="shared" si="0"/>
        <v/>
      </c>
    </row>
    <row r="59" spans="1:10" ht="13" hidden="1" thickBot="1">
      <c r="A59" s="3">
        <v>49</v>
      </c>
      <c r="B59" s="15" t="s">
        <v>50</v>
      </c>
      <c r="C59" s="32" t="str">
        <f>IF(B59="Enter Account Title","",$C$5*1000000+VLOOKUP(B59,Choices!$A$3:$C$18,3,FALSE))</f>
        <v/>
      </c>
      <c r="D59" s="16"/>
      <c r="E59" s="17"/>
      <c r="F59" s="34"/>
      <c r="G59" s="34"/>
      <c r="H59" s="18"/>
      <c r="J59" s="33" t="str">
        <f t="shared" si="0"/>
        <v/>
      </c>
    </row>
    <row r="60" spans="1:10" ht="13" hidden="1" thickBot="1">
      <c r="A60" s="3">
        <v>50</v>
      </c>
      <c r="B60" s="15" t="s">
        <v>50</v>
      </c>
      <c r="C60" s="32" t="str">
        <f>IF(B60="Enter Account Title","",$C$5*1000000+VLOOKUP(B60,Choices!$A$3:$C$18,3,FALSE))</f>
        <v/>
      </c>
      <c r="D60" s="16"/>
      <c r="E60" s="17"/>
      <c r="F60" s="34"/>
      <c r="G60" s="34"/>
      <c r="H60" s="18"/>
      <c r="J60" s="33" t="str">
        <f t="shared" si="0"/>
        <v/>
      </c>
    </row>
    <row r="61" spans="1:10">
      <c r="B61" s="19" t="s">
        <v>32</v>
      </c>
      <c r="C61" s="20"/>
      <c r="D61" s="20"/>
      <c r="E61" s="21"/>
      <c r="F61" s="22"/>
      <c r="G61" s="22"/>
      <c r="H61" s="54">
        <f>SUM(H11:H60)</f>
        <v>0</v>
      </c>
    </row>
    <row r="62" spans="1:10" ht="13" thickBot="1">
      <c r="B62" s="19" t="s">
        <v>33</v>
      </c>
      <c r="C62" s="20"/>
      <c r="D62" s="20"/>
      <c r="E62" s="21"/>
      <c r="F62" s="22"/>
      <c r="G62" s="22"/>
      <c r="H62" s="54">
        <f>H8+H9-H61</f>
        <v>0</v>
      </c>
    </row>
    <row r="63" spans="1:10" ht="13" thickBot="1">
      <c r="B63" s="19" t="s">
        <v>133</v>
      </c>
      <c r="C63" s="20"/>
      <c r="D63" s="20"/>
      <c r="E63" s="21"/>
      <c r="F63" s="22"/>
      <c r="G63" s="22"/>
      <c r="H63" s="18"/>
    </row>
    <row r="64" spans="1:10" ht="13" thickBot="1">
      <c r="B64" s="19" t="s">
        <v>34</v>
      </c>
      <c r="C64" s="20"/>
      <c r="D64" s="20"/>
      <c r="E64" s="21"/>
      <c r="F64" s="22"/>
      <c r="G64" s="22"/>
      <c r="H64" s="54">
        <f>H62-H63</f>
        <v>0</v>
      </c>
    </row>
    <row r="65" spans="1:8" ht="13" thickBot="1">
      <c r="B65" s="19" t="s">
        <v>35</v>
      </c>
      <c r="C65" s="20"/>
      <c r="D65" s="20"/>
      <c r="E65" s="21"/>
      <c r="F65" s="48"/>
      <c r="G65" s="52"/>
      <c r="H65" s="53"/>
    </row>
    <row r="66" spans="1:8">
      <c r="B66" s="19"/>
      <c r="C66" s="20"/>
      <c r="D66" s="20"/>
      <c r="E66" s="21"/>
      <c r="F66" s="49"/>
      <c r="G66" s="49"/>
      <c r="H66" s="50"/>
    </row>
    <row r="67" spans="1:8">
      <c r="B67" s="19" t="s">
        <v>37</v>
      </c>
      <c r="C67" s="20"/>
      <c r="D67" s="20"/>
      <c r="E67" s="21"/>
      <c r="F67" s="49"/>
      <c r="G67" s="49"/>
      <c r="H67" s="57">
        <f>ROUND(H61,0)</f>
        <v>0</v>
      </c>
    </row>
    <row r="68" spans="1:8">
      <c r="B68" s="19"/>
      <c r="C68" s="20"/>
      <c r="D68" s="20"/>
      <c r="E68" s="21"/>
      <c r="F68" s="49"/>
      <c r="G68" s="49"/>
      <c r="H68" s="50"/>
    </row>
    <row r="69" spans="1:8">
      <c r="B69" s="11" t="s">
        <v>9</v>
      </c>
    </row>
    <row r="70" spans="1:8">
      <c r="B70" s="23" t="s">
        <v>23</v>
      </c>
    </row>
    <row r="71" spans="1:8">
      <c r="B71" s="23" t="s">
        <v>24</v>
      </c>
      <c r="F71" s="33" t="str">
        <f ca="1">IF(COUNTIF(J11:J60,"ERROR")&gt;0,"ERROR - NOT READY TO SEND IN",IF(J3="","OK TO SEND","ERROR - NOT READY TO SEND IN"))</f>
        <v>ERROR - NOT READY TO SEND IN</v>
      </c>
    </row>
    <row r="72" spans="1:8">
      <c r="B72" s="23" t="s">
        <v>62</v>
      </c>
    </row>
    <row r="73" spans="1:8" ht="13" thickBot="1">
      <c r="A73" s="24"/>
      <c r="B73" s="24"/>
      <c r="C73" s="24"/>
      <c r="D73" s="24"/>
      <c r="E73" s="24"/>
      <c r="F73" s="24"/>
      <c r="G73" s="24"/>
      <c r="H73" s="24"/>
    </row>
    <row r="74" spans="1:8" ht="13" thickBot="1"/>
    <row r="75" spans="1:8">
      <c r="B75" s="25"/>
      <c r="C75" s="26"/>
      <c r="E75" s="25"/>
      <c r="F75" s="26"/>
      <c r="G75" s="25"/>
      <c r="H75" s="26"/>
    </row>
    <row r="76" spans="1:8" ht="13" thickBot="1">
      <c r="B76" s="27"/>
      <c r="C76" s="28"/>
      <c r="E76" s="27"/>
      <c r="F76" s="28"/>
      <c r="G76" s="27"/>
      <c r="H76" s="28"/>
    </row>
    <row r="77" spans="1:8">
      <c r="B77" s="29" t="s">
        <v>38</v>
      </c>
      <c r="E77" s="63" t="s">
        <v>25</v>
      </c>
      <c r="F77" s="30"/>
      <c r="G77" s="14" t="s">
        <v>26</v>
      </c>
      <c r="H77" s="30"/>
    </row>
    <row r="78" spans="1:8">
      <c r="B78" s="29"/>
      <c r="E78" s="20"/>
      <c r="G78" s="14"/>
    </row>
    <row r="80" spans="1:8">
      <c r="B80" s="31" t="s">
        <v>65</v>
      </c>
      <c r="G80" s="31" t="s">
        <v>65</v>
      </c>
    </row>
    <row r="85" spans="1:2">
      <c r="B85" s="10" t="s">
        <v>53</v>
      </c>
    </row>
    <row r="86" spans="1:2">
      <c r="B86" s="3" t="s">
        <v>54</v>
      </c>
    </row>
    <row r="87" spans="1:2">
      <c r="B87" s="3" t="s">
        <v>55</v>
      </c>
    </row>
    <row r="88" spans="1:2">
      <c r="B88" s="3" t="s">
        <v>56</v>
      </c>
    </row>
    <row r="89" spans="1:2">
      <c r="B89" s="3" t="s">
        <v>134</v>
      </c>
    </row>
    <row r="90" spans="1:2">
      <c r="B90" s="3" t="s">
        <v>57</v>
      </c>
    </row>
    <row r="92" spans="1:2">
      <c r="A92" s="72" t="s">
        <v>10</v>
      </c>
    </row>
  </sheetData>
  <sheetProtection password="CF3B" sheet="1"/>
  <phoneticPr fontId="0" type="noConversion"/>
  <conditionalFormatting sqref="J11:J60">
    <cfRule type="cellIs" dxfId="5" priority="1" stopIfTrue="1" operator="equal">
      <formula>"Error"</formula>
    </cfRule>
  </conditionalFormatting>
  <conditionalFormatting sqref="F71">
    <cfRule type="cellIs" dxfId="4" priority="2" stopIfTrue="1" operator="equal">
      <formula>"ERROR - NOT READY TO SEND IN"</formula>
    </cfRule>
  </conditionalFormatting>
  <conditionalFormatting sqref="J3">
    <cfRule type="cellIs" dxfId="3" priority="3" stopIfTrue="1" operator="notEqual">
      <formula>""</formula>
    </cfRule>
  </conditionalFormatting>
  <dataValidations count="2">
    <dataValidation type="list" allowBlank="1" showInputMessage="1" showErrorMessage="1" sqref="B11:B60">
      <formula1>SchoolChart</formula1>
    </dataValidation>
    <dataValidation type="list" allowBlank="1" showInputMessage="1" showErrorMessage="1" sqref="D5">
      <formula1>SchoolEntity</formula1>
    </dataValidation>
  </dataValidations>
  <pageMargins left="0.75" right="0.75" top="1" bottom="1" header="0.5" footer="0.5"/>
  <pageSetup scale="73" orientation="landscape" horizontalDpi="4294967293" verticalDpi="4294967293"/>
  <headerFooter alignWithMargins="0">
    <oddFooter>&amp;CCharter School Tools_x000D_www.charterschooltools.org</oddFooter>
  </headerFooter>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I37"/>
  <sheetViews>
    <sheetView workbookViewId="0">
      <selection activeCell="A30" sqref="A30"/>
    </sheetView>
  </sheetViews>
  <sheetFormatPr baseColWidth="10" defaultColWidth="8.83203125" defaultRowHeight="12"/>
  <cols>
    <col min="1" max="1" width="22.83203125" customWidth="1"/>
    <col min="5" max="5" width="4.33203125" customWidth="1"/>
    <col min="6" max="6" width="22.83203125" customWidth="1"/>
  </cols>
  <sheetData>
    <row r="1" spans="1:9" ht="18">
      <c r="A1" s="67" t="s">
        <v>121</v>
      </c>
      <c r="F1" s="67" t="s">
        <v>121</v>
      </c>
    </row>
    <row r="3" spans="1:9">
      <c r="A3" s="1" t="s">
        <v>122</v>
      </c>
      <c r="B3" t="s">
        <v>94</v>
      </c>
      <c r="F3" s="1" t="s">
        <v>122</v>
      </c>
      <c r="G3" t="s">
        <v>94</v>
      </c>
    </row>
    <row r="5" spans="1:9">
      <c r="A5" s="1" t="s">
        <v>123</v>
      </c>
      <c r="B5" t="s">
        <v>94</v>
      </c>
      <c r="F5" s="1" t="s">
        <v>123</v>
      </c>
      <c r="G5" t="s">
        <v>94</v>
      </c>
    </row>
    <row r="8" spans="1:9">
      <c r="A8" s="1" t="s">
        <v>124</v>
      </c>
      <c r="B8" t="s">
        <v>94</v>
      </c>
      <c r="F8" s="1" t="s">
        <v>124</v>
      </c>
      <c r="G8" t="s">
        <v>94</v>
      </c>
    </row>
    <row r="10" spans="1:9">
      <c r="A10" s="1" t="s">
        <v>95</v>
      </c>
      <c r="B10" t="s">
        <v>94</v>
      </c>
      <c r="F10" s="1" t="s">
        <v>95</v>
      </c>
      <c r="G10" t="s">
        <v>94</v>
      </c>
    </row>
    <row r="12" spans="1:9" ht="84">
      <c r="A12" s="68" t="s">
        <v>97</v>
      </c>
      <c r="B12" s="68"/>
      <c r="C12" s="68"/>
      <c r="D12" s="68"/>
      <c r="F12" s="68" t="s">
        <v>97</v>
      </c>
      <c r="G12" s="68"/>
      <c r="H12" s="68"/>
      <c r="I12" s="68"/>
    </row>
    <row r="16" spans="1:9">
      <c r="A16" s="1" t="s">
        <v>96</v>
      </c>
      <c r="B16" t="s">
        <v>94</v>
      </c>
      <c r="F16" s="1" t="s">
        <v>96</v>
      </c>
      <c r="G16" t="s">
        <v>94</v>
      </c>
    </row>
    <row r="17" spans="1:7">
      <c r="A17" s="1"/>
      <c r="F17" s="1"/>
    </row>
    <row r="18" spans="1:7">
      <c r="A18" s="1"/>
      <c r="F18" s="1"/>
    </row>
    <row r="19" spans="1:7">
      <c r="A19" s="1"/>
      <c r="F19" s="1"/>
    </row>
    <row r="22" spans="1:7" ht="18">
      <c r="A22" s="67" t="s">
        <v>121</v>
      </c>
      <c r="F22" s="67" t="s">
        <v>121</v>
      </c>
    </row>
    <row r="24" spans="1:7">
      <c r="A24" s="1" t="s">
        <v>122</v>
      </c>
      <c r="B24" t="s">
        <v>94</v>
      </c>
      <c r="F24" s="1" t="s">
        <v>122</v>
      </c>
      <c r="G24" t="s">
        <v>94</v>
      </c>
    </row>
    <row r="26" spans="1:7">
      <c r="A26" s="1" t="s">
        <v>123</v>
      </c>
      <c r="B26" t="s">
        <v>94</v>
      </c>
      <c r="F26" s="1" t="s">
        <v>123</v>
      </c>
      <c r="G26" t="s">
        <v>94</v>
      </c>
    </row>
    <row r="27" spans="1:7">
      <c r="A27" s="1"/>
      <c r="F27" s="1"/>
    </row>
    <row r="29" spans="1:7">
      <c r="A29" s="1" t="s">
        <v>124</v>
      </c>
      <c r="B29" t="s">
        <v>94</v>
      </c>
      <c r="F29" s="1" t="s">
        <v>124</v>
      </c>
      <c r="G29" t="s">
        <v>94</v>
      </c>
    </row>
    <row r="31" spans="1:7">
      <c r="A31" s="1" t="s">
        <v>95</v>
      </c>
      <c r="B31" t="s">
        <v>94</v>
      </c>
      <c r="F31" s="1" t="s">
        <v>95</v>
      </c>
      <c r="G31" t="s">
        <v>94</v>
      </c>
    </row>
    <row r="33" spans="1:9" ht="84">
      <c r="A33" s="68" t="s">
        <v>97</v>
      </c>
      <c r="B33" s="68"/>
      <c r="C33" s="68"/>
      <c r="D33" s="68"/>
      <c r="F33" s="68" t="s">
        <v>97</v>
      </c>
      <c r="G33" s="68"/>
      <c r="H33" s="68"/>
      <c r="I33" s="68"/>
    </row>
    <row r="37" spans="1:9">
      <c r="A37" s="1" t="s">
        <v>96</v>
      </c>
      <c r="B37" t="s">
        <v>94</v>
      </c>
      <c r="F37" s="1" t="s">
        <v>96</v>
      </c>
      <c r="G37" t="s">
        <v>94</v>
      </c>
    </row>
  </sheetData>
  <phoneticPr fontId="0"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enableFormatConditionsCalculation="0">
    <pageSetUpPr fitToPage="1"/>
  </sheetPr>
  <dimension ref="A1:J92"/>
  <sheetViews>
    <sheetView showGridLines="0" workbookViewId="0">
      <selection activeCell="E17" sqref="E17"/>
    </sheetView>
  </sheetViews>
  <sheetFormatPr baseColWidth="10" defaultColWidth="8.83203125" defaultRowHeight="12"/>
  <cols>
    <col min="1" max="1" width="4.33203125" style="3" customWidth="1"/>
    <col min="2" max="2" width="28.33203125" style="3" customWidth="1"/>
    <col min="3" max="3" width="9.1640625" style="3" customWidth="1"/>
    <col min="4" max="4" width="15.33203125" style="3" customWidth="1"/>
    <col min="5" max="5" width="20" style="3" customWidth="1"/>
    <col min="6" max="6" width="18.5" style="3" customWidth="1"/>
    <col min="7" max="7" width="19.83203125" style="3" customWidth="1"/>
    <col min="8" max="8" width="13.6640625" style="3" customWidth="1"/>
    <col min="9" max="9" width="9.1640625" style="3" customWidth="1"/>
    <col min="10" max="10" width="9.1640625" style="33" customWidth="1"/>
    <col min="11" max="16384" width="8.83203125" style="3"/>
  </cols>
  <sheetData>
    <row r="1" spans="1:10" ht="17">
      <c r="A1" s="8" t="s">
        <v>20</v>
      </c>
      <c r="F1" s="8" t="s">
        <v>31</v>
      </c>
    </row>
    <row r="2" spans="1:10" ht="13" thickBot="1"/>
    <row r="3" spans="1:10" ht="13" thickBot="1">
      <c r="B3" s="10" t="s">
        <v>36</v>
      </c>
      <c r="C3" s="9"/>
      <c r="D3" s="55"/>
      <c r="E3" s="56"/>
      <c r="F3" s="10" t="s">
        <v>30</v>
      </c>
      <c r="G3" s="51">
        <v>39805</v>
      </c>
      <c r="J3" s="33" t="str">
        <f>IF(C3="Enter Requester","Need to Enter Requester",IF(G3="Enter Date","Need to Enter Date",IF(D5="Enter Entity","Need to Enter Entity",IF(H64&gt;10,IF(F65="","Need to Enter Explanation for Shortfall",""),""))))</f>
        <v/>
      </c>
    </row>
    <row r="4" spans="1:10" ht="13" thickBot="1"/>
    <row r="5" spans="1:10" ht="13" thickBot="1">
      <c r="B5" s="10" t="s">
        <v>67</v>
      </c>
      <c r="C5" s="64">
        <f>VLOOKUP(D5,Choices!F2:G6,2,FALSE)</f>
        <v>3</v>
      </c>
      <c r="D5" s="62" t="s">
        <v>11</v>
      </c>
      <c r="E5" s="65"/>
    </row>
    <row r="7" spans="1:10" ht="13" thickBot="1">
      <c r="B7" s="12" t="s">
        <v>69</v>
      </c>
      <c r="C7" s="12" t="s">
        <v>70</v>
      </c>
      <c r="D7" s="12" t="s">
        <v>65</v>
      </c>
      <c r="E7" s="12" t="s">
        <v>71</v>
      </c>
      <c r="F7" s="13" t="s">
        <v>72</v>
      </c>
      <c r="G7" s="14"/>
      <c r="H7" s="12" t="s">
        <v>73</v>
      </c>
    </row>
    <row r="8" spans="1:10" ht="13" thickBot="1">
      <c r="B8" s="47" t="s">
        <v>39</v>
      </c>
      <c r="D8" s="12"/>
      <c r="E8" s="12"/>
      <c r="F8" s="13"/>
      <c r="G8" s="14"/>
      <c r="H8" s="58">
        <v>202.64</v>
      </c>
    </row>
    <row r="9" spans="1:10" ht="13" thickBot="1">
      <c r="B9" s="47" t="s">
        <v>40</v>
      </c>
      <c r="D9" s="12"/>
      <c r="E9" s="12"/>
      <c r="F9" s="13"/>
      <c r="G9" s="14"/>
      <c r="H9" s="58">
        <v>297</v>
      </c>
    </row>
    <row r="10" spans="1:10" ht="9" customHeight="1" thickBot="1">
      <c r="B10" s="47"/>
      <c r="D10" s="12"/>
      <c r="E10" s="12"/>
      <c r="F10" s="13"/>
      <c r="G10" s="14"/>
      <c r="H10" s="69"/>
    </row>
    <row r="11" spans="1:10" ht="13" thickBot="1">
      <c r="A11" s="3">
        <v>1</v>
      </c>
      <c r="B11" s="15" t="s">
        <v>75</v>
      </c>
      <c r="C11" s="32">
        <f>IF(B11="Enter Account Title","",$C$5*1000000+VLOOKUP(B11,Choices!$A$3:$C$18,3,FALSE))</f>
        <v>3110611</v>
      </c>
      <c r="D11" s="16">
        <v>39739</v>
      </c>
      <c r="E11" s="17" t="s">
        <v>100</v>
      </c>
      <c r="F11" s="34" t="s">
        <v>101</v>
      </c>
      <c r="G11" s="34"/>
      <c r="H11" s="58">
        <v>38.67</v>
      </c>
      <c r="J11" s="33" t="str">
        <f t="shared" ref="J11:J42" si="0">IF(H11=0,"",IF(C11="","Error",""))</f>
        <v/>
      </c>
    </row>
    <row r="12" spans="1:10" ht="13" thickBot="1">
      <c r="A12" s="3">
        <v>2</v>
      </c>
      <c r="B12" s="15" t="s">
        <v>80</v>
      </c>
      <c r="C12" s="32">
        <f>IF(B12="Enter Account Title","",$C$5*1000000+VLOOKUP(B12,Choices!$A$3:$C$18,3,FALSE))</f>
        <v>3240535</v>
      </c>
      <c r="D12" s="16">
        <v>39744</v>
      </c>
      <c r="E12" s="17" t="s">
        <v>102</v>
      </c>
      <c r="F12" s="34" t="s">
        <v>103</v>
      </c>
      <c r="G12" s="34"/>
      <c r="H12" s="58">
        <v>3.4</v>
      </c>
      <c r="J12" s="33" t="str">
        <f t="shared" si="0"/>
        <v/>
      </c>
    </row>
    <row r="13" spans="1:10" ht="25" thickBot="1">
      <c r="A13" s="3">
        <v>3</v>
      </c>
      <c r="B13" s="15" t="s">
        <v>47</v>
      </c>
      <c r="C13" s="32">
        <f>IF(B13="Enter Account Title","",$C$5*1000000+VLOOKUP(B13,Choices!$A$3:$C$18,3,FALSE))</f>
        <v>3240540</v>
      </c>
      <c r="D13" s="16">
        <v>39746</v>
      </c>
      <c r="E13" s="17" t="s">
        <v>104</v>
      </c>
      <c r="F13" s="34" t="s">
        <v>105</v>
      </c>
      <c r="G13" s="34"/>
      <c r="H13" s="58">
        <v>68.08</v>
      </c>
      <c r="J13" s="33" t="str">
        <f t="shared" si="0"/>
        <v/>
      </c>
    </row>
    <row r="14" spans="1:10" ht="13" thickBot="1">
      <c r="A14" s="3">
        <v>4</v>
      </c>
      <c r="B14" s="15" t="s">
        <v>45</v>
      </c>
      <c r="C14" s="32">
        <f>IF(B14="Enter Account Title","",$C$5*1000000+VLOOKUP(B14,Choices!$A$3:$C$18,3,FALSE))</f>
        <v>3223580</v>
      </c>
      <c r="D14" s="16">
        <v>39755</v>
      </c>
      <c r="E14" s="17" t="s">
        <v>106</v>
      </c>
      <c r="F14" s="34" t="s">
        <v>21</v>
      </c>
      <c r="G14" s="34"/>
      <c r="H14" s="58">
        <v>8.6</v>
      </c>
      <c r="J14" s="33" t="str">
        <f t="shared" si="0"/>
        <v/>
      </c>
    </row>
    <row r="15" spans="1:10" ht="13" thickBot="1">
      <c r="A15" s="3">
        <v>5</v>
      </c>
      <c r="B15" s="15" t="s">
        <v>82</v>
      </c>
      <c r="C15" s="32">
        <f>IF(B15="Enter Account Title","",$C$5*1000000+VLOOKUP(B15,Choices!$A$3:$C$18,3,FALSE))</f>
        <v>3262430</v>
      </c>
      <c r="D15" s="16">
        <v>39762</v>
      </c>
      <c r="E15" s="17" t="s">
        <v>107</v>
      </c>
      <c r="F15" s="34" t="s">
        <v>108</v>
      </c>
      <c r="G15" s="34"/>
      <c r="H15" s="58">
        <v>10.99</v>
      </c>
      <c r="J15" s="33" t="str">
        <f t="shared" si="0"/>
        <v/>
      </c>
    </row>
    <row r="16" spans="1:10" ht="13" thickBot="1">
      <c r="A16" s="3">
        <v>6</v>
      </c>
      <c r="B16" s="15" t="s">
        <v>43</v>
      </c>
      <c r="C16" s="32">
        <f>IF(B16="Enter Account Title","",$C$5*1000000+VLOOKUP(B16,Choices!$A$3:$C$18,3,FALSE))</f>
        <v>3223325</v>
      </c>
      <c r="D16" s="16">
        <v>39767</v>
      </c>
      <c r="E16" s="17" t="s">
        <v>22</v>
      </c>
      <c r="F16" s="34" t="s">
        <v>109</v>
      </c>
      <c r="G16" s="34"/>
      <c r="H16" s="58">
        <v>23.87</v>
      </c>
      <c r="J16" s="33" t="str">
        <f t="shared" si="0"/>
        <v/>
      </c>
    </row>
    <row r="17" spans="1:10" ht="13" thickBot="1">
      <c r="A17" s="3">
        <v>7</v>
      </c>
      <c r="B17" s="15" t="s">
        <v>78</v>
      </c>
      <c r="C17" s="32">
        <f>IF(B17="Enter Account Title","",$C$5*1000000+VLOOKUP(B17,Choices!$A$3:$C$18,3,FALSE))</f>
        <v>3110617</v>
      </c>
      <c r="D17" s="16">
        <v>39777</v>
      </c>
      <c r="E17" s="17" t="s">
        <v>110</v>
      </c>
      <c r="F17" s="34" t="s">
        <v>111</v>
      </c>
      <c r="G17" s="34"/>
      <c r="H17" s="58">
        <v>68.25</v>
      </c>
      <c r="J17" s="33" t="str">
        <f t="shared" si="0"/>
        <v/>
      </c>
    </row>
    <row r="18" spans="1:10" ht="13" thickBot="1">
      <c r="A18" s="3">
        <v>8</v>
      </c>
      <c r="B18" s="15" t="s">
        <v>7</v>
      </c>
      <c r="C18" s="32">
        <f>IF(B18="Enter Account Title","",$C$5*1000000+VLOOKUP(B18,Choices!$A$3:$C$18,3,FALSE))</f>
        <v>3284611</v>
      </c>
      <c r="D18" s="16">
        <v>39785</v>
      </c>
      <c r="E18" s="17" t="s">
        <v>112</v>
      </c>
      <c r="F18" s="34" t="s">
        <v>113</v>
      </c>
      <c r="G18" s="34"/>
      <c r="H18" s="58">
        <v>29.99</v>
      </c>
      <c r="J18" s="33" t="str">
        <f t="shared" si="0"/>
        <v/>
      </c>
    </row>
    <row r="19" spans="1:10" ht="13" thickBot="1">
      <c r="A19" s="3">
        <v>9</v>
      </c>
      <c r="B19" s="15" t="s">
        <v>79</v>
      </c>
      <c r="C19" s="32">
        <f>IF(B19="Enter Account Title","",$C$5*1000000+VLOOKUP(B19,Choices!$A$3:$C$18,3,FALSE))</f>
        <v>3240611</v>
      </c>
      <c r="D19" s="16">
        <v>39787</v>
      </c>
      <c r="E19" s="17" t="s">
        <v>64</v>
      </c>
      <c r="F19" s="34" t="s">
        <v>114</v>
      </c>
      <c r="G19" s="34"/>
      <c r="H19" s="58">
        <v>34.99</v>
      </c>
      <c r="J19" s="33" t="str">
        <f t="shared" si="0"/>
        <v/>
      </c>
    </row>
    <row r="20" spans="1:10" ht="13" thickBot="1">
      <c r="A20" s="3">
        <v>10</v>
      </c>
      <c r="B20" s="15" t="s">
        <v>50</v>
      </c>
      <c r="C20" s="32" t="str">
        <f>IF(B20="Enter Account Title","",$C$5*1000000+VLOOKUP(B20,Choices!$A$3:$C$18,3,FALSE))</f>
        <v/>
      </c>
      <c r="D20" s="16"/>
      <c r="E20" s="17"/>
      <c r="F20" s="34"/>
      <c r="G20" s="34"/>
      <c r="H20" s="58"/>
      <c r="J20" s="33" t="str">
        <f t="shared" si="0"/>
        <v/>
      </c>
    </row>
    <row r="21" spans="1:10" ht="13" thickBot="1">
      <c r="A21" s="3">
        <v>11</v>
      </c>
      <c r="B21" s="15" t="s">
        <v>50</v>
      </c>
      <c r="C21" s="32" t="str">
        <f>IF(B21="Enter Account Title","",$C$5*1000000+VLOOKUP(B21,Choices!$A$3:$C$18,3,FALSE))</f>
        <v/>
      </c>
      <c r="D21" s="16"/>
      <c r="E21" s="17"/>
      <c r="F21" s="34"/>
      <c r="G21" s="34"/>
      <c r="H21" s="58"/>
      <c r="J21" s="33" t="str">
        <f t="shared" si="0"/>
        <v/>
      </c>
    </row>
    <row r="22" spans="1:10" ht="13" thickBot="1">
      <c r="A22" s="3">
        <v>12</v>
      </c>
      <c r="B22" s="15" t="s">
        <v>50</v>
      </c>
      <c r="C22" s="32" t="str">
        <f>IF(B22="Enter Account Title","",$C$5*1000000+VLOOKUP(B22,Choices!$A$3:$C$18,3,FALSE))</f>
        <v/>
      </c>
      <c r="D22" s="16"/>
      <c r="E22" s="17"/>
      <c r="F22" s="34"/>
      <c r="G22" s="34"/>
      <c r="H22" s="58"/>
      <c r="J22" s="33" t="str">
        <f t="shared" si="0"/>
        <v/>
      </c>
    </row>
    <row r="23" spans="1:10" ht="13" thickBot="1">
      <c r="A23" s="3">
        <v>13</v>
      </c>
      <c r="B23" s="15" t="s">
        <v>50</v>
      </c>
      <c r="C23" s="32" t="str">
        <f>IF(B23="Enter Account Title","",$C$5*1000000+VLOOKUP(B23,Choices!$A$3:$C$18,3,FALSE))</f>
        <v/>
      </c>
      <c r="D23" s="16"/>
      <c r="E23" s="17"/>
      <c r="F23" s="34"/>
      <c r="G23" s="34"/>
      <c r="H23" s="58"/>
      <c r="J23" s="33" t="str">
        <f t="shared" si="0"/>
        <v/>
      </c>
    </row>
    <row r="24" spans="1:10" ht="13" thickBot="1">
      <c r="A24" s="3">
        <v>14</v>
      </c>
      <c r="B24" s="15" t="s">
        <v>50</v>
      </c>
      <c r="C24" s="32" t="str">
        <f>IF(B24="Enter Account Title","",$C$5*1000000+VLOOKUP(B24,Choices!$A$3:$C$18,3,FALSE))</f>
        <v/>
      </c>
      <c r="D24" s="16"/>
      <c r="E24" s="17"/>
      <c r="F24" s="34"/>
      <c r="G24" s="34"/>
      <c r="H24" s="58"/>
      <c r="J24" s="33" t="str">
        <f t="shared" si="0"/>
        <v/>
      </c>
    </row>
    <row r="25" spans="1:10" ht="13" thickBot="1">
      <c r="A25" s="3">
        <v>15</v>
      </c>
      <c r="B25" s="15" t="s">
        <v>50</v>
      </c>
      <c r="C25" s="32" t="str">
        <f>IF(B25="Enter Account Title","",$C$5*1000000+VLOOKUP(B25,Choices!$A$3:$C$18,3,FALSE))</f>
        <v/>
      </c>
      <c r="D25" s="16"/>
      <c r="E25" s="17"/>
      <c r="F25" s="34"/>
      <c r="G25" s="34"/>
      <c r="H25" s="58"/>
      <c r="J25" s="33" t="str">
        <f t="shared" si="0"/>
        <v/>
      </c>
    </row>
    <row r="26" spans="1:10" ht="13" thickBot="1">
      <c r="A26" s="3">
        <v>16</v>
      </c>
      <c r="B26" s="15" t="s">
        <v>50</v>
      </c>
      <c r="C26" s="32" t="str">
        <f>IF(B26="Enter Account Title","",$C$5*1000000+VLOOKUP(B26,Choices!$A$3:$C$18,3,FALSE))</f>
        <v/>
      </c>
      <c r="D26" s="16"/>
      <c r="E26" s="17"/>
      <c r="F26" s="34"/>
      <c r="G26" s="34"/>
      <c r="H26" s="58"/>
      <c r="J26" s="33" t="str">
        <f t="shared" si="0"/>
        <v/>
      </c>
    </row>
    <row r="27" spans="1:10" ht="13" thickBot="1">
      <c r="A27" s="3">
        <v>17</v>
      </c>
      <c r="B27" s="15" t="s">
        <v>50</v>
      </c>
      <c r="C27" s="32" t="str">
        <f>IF(B27="Enter Account Title","",$C$5*1000000+VLOOKUP(B27,Choices!$A$3:$C$18,3,FALSE))</f>
        <v/>
      </c>
      <c r="D27" s="16"/>
      <c r="E27" s="17"/>
      <c r="F27" s="34"/>
      <c r="G27" s="34"/>
      <c r="H27" s="58"/>
      <c r="J27" s="33" t="str">
        <f t="shared" si="0"/>
        <v/>
      </c>
    </row>
    <row r="28" spans="1:10" ht="13" thickBot="1">
      <c r="A28" s="3">
        <v>18</v>
      </c>
      <c r="B28" s="15" t="s">
        <v>50</v>
      </c>
      <c r="C28" s="32" t="str">
        <f>IF(B28="Enter Account Title","",$C$5*1000000+VLOOKUP(B28,Choices!$A$3:$C$18,3,FALSE))</f>
        <v/>
      </c>
      <c r="D28" s="16"/>
      <c r="E28" s="17"/>
      <c r="F28" s="34"/>
      <c r="G28" s="34"/>
      <c r="H28" s="58"/>
      <c r="J28" s="33" t="str">
        <f t="shared" si="0"/>
        <v/>
      </c>
    </row>
    <row r="29" spans="1:10" ht="13" thickBot="1">
      <c r="A29" s="3">
        <v>19</v>
      </c>
      <c r="B29" s="15" t="s">
        <v>50</v>
      </c>
      <c r="C29" s="32" t="str">
        <f>IF(B29="Enter Account Title","",$C$5*1000000+VLOOKUP(B29,Choices!$A$3:$C$18,3,FALSE))</f>
        <v/>
      </c>
      <c r="D29" s="16"/>
      <c r="E29" s="17"/>
      <c r="F29" s="34"/>
      <c r="G29" s="34"/>
      <c r="H29" s="58"/>
      <c r="J29" s="33" t="str">
        <f t="shared" si="0"/>
        <v/>
      </c>
    </row>
    <row r="30" spans="1:10" ht="13" thickBot="1">
      <c r="A30" s="3">
        <v>20</v>
      </c>
      <c r="B30" s="15" t="s">
        <v>50</v>
      </c>
      <c r="C30" s="32" t="str">
        <f>IF(B30="Enter Account Title","",$C$5*1000000+VLOOKUP(B30,Choices!$A$3:$C$18,3,FALSE))</f>
        <v/>
      </c>
      <c r="D30" s="16"/>
      <c r="E30" s="17"/>
      <c r="F30" s="34"/>
      <c r="G30" s="34"/>
      <c r="H30" s="58"/>
      <c r="J30" s="33" t="str">
        <f t="shared" si="0"/>
        <v/>
      </c>
    </row>
    <row r="31" spans="1:10" ht="13" hidden="1" thickBot="1">
      <c r="A31" s="3">
        <v>21</v>
      </c>
      <c r="B31" s="15" t="s">
        <v>50</v>
      </c>
      <c r="C31" s="32" t="str">
        <f>IF(B31="Enter Account Title","",$C$5*1000000+VLOOKUP(B31,Choices!$A$3:$C$18,3,FALSE))</f>
        <v/>
      </c>
      <c r="D31" s="16"/>
      <c r="E31" s="17"/>
      <c r="F31" s="34"/>
      <c r="G31" s="34"/>
      <c r="H31" s="58"/>
      <c r="J31" s="33" t="str">
        <f t="shared" si="0"/>
        <v/>
      </c>
    </row>
    <row r="32" spans="1:10" ht="13" hidden="1" thickBot="1">
      <c r="A32" s="3">
        <v>22</v>
      </c>
      <c r="B32" s="15" t="s">
        <v>50</v>
      </c>
      <c r="C32" s="32" t="str">
        <f>IF(B32="Enter Account Title","",$C$5*1000000+VLOOKUP(B32,Choices!$A$3:$C$18,3,FALSE))</f>
        <v/>
      </c>
      <c r="D32" s="16"/>
      <c r="E32" s="17"/>
      <c r="F32" s="34"/>
      <c r="G32" s="34"/>
      <c r="H32" s="58"/>
      <c r="J32" s="33" t="str">
        <f t="shared" si="0"/>
        <v/>
      </c>
    </row>
    <row r="33" spans="1:10" ht="13" hidden="1" thickBot="1">
      <c r="A33" s="3">
        <v>23</v>
      </c>
      <c r="B33" s="15" t="s">
        <v>50</v>
      </c>
      <c r="C33" s="32" t="str">
        <f>IF(B33="Enter Account Title","",$C$5*1000000+VLOOKUP(B33,Choices!$A$3:$C$18,3,FALSE))</f>
        <v/>
      </c>
      <c r="D33" s="16"/>
      <c r="E33" s="17"/>
      <c r="F33" s="34"/>
      <c r="G33" s="34"/>
      <c r="H33" s="58"/>
      <c r="J33" s="33" t="str">
        <f t="shared" si="0"/>
        <v/>
      </c>
    </row>
    <row r="34" spans="1:10" ht="13" hidden="1" thickBot="1">
      <c r="A34" s="3">
        <v>24</v>
      </c>
      <c r="B34" s="15" t="s">
        <v>50</v>
      </c>
      <c r="C34" s="32" t="str">
        <f>IF(B34="Enter Account Title","",$C$5*1000000+VLOOKUP(B34,Choices!$A$3:$C$18,3,FALSE))</f>
        <v/>
      </c>
      <c r="D34" s="16"/>
      <c r="E34" s="17"/>
      <c r="F34" s="34"/>
      <c r="G34" s="34"/>
      <c r="H34" s="58"/>
      <c r="J34" s="33" t="str">
        <f t="shared" si="0"/>
        <v/>
      </c>
    </row>
    <row r="35" spans="1:10" ht="13" hidden="1" thickBot="1">
      <c r="A35" s="3">
        <v>25</v>
      </c>
      <c r="B35" s="15" t="s">
        <v>50</v>
      </c>
      <c r="C35" s="32" t="str">
        <f>IF(B35="Enter Account Title","",$C$5*1000000+VLOOKUP(B35,Choices!$A$3:$C$18,3,FALSE))</f>
        <v/>
      </c>
      <c r="D35" s="16"/>
      <c r="E35" s="17"/>
      <c r="F35" s="34"/>
      <c r="G35" s="34"/>
      <c r="H35" s="58"/>
      <c r="J35" s="33" t="str">
        <f t="shared" si="0"/>
        <v/>
      </c>
    </row>
    <row r="36" spans="1:10" ht="13" hidden="1" thickBot="1">
      <c r="A36" s="3">
        <v>26</v>
      </c>
      <c r="B36" s="15" t="s">
        <v>50</v>
      </c>
      <c r="C36" s="32" t="str">
        <f>IF(B36="Enter Account Title","",$C$5*1000000+VLOOKUP(B36,Choices!$A$3:$C$18,3,FALSE))</f>
        <v/>
      </c>
      <c r="D36" s="16"/>
      <c r="E36" s="17"/>
      <c r="F36" s="34"/>
      <c r="G36" s="34"/>
      <c r="H36" s="58"/>
      <c r="J36" s="33" t="str">
        <f t="shared" si="0"/>
        <v/>
      </c>
    </row>
    <row r="37" spans="1:10" ht="13" hidden="1" thickBot="1">
      <c r="A37" s="3">
        <v>27</v>
      </c>
      <c r="B37" s="15" t="s">
        <v>50</v>
      </c>
      <c r="C37" s="32" t="str">
        <f>IF(B37="Enter Account Title","",$C$5*1000000+VLOOKUP(B37,Choices!$A$3:$C$18,3,FALSE))</f>
        <v/>
      </c>
      <c r="D37" s="16"/>
      <c r="E37" s="17"/>
      <c r="F37" s="34"/>
      <c r="G37" s="34"/>
      <c r="H37" s="58"/>
      <c r="J37" s="33" t="str">
        <f t="shared" si="0"/>
        <v/>
      </c>
    </row>
    <row r="38" spans="1:10" ht="13" hidden="1" thickBot="1">
      <c r="A38" s="3">
        <v>28</v>
      </c>
      <c r="B38" s="15" t="s">
        <v>50</v>
      </c>
      <c r="C38" s="32" t="str">
        <f>IF(B38="Enter Account Title","",$C$5*1000000+VLOOKUP(B38,Choices!$A$3:$C$18,3,FALSE))</f>
        <v/>
      </c>
      <c r="D38" s="16"/>
      <c r="E38" s="17"/>
      <c r="F38" s="34"/>
      <c r="G38" s="34"/>
      <c r="H38" s="58"/>
      <c r="J38" s="33" t="str">
        <f t="shared" si="0"/>
        <v/>
      </c>
    </row>
    <row r="39" spans="1:10" ht="13" hidden="1" thickBot="1">
      <c r="A39" s="3">
        <v>29</v>
      </c>
      <c r="B39" s="15" t="s">
        <v>50</v>
      </c>
      <c r="C39" s="32" t="str">
        <f>IF(B39="Enter Account Title","",$C$5*1000000+VLOOKUP(B39,Choices!$A$3:$C$18,3,FALSE))</f>
        <v/>
      </c>
      <c r="D39" s="16"/>
      <c r="E39" s="17"/>
      <c r="F39" s="34"/>
      <c r="G39" s="34"/>
      <c r="H39" s="58"/>
      <c r="J39" s="33" t="str">
        <f t="shared" si="0"/>
        <v/>
      </c>
    </row>
    <row r="40" spans="1:10" ht="13" hidden="1" thickBot="1">
      <c r="A40" s="3">
        <v>30</v>
      </c>
      <c r="B40" s="15" t="s">
        <v>50</v>
      </c>
      <c r="C40" s="32" t="str">
        <f>IF(B40="Enter Account Title","",$C$5*1000000+VLOOKUP(B40,Choices!$A$3:$C$18,3,FALSE))</f>
        <v/>
      </c>
      <c r="D40" s="16"/>
      <c r="E40" s="17"/>
      <c r="F40" s="34"/>
      <c r="G40" s="34"/>
      <c r="H40" s="58"/>
      <c r="J40" s="33" t="str">
        <f t="shared" si="0"/>
        <v/>
      </c>
    </row>
    <row r="41" spans="1:10" ht="13" hidden="1" thickBot="1">
      <c r="A41" s="3">
        <v>31</v>
      </c>
      <c r="B41" s="15" t="s">
        <v>50</v>
      </c>
      <c r="C41" s="32" t="str">
        <f>IF(B41="Enter Account Title","",$C$5*1000000+VLOOKUP(B41,Choices!$A$3:$C$18,3,FALSE))</f>
        <v/>
      </c>
      <c r="D41" s="16"/>
      <c r="E41" s="17"/>
      <c r="F41" s="34"/>
      <c r="G41" s="34"/>
      <c r="H41" s="58"/>
      <c r="J41" s="33" t="str">
        <f t="shared" si="0"/>
        <v/>
      </c>
    </row>
    <row r="42" spans="1:10" ht="13" hidden="1" thickBot="1">
      <c r="A42" s="3">
        <v>32</v>
      </c>
      <c r="B42" s="15" t="s">
        <v>50</v>
      </c>
      <c r="C42" s="32" t="str">
        <f>IF(B42="Enter Account Title","",$C$5*1000000+VLOOKUP(B42,Choices!$A$3:$C$18,3,FALSE))</f>
        <v/>
      </c>
      <c r="D42" s="16"/>
      <c r="E42" s="17"/>
      <c r="F42" s="34"/>
      <c r="G42" s="34"/>
      <c r="H42" s="58"/>
      <c r="J42" s="33" t="str">
        <f t="shared" si="0"/>
        <v/>
      </c>
    </row>
    <row r="43" spans="1:10" ht="13" hidden="1" thickBot="1">
      <c r="A43" s="3">
        <v>33</v>
      </c>
      <c r="B43" s="15" t="s">
        <v>50</v>
      </c>
      <c r="C43" s="32" t="str">
        <f>IF(B43="Enter Account Title","",$C$5*1000000+VLOOKUP(B43,Choices!$A$3:$C$18,3,FALSE))</f>
        <v/>
      </c>
      <c r="D43" s="16"/>
      <c r="E43" s="17"/>
      <c r="F43" s="34"/>
      <c r="G43" s="34"/>
      <c r="H43" s="58"/>
      <c r="J43" s="33" t="str">
        <f t="shared" ref="J43:J60" si="1">IF(H43=0,"",IF(C43="","Error",""))</f>
        <v/>
      </c>
    </row>
    <row r="44" spans="1:10" ht="13" hidden="1" thickBot="1">
      <c r="A44" s="3">
        <v>34</v>
      </c>
      <c r="B44" s="15" t="s">
        <v>50</v>
      </c>
      <c r="C44" s="32" t="str">
        <f>IF(B44="Enter Account Title","",$C$5*1000000+VLOOKUP(B44,Choices!$A$3:$C$18,3,FALSE))</f>
        <v/>
      </c>
      <c r="D44" s="16"/>
      <c r="E44" s="17"/>
      <c r="F44" s="34"/>
      <c r="G44" s="34"/>
      <c r="H44" s="58"/>
      <c r="J44" s="33" t="str">
        <f t="shared" si="1"/>
        <v/>
      </c>
    </row>
    <row r="45" spans="1:10" ht="13" hidden="1" thickBot="1">
      <c r="A45" s="3">
        <v>35</v>
      </c>
      <c r="B45" s="15" t="s">
        <v>50</v>
      </c>
      <c r="C45" s="32" t="str">
        <f>IF(B45="Enter Account Title","",$C$5*1000000+VLOOKUP(B45,Choices!$A$3:$C$18,3,FALSE))</f>
        <v/>
      </c>
      <c r="D45" s="16"/>
      <c r="E45" s="17"/>
      <c r="F45" s="34"/>
      <c r="G45" s="34"/>
      <c r="H45" s="58"/>
      <c r="J45" s="33" t="str">
        <f t="shared" si="1"/>
        <v/>
      </c>
    </row>
    <row r="46" spans="1:10" ht="13" hidden="1" thickBot="1">
      <c r="A46" s="3">
        <v>36</v>
      </c>
      <c r="B46" s="15" t="s">
        <v>50</v>
      </c>
      <c r="C46" s="32" t="str">
        <f>IF(B46="Enter Account Title","",$C$5*1000000+VLOOKUP(B46,Choices!$A$3:$C$18,3,FALSE))</f>
        <v/>
      </c>
      <c r="D46" s="16"/>
      <c r="E46" s="17"/>
      <c r="F46" s="34"/>
      <c r="G46" s="34"/>
      <c r="H46" s="58"/>
      <c r="J46" s="33" t="str">
        <f t="shared" si="1"/>
        <v/>
      </c>
    </row>
    <row r="47" spans="1:10" ht="13" hidden="1" thickBot="1">
      <c r="A47" s="3">
        <v>37</v>
      </c>
      <c r="B47" s="15" t="s">
        <v>50</v>
      </c>
      <c r="C47" s="32" t="str">
        <f>IF(B47="Enter Account Title","",$C$5*1000000+VLOOKUP(B47,Choices!$A$3:$C$18,3,FALSE))</f>
        <v/>
      </c>
      <c r="D47" s="16"/>
      <c r="E47" s="17"/>
      <c r="F47" s="34"/>
      <c r="G47" s="34"/>
      <c r="H47" s="58"/>
      <c r="J47" s="33" t="str">
        <f t="shared" si="1"/>
        <v/>
      </c>
    </row>
    <row r="48" spans="1:10" ht="13" hidden="1" thickBot="1">
      <c r="A48" s="3">
        <v>38</v>
      </c>
      <c r="B48" s="15" t="s">
        <v>50</v>
      </c>
      <c r="C48" s="32" t="str">
        <f>IF(B48="Enter Account Title","",$C$5*1000000+VLOOKUP(B48,Choices!$A$3:$C$18,3,FALSE))</f>
        <v/>
      </c>
      <c r="D48" s="16"/>
      <c r="E48" s="17"/>
      <c r="F48" s="34"/>
      <c r="G48" s="34"/>
      <c r="H48" s="58"/>
      <c r="J48" s="33" t="str">
        <f t="shared" si="1"/>
        <v/>
      </c>
    </row>
    <row r="49" spans="1:10" ht="13" hidden="1" thickBot="1">
      <c r="A49" s="3">
        <v>39</v>
      </c>
      <c r="B49" s="15" t="s">
        <v>50</v>
      </c>
      <c r="C49" s="32" t="str">
        <f>IF(B49="Enter Account Title","",$C$5*1000000+VLOOKUP(B49,Choices!$A$3:$C$18,3,FALSE))</f>
        <v/>
      </c>
      <c r="D49" s="16"/>
      <c r="E49" s="17"/>
      <c r="F49" s="34"/>
      <c r="G49" s="34"/>
      <c r="H49" s="58"/>
      <c r="J49" s="33" t="str">
        <f t="shared" si="1"/>
        <v/>
      </c>
    </row>
    <row r="50" spans="1:10" ht="13" hidden="1" thickBot="1">
      <c r="A50" s="3">
        <v>40</v>
      </c>
      <c r="B50" s="15" t="s">
        <v>50</v>
      </c>
      <c r="C50" s="32" t="str">
        <f>IF(B50="Enter Account Title","",$C$5*1000000+VLOOKUP(B50,Choices!$A$3:$C$18,3,FALSE))</f>
        <v/>
      </c>
      <c r="D50" s="16"/>
      <c r="E50" s="17"/>
      <c r="F50" s="34"/>
      <c r="G50" s="34"/>
      <c r="H50" s="58"/>
      <c r="J50" s="33" t="str">
        <f t="shared" si="1"/>
        <v/>
      </c>
    </row>
    <row r="51" spans="1:10" ht="13" hidden="1" thickBot="1">
      <c r="A51" s="3">
        <v>41</v>
      </c>
      <c r="B51" s="15" t="s">
        <v>50</v>
      </c>
      <c r="C51" s="32" t="str">
        <f>IF(B51="Enter Account Title","",$C$5*1000000+VLOOKUP(B51,Choices!$A$3:$C$18,3,FALSE))</f>
        <v/>
      </c>
      <c r="D51" s="16"/>
      <c r="E51" s="17"/>
      <c r="F51" s="34"/>
      <c r="G51" s="34"/>
      <c r="H51" s="58"/>
      <c r="J51" s="33" t="str">
        <f t="shared" si="1"/>
        <v/>
      </c>
    </row>
    <row r="52" spans="1:10" ht="13" hidden="1" thickBot="1">
      <c r="A52" s="3">
        <v>42</v>
      </c>
      <c r="B52" s="15" t="s">
        <v>50</v>
      </c>
      <c r="C52" s="32" t="str">
        <f>IF(B52="Enter Account Title","",$C$5*1000000+VLOOKUP(B52,Choices!$A$3:$C$18,3,FALSE))</f>
        <v/>
      </c>
      <c r="D52" s="16"/>
      <c r="E52" s="17"/>
      <c r="F52" s="34"/>
      <c r="G52" s="34"/>
      <c r="H52" s="58"/>
      <c r="J52" s="33" t="str">
        <f t="shared" si="1"/>
        <v/>
      </c>
    </row>
    <row r="53" spans="1:10" ht="13" hidden="1" thickBot="1">
      <c r="A53" s="3">
        <v>43</v>
      </c>
      <c r="B53" s="15" t="s">
        <v>50</v>
      </c>
      <c r="C53" s="32" t="str">
        <f>IF(B53="Enter Account Title","",$C$5*1000000+VLOOKUP(B53,Choices!$A$3:$C$18,3,FALSE))</f>
        <v/>
      </c>
      <c r="D53" s="16"/>
      <c r="E53" s="17"/>
      <c r="F53" s="34"/>
      <c r="G53" s="34"/>
      <c r="H53" s="58"/>
      <c r="J53" s="33" t="str">
        <f t="shared" si="1"/>
        <v/>
      </c>
    </row>
    <row r="54" spans="1:10" ht="13" hidden="1" thickBot="1">
      <c r="A54" s="3">
        <v>44</v>
      </c>
      <c r="B54" s="15" t="s">
        <v>50</v>
      </c>
      <c r="C54" s="32" t="str">
        <f>IF(B54="Enter Account Title","",$C$5*1000000+VLOOKUP(B54,Choices!$A$3:$C$18,3,FALSE))</f>
        <v/>
      </c>
      <c r="D54" s="16"/>
      <c r="E54" s="17"/>
      <c r="F54" s="34"/>
      <c r="G54" s="34"/>
      <c r="H54" s="58"/>
      <c r="J54" s="33" t="str">
        <f t="shared" si="1"/>
        <v/>
      </c>
    </row>
    <row r="55" spans="1:10" ht="13" hidden="1" thickBot="1">
      <c r="A55" s="3">
        <v>45</v>
      </c>
      <c r="B55" s="15" t="s">
        <v>50</v>
      </c>
      <c r="C55" s="32" t="str">
        <f>IF(B55="Enter Account Title","",$C$5*1000000+VLOOKUP(B55,Choices!$A$3:$C$18,3,FALSE))</f>
        <v/>
      </c>
      <c r="D55" s="16"/>
      <c r="E55" s="17"/>
      <c r="F55" s="34"/>
      <c r="G55" s="34"/>
      <c r="H55" s="58"/>
      <c r="J55" s="33" t="str">
        <f t="shared" si="1"/>
        <v/>
      </c>
    </row>
    <row r="56" spans="1:10" ht="13" hidden="1" thickBot="1">
      <c r="A56" s="3">
        <v>46</v>
      </c>
      <c r="B56" s="15" t="s">
        <v>50</v>
      </c>
      <c r="C56" s="32" t="str">
        <f>IF(B56="Enter Account Title","",$C$5*1000000+VLOOKUP(B56,Choices!$A$3:$C$18,3,FALSE))</f>
        <v/>
      </c>
      <c r="D56" s="16"/>
      <c r="E56" s="17"/>
      <c r="F56" s="34"/>
      <c r="G56" s="34"/>
      <c r="H56" s="58"/>
      <c r="J56" s="33" t="str">
        <f t="shared" si="1"/>
        <v/>
      </c>
    </row>
    <row r="57" spans="1:10" ht="13" hidden="1" thickBot="1">
      <c r="A57" s="3">
        <v>47</v>
      </c>
      <c r="B57" s="15" t="s">
        <v>50</v>
      </c>
      <c r="C57" s="32" t="str">
        <f>IF(B57="Enter Account Title","",$C$5*1000000+VLOOKUP(B57,Choices!$A$3:$C$18,3,FALSE))</f>
        <v/>
      </c>
      <c r="D57" s="16"/>
      <c r="E57" s="17"/>
      <c r="F57" s="34"/>
      <c r="G57" s="34"/>
      <c r="H57" s="58"/>
      <c r="J57" s="33" t="str">
        <f t="shared" si="1"/>
        <v/>
      </c>
    </row>
    <row r="58" spans="1:10" ht="13" hidden="1" thickBot="1">
      <c r="A58" s="3">
        <v>48</v>
      </c>
      <c r="B58" s="15" t="s">
        <v>50</v>
      </c>
      <c r="C58" s="32" t="str">
        <f>IF(B58="Enter Account Title","",$C$5*1000000+VLOOKUP(B58,Choices!$A$3:$C$18,3,FALSE))</f>
        <v/>
      </c>
      <c r="D58" s="16"/>
      <c r="E58" s="17"/>
      <c r="F58" s="34"/>
      <c r="G58" s="34"/>
      <c r="H58" s="58"/>
      <c r="J58" s="33" t="str">
        <f t="shared" si="1"/>
        <v/>
      </c>
    </row>
    <row r="59" spans="1:10" ht="13" hidden="1" thickBot="1">
      <c r="A59" s="3">
        <v>49</v>
      </c>
      <c r="B59" s="15" t="s">
        <v>50</v>
      </c>
      <c r="C59" s="32" t="str">
        <f>IF(B59="Enter Account Title","",$C$5*1000000+VLOOKUP(B59,Choices!$A$3:$C$18,3,FALSE))</f>
        <v/>
      </c>
      <c r="D59" s="16"/>
      <c r="E59" s="17"/>
      <c r="F59" s="34"/>
      <c r="G59" s="34"/>
      <c r="H59" s="58"/>
      <c r="J59" s="33" t="str">
        <f t="shared" si="1"/>
        <v/>
      </c>
    </row>
    <row r="60" spans="1:10" ht="13" hidden="1" thickBot="1">
      <c r="A60" s="3">
        <v>50</v>
      </c>
      <c r="B60" s="15" t="s">
        <v>50</v>
      </c>
      <c r="C60" s="32" t="str">
        <f>IF(B60="Enter Account Title","",$C$5*1000000+VLOOKUP(B60,Choices!$A$3:$C$18,3,FALSE))</f>
        <v/>
      </c>
      <c r="D60" s="16"/>
      <c r="E60" s="17"/>
      <c r="F60" s="34"/>
      <c r="G60" s="34"/>
      <c r="H60" s="58"/>
      <c r="J60" s="33" t="str">
        <f t="shared" si="1"/>
        <v/>
      </c>
    </row>
    <row r="61" spans="1:10">
      <c r="B61" s="19" t="s">
        <v>32</v>
      </c>
      <c r="C61" s="20"/>
      <c r="D61" s="20"/>
      <c r="E61" s="21"/>
      <c r="F61" s="22"/>
      <c r="G61" s="22"/>
      <c r="H61" s="54">
        <f>SUM(H11:H60)</f>
        <v>286.84000000000003</v>
      </c>
    </row>
    <row r="62" spans="1:10" ht="13" thickBot="1">
      <c r="B62" s="19" t="s">
        <v>33</v>
      </c>
      <c r="C62" s="20"/>
      <c r="D62" s="20"/>
      <c r="E62" s="21"/>
      <c r="F62" s="22"/>
      <c r="G62" s="22"/>
      <c r="H62" s="54">
        <f>H8+H9-H61</f>
        <v>212.79999999999995</v>
      </c>
    </row>
    <row r="63" spans="1:10" ht="13" thickBot="1">
      <c r="B63" s="19" t="s">
        <v>133</v>
      </c>
      <c r="C63" s="20"/>
      <c r="D63" s="20"/>
      <c r="E63" s="21"/>
      <c r="F63" s="22"/>
      <c r="G63" s="22"/>
      <c r="H63" s="58">
        <v>213.2</v>
      </c>
    </row>
    <row r="64" spans="1:10" ht="13" thickBot="1">
      <c r="B64" s="19" t="s">
        <v>34</v>
      </c>
      <c r="C64" s="20"/>
      <c r="D64" s="20"/>
      <c r="E64" s="21"/>
      <c r="F64" s="22"/>
      <c r="G64" s="22"/>
      <c r="H64" s="54">
        <f>H62-H63</f>
        <v>-0.40000000000003411</v>
      </c>
    </row>
    <row r="65" spans="1:8" ht="13" thickBot="1">
      <c r="B65" s="19" t="s">
        <v>35</v>
      </c>
      <c r="C65" s="20"/>
      <c r="D65" s="20"/>
      <c r="E65" s="21"/>
      <c r="F65" s="48" t="s">
        <v>115</v>
      </c>
      <c r="G65" s="52"/>
      <c r="H65" s="59"/>
    </row>
    <row r="66" spans="1:8">
      <c r="B66" s="19"/>
      <c r="C66" s="20"/>
      <c r="D66" s="20"/>
      <c r="E66" s="21"/>
      <c r="F66" s="49"/>
      <c r="G66" s="49"/>
      <c r="H66" s="60"/>
    </row>
    <row r="67" spans="1:8">
      <c r="B67" s="19" t="s">
        <v>37</v>
      </c>
      <c r="C67" s="20"/>
      <c r="D67" s="20"/>
      <c r="E67" s="21"/>
      <c r="F67" s="49"/>
      <c r="G67" s="49"/>
      <c r="H67" s="61">
        <f>ROUND(H61,0)</f>
        <v>287</v>
      </c>
    </row>
    <row r="68" spans="1:8">
      <c r="B68" s="19"/>
      <c r="C68" s="20"/>
      <c r="D68" s="20"/>
      <c r="E68" s="21"/>
      <c r="F68" s="49"/>
      <c r="G68" s="49"/>
      <c r="H68" s="60"/>
    </row>
    <row r="69" spans="1:8">
      <c r="B69" s="11" t="s">
        <v>27</v>
      </c>
    </row>
    <row r="70" spans="1:8">
      <c r="B70" s="23" t="s">
        <v>23</v>
      </c>
    </row>
    <row r="71" spans="1:8">
      <c r="B71" s="23" t="s">
        <v>24</v>
      </c>
      <c r="F71" s="33" t="str">
        <f>IF(COUNTIF(J11:J60,"ERROR")&gt;0,"ERROR - NOT READY TO SEND IN",IF(J3="","OK TO SEND","ERROR - NOT READY TO SEND IN"))</f>
        <v>OK TO SEND</v>
      </c>
    </row>
    <row r="72" spans="1:8">
      <c r="B72" s="23" t="s">
        <v>62</v>
      </c>
    </row>
    <row r="73" spans="1:8" ht="13" thickBot="1">
      <c r="A73" s="24"/>
      <c r="B73" s="24"/>
      <c r="C73" s="24"/>
      <c r="D73" s="24"/>
      <c r="E73" s="24"/>
      <c r="F73" s="24"/>
      <c r="G73" s="24"/>
      <c r="H73" s="24"/>
    </row>
    <row r="74" spans="1:8" ht="13" thickBot="1"/>
    <row r="75" spans="1:8">
      <c r="B75" s="25"/>
      <c r="C75" s="26"/>
      <c r="E75" s="25"/>
      <c r="F75" s="26"/>
      <c r="G75" s="25"/>
      <c r="H75" s="26"/>
    </row>
    <row r="76" spans="1:8" ht="13" thickBot="1">
      <c r="B76" s="27"/>
      <c r="C76" s="28"/>
      <c r="E76" s="27"/>
      <c r="F76" s="28"/>
      <c r="G76" s="27"/>
      <c r="H76" s="28"/>
    </row>
    <row r="77" spans="1:8">
      <c r="B77" s="29" t="s">
        <v>38</v>
      </c>
      <c r="E77" s="63" t="s">
        <v>25</v>
      </c>
      <c r="F77" s="30"/>
      <c r="G77" s="14" t="s">
        <v>26</v>
      </c>
      <c r="H77" s="30"/>
    </row>
    <row r="78" spans="1:8">
      <c r="B78" s="29"/>
      <c r="E78" s="20"/>
      <c r="G78" s="14"/>
    </row>
    <row r="80" spans="1:8">
      <c r="B80" s="31" t="s">
        <v>65</v>
      </c>
      <c r="G80" s="31" t="s">
        <v>65</v>
      </c>
    </row>
    <row r="85" spans="1:2">
      <c r="B85" s="10" t="s">
        <v>53</v>
      </c>
    </row>
    <row r="86" spans="1:2">
      <c r="B86" s="3" t="s">
        <v>54</v>
      </c>
    </row>
    <row r="87" spans="1:2">
      <c r="B87" s="3" t="s">
        <v>55</v>
      </c>
    </row>
    <row r="88" spans="1:2">
      <c r="B88" s="3" t="s">
        <v>56</v>
      </c>
    </row>
    <row r="89" spans="1:2">
      <c r="B89" s="3" t="s">
        <v>134</v>
      </c>
    </row>
    <row r="90" spans="1:2">
      <c r="B90" s="3" t="s">
        <v>57</v>
      </c>
    </row>
    <row r="92" spans="1:2">
      <c r="A92" s="3" t="s">
        <v>135</v>
      </c>
    </row>
  </sheetData>
  <sheetProtection password="CF3B" sheet="1" objects="1" scenarios="1"/>
  <phoneticPr fontId="0" type="noConversion"/>
  <conditionalFormatting sqref="J11:J60">
    <cfRule type="cellIs" dxfId="2" priority="1" stopIfTrue="1" operator="equal">
      <formula>"Error"</formula>
    </cfRule>
  </conditionalFormatting>
  <conditionalFormatting sqref="F71">
    <cfRule type="cellIs" dxfId="1" priority="2" stopIfTrue="1" operator="equal">
      <formula>"ERROR - NOT READY TO SEND IN"</formula>
    </cfRule>
  </conditionalFormatting>
  <conditionalFormatting sqref="J3">
    <cfRule type="cellIs" dxfId="0" priority="3" stopIfTrue="1" operator="notEqual">
      <formula>""</formula>
    </cfRule>
  </conditionalFormatting>
  <dataValidations count="2">
    <dataValidation type="list" allowBlank="1" showInputMessage="1" showErrorMessage="1" sqref="B11:B60">
      <formula1>SchoolChart</formula1>
    </dataValidation>
    <dataValidation type="list" allowBlank="1" showInputMessage="1" showErrorMessage="1" sqref="D5">
      <formula1>SchoolEntity</formula1>
    </dataValidation>
  </dataValidations>
  <pageMargins left="0.75" right="0.75" top="1" bottom="1" header="0.5" footer="0.5"/>
  <headerFooter alignWithMargins="0">
    <oddFooter>&amp;L&amp;F&amp;R&amp;D</oddFooter>
  </headerFooter>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K18"/>
  <sheetViews>
    <sheetView workbookViewId="0"/>
  </sheetViews>
  <sheetFormatPr baseColWidth="10" defaultColWidth="8.83203125" defaultRowHeight="12"/>
  <cols>
    <col min="1" max="1" width="20.6640625" style="4" customWidth="1"/>
    <col min="2" max="2" width="40.6640625" customWidth="1"/>
    <col min="6" max="6" width="30.83203125" bestFit="1" customWidth="1"/>
    <col min="7" max="7" width="25.83203125" customWidth="1"/>
    <col min="9" max="9" width="19.83203125" customWidth="1"/>
    <col min="11" max="11" width="12.83203125" bestFit="1" customWidth="1"/>
  </cols>
  <sheetData>
    <row r="1" spans="1:11">
      <c r="A1" s="7" t="s">
        <v>51</v>
      </c>
      <c r="F1" t="s">
        <v>52</v>
      </c>
      <c r="G1" s="1"/>
      <c r="K1" s="1"/>
    </row>
    <row r="2" spans="1:11">
      <c r="A2" s="5" t="s">
        <v>50</v>
      </c>
      <c r="B2" s="1" t="s">
        <v>66</v>
      </c>
      <c r="C2" s="1" t="s">
        <v>70</v>
      </c>
      <c r="F2" t="s">
        <v>68</v>
      </c>
    </row>
    <row r="3" spans="1:11" ht="48">
      <c r="A3" s="6" t="s">
        <v>75</v>
      </c>
      <c r="B3" s="6" t="s">
        <v>41</v>
      </c>
      <c r="C3" s="2">
        <v>110611</v>
      </c>
      <c r="F3" t="s">
        <v>11</v>
      </c>
      <c r="G3" s="2">
        <v>3</v>
      </c>
    </row>
    <row r="4" spans="1:11" ht="24">
      <c r="A4" s="6" t="s">
        <v>78</v>
      </c>
      <c r="B4" s="6" t="s">
        <v>132</v>
      </c>
      <c r="C4" s="2">
        <v>110617</v>
      </c>
      <c r="F4" t="s">
        <v>12</v>
      </c>
      <c r="G4" s="2">
        <v>5</v>
      </c>
    </row>
    <row r="5" spans="1:11" ht="72">
      <c r="A5" s="6" t="s">
        <v>76</v>
      </c>
      <c r="B5" s="6" t="s">
        <v>42</v>
      </c>
      <c r="C5" s="2">
        <v>110618</v>
      </c>
      <c r="F5" t="s">
        <v>13</v>
      </c>
      <c r="G5" s="2">
        <v>4</v>
      </c>
      <c r="K5" s="1"/>
    </row>
    <row r="6" spans="1:11" ht="36">
      <c r="A6" s="6" t="s">
        <v>74</v>
      </c>
      <c r="B6" s="6" t="s">
        <v>85</v>
      </c>
      <c r="C6" s="2">
        <v>110642</v>
      </c>
      <c r="F6" t="s">
        <v>14</v>
      </c>
      <c r="G6" s="2">
        <v>7</v>
      </c>
    </row>
    <row r="7" spans="1:11" ht="24">
      <c r="A7" s="6" t="s">
        <v>86</v>
      </c>
      <c r="B7" s="6" t="s">
        <v>87</v>
      </c>
      <c r="C7" s="2">
        <v>110643</v>
      </c>
      <c r="F7" t="s">
        <v>15</v>
      </c>
      <c r="G7" s="2">
        <v>6</v>
      </c>
    </row>
    <row r="8" spans="1:11" ht="60">
      <c r="A8" s="6" t="s">
        <v>43</v>
      </c>
      <c r="B8" s="6" t="s">
        <v>44</v>
      </c>
      <c r="C8" s="2">
        <v>223325</v>
      </c>
      <c r="G8" s="4"/>
      <c r="K8" s="4"/>
    </row>
    <row r="9" spans="1:11" ht="60">
      <c r="A9" s="6" t="s">
        <v>45</v>
      </c>
      <c r="B9" s="6" t="s">
        <v>44</v>
      </c>
      <c r="C9" s="2">
        <v>223580</v>
      </c>
      <c r="G9" s="4"/>
    </row>
    <row r="10" spans="1:11" ht="60">
      <c r="A10" s="6" t="s">
        <v>80</v>
      </c>
      <c r="B10" s="6" t="s">
        <v>46</v>
      </c>
      <c r="C10" s="2">
        <v>240535</v>
      </c>
      <c r="G10" s="4"/>
    </row>
    <row r="11" spans="1:11" ht="84">
      <c r="A11" s="6" t="s">
        <v>47</v>
      </c>
      <c r="B11" s="6" t="s">
        <v>0</v>
      </c>
      <c r="C11" s="2">
        <v>240540</v>
      </c>
    </row>
    <row r="12" spans="1:11" ht="48">
      <c r="A12" s="6" t="s">
        <v>1</v>
      </c>
      <c r="B12" s="6" t="s">
        <v>29</v>
      </c>
      <c r="C12" s="2">
        <v>240580</v>
      </c>
    </row>
    <row r="13" spans="1:11" ht="60">
      <c r="A13" s="6" t="s">
        <v>79</v>
      </c>
      <c r="B13" s="6" t="s">
        <v>2</v>
      </c>
      <c r="C13" s="2">
        <v>240611</v>
      </c>
    </row>
    <row r="14" spans="1:11" ht="36">
      <c r="A14" s="6" t="s">
        <v>3</v>
      </c>
      <c r="B14" s="6" t="s">
        <v>28</v>
      </c>
      <c r="C14" s="2">
        <v>240730</v>
      </c>
    </row>
    <row r="15" spans="1:11" ht="36">
      <c r="A15" s="6" t="s">
        <v>81</v>
      </c>
      <c r="B15" s="6" t="s">
        <v>4</v>
      </c>
      <c r="C15" s="2">
        <v>262420</v>
      </c>
    </row>
    <row r="16" spans="1:11" ht="84">
      <c r="A16" s="6" t="s">
        <v>82</v>
      </c>
      <c r="B16" s="6" t="s">
        <v>5</v>
      </c>
      <c r="C16" s="2">
        <v>262430</v>
      </c>
    </row>
    <row r="17" spans="1:3" ht="48">
      <c r="A17" s="6" t="s">
        <v>77</v>
      </c>
      <c r="B17" s="6" t="s">
        <v>6</v>
      </c>
      <c r="C17" s="2">
        <v>283540</v>
      </c>
    </row>
    <row r="18" spans="1:3" ht="36">
      <c r="A18" s="6" t="s">
        <v>7</v>
      </c>
      <c r="B18" s="6" t="s">
        <v>8</v>
      </c>
      <c r="C18" s="2">
        <v>284611</v>
      </c>
    </row>
  </sheetData>
  <phoneticPr fontId="0" type="noConversion"/>
  <pageMargins left="0.75" right="0.75" top="1" bottom="1" header="0.5" footer="0.5"/>
  <headerFooter alignWithMargins="0"/>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Policy &amp; Directions</vt:lpstr>
      <vt:lpstr>Petty Cash Request</vt:lpstr>
      <vt:lpstr>Voucher</vt:lpstr>
      <vt:lpstr>School Sample</vt:lpstr>
      <vt:lpstr>Choices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Amanda Brice</cp:lastModifiedBy>
  <cp:lastPrinted>2010-05-13T16:38:57Z</cp:lastPrinted>
  <dcterms:created xsi:type="dcterms:W3CDTF">2000-03-05T05:51:58Z</dcterms:created>
  <dcterms:modified xsi:type="dcterms:W3CDTF">2010-09-13T19:53:38Z</dcterms:modified>
</cp:coreProperties>
</file>