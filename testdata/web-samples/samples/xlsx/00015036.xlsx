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-15" windowWidth="14910" windowHeight="9030"/>
  </bookViews>
  <sheets>
    <sheet name="Formula" sheetId="1" r:id="rId1"/>
    <sheet name="Legislation" sheetId="7" r:id="rId2"/>
  </sheets>
  <definedNames>
    <definedName name="_xlnm.Print_Area" localSheetId="0">Formula!$A$7:$D$66</definedName>
    <definedName name="_xlnm.Print_Titles" localSheetId="0">Formula!$1:$6</definedName>
  </definedNames>
  <calcPr calcId="145621"/>
</workbook>
</file>

<file path=xl/calcChain.xml><?xml version="1.0" encoding="utf-8"?>
<calcChain xmlns="http://schemas.openxmlformats.org/spreadsheetml/2006/main">
  <c r="C6" i="1" l="1"/>
  <c r="D6" i="1"/>
  <c r="C62" i="1" l="1"/>
  <c r="C20" i="1"/>
  <c r="D20" i="1"/>
  <c r="D62" i="1"/>
  <c r="C63" i="1" l="1"/>
  <c r="D63" i="1"/>
  <c r="B62" i="1" l="1"/>
  <c r="B20" i="1" l="1"/>
  <c r="B63" i="1" l="1"/>
</calcChain>
</file>

<file path=xl/sharedStrings.xml><?xml version="1.0" encoding="utf-8"?>
<sst xmlns="http://schemas.openxmlformats.org/spreadsheetml/2006/main" count="106" uniqueCount="92">
  <si>
    <t>State</t>
  </si>
  <si>
    <t>Alaska</t>
  </si>
  <si>
    <t>Arizona</t>
  </si>
  <si>
    <t>California</t>
  </si>
  <si>
    <t>Colorado</t>
  </si>
  <si>
    <t>Idaho</t>
  </si>
  <si>
    <t>Montana</t>
  </si>
  <si>
    <t>Nevada</t>
  </si>
  <si>
    <t>New Mexico</t>
  </si>
  <si>
    <t>Oregon</t>
  </si>
  <si>
    <t>Utah</t>
  </si>
  <si>
    <t>Washington</t>
  </si>
  <si>
    <t>Wyoming</t>
  </si>
  <si>
    <t>Alabama</t>
  </si>
  <si>
    <t>Arkansas</t>
  </si>
  <si>
    <t>Connecticut</t>
  </si>
  <si>
    <t>Delaware</t>
  </si>
  <si>
    <t>Dist. Of Columbia</t>
  </si>
  <si>
    <t>Florida</t>
  </si>
  <si>
    <t>Georgia</t>
  </si>
  <si>
    <t>Hawaii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</si>
  <si>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</si>
  <si>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</si>
  <si>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</si>
  <si>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</si>
  <si>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</si>
  <si>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</si>
  <si>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</si>
  <si>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</si>
  <si>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</si>
  <si>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</si>
  <si>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</si>
  <si>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</si>
  <si>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</si>
  <si>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</si>
  <si>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New Hampshire</t>
  </si>
  <si>
    <t>New Jersey</t>
  </si>
  <si>
    <t>New York</t>
  </si>
  <si>
    <t>North Carolina</t>
  </si>
  <si>
    <t>North Dakota</t>
  </si>
  <si>
    <t>Ohio</t>
  </si>
  <si>
    <t>Oklahoma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</si>
  <si>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</si>
  <si>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</si>
  <si>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</si>
  <si>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</si>
  <si>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</si>
  <si>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</si>
  <si>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</si>
  <si>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Vermont</t>
  </si>
  <si>
    <t>Virginia</t>
  </si>
  <si>
    <t>West Virginia</t>
  </si>
  <si>
    <t>Wisconsin</t>
  </si>
  <si>
    <t>Federal Lands Access Program Formula</t>
  </si>
  <si>
    <t>States that contain at least 1.5% of the total public land in the United States</t>
  </si>
  <si>
    <t>States that contain less than 1.5% of the total public land in the United States</t>
  </si>
  <si>
    <t>Distribution Worksheet, FY 2013</t>
  </si>
  <si>
    <t>GRAND TOTALS:</t>
  </si>
  <si>
    <t>Subtotals:</t>
  </si>
  <si>
    <t xml:space="preserve"> (1) IN GENERAL.—Funding made available to carry out the Federal lands access program shall be allocated among those States that have Federal land, in accordance with the following formula:</t>
  </si>
  <si>
    <t xml:space="preserve"> (A) 80 percent of the available funding for use in those States that contain at least 1 1⁄2 percent of the total public land in the United States managed by the agencies described in paragraph (2), to be distributed as follows:</t>
  </si>
  <si>
    <t xml:space="preserve"> (i) 30 percent in the ratio that—</t>
  </si>
  <si>
    <t xml:space="preserve"> (I) recreational visitation within each such State; bears to</t>
  </si>
  <si>
    <t xml:space="preserve"> (II) the recreational visitation within all such States.</t>
  </si>
  <si>
    <t xml:space="preserve"> (ii) 5 percent in the ratio that—</t>
  </si>
  <si>
    <t xml:space="preserve"> (I) the Federal land area within each such State; bears to</t>
  </si>
  <si>
    <t xml:space="preserve"> (II) the Federal land area in all such States.</t>
  </si>
  <si>
    <t xml:space="preserve"> (iii) 55 percent in the ratio that—</t>
  </si>
  <si>
    <t xml:space="preserve"> (I) the Federal public road miles within each such State; bears to</t>
  </si>
  <si>
    <t xml:space="preserve"> (II) the Federal public road miles in all such States.</t>
  </si>
  <si>
    <t xml:space="preserve"> (iv) 10 percent in the ratio that—</t>
  </si>
  <si>
    <t xml:space="preserve"> (I) the number of Federal public bridges within each such State; bears to</t>
  </si>
  <si>
    <t xml:space="preserve"> (II) the number of Federal public bridges in all such States.</t>
  </si>
  <si>
    <t xml:space="preserve"> (B) 20 percent of the available funding for use in those States that do not contain at least 1 1⁄2 percent of the total public land in the United States managed by the agencies described in paragraph (2), to be distributed as follows:</t>
  </si>
  <si>
    <t xml:space="preserve"> (2) DATA SOURCE.—Data necessary to distribute funding</t>
  </si>
  <si>
    <t>under paragraph (1) shall be provided by the following Federal</t>
  </si>
  <si>
    <t>land management agencies:</t>
  </si>
  <si>
    <t>(A) The National Park Service.</t>
  </si>
  <si>
    <t>(B) The Forest Service.</t>
  </si>
  <si>
    <t>(C) The United States Fish and Wildlife Service.</t>
  </si>
  <si>
    <t>(D) The Bureau of Land Management.</t>
  </si>
  <si>
    <t>(E) The Corps of Engineers.</t>
  </si>
  <si>
    <t xml:space="preserve">23 USC 204, </t>
  </si>
  <si>
    <t>(b) PROGRAM DISTRIBUTIONS.—</t>
  </si>
  <si>
    <t>Obligation Limitation</t>
  </si>
  <si>
    <t>Contract Authority</t>
  </si>
  <si>
    <t>under MAP-21 *</t>
  </si>
  <si>
    <t>Projected **</t>
  </si>
  <si>
    <t>Currently Available ***</t>
  </si>
  <si>
    <t>*** Available Obligation Limitation through March 27, 2013, as provided by PL 112-175</t>
  </si>
  <si>
    <t xml:space="preserve">* Per Section 1102, MAP-21, Contract Authority in excess of Obligation Limitation will be removed from this program and distributed to 
States in the ratio described by paragraph (1) of the Section. </t>
  </si>
  <si>
    <t>** Projected amount of Contract Authority and Obligation Limitation extrapolated from the amount currently provided by PL 112-175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</si>
</sst>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&quot;$&quot;#,##0.00"/>
    <numFmt numFmtId="167" formatCode="[$$-409]#,##0.00_);\([$$-409]#,##0.0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b/>
      <sz val="9"/>
      <color indexed="8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indexed="8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10"/>
    </xf>
    <xf numFmtId="0" fontId="3" fillId="0" borderId="0" xfId="0" applyFont="1" applyAlignment="1">
      <alignment horizontal="left" vertical="center" indent="15"/>
    </xf>
    <xf numFmtId="0" fontId="3" fillId="0" borderId="0" xfId="0" applyFont="1" applyAlignment="1">
      <alignment horizontal="left" vertical="center" wrapText="1" indent="5"/>
    </xf>
    <xf numFmtId="0" fontId="3" fillId="0" borderId="0" xfId="0" applyFont="1" applyAlignment="1">
      <alignment horizontal="left" vertical="center" wrapText="1" indent="10"/>
    </xf>
    <xf numFmtId="0" fontId="0" fillId="0" borderId="8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9" xfId="0" applyFont="1" applyBorder="1" applyAlignment="1">
      <alignment horizontal="right"/>
    </xf>
    <xf numFmtId="165" fontId="0" fillId="0" borderId="16" xfId="0" applyNumberFormat="1" applyFont="1" applyBorder="1"/>
    <xf numFmtId="0" fontId="5" fillId="0" borderId="2" xfId="0" applyFont="1" applyFill="1" applyBorder="1"/>
    <xf numFmtId="14" fontId="6" fillId="0" borderId="24" xfId="0" applyNumberFormat="1" applyFont="1" applyBorder="1" applyAlignment="1">
      <alignment horizontal="left"/>
    </xf>
    <xf numFmtId="0" fontId="7" fillId="0" borderId="4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43" fontId="8" fillId="0" borderId="18" xfId="3" applyFont="1" applyBorder="1"/>
    <xf numFmtId="43" fontId="0" fillId="0" borderId="1" xfId="3" applyFont="1" applyBorder="1"/>
    <xf numFmtId="43" fontId="8" fillId="0" borderId="11" xfId="3" applyFont="1" applyBorder="1"/>
    <xf numFmtId="43" fontId="0" fillId="0" borderId="20" xfId="3" applyFont="1" applyBorder="1"/>
    <xf numFmtId="43" fontId="8" fillId="0" borderId="12" xfId="3" applyFont="1" applyBorder="1"/>
    <xf numFmtId="0" fontId="9" fillId="0" borderId="27" xfId="0" applyFont="1" applyFill="1" applyBorder="1" applyAlignment="1">
      <alignment horizontal="center" vertical="center"/>
    </xf>
    <xf numFmtId="165" fontId="0" fillId="0" borderId="26" xfId="0" applyNumberFormat="1" applyFont="1" applyBorder="1" applyAlignment="1">
      <alignment horizontal="right"/>
    </xf>
    <xf numFmtId="165" fontId="0" fillId="0" borderId="16" xfId="0" applyNumberFormat="1" applyFont="1" applyBorder="1" applyAlignment="1">
      <alignment horizontal="right"/>
    </xf>
    <xf numFmtId="0" fontId="9" fillId="0" borderId="15" xfId="0" applyFont="1" applyFill="1" applyBorder="1" applyAlignment="1">
      <alignment horizontal="left" wrapText="1"/>
    </xf>
    <xf numFmtId="0" fontId="9" fillId="0" borderId="19" xfId="0" applyFont="1" applyFill="1" applyBorder="1" applyAlignment="1">
      <alignment horizontal="left" wrapText="1"/>
    </xf>
    <xf numFmtId="0" fontId="9" fillId="0" borderId="23" xfId="0" applyFont="1" applyFill="1" applyBorder="1" applyAlignment="1">
      <alignment horizontal="left" wrapText="1"/>
    </xf>
    <xf numFmtId="0" fontId="9" fillId="0" borderId="17" xfId="0" applyFont="1" applyFill="1" applyBorder="1"/>
    <xf numFmtId="43" fontId="1" fillId="0" borderId="1" xfId="3" applyFont="1" applyBorder="1"/>
    <xf numFmtId="43" fontId="1" fillId="0" borderId="10" xfId="3" applyFont="1" applyBorder="1"/>
    <xf numFmtId="0" fontId="9" fillId="0" borderId="13" xfId="0" applyFont="1" applyFill="1" applyBorder="1"/>
    <xf numFmtId="43" fontId="1" fillId="0" borderId="20" xfId="3" applyFont="1" applyBorder="1"/>
    <xf numFmtId="43" fontId="1" fillId="0" borderId="11" xfId="3" applyFont="1" applyBorder="1"/>
    <xf numFmtId="0" fontId="9" fillId="0" borderId="14" xfId="0" applyFont="1" applyFill="1" applyBorder="1"/>
    <xf numFmtId="43" fontId="1" fillId="0" borderId="22" xfId="3" applyFont="1" applyBorder="1"/>
    <xf numFmtId="43" fontId="1" fillId="0" borderId="28" xfId="3" applyFont="1" applyBorder="1"/>
    <xf numFmtId="0" fontId="9" fillId="0" borderId="2" xfId="0" applyFont="1" applyFill="1" applyBorder="1" applyAlignment="1">
      <alignment horizontal="right" vertical="top"/>
    </xf>
    <xf numFmtId="43" fontId="8" fillId="0" borderId="8" xfId="3" applyFont="1" applyBorder="1" applyAlignment="1">
      <alignment vertical="top"/>
    </xf>
    <xf numFmtId="43" fontId="8" fillId="0" borderId="3" xfId="3" applyFont="1" applyBorder="1" applyAlignment="1">
      <alignment vertical="top"/>
    </xf>
    <xf numFmtId="0" fontId="9" fillId="0" borderId="15" xfId="0" applyFont="1" applyFill="1" applyBorder="1" applyAlignment="1">
      <alignment horizontal="left" vertical="top" wrapText="1"/>
    </xf>
    <xf numFmtId="0" fontId="9" fillId="0" borderId="19" xfId="0" applyFont="1" applyFill="1" applyBorder="1" applyAlignment="1">
      <alignment horizontal="left" vertical="top" wrapText="1"/>
    </xf>
    <xf numFmtId="0" fontId="9" fillId="0" borderId="23" xfId="0" applyFont="1" applyFill="1" applyBorder="1" applyAlignment="1">
      <alignment horizontal="left" vertical="top" wrapText="1"/>
    </xf>
    <xf numFmtId="0" fontId="9" fillId="0" borderId="13" xfId="0" applyFont="1" applyBorder="1"/>
    <xf numFmtId="0" fontId="9" fillId="0" borderId="15" xfId="0" applyFont="1" applyFill="1" applyBorder="1" applyAlignment="1">
      <alignment horizontal="right" vertical="top"/>
    </xf>
    <xf numFmtId="0" fontId="9" fillId="0" borderId="6" xfId="0" applyFont="1" applyFill="1" applyBorder="1" applyAlignment="1">
      <alignment horizontal="right"/>
    </xf>
    <xf numFmtId="0" fontId="10" fillId="0" borderId="2" xfId="0" applyFont="1" applyFill="1" applyBorder="1" applyAlignment="1">
      <alignment wrapText="1"/>
    </xf>
    <xf numFmtId="0" fontId="10" fillId="0" borderId="24" xfId="0" applyFont="1" applyFill="1" applyBorder="1" applyAlignment="1">
      <alignment wrapText="1"/>
    </xf>
    <xf numFmtId="0" fontId="10" fillId="0" borderId="4" xfId="0" applyFont="1" applyFill="1" applyBorder="1"/>
    <xf numFmtId="43" fontId="0" fillId="0" borderId="10" xfId="3" applyFont="1" applyBorder="1"/>
    <xf numFmtId="43" fontId="0" fillId="0" borderId="11" xfId="3" applyFont="1" applyBorder="1"/>
    <xf numFmtId="43" fontId="0" fillId="0" borderId="21" xfId="3" applyFont="1" applyBorder="1"/>
    <xf numFmtId="43" fontId="0" fillId="0" borderId="16" xfId="3" applyFont="1" applyBorder="1" applyAlignment="1">
      <alignment vertical="top"/>
    </xf>
    <xf numFmtId="167" fontId="0" fillId="0" borderId="9" xfId="1" applyNumberFormat="1" applyFont="1" applyBorder="1"/>
    <xf numFmtId="43" fontId="0" fillId="0" borderId="28" xfId="3" applyFont="1" applyBorder="1"/>
    <xf numFmtId="43" fontId="0" fillId="0" borderId="16" xfId="3" applyFont="1" applyBorder="1"/>
    <xf numFmtId="0" fontId="10" fillId="0" borderId="3" xfId="0" applyFont="1" applyFill="1" applyBorder="1" applyAlignment="1">
      <alignment wrapText="1"/>
    </xf>
    <xf numFmtId="0" fontId="0" fillId="0" borderId="0" xfId="0" applyFont="1" applyBorder="1"/>
    <xf numFmtId="0" fontId="0" fillId="0" borderId="5" xfId="0" applyFont="1" applyBorder="1"/>
    <xf numFmtId="0" fontId="10" fillId="0" borderId="6" xfId="0" applyFont="1" applyFill="1" applyBorder="1"/>
    <xf numFmtId="0" fontId="0" fillId="0" borderId="25" xfId="0" applyFont="1" applyBorder="1"/>
    <xf numFmtId="0" fontId="0" fillId="0" borderId="7" xfId="0" applyFont="1" applyBorder="1"/>
    <xf numFmtId="0" fontId="11" fillId="0" borderId="0" xfId="0" applyFont="1"/>
    <xf numFmtId="14" fontId="6" fillId="0" borderId="3" xfId="0" applyNumberFormat="1" applyFont="1" applyBorder="1" applyAlignment="1">
      <alignment horizontal="right"/>
    </xf>
  </cellXfs>
  <cellStyles count="4">
    <cellStyle name="Comma" xfId="3" builtinId="3"/>
    <cellStyle name="Currency" xfId="1" builtinId="4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6"/>
  <sheetViews>
    <sheetView tabSelected="1" zoomScaleNormal="100" workbookViewId="0"/>
  </sheetViews>
  <sheetFormatPr defaultRowHeight="15" x14ac:dyDescent="0.25"/>
  <cols>
    <col min="1" max="1" width="25" customWidth="1"/>
    <col min="2" max="2" width="32.42578125" style="1" bestFit="1" customWidth="1"/>
    <col min="3" max="3" width="30.28515625" style="1" customWidth="1"/>
    <col min="4" max="4" width="27.7109375" style="1" customWidth="1"/>
    <col min="6" max="6" width="10" bestFit="1" customWidth="1"/>
  </cols>
  <sheetData>
    <row r="1" spans="1:4" x14ac:dyDescent="0.25">
      <c r="A1" s="15"/>
      <c r="B1" s="16"/>
      <c r="C1" s="16"/>
      <c r="D1" s="69">
        <v>41207</v>
      </c>
    </row>
    <row r="2" spans="1:4" ht="21" x14ac:dyDescent="0.35">
      <c r="A2" s="17" t="s">
        <v>53</v>
      </c>
      <c r="B2" s="18"/>
      <c r="C2" s="18"/>
      <c r="D2" s="19"/>
    </row>
    <row r="3" spans="1:4" ht="15.75" thickBot="1" x14ac:dyDescent="0.3">
      <c r="A3" s="20" t="s">
        <v>56</v>
      </c>
      <c r="B3" s="21"/>
      <c r="C3" s="21"/>
      <c r="D3" s="22"/>
    </row>
    <row r="4" spans="1:4" x14ac:dyDescent="0.25">
      <c r="A4" s="8"/>
      <c r="B4" s="9" t="s">
        <v>85</v>
      </c>
      <c r="C4" s="10" t="s">
        <v>84</v>
      </c>
      <c r="D4" s="10" t="s">
        <v>84</v>
      </c>
    </row>
    <row r="5" spans="1:4" ht="15.75" thickBot="1" x14ac:dyDescent="0.3">
      <c r="A5" s="28" t="s">
        <v>0</v>
      </c>
      <c r="B5" s="11" t="s">
        <v>86</v>
      </c>
      <c r="C5" s="12" t="s">
        <v>87</v>
      </c>
      <c r="D5" s="12" t="s">
        <v>88</v>
      </c>
    </row>
    <row r="6" spans="1:4" ht="15.75" thickBot="1" x14ac:dyDescent="0.3">
      <c r="A6" s="13"/>
      <c r="B6" s="29">
        <v>250000000</v>
      </c>
      <c r="C6" s="14">
        <f>ROUND($B$6*94.6%,0)-ROUND($B$6*94.6%*5%,0)</f>
        <v>224675000</v>
      </c>
      <c r="D6" s="30">
        <f>ROUND($B$6*94.6%*48.77%,0)-ROUND($B$6*94.6%*48.77%*5%,0)</f>
        <v>109573997</v>
      </c>
    </row>
    <row r="7" spans="1:4" ht="15.75" customHeight="1" thickBot="1" x14ac:dyDescent="0.3">
      <c r="A7" s="31" t="s">
        <v>54</v>
      </c>
      <c r="B7" s="32"/>
      <c r="C7" s="32"/>
      <c r="D7" s="33"/>
    </row>
    <row r="8" spans="1:4" ht="15" customHeight="1" x14ac:dyDescent="0.25">
      <c r="A8" s="34" t="s">
        <v>1</v>
      </c>
      <c r="B8" s="23">
        <v>7809942</v>
      </c>
      <c r="C8" s="35">
        <v>7018794</v>
      </c>
      <c r="D8" s="36">
        <v>3423066</v>
      </c>
    </row>
    <row r="9" spans="1:4" x14ac:dyDescent="0.25">
      <c r="A9" s="37" t="s">
        <v>2</v>
      </c>
      <c r="B9" s="25">
        <v>14873315</v>
      </c>
      <c r="C9" s="38">
        <v>13366650</v>
      </c>
      <c r="D9" s="39">
        <v>6518914</v>
      </c>
    </row>
    <row r="10" spans="1:4" x14ac:dyDescent="0.25">
      <c r="A10" s="37" t="s">
        <v>3</v>
      </c>
      <c r="B10" s="25">
        <v>39283077</v>
      </c>
      <c r="C10" s="38">
        <v>35303700</v>
      </c>
      <c r="D10" s="39">
        <v>17217615</v>
      </c>
    </row>
    <row r="11" spans="1:4" x14ac:dyDescent="0.25">
      <c r="A11" s="37" t="s">
        <v>4</v>
      </c>
      <c r="B11" s="25">
        <v>18335540</v>
      </c>
      <c r="C11" s="38">
        <v>16478149</v>
      </c>
      <c r="D11" s="39">
        <v>8036393</v>
      </c>
    </row>
    <row r="12" spans="1:4" x14ac:dyDescent="0.25">
      <c r="A12" s="37" t="s">
        <v>5</v>
      </c>
      <c r="B12" s="25">
        <v>18765289</v>
      </c>
      <c r="C12" s="38">
        <v>16864365</v>
      </c>
      <c r="D12" s="39">
        <v>8224751</v>
      </c>
    </row>
    <row r="13" spans="1:4" x14ac:dyDescent="0.25">
      <c r="A13" s="37" t="s">
        <v>6</v>
      </c>
      <c r="B13" s="25">
        <v>25064181</v>
      </c>
      <c r="C13" s="38">
        <v>22525179</v>
      </c>
      <c r="D13" s="39">
        <v>10985529</v>
      </c>
    </row>
    <row r="14" spans="1:4" x14ac:dyDescent="0.25">
      <c r="A14" s="37" t="s">
        <v>7</v>
      </c>
      <c r="B14" s="25">
        <v>7792499</v>
      </c>
      <c r="C14" s="38">
        <v>7003119</v>
      </c>
      <c r="D14" s="39">
        <v>3415421</v>
      </c>
    </row>
    <row r="15" spans="1:4" x14ac:dyDescent="0.25">
      <c r="A15" s="37" t="s">
        <v>8</v>
      </c>
      <c r="B15" s="25">
        <v>6362804</v>
      </c>
      <c r="C15" s="38">
        <v>5718251</v>
      </c>
      <c r="D15" s="39">
        <v>2788792</v>
      </c>
    </row>
    <row r="16" spans="1:4" x14ac:dyDescent="0.25">
      <c r="A16" s="37" t="s">
        <v>9</v>
      </c>
      <c r="B16" s="25">
        <v>24282680</v>
      </c>
      <c r="C16" s="38">
        <v>21822845</v>
      </c>
      <c r="D16" s="39">
        <v>10643002</v>
      </c>
    </row>
    <row r="17" spans="1:4" x14ac:dyDescent="0.25">
      <c r="A17" s="37" t="s">
        <v>10</v>
      </c>
      <c r="B17" s="25">
        <v>11853383</v>
      </c>
      <c r="C17" s="38">
        <v>10652636</v>
      </c>
      <c r="D17" s="39">
        <v>5195290</v>
      </c>
    </row>
    <row r="18" spans="1:4" x14ac:dyDescent="0.25">
      <c r="A18" s="37" t="s">
        <v>11</v>
      </c>
      <c r="B18" s="25">
        <v>15377605</v>
      </c>
      <c r="C18" s="38">
        <v>13819855</v>
      </c>
      <c r="D18" s="39">
        <v>6739943</v>
      </c>
    </row>
    <row r="19" spans="1:4" ht="15.75" thickBot="1" x14ac:dyDescent="0.3">
      <c r="A19" s="40" t="s">
        <v>12</v>
      </c>
      <c r="B19" s="27">
        <v>10199685</v>
      </c>
      <c r="C19" s="41">
        <v>9166457</v>
      </c>
      <c r="D19" s="42">
        <v>4470481</v>
      </c>
    </row>
    <row r="20" spans="1:4" ht="15.75" thickBot="1" x14ac:dyDescent="0.3">
      <c r="A20" s="43" t="s">
        <v>58</v>
      </c>
      <c r="B20" s="44">
        <f>SUM(B8:B19)</f>
        <v>200000000</v>
      </c>
      <c r="C20" s="45">
        <f>SUM(C8:C19)</f>
        <v>179740000</v>
      </c>
      <c r="D20" s="44">
        <f>SUM(D8:D19)</f>
        <v>87659197</v>
      </c>
    </row>
    <row r="21" spans="1:4" ht="15.75" customHeight="1" thickBot="1" x14ac:dyDescent="0.3">
      <c r="A21" s="46" t="s">
        <v>55</v>
      </c>
      <c r="B21" s="47"/>
      <c r="C21" s="47"/>
      <c r="D21" s="48"/>
    </row>
    <row r="22" spans="1:4" x14ac:dyDescent="0.25">
      <c r="A22" s="34" t="s">
        <v>13</v>
      </c>
      <c r="B22" s="23">
        <v>1129490</v>
      </c>
      <c r="C22" s="24">
        <v>1015073</v>
      </c>
      <c r="D22" s="55">
        <v>495051</v>
      </c>
    </row>
    <row r="23" spans="1:4" x14ac:dyDescent="0.25">
      <c r="A23" s="37" t="s">
        <v>14</v>
      </c>
      <c r="B23" s="25">
        <v>3415779</v>
      </c>
      <c r="C23" s="26">
        <v>3069761</v>
      </c>
      <c r="D23" s="56">
        <v>1497123</v>
      </c>
    </row>
    <row r="24" spans="1:4" x14ac:dyDescent="0.25">
      <c r="A24" s="37" t="s">
        <v>15</v>
      </c>
      <c r="B24" s="25">
        <v>38837</v>
      </c>
      <c r="C24" s="26">
        <v>34903</v>
      </c>
      <c r="D24" s="56">
        <v>17022</v>
      </c>
    </row>
    <row r="25" spans="1:4" x14ac:dyDescent="0.25">
      <c r="A25" s="49" t="s">
        <v>16</v>
      </c>
      <c r="B25" s="25">
        <v>32639</v>
      </c>
      <c r="C25" s="26">
        <v>29334</v>
      </c>
      <c r="D25" s="56">
        <v>14307</v>
      </c>
    </row>
    <row r="26" spans="1:4" x14ac:dyDescent="0.25">
      <c r="A26" s="49" t="s">
        <v>17</v>
      </c>
      <c r="B26" s="25">
        <v>1427932</v>
      </c>
      <c r="C26" s="26">
        <v>1283283</v>
      </c>
      <c r="D26" s="56">
        <v>625857</v>
      </c>
    </row>
    <row r="27" spans="1:4" x14ac:dyDescent="0.25">
      <c r="A27" s="37" t="s">
        <v>18</v>
      </c>
      <c r="B27" s="25">
        <v>2178283</v>
      </c>
      <c r="C27" s="26">
        <v>1957622</v>
      </c>
      <c r="D27" s="56">
        <v>954732</v>
      </c>
    </row>
    <row r="28" spans="1:4" x14ac:dyDescent="0.25">
      <c r="A28" s="37" t="s">
        <v>19</v>
      </c>
      <c r="B28" s="25">
        <v>2546805</v>
      </c>
      <c r="C28" s="26">
        <v>2288814</v>
      </c>
      <c r="D28" s="56">
        <v>1116254</v>
      </c>
    </row>
    <row r="29" spans="1:4" x14ac:dyDescent="0.25">
      <c r="A29" s="37" t="s">
        <v>20</v>
      </c>
      <c r="B29" s="25">
        <v>289622</v>
      </c>
      <c r="C29" s="26">
        <v>260284</v>
      </c>
      <c r="D29" s="56">
        <v>126940</v>
      </c>
    </row>
    <row r="30" spans="1:4" x14ac:dyDescent="0.25">
      <c r="A30" s="37" t="s">
        <v>21</v>
      </c>
      <c r="B30" s="25">
        <v>994419</v>
      </c>
      <c r="C30" s="26">
        <v>893684</v>
      </c>
      <c r="D30" s="56">
        <v>435850</v>
      </c>
    </row>
    <row r="31" spans="1:4" x14ac:dyDescent="0.25">
      <c r="A31" s="37" t="s">
        <v>22</v>
      </c>
      <c r="B31" s="25">
        <v>548199</v>
      </c>
      <c r="C31" s="26">
        <v>492668</v>
      </c>
      <c r="D31" s="56">
        <v>240273</v>
      </c>
    </row>
    <row r="32" spans="1:4" x14ac:dyDescent="0.25">
      <c r="A32" s="37" t="s">
        <v>23</v>
      </c>
      <c r="B32" s="25">
        <v>360388</v>
      </c>
      <c r="C32" s="26">
        <v>323880</v>
      </c>
      <c r="D32" s="56">
        <v>157956</v>
      </c>
    </row>
    <row r="33" spans="1:4" x14ac:dyDescent="0.25">
      <c r="A33" s="37" t="s">
        <v>24</v>
      </c>
      <c r="B33" s="25">
        <v>893428</v>
      </c>
      <c r="C33" s="26">
        <v>802924</v>
      </c>
      <c r="D33" s="56">
        <v>391586</v>
      </c>
    </row>
    <row r="34" spans="1:4" x14ac:dyDescent="0.25">
      <c r="A34" s="37" t="s">
        <v>25</v>
      </c>
      <c r="B34" s="25">
        <v>1805461</v>
      </c>
      <c r="C34" s="26">
        <v>1622568</v>
      </c>
      <c r="D34" s="56">
        <v>791327</v>
      </c>
    </row>
    <row r="35" spans="1:4" x14ac:dyDescent="0.25">
      <c r="A35" s="37" t="s">
        <v>26</v>
      </c>
      <c r="B35" s="25">
        <v>1378525</v>
      </c>
      <c r="C35" s="26">
        <v>1238881</v>
      </c>
      <c r="D35" s="56">
        <v>604202</v>
      </c>
    </row>
    <row r="36" spans="1:4" x14ac:dyDescent="0.25">
      <c r="A36" s="37" t="s">
        <v>27</v>
      </c>
      <c r="B36" s="25">
        <v>321933</v>
      </c>
      <c r="C36" s="26">
        <v>289322</v>
      </c>
      <c r="D36" s="56">
        <v>141102</v>
      </c>
    </row>
    <row r="37" spans="1:4" x14ac:dyDescent="0.25">
      <c r="A37" s="37" t="s">
        <v>28</v>
      </c>
      <c r="B37" s="25">
        <v>508312</v>
      </c>
      <c r="C37" s="26">
        <v>456819</v>
      </c>
      <c r="D37" s="56">
        <v>222791</v>
      </c>
    </row>
    <row r="38" spans="1:4" x14ac:dyDescent="0.25">
      <c r="A38" s="37" t="s">
        <v>29</v>
      </c>
      <c r="B38" s="25">
        <v>408842</v>
      </c>
      <c r="C38" s="26">
        <v>367426</v>
      </c>
      <c r="D38" s="56">
        <v>179194</v>
      </c>
    </row>
    <row r="39" spans="1:4" x14ac:dyDescent="0.25">
      <c r="A39" s="37" t="s">
        <v>30</v>
      </c>
      <c r="B39" s="25">
        <v>1763028</v>
      </c>
      <c r="C39" s="26">
        <v>1584434</v>
      </c>
      <c r="D39" s="56">
        <v>772728</v>
      </c>
    </row>
    <row r="40" spans="1:4" x14ac:dyDescent="0.25">
      <c r="A40" s="37" t="s">
        <v>31</v>
      </c>
      <c r="B40" s="25">
        <v>1480225</v>
      </c>
      <c r="C40" s="26">
        <v>1330278</v>
      </c>
      <c r="D40" s="56">
        <v>648776</v>
      </c>
    </row>
    <row r="41" spans="1:4" x14ac:dyDescent="0.25">
      <c r="A41" s="37" t="s">
        <v>32</v>
      </c>
      <c r="B41" s="25">
        <v>3164540</v>
      </c>
      <c r="C41" s="26">
        <v>2843973</v>
      </c>
      <c r="D41" s="56">
        <v>1387006</v>
      </c>
    </row>
    <row r="42" spans="1:4" x14ac:dyDescent="0.25">
      <c r="A42" s="37" t="s">
        <v>33</v>
      </c>
      <c r="B42" s="25">
        <v>1594799</v>
      </c>
      <c r="C42" s="26">
        <v>1433247</v>
      </c>
      <c r="D42" s="56">
        <v>698994</v>
      </c>
    </row>
    <row r="43" spans="1:4" x14ac:dyDescent="0.25">
      <c r="A43" s="37" t="s">
        <v>34</v>
      </c>
      <c r="B43" s="25">
        <v>305300</v>
      </c>
      <c r="C43" s="26">
        <v>274372</v>
      </c>
      <c r="D43" s="56">
        <v>133812</v>
      </c>
    </row>
    <row r="44" spans="1:4" x14ac:dyDescent="0.25">
      <c r="A44" s="37" t="s">
        <v>35</v>
      </c>
      <c r="B44" s="25">
        <v>308501</v>
      </c>
      <c r="C44" s="26">
        <v>277251</v>
      </c>
      <c r="D44" s="56">
        <v>135215</v>
      </c>
    </row>
    <row r="45" spans="1:4" x14ac:dyDescent="0.25">
      <c r="A45" s="37" t="s">
        <v>36</v>
      </c>
      <c r="B45" s="25">
        <v>234233</v>
      </c>
      <c r="C45" s="26">
        <v>210505</v>
      </c>
      <c r="D45" s="56">
        <v>102664</v>
      </c>
    </row>
    <row r="46" spans="1:4" x14ac:dyDescent="0.25">
      <c r="A46" s="37" t="s">
        <v>37</v>
      </c>
      <c r="B46" s="25">
        <v>491509</v>
      </c>
      <c r="C46" s="26">
        <v>441719</v>
      </c>
      <c r="D46" s="56">
        <v>215426</v>
      </c>
    </row>
    <row r="47" spans="1:4" x14ac:dyDescent="0.25">
      <c r="A47" s="37" t="s">
        <v>38</v>
      </c>
      <c r="B47" s="25">
        <v>2812507</v>
      </c>
      <c r="C47" s="26">
        <v>2527599</v>
      </c>
      <c r="D47" s="56">
        <v>1232710</v>
      </c>
    </row>
    <row r="48" spans="1:4" x14ac:dyDescent="0.25">
      <c r="A48" s="37" t="s">
        <v>39</v>
      </c>
      <c r="B48" s="25">
        <v>948520</v>
      </c>
      <c r="C48" s="26">
        <v>852433</v>
      </c>
      <c r="D48" s="56">
        <v>415731</v>
      </c>
    </row>
    <row r="49" spans="1:4" x14ac:dyDescent="0.25">
      <c r="A49" s="37" t="s">
        <v>40</v>
      </c>
      <c r="B49" s="25">
        <v>933970</v>
      </c>
      <c r="C49" s="26">
        <v>839359</v>
      </c>
      <c r="D49" s="56">
        <v>409356</v>
      </c>
    </row>
    <row r="50" spans="1:4" x14ac:dyDescent="0.25">
      <c r="A50" s="37" t="s">
        <v>41</v>
      </c>
      <c r="B50" s="25">
        <v>1469248</v>
      </c>
      <c r="C50" s="26">
        <v>1320413</v>
      </c>
      <c r="D50" s="56">
        <v>643965</v>
      </c>
    </row>
    <row r="51" spans="1:4" x14ac:dyDescent="0.25">
      <c r="A51" s="37" t="s">
        <v>42</v>
      </c>
      <c r="B51" s="25">
        <v>1203223</v>
      </c>
      <c r="C51" s="26">
        <v>1081336</v>
      </c>
      <c r="D51" s="56">
        <v>527368</v>
      </c>
    </row>
    <row r="52" spans="1:4" x14ac:dyDescent="0.25">
      <c r="A52" s="37" t="s">
        <v>43</v>
      </c>
      <c r="B52" s="25">
        <v>77957</v>
      </c>
      <c r="C52" s="26">
        <v>70059</v>
      </c>
      <c r="D52" s="56">
        <v>34168</v>
      </c>
    </row>
    <row r="53" spans="1:4" x14ac:dyDescent="0.25">
      <c r="A53" s="49" t="s">
        <v>44</v>
      </c>
      <c r="B53" s="25">
        <v>15006</v>
      </c>
      <c r="C53" s="26">
        <v>13486</v>
      </c>
      <c r="D53" s="56">
        <v>6577</v>
      </c>
    </row>
    <row r="54" spans="1:4" x14ac:dyDescent="0.25">
      <c r="A54" s="37" t="s">
        <v>45</v>
      </c>
      <c r="B54" s="25">
        <v>1295975</v>
      </c>
      <c r="C54" s="26">
        <v>1164693</v>
      </c>
      <c r="D54" s="56">
        <v>568021</v>
      </c>
    </row>
    <row r="55" spans="1:4" x14ac:dyDescent="0.25">
      <c r="A55" s="37" t="s">
        <v>46</v>
      </c>
      <c r="B55" s="25">
        <v>1275708</v>
      </c>
      <c r="C55" s="26">
        <v>1146478</v>
      </c>
      <c r="D55" s="56">
        <v>559138</v>
      </c>
    </row>
    <row r="56" spans="1:4" x14ac:dyDescent="0.25">
      <c r="A56" s="37" t="s">
        <v>47</v>
      </c>
      <c r="B56" s="25">
        <v>2657077</v>
      </c>
      <c r="C56" s="26">
        <v>2387915</v>
      </c>
      <c r="D56" s="56">
        <v>1164586</v>
      </c>
    </row>
    <row r="57" spans="1:4" x14ac:dyDescent="0.25">
      <c r="A57" s="37" t="s">
        <v>48</v>
      </c>
      <c r="B57" s="25">
        <v>2955690</v>
      </c>
      <c r="C57" s="26">
        <v>2656279</v>
      </c>
      <c r="D57" s="56">
        <v>1295468</v>
      </c>
    </row>
    <row r="58" spans="1:4" x14ac:dyDescent="0.25">
      <c r="A58" s="37" t="s">
        <v>49</v>
      </c>
      <c r="B58" s="25">
        <v>223765</v>
      </c>
      <c r="C58" s="26">
        <v>201097</v>
      </c>
      <c r="D58" s="56">
        <v>98075</v>
      </c>
    </row>
    <row r="59" spans="1:4" x14ac:dyDescent="0.25">
      <c r="A59" s="37" t="s">
        <v>50</v>
      </c>
      <c r="B59" s="25">
        <v>3314583</v>
      </c>
      <c r="C59" s="26">
        <v>2978815</v>
      </c>
      <c r="D59" s="56">
        <v>1452768</v>
      </c>
    </row>
    <row r="60" spans="1:4" ht="15.75" thickBot="1" x14ac:dyDescent="0.3">
      <c r="A60" s="37" t="s">
        <v>51</v>
      </c>
      <c r="B60" s="25">
        <v>1184934</v>
      </c>
      <c r="C60" s="26">
        <v>1064900</v>
      </c>
      <c r="D60" s="60">
        <v>519352</v>
      </c>
    </row>
    <row r="61" spans="1:4" ht="15.75" thickBot="1" x14ac:dyDescent="0.3">
      <c r="A61" s="40" t="s">
        <v>52</v>
      </c>
      <c r="B61" s="27">
        <v>2010808</v>
      </c>
      <c r="C61" s="57">
        <v>1807113</v>
      </c>
      <c r="D61" s="61">
        <v>881329</v>
      </c>
    </row>
    <row r="62" spans="1:4" ht="15.75" thickBot="1" x14ac:dyDescent="0.3">
      <c r="A62" s="50" t="s">
        <v>58</v>
      </c>
      <c r="B62" s="58">
        <f>SUM(B22:B61)</f>
        <v>50000000</v>
      </c>
      <c r="C62" s="58">
        <f>SUM(C22:C61)</f>
        <v>44935000</v>
      </c>
      <c r="D62" s="58">
        <f>SUM(D22:D61)</f>
        <v>21914800</v>
      </c>
    </row>
    <row r="63" spans="1:4" ht="30.75" customHeight="1" thickBot="1" x14ac:dyDescent="0.3">
      <c r="A63" s="51" t="s">
        <v>57</v>
      </c>
      <c r="B63" s="59">
        <f>B20+B62</f>
        <v>250000000</v>
      </c>
      <c r="C63" s="59">
        <f>C20+C62</f>
        <v>224675000</v>
      </c>
      <c r="D63" s="59">
        <f>D20+D62</f>
        <v>109573997</v>
      </c>
    </row>
    <row r="64" spans="1:4" ht="29.25" customHeight="1" x14ac:dyDescent="0.25">
      <c r="A64" s="52" t="s">
        <v>90</v>
      </c>
      <c r="B64" s="53"/>
      <c r="C64" s="53"/>
      <c r="D64" s="62"/>
    </row>
    <row r="65" spans="1:4" x14ac:dyDescent="0.25">
      <c r="A65" s="54" t="s">
        <v>91</v>
      </c>
      <c r="B65" s="63"/>
      <c r="C65" s="63"/>
      <c r="D65" s="64"/>
    </row>
    <row r="66" spans="1:4" ht="15.75" thickBot="1" x14ac:dyDescent="0.3">
      <c r="A66" s="65" t="s">
        <v>89</v>
      </c>
      <c r="B66" s="66"/>
      <c r="C66" s="66"/>
      <c r="D66" s="67"/>
    </row>
  </sheetData>
  <sheetProtection selectLockedCells="1" selectUnlockedCells="1"/>
  <mergeCells count="5">
    <mergeCell ref="A64:D64"/>
    <mergeCell ref="A2:D2"/>
    <mergeCell ref="A3:D3"/>
    <mergeCell ref="A7:D7"/>
    <mergeCell ref="A21:D21"/>
  </mergeCells>
  <printOptions horizontalCentered="1"/>
  <pageMargins left="0.6" right="0.2" top="0.25" bottom="0.25" header="0.3" footer="0.3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Views>
    <sheetView workbookViewId="0"/>
  </sheetViews>
  <sheetFormatPr defaultRowHeight="15" x14ac:dyDescent="0.25"/>
  <cols>
    <col min="1" max="1" width="114.140625" customWidth="1"/>
  </cols>
  <sheetData>
    <row r="1" spans="1:1" ht="15.75" x14ac:dyDescent="0.25">
      <c r="A1" s="68" t="s">
        <v>82</v>
      </c>
    </row>
    <row r="2" spans="1:1" x14ac:dyDescent="0.25">
      <c r="A2" s="2" t="s">
        <v>83</v>
      </c>
    </row>
    <row r="3" spans="1:1" ht="30" x14ac:dyDescent="0.25">
      <c r="A3" s="6" t="s">
        <v>59</v>
      </c>
    </row>
    <row r="4" spans="1:1" ht="45" x14ac:dyDescent="0.25">
      <c r="A4" s="7" t="s">
        <v>60</v>
      </c>
    </row>
    <row r="5" spans="1:1" x14ac:dyDescent="0.25">
      <c r="A5" s="5" t="s">
        <v>61</v>
      </c>
    </row>
    <row r="6" spans="1:1" x14ac:dyDescent="0.25">
      <c r="A6" s="5" t="s">
        <v>62</v>
      </c>
    </row>
    <row r="7" spans="1:1" x14ac:dyDescent="0.25">
      <c r="A7" s="5" t="s">
        <v>63</v>
      </c>
    </row>
    <row r="8" spans="1:1" x14ac:dyDescent="0.25">
      <c r="A8" s="5" t="s">
        <v>64</v>
      </c>
    </row>
    <row r="9" spans="1:1" x14ac:dyDescent="0.25">
      <c r="A9" s="5" t="s">
        <v>65</v>
      </c>
    </row>
    <row r="10" spans="1:1" x14ac:dyDescent="0.25">
      <c r="A10" s="5" t="s">
        <v>66</v>
      </c>
    </row>
    <row r="11" spans="1:1" x14ac:dyDescent="0.25">
      <c r="A11" s="5" t="s">
        <v>67</v>
      </c>
    </row>
    <row r="12" spans="1:1" x14ac:dyDescent="0.25">
      <c r="A12" s="5" t="s">
        <v>68</v>
      </c>
    </row>
    <row r="13" spans="1:1" x14ac:dyDescent="0.25">
      <c r="A13" s="5" t="s">
        <v>69</v>
      </c>
    </row>
    <row r="14" spans="1:1" x14ac:dyDescent="0.25">
      <c r="A14" s="5" t="s">
        <v>70</v>
      </c>
    </row>
    <row r="15" spans="1:1" x14ac:dyDescent="0.25">
      <c r="A15" s="5" t="s">
        <v>71</v>
      </c>
    </row>
    <row r="16" spans="1:1" x14ac:dyDescent="0.25">
      <c r="A16" s="5" t="s">
        <v>72</v>
      </c>
    </row>
    <row r="17" spans="1:1" ht="45" x14ac:dyDescent="0.25">
      <c r="A17" s="7" t="s">
        <v>73</v>
      </c>
    </row>
    <row r="18" spans="1:1" x14ac:dyDescent="0.25">
      <c r="A18" s="5" t="s">
        <v>61</v>
      </c>
    </row>
    <row r="19" spans="1:1" x14ac:dyDescent="0.25">
      <c r="A19" s="5" t="s">
        <v>62</v>
      </c>
    </row>
    <row r="20" spans="1:1" x14ac:dyDescent="0.25">
      <c r="A20" s="5" t="s">
        <v>63</v>
      </c>
    </row>
    <row r="21" spans="1:1" x14ac:dyDescent="0.25">
      <c r="A21" s="5" t="s">
        <v>64</v>
      </c>
    </row>
    <row r="22" spans="1:1" x14ac:dyDescent="0.25">
      <c r="A22" s="5" t="s">
        <v>65</v>
      </c>
    </row>
    <row r="23" spans="1:1" x14ac:dyDescent="0.25">
      <c r="A23" s="5" t="s">
        <v>66</v>
      </c>
    </row>
    <row r="24" spans="1:1" x14ac:dyDescent="0.25">
      <c r="A24" s="5" t="s">
        <v>67</v>
      </c>
    </row>
    <row r="25" spans="1:1" x14ac:dyDescent="0.25">
      <c r="A25" s="5" t="s">
        <v>68</v>
      </c>
    </row>
    <row r="26" spans="1:1" x14ac:dyDescent="0.25">
      <c r="A26" s="5" t="s">
        <v>69</v>
      </c>
    </row>
    <row r="27" spans="1:1" x14ac:dyDescent="0.25">
      <c r="A27" s="5" t="s">
        <v>70</v>
      </c>
    </row>
    <row r="28" spans="1:1" x14ac:dyDescent="0.25">
      <c r="A28" s="5" t="s">
        <v>71</v>
      </c>
    </row>
    <row r="29" spans="1:1" x14ac:dyDescent="0.25">
      <c r="A29" s="5" t="s">
        <v>72</v>
      </c>
    </row>
    <row r="30" spans="1:1" x14ac:dyDescent="0.25">
      <c r="A30" s="5"/>
    </row>
    <row r="31" spans="1:1" x14ac:dyDescent="0.25">
      <c r="A31" s="3" t="s">
        <v>74</v>
      </c>
    </row>
    <row r="32" spans="1:1" x14ac:dyDescent="0.25">
      <c r="A32" s="3" t="s">
        <v>75</v>
      </c>
    </row>
    <row r="33" spans="1:1" x14ac:dyDescent="0.25">
      <c r="A33" s="3" t="s">
        <v>76</v>
      </c>
    </row>
    <row r="34" spans="1:1" x14ac:dyDescent="0.25">
      <c r="A34" s="4" t="s">
        <v>77</v>
      </c>
    </row>
    <row r="35" spans="1:1" x14ac:dyDescent="0.25">
      <c r="A35" s="4" t="s">
        <v>78</v>
      </c>
    </row>
    <row r="36" spans="1:1" x14ac:dyDescent="0.25">
      <c r="A36" s="4" t="s">
        <v>79</v>
      </c>
    </row>
    <row r="37" spans="1:1" x14ac:dyDescent="0.25">
      <c r="A37" s="4" t="s">
        <v>80</v>
      </c>
    </row>
    <row r="38" spans="1:1" x14ac:dyDescent="0.25">
      <c r="A38" s="4" t="s">
        <v>81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Formula</vt:lpstr>
      <vt:lpstr>Legislation</vt:lpstr>
      <vt:lpstr>Formula!Print_Area</vt:lpstr>
      <vt:lpstr>Formula!Print_Titles</vt:lpstr>
    </vt:vector>
  </TitlesOfParts>
  <Company>DOT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jeffrey.mann</dc:creator>
  <cp:lastModifiedBy>Carolyn Edwards</cp:lastModifiedBy>
  <cp:lastPrinted>2012-11-07T18:43:45Z</cp:lastPrinted>
  <dcterms:created xsi:type="dcterms:W3CDTF">2012-07-25T14:14:40Z</dcterms:created>
  <dcterms:modified xsi:type="dcterms:W3CDTF">2012-11-07T18:47:11Z</dcterms:modified>
</cp:coreProperties>
</file>