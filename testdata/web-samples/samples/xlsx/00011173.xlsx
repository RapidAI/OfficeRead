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360" yWindow="150" windowWidth="15255" windowHeight="11985"/>
  </bookViews>
  <sheets>
    <sheet name="Potential Voters" sheetId="1" r:id="rId1"/>
  </sheets>
  <calcPr calcId="145621"/>
</workbook>
</file>

<file path=xl/calcChain.xml><?xml version="1.0" encoding="utf-8"?>
<calcChain xmlns="http://schemas.openxmlformats.org/spreadsheetml/2006/main">
  <c r="F87" i="1" l="1"/>
  <c r="C87" i="1"/>
  <c r="D81" i="1"/>
  <c r="C78" i="1"/>
  <c r="C77" i="1"/>
  <c r="C76" i="1"/>
  <c r="C75" i="1"/>
  <c r="C74" i="1"/>
  <c r="C73" i="1"/>
  <c r="C72" i="1"/>
  <c r="C71" i="1"/>
  <c r="C70" i="1"/>
  <c r="C69" i="1"/>
  <c r="C68" i="1"/>
  <c r="C67" i="1"/>
  <c r="M57" i="1"/>
  <c r="O27" i="1"/>
  <c r="N27" i="1"/>
  <c r="M27" i="1"/>
  <c r="L27" i="1"/>
  <c r="K27" i="1"/>
  <c r="J27" i="1"/>
  <c r="I27" i="1"/>
  <c r="H27" i="1"/>
  <c r="G27" i="1"/>
  <c r="F27" i="1"/>
  <c r="E27" i="1"/>
  <c r="D27" i="1"/>
  <c r="C27" i="1"/>
</calcChain>
</file>

<file path=xl/sharedStrings.xml><?xml version="1.0" encoding="utf-8"?>
<sst xmlns="http://schemas.openxmlformats.org/spreadsheetml/2006/main" count="121" uniqueCount="59">
  <si>
    <t>HORIZONPOLL:  July 2011</t>
  </si>
  <si>
    <t>SNAPSHOT:  21 July 2011</t>
  </si>
  <si>
    <r>
      <t xml:space="preserve">POTENTIAL VOTERS    </t>
    </r>
    <r>
      <rPr>
        <b/>
        <sz val="14"/>
        <color indexed="53"/>
        <rFont val="Wingdings"/>
        <charset val="2"/>
      </rPr>
      <t>ü</t>
    </r>
  </si>
  <si>
    <t>If a New Zealand general election were held tomorrow, which party would you vote for, or which do you have a preference towards at the moment?</t>
  </si>
  <si>
    <t>Combined Results</t>
  </si>
  <si>
    <t>Which party did you vote for at New Zealand’s last general election in 2008?</t>
  </si>
  <si>
    <t>Total</t>
  </si>
  <si>
    <t>ACT New Zealand</t>
  </si>
  <si>
    <t>Green Party</t>
  </si>
  <si>
    <t>Jim Anderton's Progressive Party</t>
  </si>
  <si>
    <t>Labour Party</t>
  </si>
  <si>
    <t>Maori Party</t>
  </si>
  <si>
    <t>National Party</t>
  </si>
  <si>
    <t>New Zealand First Party</t>
  </si>
  <si>
    <t>United Future</t>
  </si>
  <si>
    <t>Other Party</t>
  </si>
  <si>
    <t>Chose not to vote</t>
  </si>
  <si>
    <t>Not Eligible to Vote</t>
  </si>
  <si>
    <t>Don't know or can't remember</t>
  </si>
  <si>
    <t>Conservative Party of New Zealand</t>
  </si>
  <si>
    <t>Mana Party</t>
  </si>
  <si>
    <t>New Citizens' Party</t>
  </si>
  <si>
    <t>Other party</t>
  </si>
  <si>
    <t>Choose not to vote</t>
  </si>
  <si>
    <t>Don't Know</t>
  </si>
  <si>
    <t>Base</t>
  </si>
  <si>
    <t>Margin of error</t>
  </si>
  <si>
    <t>Note: This result is based on respondents who did not rule out voting and who were eligible to vote.  It combines the results for those who have already decided how they will vote, with the results from those who are not sure, but have a preference for one party or another.</t>
  </si>
  <si>
    <t>Comparisons</t>
  </si>
  <si>
    <t>November 2010</t>
  </si>
  <si>
    <t>December 2010</t>
  </si>
  <si>
    <t>January 2011</t>
  </si>
  <si>
    <t>February 2011</t>
  </si>
  <si>
    <t>March 2011</t>
  </si>
  <si>
    <t>April  2011</t>
  </si>
  <si>
    <t>May    2011 Pre-budget</t>
  </si>
  <si>
    <t>May    2011 Post-budget</t>
  </si>
  <si>
    <t>July  2011</t>
  </si>
  <si>
    <t>22 September  2011</t>
  </si>
  <si>
    <t>18 October 2011</t>
  </si>
  <si>
    <t>21 October 2011</t>
  </si>
  <si>
    <t>Party would vote for or have preference towards</t>
  </si>
  <si>
    <t>N/M**</t>
  </si>
  <si>
    <t>Don't know</t>
  </si>
  <si>
    <t>*Totals may not sum exactly owing to rounding</t>
  </si>
  <si>
    <t>Base - All Interviews</t>
  </si>
  <si>
    <t>** N/M = "Not Measured"</t>
  </si>
  <si>
    <t>% Excluding Don't Knows</t>
  </si>
  <si>
    <t>Seats in Parliament from www.elections.org.nz calculator</t>
  </si>
  <si>
    <t>Assumptions</t>
  </si>
  <si>
    <t>Wins 1 seat</t>
  </si>
  <si>
    <t>Wins 4 seats</t>
  </si>
  <si>
    <t>Total Seats</t>
  </si>
  <si>
    <t>National</t>
  </si>
  <si>
    <t>Act</t>
  </si>
  <si>
    <t>Labour</t>
  </si>
  <si>
    <t>Green</t>
  </si>
  <si>
    <t>NZ First</t>
  </si>
  <si>
    <t>Mana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</si>
</sst>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1409]d\ mmmm\ yyyy;@"/>
  </numFmts>
  <fonts count="12" x14ac:knownFonts="1">
    <font>
      <sz val="11"/>
      <color theme="1"/>
      <name val="Calibri"/>
      <family val="2"/>
      <scheme val="minor"/>
    </font>
    <font>
      <b/>
      <sz val="11"/>
      <color theme="1"/>
      <name val="Calibri"/>
      <family val="2"/>
      <scheme val="minor"/>
    </font>
    <font>
      <u/>
      <sz val="18"/>
      <color theme="1"/>
      <name val="Calibri"/>
      <family val="2"/>
      <scheme val="minor"/>
    </font>
    <font>
      <b/>
      <sz val="14"/>
      <name val="Calibri"/>
      <family val="2"/>
      <scheme val="minor"/>
    </font>
    <font>
      <b/>
      <sz val="14"/>
      <color indexed="53"/>
      <name val="Wingdings"/>
      <charset val="2"/>
    </font>
    <font>
      <b/>
      <u/>
      <sz val="11"/>
      <color theme="1"/>
      <name val="Calibri"/>
      <family val="2"/>
      <scheme val="minor"/>
    </font>
    <font>
      <sz val="10"/>
      <color theme="1"/>
      <name val="Calibri"/>
      <family val="2"/>
      <scheme val="minor"/>
    </font>
    <font>
      <sz val="8"/>
      <color theme="1"/>
      <name val="Calibri"/>
      <family val="2"/>
      <scheme val="minor"/>
    </font>
    <font>
      <i/>
      <sz val="8"/>
      <color theme="1"/>
      <name val="Calibri"/>
      <family val="2"/>
      <scheme val="minor"/>
    </font>
    <font>
      <i/>
      <sz val="10"/>
      <color theme="1"/>
      <name val="Calibri"/>
      <family val="2"/>
      <scheme val="minor"/>
    </font>
    <font>
      <b/>
      <sz val="16"/>
      <color theme="1"/>
      <name val="Calibri"/>
      <family val="2"/>
      <scheme val="minor"/>
    </font>
    <font>
      <sz val="8"/>
      <color rgb="FF000000"/>
      <name val="Verdana"/>
      <family val="2"/>
    </font>
  </fonts>
  <fills count="3">
    <fill>
      <patternFill patternType="none"/>
    </fill>
    <fill>
      <patternFill patternType="gray125"/>
    </fill>
    <fill>
      <patternFill patternType="solid">
        <fgColor theme="0" tint="-4.9989318521683403E-2"/>
        <bgColor indexed="64"/>
      </patternFill>
    </fill>
  </fills>
  <borders count="20">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s>
  <cellStyleXfs count="1">
    <xf numFmtId="0" fontId="0" fillId="0" borderId="0"/>
  </cellStyleXfs>
  <cellXfs count="70">
    <xf numFmtId="0" fontId="0" fillId="0" borderId="0" xfId="0"/>
    <xf numFmtId="0" fontId="2" fillId="0" borderId="0" xfId="0" applyFont="1"/>
    <xf numFmtId="0" fontId="3" fillId="2" borderId="1" xfId="0" applyFont="1" applyFill="1" applyBorder="1" applyAlignment="1">
      <alignment horizontal="center"/>
    </xf>
    <xf numFmtId="0" fontId="5" fillId="0" borderId="0" xfId="0" applyFont="1"/>
    <xf numFmtId="0" fontId="0" fillId="0" borderId="2" xfId="0" applyBorder="1"/>
    <xf numFmtId="0" fontId="0" fillId="0" borderId="2" xfId="0" applyBorder="1" applyAlignment="1">
      <alignment horizontal="center"/>
    </xf>
    <xf numFmtId="0" fontId="6" fillId="0" borderId="5" xfId="0" applyFont="1" applyBorder="1" applyAlignment="1">
      <alignment vertical="center" wrapText="1"/>
    </xf>
    <xf numFmtId="0" fontId="6" fillId="0" borderId="6" xfId="0" applyFont="1" applyBorder="1" applyAlignment="1">
      <alignment horizontal="center" vertical="center"/>
    </xf>
    <xf numFmtId="0" fontId="7" fillId="0" borderId="2" xfId="0" applyFont="1" applyBorder="1" applyAlignment="1">
      <alignment horizontal="center" vertical="center" wrapText="1"/>
    </xf>
    <xf numFmtId="0" fontId="0" fillId="0" borderId="7" xfId="0" applyBorder="1"/>
    <xf numFmtId="0" fontId="0" fillId="0" borderId="8" xfId="0" applyBorder="1"/>
    <xf numFmtId="0" fontId="0" fillId="0" borderId="9" xfId="0" applyBorder="1"/>
    <xf numFmtId="164" fontId="0" fillId="0" borderId="0" xfId="0" applyNumberFormat="1"/>
    <xf numFmtId="0" fontId="6" fillId="0" borderId="10" xfId="0" applyFont="1" applyBorder="1"/>
    <xf numFmtId="164" fontId="6" fillId="0" borderId="6" xfId="0" applyNumberFormat="1" applyFont="1" applyBorder="1"/>
    <xf numFmtId="164" fontId="6" fillId="0" borderId="0" xfId="0" applyNumberFormat="1" applyFont="1" applyBorder="1"/>
    <xf numFmtId="164" fontId="6" fillId="0" borderId="11" xfId="0" applyNumberFormat="1" applyFont="1" applyBorder="1"/>
    <xf numFmtId="0" fontId="6" fillId="0" borderId="12" xfId="0" applyFont="1" applyBorder="1"/>
    <xf numFmtId="164" fontId="6" fillId="0" borderId="5" xfId="0" applyNumberFormat="1" applyFont="1" applyBorder="1"/>
    <xf numFmtId="164" fontId="6" fillId="0" borderId="13" xfId="0" applyNumberFormat="1" applyFont="1" applyBorder="1"/>
    <xf numFmtId="164" fontId="6" fillId="0" borderId="14" xfId="0" applyNumberFormat="1" applyFont="1" applyBorder="1"/>
    <xf numFmtId="0" fontId="6" fillId="0" borderId="15" xfId="0" applyFont="1" applyBorder="1"/>
    <xf numFmtId="164" fontId="6" fillId="0" borderId="15" xfId="0" applyNumberFormat="1" applyFont="1" applyBorder="1"/>
    <xf numFmtId="0" fontId="8" fillId="0" borderId="0" xfId="0" applyFont="1" applyFill="1" applyBorder="1"/>
    <xf numFmtId="0" fontId="9" fillId="0" borderId="15" xfId="0" applyFont="1" applyBorder="1"/>
    <xf numFmtId="1" fontId="9" fillId="0" borderId="15" xfId="0" applyNumberFormat="1" applyFont="1" applyBorder="1"/>
    <xf numFmtId="164" fontId="8" fillId="0" borderId="0" xfId="0" applyNumberFormat="1" applyFont="1" applyBorder="1"/>
    <xf numFmtId="10" fontId="8" fillId="0" borderId="0" xfId="0" applyNumberFormat="1" applyFont="1" applyBorder="1"/>
    <xf numFmtId="0" fontId="10" fillId="0" borderId="0" xfId="0" applyFont="1" applyAlignment="1">
      <alignment horizontal="center" wrapText="1"/>
    </xf>
    <xf numFmtId="0" fontId="6" fillId="0" borderId="6" xfId="0" applyFont="1" applyBorder="1"/>
    <xf numFmtId="164" fontId="6" fillId="0" borderId="10" xfId="0" applyNumberFormat="1" applyFont="1" applyBorder="1"/>
    <xf numFmtId="164" fontId="6" fillId="0" borderId="6" xfId="0" applyNumberFormat="1" applyFont="1" applyBorder="1" applyAlignment="1">
      <alignment horizontal="center"/>
    </xf>
    <xf numFmtId="0" fontId="6" fillId="0" borderId="6" xfId="0" applyFont="1" applyFill="1" applyBorder="1"/>
    <xf numFmtId="10" fontId="0" fillId="0" borderId="0" xfId="0" applyNumberFormat="1"/>
    <xf numFmtId="0" fontId="6" fillId="0" borderId="5" xfId="0" applyFont="1" applyBorder="1"/>
    <xf numFmtId="0" fontId="6" fillId="0" borderId="0" xfId="0" applyFont="1"/>
    <xf numFmtId="0" fontId="11" fillId="0" borderId="0" xfId="0" applyFont="1" applyAlignment="1">
      <alignment vertical="top" wrapText="1"/>
    </xf>
    <xf numFmtId="164" fontId="6" fillId="0" borderId="15" xfId="0" applyNumberFormat="1" applyFont="1" applyBorder="1" applyAlignment="1"/>
    <xf numFmtId="164" fontId="8" fillId="0" borderId="0" xfId="0" applyNumberFormat="1" applyFont="1" applyFill="1" applyBorder="1"/>
    <xf numFmtId="0" fontId="8" fillId="0" borderId="0" xfId="0" applyFont="1"/>
    <xf numFmtId="0" fontId="6" fillId="0" borderId="15" xfId="0" applyFont="1" applyBorder="1" applyAlignment="1">
      <alignment vertical="center" wrapText="1"/>
    </xf>
    <xf numFmtId="0" fontId="7" fillId="0" borderId="15" xfId="0" applyFont="1" applyBorder="1" applyAlignment="1">
      <alignment horizontal="center" vertical="center" wrapText="1"/>
    </xf>
    <xf numFmtId="0" fontId="7" fillId="0" borderId="15" xfId="0" applyFont="1" applyBorder="1" applyAlignment="1">
      <alignment vertical="center"/>
    </xf>
    <xf numFmtId="0" fontId="7" fillId="0" borderId="2" xfId="0" applyFont="1" applyBorder="1"/>
    <xf numFmtId="10" fontId="6" fillId="0" borderId="10" xfId="0" applyNumberFormat="1" applyFont="1" applyBorder="1"/>
    <xf numFmtId="0" fontId="6" fillId="0" borderId="6" xfId="0" applyFont="1" applyBorder="1" applyAlignment="1">
      <alignment horizontal="right" indent="1"/>
    </xf>
    <xf numFmtId="0" fontId="7" fillId="0" borderId="6" xfId="0" applyFont="1" applyBorder="1"/>
    <xf numFmtId="0" fontId="0" fillId="0" borderId="5" xfId="0" applyBorder="1"/>
    <xf numFmtId="0" fontId="7" fillId="0" borderId="5" xfId="0" applyFont="1" applyBorder="1"/>
    <xf numFmtId="0" fontId="6" fillId="0" borderId="19" xfId="0" applyFont="1" applyFill="1" applyBorder="1"/>
    <xf numFmtId="0" fontId="0" fillId="0" borderId="4" xfId="0" applyBorder="1"/>
    <xf numFmtId="0" fontId="0" fillId="0" borderId="15" xfId="0" applyBorder="1"/>
    <xf numFmtId="49" fontId="6" fillId="0" borderId="2" xfId="0" applyNumberFormat="1" applyFont="1" applyBorder="1" applyAlignment="1">
      <alignment horizontal="center" vertical="center" wrapText="1"/>
    </xf>
    <xf numFmtId="49" fontId="6" fillId="0" borderId="5" xfId="0" applyNumberFormat="1" applyFont="1" applyBorder="1" applyAlignment="1">
      <alignment horizontal="center" vertical="center" wrapText="1"/>
    </xf>
    <xf numFmtId="165" fontId="6" fillId="0" borderId="2" xfId="0" quotePrefix="1" applyNumberFormat="1" applyFont="1" applyBorder="1" applyAlignment="1">
      <alignment horizontal="center" vertical="center" wrapText="1"/>
    </xf>
    <xf numFmtId="165" fontId="6" fillId="0" borderId="5" xfId="0" applyNumberFormat="1" applyFont="1" applyBorder="1" applyAlignment="1">
      <alignment horizontal="center" vertical="center" wrapText="1"/>
    </xf>
    <xf numFmtId="0" fontId="0" fillId="0" borderId="3" xfId="0" applyBorder="1" applyAlignment="1">
      <alignment horizontal="center"/>
    </xf>
    <xf numFmtId="0" fontId="0" fillId="0" borderId="4" xfId="0" applyBorder="1" applyAlignment="1">
      <alignment horizontal="center"/>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0" fillId="2" borderId="16" xfId="0" applyFont="1" applyFill="1" applyBorder="1" applyAlignment="1">
      <alignment horizontal="center" vertical="center" wrapText="1"/>
    </xf>
    <xf numFmtId="0" fontId="10" fillId="2" borderId="17" xfId="0" applyFont="1" applyFill="1" applyBorder="1" applyAlignment="1">
      <alignment horizontal="center" vertical="center" wrapText="1"/>
    </xf>
    <xf numFmtId="0" fontId="10" fillId="2" borderId="18"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0</xdr:row>
      <xdr:rowOff>19050</xdr:rowOff>
    </xdr:from>
    <xdr:to>
      <xdr:col>7</xdr:col>
      <xdr:colOff>22497</xdr:colOff>
      <xdr:row>1</xdr:row>
      <xdr:rowOff>95250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14675" y="590550"/>
          <a:ext cx="3032397" cy="371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AC88"/>
  <sheetViews>
    <sheetView tabSelected="1" topLeftCell="A49" workbookViewId="0">
      <selection activeCell="A62" sqref="A62:XFD62"/>
    </sheetView>
  </sheetViews>
  <sheetFormatPr defaultRowHeight="15" x14ac:dyDescent="0.25"/>
  <cols>
    <col min="2" max="2" width="37" customWidth="1"/>
    <col min="10" max="10" width="9.140625" customWidth="1"/>
    <col min="13" max="13" width="9" customWidth="1"/>
    <col min="14" max="14" width="9.140625" customWidth="1"/>
  </cols>
  <sheetData>
    <row r="1" spans="1:29" ht="23.25" x14ac:dyDescent="0.35">
      <c r="A1" s="1" t="s">
        <v>0</v>
      </c>
      <c r="B1" s="1"/>
    </row>
    <row r="2" spans="1:29" x14ac:dyDescent="0.25">
      <c r="B2" t="s">
        <v>1</v>
      </c>
    </row>
    <row r="3" spans="1:29" ht="15.75" thickBot="1" x14ac:dyDescent="0.3"/>
    <row r="4" spans="1:29" ht="19.5" thickBot="1" x14ac:dyDescent="0.35">
      <c r="B4" s="2" t="s">
        <v>2</v>
      </c>
    </row>
    <row r="6" spans="1:29" x14ac:dyDescent="0.25">
      <c r="B6" s="3" t="s">
        <v>3</v>
      </c>
    </row>
    <row r="7" spans="1:29" x14ac:dyDescent="0.25">
      <c r="B7" t="s">
        <v>4</v>
      </c>
    </row>
    <row r="9" spans="1:29" ht="15" customHeight="1" x14ac:dyDescent="0.25">
      <c r="B9" s="4"/>
      <c r="C9" s="5"/>
      <c r="D9" s="56" t="s">
        <v>5</v>
      </c>
      <c r="E9" s="56"/>
      <c r="F9" s="56"/>
      <c r="G9" s="56"/>
      <c r="H9" s="56"/>
      <c r="I9" s="56"/>
      <c r="J9" s="56"/>
      <c r="K9" s="56"/>
      <c r="L9" s="56"/>
      <c r="M9" s="56"/>
      <c r="N9" s="56"/>
      <c r="O9" s="57"/>
    </row>
    <row r="10" spans="1:29" ht="45" x14ac:dyDescent="0.25">
      <c r="B10" s="6"/>
      <c r="C10" s="7" t="s">
        <v>6</v>
      </c>
      <c r="D10" s="8" t="s">
        <v>7</v>
      </c>
      <c r="E10" s="8" t="s">
        <v>8</v>
      </c>
      <c r="F10" s="8" t="s">
        <v>9</v>
      </c>
      <c r="G10" s="8" t="s">
        <v>10</v>
      </c>
      <c r="H10" s="8" t="s">
        <v>11</v>
      </c>
      <c r="I10" s="8" t="s">
        <v>12</v>
      </c>
      <c r="J10" s="8" t="s">
        <v>13</v>
      </c>
      <c r="K10" s="8" t="s">
        <v>14</v>
      </c>
      <c r="L10" s="8" t="s">
        <v>15</v>
      </c>
      <c r="M10" s="8" t="s">
        <v>16</v>
      </c>
      <c r="N10" s="8" t="s">
        <v>17</v>
      </c>
      <c r="O10" s="8" t="s">
        <v>18</v>
      </c>
    </row>
    <row r="11" spans="1:29" ht="15" customHeight="1" x14ac:dyDescent="0.25">
      <c r="B11" s="9"/>
      <c r="C11" s="4"/>
      <c r="D11" s="10"/>
      <c r="E11" s="10"/>
      <c r="F11" s="10"/>
      <c r="G11" s="10"/>
      <c r="H11" s="10"/>
      <c r="I11" s="10"/>
      <c r="J11" s="10"/>
      <c r="K11" s="10"/>
      <c r="L11" s="10"/>
      <c r="M11" s="10"/>
      <c r="N11" s="10"/>
      <c r="O11" s="11"/>
      <c r="Q11" s="12"/>
      <c r="R11" s="12"/>
    </row>
    <row r="12" spans="1:29" x14ac:dyDescent="0.25">
      <c r="B12" s="13" t="s">
        <v>7</v>
      </c>
      <c r="C12" s="14">
        <v>3.4395540604005882E-2</v>
      </c>
      <c r="D12" s="15">
        <v>0.57677444384366494</v>
      </c>
      <c r="E12" s="15">
        <v>0</v>
      </c>
      <c r="F12" s="15">
        <v>0</v>
      </c>
      <c r="G12" s="15">
        <v>3.1489643487348255E-3</v>
      </c>
      <c r="H12" s="15">
        <v>0</v>
      </c>
      <c r="I12" s="15">
        <v>2.4568962507415294E-2</v>
      </c>
      <c r="J12" s="15">
        <v>5.3371265620972023E-3</v>
      </c>
      <c r="K12" s="15">
        <v>0</v>
      </c>
      <c r="L12" s="15">
        <v>0</v>
      </c>
      <c r="M12" s="15">
        <v>5.3732061433090256E-2</v>
      </c>
      <c r="N12" s="15">
        <v>0</v>
      </c>
      <c r="O12" s="16">
        <v>2.8116500320419031E-2</v>
      </c>
      <c r="Q12" s="12"/>
      <c r="R12" s="12"/>
      <c r="S12" s="12"/>
      <c r="T12" s="12"/>
      <c r="U12" s="12"/>
      <c r="V12" s="12"/>
      <c r="W12" s="12"/>
      <c r="X12" s="12"/>
      <c r="Y12" s="12"/>
      <c r="Z12" s="12"/>
      <c r="AA12" s="12"/>
      <c r="AB12" s="12"/>
      <c r="AC12" s="12"/>
    </row>
    <row r="13" spans="1:29" x14ac:dyDescent="0.25">
      <c r="B13" s="13" t="s">
        <v>19</v>
      </c>
      <c r="C13" s="14">
        <v>2.0803677885908266E-2</v>
      </c>
      <c r="D13" s="15">
        <v>6.2749655279871586E-2</v>
      </c>
      <c r="E13" s="15">
        <v>6.5100373328884067E-3</v>
      </c>
      <c r="F13" s="15">
        <v>7.0260479107128418E-2</v>
      </c>
      <c r="G13" s="15">
        <v>5.4541755772334896E-3</v>
      </c>
      <c r="H13" s="15">
        <v>0</v>
      </c>
      <c r="I13" s="15">
        <v>1.4694635210822107E-2</v>
      </c>
      <c r="J13" s="15">
        <v>1.6383439553250424E-2</v>
      </c>
      <c r="K13" s="15">
        <v>0.11993223777787078</v>
      </c>
      <c r="L13" s="15">
        <v>4.7908143044012225E-2</v>
      </c>
      <c r="M13" s="15">
        <v>6.7072300896957482E-2</v>
      </c>
      <c r="N13" s="15">
        <v>0</v>
      </c>
      <c r="O13" s="16">
        <v>2.2479170018421184E-2</v>
      </c>
      <c r="Q13" s="12"/>
      <c r="R13" s="12"/>
      <c r="S13" s="12"/>
      <c r="T13" s="12"/>
      <c r="U13" s="12"/>
      <c r="V13" s="12"/>
      <c r="W13" s="12"/>
      <c r="X13" s="12"/>
      <c r="Y13" s="12"/>
      <c r="Z13" s="12"/>
      <c r="AA13" s="12"/>
      <c r="AB13" s="12"/>
      <c r="AC13" s="12"/>
    </row>
    <row r="14" spans="1:29" x14ac:dyDescent="0.25">
      <c r="B14" s="13" t="s">
        <v>8</v>
      </c>
      <c r="C14" s="14">
        <v>0.11629445743454569</v>
      </c>
      <c r="D14" s="15">
        <v>3.5511316170365043E-2</v>
      </c>
      <c r="E14" s="15">
        <v>0.69724476036971794</v>
      </c>
      <c r="F14" s="15">
        <v>7.5182101191257761E-2</v>
      </c>
      <c r="G14" s="15">
        <v>0.1461198150333563</v>
      </c>
      <c r="H14" s="15">
        <v>0.23138938270953263</v>
      </c>
      <c r="I14" s="15">
        <v>3.6601414569064773E-2</v>
      </c>
      <c r="J14" s="15">
        <v>6.3652085174243755E-2</v>
      </c>
      <c r="K14" s="15">
        <v>4.3438187675795416E-2</v>
      </c>
      <c r="L14" s="15">
        <v>6.8496930813527798E-2</v>
      </c>
      <c r="M14" s="15">
        <v>0.13665752728222924</v>
      </c>
      <c r="N14" s="15">
        <v>0</v>
      </c>
      <c r="O14" s="16">
        <v>3.6824863085829079E-2</v>
      </c>
      <c r="Q14" s="12"/>
      <c r="R14" s="12"/>
      <c r="S14" s="12"/>
      <c r="T14" s="12"/>
      <c r="U14" s="12"/>
      <c r="V14" s="12"/>
      <c r="W14" s="12"/>
      <c r="X14" s="12"/>
      <c r="Y14" s="12"/>
      <c r="Z14" s="12"/>
      <c r="AA14" s="12"/>
      <c r="AB14" s="12"/>
      <c r="AC14" s="12"/>
    </row>
    <row r="15" spans="1:29" x14ac:dyDescent="0.25">
      <c r="B15" s="13" t="s">
        <v>9</v>
      </c>
      <c r="C15" s="14">
        <v>5.0387742963934317E-3</v>
      </c>
      <c r="D15" s="15">
        <v>0</v>
      </c>
      <c r="E15" s="15">
        <v>0</v>
      </c>
      <c r="F15" s="15">
        <v>0.16520426438622812</v>
      </c>
      <c r="G15" s="15">
        <v>1.7432547409691743E-3</v>
      </c>
      <c r="H15" s="15">
        <v>0</v>
      </c>
      <c r="I15" s="15">
        <v>0</v>
      </c>
      <c r="J15" s="15">
        <v>0</v>
      </c>
      <c r="K15" s="15">
        <v>0</v>
      </c>
      <c r="L15" s="15">
        <v>0</v>
      </c>
      <c r="M15" s="15">
        <v>0</v>
      </c>
      <c r="N15" s="15">
        <v>0</v>
      </c>
      <c r="O15" s="16">
        <v>3.433951603158153E-2</v>
      </c>
      <c r="Q15" s="12"/>
      <c r="R15" s="12"/>
      <c r="S15" s="12"/>
      <c r="T15" s="12"/>
      <c r="U15" s="12"/>
      <c r="V15" s="12"/>
      <c r="W15" s="12"/>
      <c r="X15" s="12"/>
      <c r="Y15" s="12"/>
      <c r="Z15" s="12"/>
      <c r="AA15" s="12"/>
      <c r="AB15" s="12"/>
      <c r="AC15" s="12"/>
    </row>
    <row r="16" spans="1:29" x14ac:dyDescent="0.25">
      <c r="B16" s="13" t="s">
        <v>10</v>
      </c>
      <c r="C16" s="14">
        <v>0.25669200046861873</v>
      </c>
      <c r="D16" s="15">
        <v>1.5089521745277015E-2</v>
      </c>
      <c r="E16" s="15">
        <v>0.16044750373302299</v>
      </c>
      <c r="F16" s="15">
        <v>0.51641381174103762</v>
      </c>
      <c r="G16" s="15">
        <v>0.62954623318599523</v>
      </c>
      <c r="H16" s="15">
        <v>9.1198916812619213E-2</v>
      </c>
      <c r="I16" s="15">
        <v>7.6035629142414921E-2</v>
      </c>
      <c r="J16" s="15">
        <v>0.12352553161833789</v>
      </c>
      <c r="K16" s="15">
        <v>2.6061961429260941E-2</v>
      </c>
      <c r="L16" s="15">
        <v>3.144765165413714E-2</v>
      </c>
      <c r="M16" s="15">
        <v>0.25823141726403465</v>
      </c>
      <c r="N16" s="15">
        <v>0</v>
      </c>
      <c r="O16" s="16">
        <v>0.13779697334712004</v>
      </c>
      <c r="Q16" s="12"/>
      <c r="R16" s="12"/>
      <c r="S16" s="12"/>
      <c r="T16" s="12"/>
      <c r="U16" s="12"/>
      <c r="V16" s="12"/>
      <c r="W16" s="12"/>
      <c r="X16" s="12"/>
      <c r="Y16" s="12"/>
      <c r="Z16" s="12"/>
      <c r="AA16" s="12"/>
      <c r="AB16" s="12"/>
      <c r="AC16" s="12"/>
    </row>
    <row r="17" spans="2:29" x14ac:dyDescent="0.25">
      <c r="B17" s="13" t="s">
        <v>20</v>
      </c>
      <c r="C17" s="14">
        <v>2.3405770845734176E-2</v>
      </c>
      <c r="D17" s="15">
        <v>0</v>
      </c>
      <c r="E17" s="15">
        <v>7.3086895428040963E-2</v>
      </c>
      <c r="F17" s="15">
        <v>0</v>
      </c>
      <c r="G17" s="15">
        <v>1.4652482110336278E-2</v>
      </c>
      <c r="H17" s="15">
        <v>0.1908356888079526</v>
      </c>
      <c r="I17" s="15">
        <v>5.8538296620728771E-3</v>
      </c>
      <c r="J17" s="15">
        <v>3.0423691466417088E-2</v>
      </c>
      <c r="K17" s="15">
        <v>0</v>
      </c>
      <c r="L17" s="15">
        <v>8.3276818701338073E-2</v>
      </c>
      <c r="M17" s="15">
        <v>1.813317218929807E-2</v>
      </c>
      <c r="N17" s="15">
        <v>0</v>
      </c>
      <c r="O17" s="16">
        <v>5.7049434880049411E-2</v>
      </c>
      <c r="Q17" s="12"/>
      <c r="R17" s="12"/>
      <c r="S17" s="12"/>
      <c r="T17" s="12"/>
      <c r="U17" s="12"/>
      <c r="V17" s="12"/>
      <c r="W17" s="12"/>
      <c r="X17" s="12"/>
      <c r="Y17" s="12"/>
      <c r="Z17" s="12"/>
      <c r="AA17" s="12"/>
      <c r="AB17" s="12"/>
      <c r="AC17" s="12"/>
    </row>
    <row r="18" spans="2:29" x14ac:dyDescent="0.25">
      <c r="B18" s="13" t="s">
        <v>11</v>
      </c>
      <c r="C18" s="14">
        <v>1.6748664468844432E-2</v>
      </c>
      <c r="D18" s="15">
        <v>0</v>
      </c>
      <c r="E18" s="15">
        <v>0</v>
      </c>
      <c r="F18" s="15">
        <v>0</v>
      </c>
      <c r="G18" s="15">
        <v>1.1051246148360673E-2</v>
      </c>
      <c r="H18" s="15">
        <v>0.30758353528857574</v>
      </c>
      <c r="I18" s="15">
        <v>3.3191963827245885E-3</v>
      </c>
      <c r="J18" s="15">
        <v>0</v>
      </c>
      <c r="K18" s="15">
        <v>0</v>
      </c>
      <c r="L18" s="15">
        <v>4.6375853636114586E-2</v>
      </c>
      <c r="M18" s="15">
        <v>0</v>
      </c>
      <c r="N18" s="15">
        <v>0</v>
      </c>
      <c r="O18" s="16">
        <v>6.2601659621073572E-2</v>
      </c>
      <c r="Q18" s="12"/>
      <c r="R18" s="12"/>
      <c r="S18" s="12"/>
      <c r="T18" s="12"/>
      <c r="U18" s="12"/>
      <c r="V18" s="12"/>
      <c r="W18" s="12"/>
      <c r="X18" s="12"/>
      <c r="Y18" s="12"/>
      <c r="Z18" s="12"/>
      <c r="AA18" s="12"/>
      <c r="AB18" s="12"/>
      <c r="AC18" s="12"/>
    </row>
    <row r="19" spans="2:29" x14ac:dyDescent="0.25">
      <c r="B19" s="13" t="s">
        <v>12</v>
      </c>
      <c r="C19" s="14">
        <v>0.36839301587046441</v>
      </c>
      <c r="D19" s="15">
        <v>0.19889756078705859</v>
      </c>
      <c r="E19" s="15">
        <v>3.1846569577985241E-2</v>
      </c>
      <c r="F19" s="15">
        <v>0</v>
      </c>
      <c r="G19" s="15">
        <v>9.124106160882485E-2</v>
      </c>
      <c r="H19" s="15">
        <v>6.3355344187609408E-2</v>
      </c>
      <c r="I19" s="15">
        <v>0.76231740154519789</v>
      </c>
      <c r="J19" s="15">
        <v>5.4095238263187531E-2</v>
      </c>
      <c r="K19" s="15">
        <v>0.28682556701088979</v>
      </c>
      <c r="L19" s="15">
        <v>0.20285857218077216</v>
      </c>
      <c r="M19" s="15">
        <v>0.24960627137588817</v>
      </c>
      <c r="N19" s="15">
        <v>0</v>
      </c>
      <c r="O19" s="16">
        <v>0.26319637385318267</v>
      </c>
      <c r="Q19" s="12"/>
      <c r="R19" s="12"/>
      <c r="S19" s="12"/>
      <c r="T19" s="12"/>
      <c r="U19" s="12"/>
      <c r="V19" s="12"/>
      <c r="W19" s="12"/>
      <c r="X19" s="12"/>
      <c r="Y19" s="12"/>
      <c r="Z19" s="12"/>
      <c r="AA19" s="12"/>
      <c r="AB19" s="12"/>
      <c r="AC19" s="12"/>
    </row>
    <row r="20" spans="2:29" x14ac:dyDescent="0.25">
      <c r="B20" s="13" t="s">
        <v>21</v>
      </c>
      <c r="C20" s="14">
        <v>3.5811967389412692E-4</v>
      </c>
      <c r="D20" s="15">
        <v>0</v>
      </c>
      <c r="E20" s="15">
        <v>0</v>
      </c>
      <c r="F20" s="15">
        <v>0</v>
      </c>
      <c r="G20" s="15">
        <v>1.3214638244580812E-3</v>
      </c>
      <c r="H20" s="15">
        <v>0</v>
      </c>
      <c r="I20" s="15">
        <v>0</v>
      </c>
      <c r="J20" s="15">
        <v>0</v>
      </c>
      <c r="K20" s="15">
        <v>0</v>
      </c>
      <c r="L20" s="15">
        <v>0</v>
      </c>
      <c r="M20" s="15">
        <v>0</v>
      </c>
      <c r="N20" s="15">
        <v>0</v>
      </c>
      <c r="O20" s="16">
        <v>0</v>
      </c>
      <c r="Q20" s="12"/>
      <c r="R20" s="12"/>
      <c r="S20" s="12"/>
      <c r="T20" s="12"/>
      <c r="U20" s="12"/>
      <c r="V20" s="12"/>
      <c r="W20" s="12"/>
      <c r="X20" s="12"/>
      <c r="Y20" s="12"/>
      <c r="Z20" s="12"/>
      <c r="AA20" s="12"/>
      <c r="AB20" s="12"/>
      <c r="AC20" s="12"/>
    </row>
    <row r="21" spans="2:29" x14ac:dyDescent="0.25">
      <c r="B21" s="13" t="s">
        <v>13</v>
      </c>
      <c r="C21" s="14">
        <v>6.2317538538613174E-2</v>
      </c>
      <c r="D21" s="15">
        <v>3.4847304382105919E-2</v>
      </c>
      <c r="E21" s="15">
        <v>9.395723344022262E-3</v>
      </c>
      <c r="F21" s="15">
        <v>0.15012846665866664</v>
      </c>
      <c r="G21" s="15">
        <v>3.686090267606186E-2</v>
      </c>
      <c r="H21" s="15">
        <v>9.5083586912478979E-2</v>
      </c>
      <c r="I21" s="15">
        <v>3.6275112068501994E-2</v>
      </c>
      <c r="J21" s="15">
        <v>0.65759666843832598</v>
      </c>
      <c r="K21" s="15">
        <v>0.24339092035527721</v>
      </c>
      <c r="L21" s="15">
        <v>2.6289158374369362E-2</v>
      </c>
      <c r="M21" s="15">
        <v>8.1197301746556511E-2</v>
      </c>
      <c r="N21" s="15">
        <v>0</v>
      </c>
      <c r="O21" s="16">
        <v>1.7034146736125098E-2</v>
      </c>
      <c r="Q21" s="12"/>
      <c r="R21" s="12"/>
      <c r="S21" s="12"/>
      <c r="T21" s="12"/>
      <c r="U21" s="12"/>
      <c r="V21" s="12"/>
      <c r="W21" s="12"/>
      <c r="X21" s="12"/>
      <c r="Y21" s="12"/>
      <c r="Z21" s="12"/>
      <c r="AA21" s="12"/>
      <c r="AB21" s="12"/>
      <c r="AC21" s="12"/>
    </row>
    <row r="22" spans="2:29" x14ac:dyDescent="0.25">
      <c r="B22" s="13" t="s">
        <v>14</v>
      </c>
      <c r="C22" s="14">
        <v>5.5228425822912994E-3</v>
      </c>
      <c r="D22" s="15">
        <v>5.9701262243164362E-2</v>
      </c>
      <c r="E22" s="15">
        <v>0</v>
      </c>
      <c r="F22" s="15">
        <v>0</v>
      </c>
      <c r="G22" s="15">
        <v>0</v>
      </c>
      <c r="H22" s="15">
        <v>2.0553545281231593E-2</v>
      </c>
      <c r="I22" s="15">
        <v>1.3784872188873311E-3</v>
      </c>
      <c r="J22" s="15">
        <v>0</v>
      </c>
      <c r="K22" s="15">
        <v>0.28035112575090582</v>
      </c>
      <c r="L22" s="15">
        <v>0</v>
      </c>
      <c r="M22" s="15">
        <v>0</v>
      </c>
      <c r="N22" s="15">
        <v>0</v>
      </c>
      <c r="O22" s="16">
        <v>4.3418309956933451E-3</v>
      </c>
      <c r="Q22" s="12"/>
      <c r="R22" s="12"/>
      <c r="S22" s="12"/>
      <c r="T22" s="12"/>
      <c r="U22" s="12"/>
      <c r="V22" s="12"/>
      <c r="W22" s="12"/>
      <c r="X22" s="12"/>
      <c r="Y22" s="12"/>
      <c r="Z22" s="12"/>
      <c r="AA22" s="12"/>
      <c r="AB22" s="12"/>
      <c r="AC22" s="12"/>
    </row>
    <row r="23" spans="2:29" x14ac:dyDescent="0.25">
      <c r="B23" s="13" t="s">
        <v>22</v>
      </c>
      <c r="C23" s="14">
        <v>1.153465978924929E-2</v>
      </c>
      <c r="D23" s="15">
        <v>1.6428935548492344E-2</v>
      </c>
      <c r="E23" s="15">
        <v>0</v>
      </c>
      <c r="F23" s="15">
        <v>0</v>
      </c>
      <c r="G23" s="15">
        <v>8.3232649041023606E-4</v>
      </c>
      <c r="H23" s="15">
        <v>0</v>
      </c>
      <c r="I23" s="15">
        <v>4.9817208178764873E-3</v>
      </c>
      <c r="J23" s="15">
        <v>0</v>
      </c>
      <c r="K23" s="15">
        <v>0</v>
      </c>
      <c r="L23" s="15">
        <v>0.4128355343417508</v>
      </c>
      <c r="M23" s="15">
        <v>0</v>
      </c>
      <c r="N23" s="15">
        <v>0</v>
      </c>
      <c r="O23" s="16">
        <v>1.8496346273115041E-2</v>
      </c>
      <c r="Q23" s="12"/>
      <c r="R23" s="12"/>
      <c r="S23" s="12"/>
      <c r="T23" s="12"/>
      <c r="U23" s="12"/>
      <c r="V23" s="12"/>
      <c r="W23" s="12"/>
      <c r="X23" s="12"/>
      <c r="Y23" s="12"/>
      <c r="Z23" s="12"/>
      <c r="AA23" s="12"/>
      <c r="AB23" s="12"/>
      <c r="AC23" s="12"/>
    </row>
    <row r="24" spans="2:29" x14ac:dyDescent="0.25">
      <c r="B24" s="13" t="s">
        <v>23</v>
      </c>
      <c r="C24" s="14">
        <v>7.5481051906568716E-3</v>
      </c>
      <c r="D24" s="15">
        <v>0</v>
      </c>
      <c r="E24" s="15">
        <v>0</v>
      </c>
      <c r="F24" s="15">
        <v>0</v>
      </c>
      <c r="G24" s="15">
        <v>4.6900867868935403E-3</v>
      </c>
      <c r="H24" s="15">
        <v>0</v>
      </c>
      <c r="I24" s="15">
        <v>1.3281928207710925E-3</v>
      </c>
      <c r="J24" s="15">
        <v>0</v>
      </c>
      <c r="K24" s="15">
        <v>0</v>
      </c>
      <c r="L24" s="15">
        <v>0</v>
      </c>
      <c r="M24" s="15">
        <v>4.1199960847171986E-2</v>
      </c>
      <c r="N24" s="15">
        <v>0</v>
      </c>
      <c r="O24" s="16">
        <v>1.6521491888811735E-2</v>
      </c>
      <c r="Q24" s="12"/>
      <c r="R24" s="12"/>
      <c r="S24" s="12"/>
      <c r="T24" s="12"/>
      <c r="U24" s="12"/>
      <c r="V24" s="12"/>
      <c r="W24" s="12"/>
      <c r="X24" s="12"/>
      <c r="Y24" s="12"/>
      <c r="Z24" s="12"/>
      <c r="AA24" s="12"/>
      <c r="AB24" s="12"/>
      <c r="AC24" s="12"/>
    </row>
    <row r="25" spans="2:29" x14ac:dyDescent="0.25">
      <c r="B25" s="17" t="s">
        <v>24</v>
      </c>
      <c r="C25" s="18">
        <v>6.9453113766765745E-2</v>
      </c>
      <c r="D25" s="19">
        <v>0</v>
      </c>
      <c r="E25" s="19">
        <v>2.1468510214321865E-2</v>
      </c>
      <c r="F25" s="19">
        <v>2.2810876915681528E-2</v>
      </c>
      <c r="G25" s="19">
        <v>5.3337987468366321E-2</v>
      </c>
      <c r="H25" s="19">
        <v>0</v>
      </c>
      <c r="I25" s="19">
        <v>3.2645418054251168E-2</v>
      </c>
      <c r="J25" s="19">
        <v>4.898621892414063E-2</v>
      </c>
      <c r="K25" s="19">
        <v>0</v>
      </c>
      <c r="L25" s="19">
        <v>8.051133725397755E-2</v>
      </c>
      <c r="M25" s="19">
        <v>9.4169986964773772E-2</v>
      </c>
      <c r="N25" s="19">
        <v>0</v>
      </c>
      <c r="O25" s="20">
        <v>0.28667451917240938</v>
      </c>
      <c r="Q25" s="12"/>
      <c r="R25" s="12"/>
      <c r="S25" s="12"/>
      <c r="T25" s="12"/>
      <c r="U25" s="12"/>
      <c r="V25" s="12"/>
      <c r="W25" s="12"/>
      <c r="X25" s="12"/>
      <c r="Y25" s="12"/>
      <c r="Z25" s="12"/>
      <c r="AA25" s="12"/>
      <c r="AB25" s="12"/>
      <c r="AC25" s="12"/>
    </row>
    <row r="27" spans="2:29" x14ac:dyDescent="0.25">
      <c r="B27" s="21" t="s">
        <v>6</v>
      </c>
      <c r="C27" s="22">
        <f t="shared" ref="C27:O27" si="0">SUM(C12:C25)</f>
        <v>0.99850628141598563</v>
      </c>
      <c r="D27" s="22">
        <f t="shared" si="0"/>
        <v>0.99999999999999978</v>
      </c>
      <c r="E27" s="22">
        <f t="shared" si="0"/>
        <v>0.99999999999999956</v>
      </c>
      <c r="F27" s="22">
        <f t="shared" si="0"/>
        <v>1.0000000000000002</v>
      </c>
      <c r="G27" s="22">
        <f t="shared" si="0"/>
        <v>1.0000000000000009</v>
      </c>
      <c r="H27" s="22">
        <f t="shared" si="0"/>
        <v>1.0000000000000002</v>
      </c>
      <c r="I27" s="22">
        <f t="shared" si="0"/>
        <v>1.0000000000000007</v>
      </c>
      <c r="J27" s="22">
        <f t="shared" si="0"/>
        <v>1.0000000000000004</v>
      </c>
      <c r="K27" s="22">
        <f t="shared" si="0"/>
        <v>0.99999999999999989</v>
      </c>
      <c r="L27" s="22">
        <f t="shared" si="0"/>
        <v>0.99999999999999967</v>
      </c>
      <c r="M27" s="22">
        <f t="shared" si="0"/>
        <v>1.0000000000000002</v>
      </c>
      <c r="N27" s="22">
        <f t="shared" si="0"/>
        <v>0</v>
      </c>
      <c r="O27" s="22">
        <f t="shared" si="0"/>
        <v>0.98547282622383103</v>
      </c>
    </row>
    <row r="28" spans="2:29" x14ac:dyDescent="0.25">
      <c r="B28" s="23" t="s">
        <v>6</v>
      </c>
      <c r="C28" s="12"/>
      <c r="D28" s="12"/>
      <c r="E28" s="12"/>
      <c r="F28" s="12"/>
      <c r="G28" s="12"/>
      <c r="H28" s="12"/>
      <c r="I28" s="12"/>
      <c r="J28" s="12"/>
      <c r="K28" s="12"/>
      <c r="L28" s="12"/>
      <c r="M28" s="12"/>
      <c r="N28" s="12"/>
      <c r="O28" s="12"/>
    </row>
    <row r="29" spans="2:29" x14ac:dyDescent="0.25">
      <c r="B29" s="24" t="s">
        <v>25</v>
      </c>
      <c r="C29" s="25">
        <v>2055</v>
      </c>
      <c r="D29" s="25">
        <v>49</v>
      </c>
      <c r="E29" s="25">
        <v>199</v>
      </c>
      <c r="F29" s="25">
        <v>16</v>
      </c>
      <c r="G29" s="25">
        <v>617</v>
      </c>
      <c r="H29" s="25">
        <v>39</v>
      </c>
      <c r="I29" s="25">
        <v>830</v>
      </c>
      <c r="J29" s="25">
        <v>98</v>
      </c>
      <c r="K29" s="25">
        <v>25</v>
      </c>
      <c r="L29" s="25">
        <v>29</v>
      </c>
      <c r="M29" s="25">
        <v>73</v>
      </c>
      <c r="N29" s="25"/>
      <c r="O29" s="25">
        <v>80</v>
      </c>
    </row>
    <row r="30" spans="2:29" x14ac:dyDescent="0.25">
      <c r="B30" s="23" t="s">
        <v>26</v>
      </c>
      <c r="C30" s="26">
        <v>2.1999999999999999E-2</v>
      </c>
    </row>
    <row r="31" spans="2:29" x14ac:dyDescent="0.25">
      <c r="B31" s="23"/>
      <c r="C31" s="26"/>
      <c r="G31" s="12"/>
      <c r="H31" s="12"/>
      <c r="I31" s="12"/>
      <c r="J31" s="12"/>
      <c r="K31" s="12"/>
      <c r="L31" s="12"/>
      <c r="M31" s="12"/>
      <c r="N31" s="12"/>
      <c r="O31" s="12"/>
    </row>
    <row r="32" spans="2:29" ht="15" customHeight="1" x14ac:dyDescent="0.25">
      <c r="B32" s="58" t="s">
        <v>27</v>
      </c>
      <c r="C32" s="59"/>
      <c r="D32" s="59"/>
      <c r="E32" s="59"/>
      <c r="F32" s="59"/>
      <c r="G32" s="59"/>
      <c r="H32" s="59"/>
      <c r="I32" s="59"/>
      <c r="J32" s="59"/>
      <c r="K32" s="59"/>
      <c r="L32" s="59"/>
      <c r="M32" s="60"/>
    </row>
    <row r="33" spans="2:14" x14ac:dyDescent="0.25">
      <c r="B33" s="61"/>
      <c r="C33" s="62"/>
      <c r="D33" s="62"/>
      <c r="E33" s="62"/>
      <c r="F33" s="62"/>
      <c r="G33" s="62"/>
      <c r="H33" s="62"/>
      <c r="I33" s="62"/>
      <c r="J33" s="62"/>
      <c r="K33" s="62"/>
      <c r="L33" s="62"/>
      <c r="M33" s="63"/>
    </row>
    <row r="34" spans="2:14" x14ac:dyDescent="0.25">
      <c r="B34" s="64"/>
      <c r="C34" s="65"/>
      <c r="D34" s="65"/>
      <c r="E34" s="65"/>
      <c r="F34" s="65"/>
      <c r="G34" s="65"/>
      <c r="H34" s="65"/>
      <c r="I34" s="65"/>
      <c r="J34" s="65"/>
      <c r="K34" s="65"/>
      <c r="L34" s="65"/>
      <c r="M34" s="66"/>
    </row>
    <row r="35" spans="2:14" ht="15.75" thickBot="1" x14ac:dyDescent="0.3">
      <c r="B35" s="23"/>
      <c r="C35" s="27"/>
    </row>
    <row r="36" spans="2:14" ht="29.25" customHeight="1" thickBot="1" x14ac:dyDescent="0.4">
      <c r="B36" s="67" t="s">
        <v>28</v>
      </c>
      <c r="C36" s="68"/>
      <c r="D36" s="68"/>
      <c r="E36" s="68"/>
      <c r="F36" s="69"/>
      <c r="G36" s="28"/>
      <c r="H36" s="28"/>
      <c r="I36" s="28"/>
      <c r="J36" s="28"/>
      <c r="K36" s="28"/>
      <c r="L36" s="28"/>
      <c r="M36" s="28"/>
      <c r="N36" s="28"/>
    </row>
    <row r="37" spans="2:14" x14ac:dyDescent="0.25">
      <c r="B37" s="3" t="s">
        <v>3</v>
      </c>
    </row>
    <row r="38" spans="2:14" x14ac:dyDescent="0.25">
      <c r="B38" t="s">
        <v>4</v>
      </c>
    </row>
    <row r="40" spans="2:14" ht="15" customHeight="1" x14ac:dyDescent="0.25">
      <c r="B40" s="4"/>
      <c r="C40" s="52" t="s">
        <v>29</v>
      </c>
      <c r="D40" s="52" t="s">
        <v>30</v>
      </c>
      <c r="E40" s="52" t="s">
        <v>31</v>
      </c>
      <c r="F40" s="52" t="s">
        <v>32</v>
      </c>
      <c r="G40" s="52" t="s">
        <v>33</v>
      </c>
      <c r="H40" s="52" t="s">
        <v>34</v>
      </c>
      <c r="I40" s="52" t="s">
        <v>35</v>
      </c>
      <c r="J40" s="52" t="s">
        <v>36</v>
      </c>
      <c r="K40" s="52" t="s">
        <v>37</v>
      </c>
      <c r="L40" s="52" t="s">
        <v>38</v>
      </c>
      <c r="M40" s="54" t="s">
        <v>39</v>
      </c>
      <c r="N40" s="54" t="s">
        <v>40</v>
      </c>
    </row>
    <row r="41" spans="2:14" ht="25.5" x14ac:dyDescent="0.25">
      <c r="B41" s="6" t="s">
        <v>41</v>
      </c>
      <c r="C41" s="53"/>
      <c r="D41" s="53"/>
      <c r="E41" s="53"/>
      <c r="F41" s="53"/>
      <c r="G41" s="53"/>
      <c r="H41" s="53"/>
      <c r="I41" s="53"/>
      <c r="J41" s="53"/>
      <c r="K41" s="53"/>
      <c r="L41" s="53"/>
      <c r="M41" s="55"/>
      <c r="N41" s="55"/>
    </row>
    <row r="42" spans="2:14" x14ac:dyDescent="0.25">
      <c r="B42" s="4"/>
      <c r="C42" s="4"/>
      <c r="D42" s="4"/>
      <c r="E42" s="4"/>
      <c r="F42" s="4"/>
      <c r="G42" s="4"/>
      <c r="H42" s="4"/>
      <c r="I42" s="9"/>
      <c r="J42" s="4"/>
      <c r="K42" s="4"/>
      <c r="L42" s="4"/>
      <c r="M42" s="4"/>
      <c r="N42" s="4"/>
    </row>
    <row r="43" spans="2:14" x14ac:dyDescent="0.25">
      <c r="B43" s="29" t="s">
        <v>7</v>
      </c>
      <c r="C43" s="14">
        <v>2.6334517632238381E-2</v>
      </c>
      <c r="D43" s="14">
        <v>2.0138863888340634E-2</v>
      </c>
      <c r="E43" s="14">
        <v>1.8860895469938826E-2</v>
      </c>
      <c r="F43" s="14">
        <v>1.6087909861181773E-2</v>
      </c>
      <c r="G43" s="14">
        <v>3.1412616629137052E-2</v>
      </c>
      <c r="H43" s="14">
        <v>3.7395515392355569E-2</v>
      </c>
      <c r="I43" s="30">
        <v>5.2765450761847951E-2</v>
      </c>
      <c r="J43" s="14">
        <v>5.0868107290489413E-2</v>
      </c>
      <c r="K43" s="14">
        <v>4.784048927045443E-2</v>
      </c>
      <c r="L43" s="14">
        <v>4.8187978811891741E-2</v>
      </c>
      <c r="M43" s="14">
        <v>3.5694449927149367E-2</v>
      </c>
      <c r="N43" s="14">
        <v>3.4395540604005882E-2</v>
      </c>
    </row>
    <row r="44" spans="2:14" x14ac:dyDescent="0.25">
      <c r="B44" s="13" t="s">
        <v>19</v>
      </c>
      <c r="C44" s="31" t="s">
        <v>42</v>
      </c>
      <c r="D44" s="31" t="s">
        <v>42</v>
      </c>
      <c r="E44" s="31" t="s">
        <v>42</v>
      </c>
      <c r="F44" s="31" t="s">
        <v>42</v>
      </c>
      <c r="G44" s="31" t="s">
        <v>42</v>
      </c>
      <c r="H44" s="31" t="s">
        <v>42</v>
      </c>
      <c r="I44" s="31" t="s">
        <v>42</v>
      </c>
      <c r="J44" s="31" t="s">
        <v>42</v>
      </c>
      <c r="K44" s="31" t="s">
        <v>42</v>
      </c>
      <c r="L44" s="31" t="s">
        <v>42</v>
      </c>
      <c r="M44" s="14">
        <v>2.1011969732399435E-2</v>
      </c>
      <c r="N44" s="14">
        <v>2.0803677885908266E-2</v>
      </c>
    </row>
    <row r="45" spans="2:14" x14ac:dyDescent="0.25">
      <c r="B45" s="29" t="s">
        <v>8</v>
      </c>
      <c r="C45" s="14">
        <v>7.8752696029644742E-2</v>
      </c>
      <c r="D45" s="14">
        <v>8.8748728564228621E-2</v>
      </c>
      <c r="E45" s="14">
        <v>9.5037674579133619E-2</v>
      </c>
      <c r="F45" s="14">
        <v>8.3075280937732601E-2</v>
      </c>
      <c r="G45" s="14">
        <v>7.18367978577438E-2</v>
      </c>
      <c r="H45" s="14">
        <v>9.9050117462831738E-2</v>
      </c>
      <c r="I45" s="30">
        <v>9.8129913882002831E-2</v>
      </c>
      <c r="J45" s="14">
        <v>9.1357465322524894E-2</v>
      </c>
      <c r="K45" s="14">
        <v>0.10239065982359134</v>
      </c>
      <c r="L45" s="14">
        <v>0.10719787455133659</v>
      </c>
      <c r="M45" s="14">
        <v>0.11734605721114015</v>
      </c>
      <c r="N45" s="14">
        <v>0.11629445743454569</v>
      </c>
    </row>
    <row r="46" spans="2:14" x14ac:dyDescent="0.25">
      <c r="B46" s="29" t="s">
        <v>9</v>
      </c>
      <c r="C46" s="14">
        <v>1.1583043166468071E-2</v>
      </c>
      <c r="D46" s="14">
        <v>1.273166389391496E-2</v>
      </c>
      <c r="E46" s="14">
        <v>1.04039061160587E-2</v>
      </c>
      <c r="F46" s="14">
        <v>9.1838700579534478E-3</v>
      </c>
      <c r="G46" s="14">
        <v>7.7457919857290003E-3</v>
      </c>
      <c r="H46" s="14">
        <v>9.7449021860802707E-3</v>
      </c>
      <c r="I46" s="30">
        <v>6.2545158848108517E-3</v>
      </c>
      <c r="J46" s="14">
        <v>7.8534016895744005E-3</v>
      </c>
      <c r="K46" s="14">
        <v>5.8425278353103583E-3</v>
      </c>
      <c r="L46" s="14">
        <v>6.146514162832557E-3</v>
      </c>
      <c r="M46" s="14">
        <v>4.6157983867026568E-3</v>
      </c>
      <c r="N46" s="14">
        <v>5.0387742963934317E-3</v>
      </c>
    </row>
    <row r="47" spans="2:14" x14ac:dyDescent="0.25">
      <c r="B47" s="29" t="s">
        <v>10</v>
      </c>
      <c r="C47" s="14">
        <v>0.28337718783998606</v>
      </c>
      <c r="D47" s="14">
        <v>0.28308312641317801</v>
      </c>
      <c r="E47" s="14">
        <v>0.25709156222798252</v>
      </c>
      <c r="F47" s="14">
        <v>0.27853373834978135</v>
      </c>
      <c r="G47" s="14">
        <v>0.26975138769422075</v>
      </c>
      <c r="H47" s="14">
        <v>0.23909021886086276</v>
      </c>
      <c r="I47" s="30">
        <v>0.26942775453653794</v>
      </c>
      <c r="J47" s="14">
        <v>0.26636782030201001</v>
      </c>
      <c r="K47" s="14">
        <v>0.27537038986412243</v>
      </c>
      <c r="L47" s="14">
        <v>0.2704020038048297</v>
      </c>
      <c r="M47" s="14">
        <v>0.25930211317270868</v>
      </c>
      <c r="N47" s="14">
        <v>0.25669200046861873</v>
      </c>
    </row>
    <row r="48" spans="2:14" x14ac:dyDescent="0.25">
      <c r="B48" s="29" t="s">
        <v>20</v>
      </c>
      <c r="C48" s="14">
        <v>0</v>
      </c>
      <c r="D48" s="14">
        <v>0</v>
      </c>
      <c r="E48" s="14">
        <v>0</v>
      </c>
      <c r="F48" s="14">
        <v>0</v>
      </c>
      <c r="G48" s="14">
        <v>0</v>
      </c>
      <c r="H48" s="14">
        <v>0</v>
      </c>
      <c r="I48" s="30">
        <v>2.3394883143095051E-2</v>
      </c>
      <c r="J48" s="14">
        <v>2.8750128568695441E-2</v>
      </c>
      <c r="K48" s="14">
        <v>1.9278486711027377E-2</v>
      </c>
      <c r="L48" s="14">
        <v>2.1592008009798352E-2</v>
      </c>
      <c r="M48" s="14">
        <v>1.9781860943503315E-2</v>
      </c>
      <c r="N48" s="14">
        <v>2.3405770845734176E-2</v>
      </c>
    </row>
    <row r="49" spans="2:16" x14ac:dyDescent="0.25">
      <c r="B49" s="29" t="s">
        <v>11</v>
      </c>
      <c r="C49" s="14">
        <v>1.235742740829409E-2</v>
      </c>
      <c r="D49" s="14">
        <v>1.7408063876796467E-2</v>
      </c>
      <c r="E49" s="14">
        <v>2.4285627358907314E-2</v>
      </c>
      <c r="F49" s="14">
        <v>1.1647500534216858E-2</v>
      </c>
      <c r="G49" s="14">
        <v>1.0919716829310012E-2</v>
      </c>
      <c r="H49" s="14">
        <v>2.4309885134516637E-2</v>
      </c>
      <c r="I49" s="30">
        <v>2.0878058456255091E-2</v>
      </c>
      <c r="J49" s="14">
        <v>1.2007493385260392E-2</v>
      </c>
      <c r="K49" s="14">
        <v>7.4539117134517687E-3</v>
      </c>
      <c r="L49" s="14">
        <v>1.136584956660118E-2</v>
      </c>
      <c r="M49" s="14">
        <v>1.7371341873124752E-2</v>
      </c>
      <c r="N49" s="14">
        <v>1.6748664468844432E-2</v>
      </c>
    </row>
    <row r="50" spans="2:16" x14ac:dyDescent="0.25">
      <c r="B50" s="29" t="s">
        <v>12</v>
      </c>
      <c r="C50" s="14">
        <v>0.34663020153077229</v>
      </c>
      <c r="D50" s="14">
        <v>0.40448691112016544</v>
      </c>
      <c r="E50" s="14">
        <v>0.38836129472437725</v>
      </c>
      <c r="F50" s="14">
        <v>0.38582311151183146</v>
      </c>
      <c r="G50" s="14">
        <v>0.41215982781083244</v>
      </c>
      <c r="H50" s="14">
        <v>0.37688360958808648</v>
      </c>
      <c r="I50" s="30">
        <v>0.36641224247858861</v>
      </c>
      <c r="J50" s="14">
        <v>0.35453507765831571</v>
      </c>
      <c r="K50" s="14">
        <v>0.37687953153982218</v>
      </c>
      <c r="L50" s="14">
        <v>0.39548562205974386</v>
      </c>
      <c r="M50" s="14">
        <v>0.36842548949747522</v>
      </c>
      <c r="N50" s="14">
        <v>0.36839301587046441</v>
      </c>
    </row>
    <row r="51" spans="2:16" x14ac:dyDescent="0.25">
      <c r="B51" s="32" t="s">
        <v>21</v>
      </c>
      <c r="C51" s="31" t="s">
        <v>42</v>
      </c>
      <c r="D51" s="31" t="s">
        <v>42</v>
      </c>
      <c r="E51" s="31" t="s">
        <v>42</v>
      </c>
      <c r="F51" s="31" t="s">
        <v>42</v>
      </c>
      <c r="G51" s="31" t="s">
        <v>42</v>
      </c>
      <c r="H51" s="31" t="s">
        <v>42</v>
      </c>
      <c r="I51" s="31" t="s">
        <v>42</v>
      </c>
      <c r="J51" s="31" t="s">
        <v>42</v>
      </c>
      <c r="K51" s="31" t="s">
        <v>42</v>
      </c>
      <c r="L51" s="14">
        <v>3.1658171375449533E-3</v>
      </c>
      <c r="M51" s="14">
        <v>3.801254212337801E-4</v>
      </c>
      <c r="N51" s="14">
        <v>3.5811967389412692E-4</v>
      </c>
    </row>
    <row r="52" spans="2:16" x14ac:dyDescent="0.25">
      <c r="B52" s="29" t="s">
        <v>13</v>
      </c>
      <c r="C52" s="14">
        <v>6.0467411784274012E-2</v>
      </c>
      <c r="D52" s="14">
        <v>8.9370460163810644E-2</v>
      </c>
      <c r="E52" s="14">
        <v>7.6400172904387095E-2</v>
      </c>
      <c r="F52" s="14">
        <v>6.732343106427173E-2</v>
      </c>
      <c r="G52" s="14">
        <v>6.4279159629495694E-2</v>
      </c>
      <c r="H52" s="14">
        <v>7.4368172589533113E-2</v>
      </c>
      <c r="I52" s="30">
        <v>6.825055550414548E-2</v>
      </c>
      <c r="J52" s="14">
        <v>7.1458728233576352E-2</v>
      </c>
      <c r="K52" s="14">
        <v>6.0394665300623838E-2</v>
      </c>
      <c r="L52" s="14">
        <v>7.2558187618977296E-2</v>
      </c>
      <c r="M52" s="14">
        <v>6.0065135060378159E-2</v>
      </c>
      <c r="N52" s="14">
        <v>6.2317538538613174E-2</v>
      </c>
    </row>
    <row r="53" spans="2:16" x14ac:dyDescent="0.25">
      <c r="B53" s="29" t="s">
        <v>14</v>
      </c>
      <c r="C53" s="14">
        <v>1.7832651202613274E-3</v>
      </c>
      <c r="D53" s="14">
        <v>1.1788519922310871E-2</v>
      </c>
      <c r="E53" s="14">
        <v>9.2783120730910752E-3</v>
      </c>
      <c r="F53" s="14">
        <v>1.0241124412014357E-2</v>
      </c>
      <c r="G53" s="14">
        <v>7.5665720025051061E-3</v>
      </c>
      <c r="H53" s="14">
        <v>1.1214239348564921E-2</v>
      </c>
      <c r="I53" s="30">
        <v>9.0040905188366101E-3</v>
      </c>
      <c r="J53" s="14">
        <v>8.8277906736957644E-3</v>
      </c>
      <c r="K53" s="14">
        <v>1.1408579814828864E-2</v>
      </c>
      <c r="L53" s="14">
        <v>7.8916562140877913E-3</v>
      </c>
      <c r="M53" s="14">
        <v>5.8023881089374696E-3</v>
      </c>
      <c r="N53" s="14">
        <v>5.5228425822912994E-3</v>
      </c>
    </row>
    <row r="54" spans="2:16" x14ac:dyDescent="0.25">
      <c r="B54" s="29" t="s">
        <v>22</v>
      </c>
      <c r="C54" s="14">
        <v>1.5607659859901892E-2</v>
      </c>
      <c r="D54" s="14">
        <v>1.9131528768260433E-2</v>
      </c>
      <c r="E54" s="14">
        <v>1.5520234633881819E-2</v>
      </c>
      <c r="F54" s="14">
        <v>2.13386085584964E-2</v>
      </c>
      <c r="G54" s="14">
        <v>2.8299495439576744E-2</v>
      </c>
      <c r="H54" s="14">
        <v>3.0776570391821564E-2</v>
      </c>
      <c r="I54" s="30">
        <v>1.9093559705934231E-2</v>
      </c>
      <c r="J54" s="14">
        <v>1.1987692186508149E-2</v>
      </c>
      <c r="K54" s="14">
        <v>1.0035906526627173E-2</v>
      </c>
      <c r="L54" s="14">
        <v>1.940433837409896E-2</v>
      </c>
      <c r="M54" s="14">
        <v>1.0280789890053798E-2</v>
      </c>
      <c r="N54" s="14">
        <v>1.153465978924929E-2</v>
      </c>
      <c r="P54" s="33"/>
    </row>
    <row r="55" spans="2:16" x14ac:dyDescent="0.25">
      <c r="B55" s="34" t="s">
        <v>43</v>
      </c>
      <c r="C55" s="18">
        <v>8.0724649141224236E-2</v>
      </c>
      <c r="D55" s="18">
        <v>5.2698202727117123E-2</v>
      </c>
      <c r="E55" s="18">
        <v>9.0809892199315886E-2</v>
      </c>
      <c r="F55" s="18">
        <v>9.7686955691033292E-2</v>
      </c>
      <c r="G55" s="18">
        <v>8.2332408344428912E-2</v>
      </c>
      <c r="H55" s="18">
        <v>8.3809608062945365E-2</v>
      </c>
      <c r="I55" s="18">
        <v>1.7154268995915489E-2</v>
      </c>
      <c r="J55" s="18">
        <v>7.5999999999999998E-2</v>
      </c>
      <c r="K55" s="18">
        <v>7.5842984683654649E-2</v>
      </c>
      <c r="L55" s="18">
        <v>3.4000000000000002E-2</v>
      </c>
      <c r="M55" s="18">
        <v>7.0000000000000007E-2</v>
      </c>
      <c r="N55" s="18">
        <v>6.9453113766765745E-2</v>
      </c>
    </row>
    <row r="56" spans="2:16" x14ac:dyDescent="0.25">
      <c r="B56" s="35"/>
      <c r="C56" s="35"/>
      <c r="D56" s="35"/>
      <c r="E56" s="35"/>
      <c r="F56" s="35"/>
      <c r="G56" s="35"/>
      <c r="H56" s="35"/>
      <c r="I56" s="36"/>
    </row>
    <row r="57" spans="2:16" x14ac:dyDescent="0.25">
      <c r="B57" s="21" t="s">
        <v>6</v>
      </c>
      <c r="C57" s="37">
        <v>1</v>
      </c>
      <c r="D57" s="37">
        <v>1</v>
      </c>
      <c r="E57" s="37">
        <v>1</v>
      </c>
      <c r="F57" s="37">
        <v>1</v>
      </c>
      <c r="G57" s="37">
        <v>1</v>
      </c>
      <c r="H57" s="37">
        <v>1</v>
      </c>
      <c r="I57" s="37">
        <v>1</v>
      </c>
      <c r="J57" s="37">
        <v>0.997</v>
      </c>
      <c r="K57" s="37">
        <v>0.99999999999999911</v>
      </c>
      <c r="L57" s="37">
        <v>0.99999999999999911</v>
      </c>
      <c r="M57" s="22">
        <f>SUM(M42:M55)</f>
        <v>0.9900775192248068</v>
      </c>
      <c r="N57" s="22">
        <v>0.999</v>
      </c>
    </row>
    <row r="58" spans="2:16" x14ac:dyDescent="0.25">
      <c r="B58" s="23" t="s">
        <v>44</v>
      </c>
      <c r="M58" s="12"/>
    </row>
    <row r="59" spans="2:16" x14ac:dyDescent="0.25">
      <c r="B59" s="24" t="s">
        <v>45</v>
      </c>
      <c r="C59" s="24">
        <v>1833</v>
      </c>
      <c r="D59" s="24">
        <v>1718</v>
      </c>
      <c r="E59" s="24">
        <v>1955</v>
      </c>
      <c r="F59" s="24">
        <v>1498</v>
      </c>
      <c r="G59" s="24">
        <v>1685</v>
      </c>
      <c r="H59" s="24">
        <v>1831</v>
      </c>
      <c r="I59" s="24">
        <v>1744</v>
      </c>
      <c r="J59" s="24">
        <v>1758</v>
      </c>
      <c r="K59" s="24">
        <v>1111</v>
      </c>
      <c r="L59" s="24">
        <v>2295</v>
      </c>
      <c r="M59" s="25">
        <v>1961</v>
      </c>
      <c r="N59" s="25">
        <v>2055</v>
      </c>
    </row>
    <row r="60" spans="2:16" x14ac:dyDescent="0.25">
      <c r="B60" s="23" t="s">
        <v>26</v>
      </c>
      <c r="C60" s="26">
        <v>2.3E-2</v>
      </c>
      <c r="D60" s="26">
        <v>2.4E-2</v>
      </c>
      <c r="E60" s="26">
        <v>2.1999999999999999E-2</v>
      </c>
      <c r="F60" s="26">
        <v>2.5000000000000001E-2</v>
      </c>
      <c r="G60" s="26">
        <v>2.3873612628275271E-2</v>
      </c>
      <c r="H60" s="26">
        <v>2.2902027045737159E-2</v>
      </c>
      <c r="I60" s="26">
        <v>2.3466312780990577E-2</v>
      </c>
      <c r="J60" s="38">
        <v>2.3E-2</v>
      </c>
      <c r="K60" s="38">
        <v>2.9400929851346375E-2</v>
      </c>
      <c r="L60" s="38">
        <v>0.02</v>
      </c>
      <c r="M60" s="26">
        <v>2.1999999999999999E-2</v>
      </c>
      <c r="N60" s="26">
        <v>2.1999999999999999E-2</v>
      </c>
    </row>
    <row r="61" spans="2:16" x14ac:dyDescent="0.25">
      <c r="B61" s="39" t="s">
        <v>46</v>
      </c>
      <c r="C61" s="12"/>
      <c r="D61" s="12"/>
    </row>
    <row r="65" spans="2:5" ht="67.5" x14ac:dyDescent="0.25">
      <c r="B65" s="40" t="s">
        <v>41</v>
      </c>
      <c r="C65" s="41" t="s">
        <v>47</v>
      </c>
      <c r="D65" s="41" t="s">
        <v>48</v>
      </c>
      <c r="E65" s="42" t="s">
        <v>49</v>
      </c>
    </row>
    <row r="66" spans="2:5" x14ac:dyDescent="0.25">
      <c r="B66" s="4"/>
      <c r="C66" s="9"/>
      <c r="D66" s="4"/>
      <c r="E66" s="43"/>
    </row>
    <row r="67" spans="2:5" x14ac:dyDescent="0.25">
      <c r="B67" s="29" t="s">
        <v>7</v>
      </c>
      <c r="C67" s="44">
        <f t="shared" ref="C67:C78" si="1">N43/SUM($N$43:$N$54)</f>
        <v>3.7325395166293546E-2</v>
      </c>
      <c r="D67" s="45">
        <v>5</v>
      </c>
      <c r="E67" s="46" t="s">
        <v>50</v>
      </c>
    </row>
    <row r="68" spans="2:5" x14ac:dyDescent="0.25">
      <c r="B68" s="29" t="s">
        <v>19</v>
      </c>
      <c r="C68" s="44">
        <f t="shared" si="1"/>
        <v>2.2575760821545936E-2</v>
      </c>
      <c r="D68" s="45">
        <v>0</v>
      </c>
      <c r="E68" s="46"/>
    </row>
    <row r="69" spans="2:5" x14ac:dyDescent="0.25">
      <c r="B69" s="29" t="s">
        <v>8</v>
      </c>
      <c r="C69" s="44">
        <f t="shared" si="1"/>
        <v>0.12620056272319727</v>
      </c>
      <c r="D69" s="45">
        <v>16</v>
      </c>
      <c r="E69" s="46"/>
    </row>
    <row r="70" spans="2:5" x14ac:dyDescent="0.25">
      <c r="B70" s="29" t="s">
        <v>9</v>
      </c>
      <c r="C70" s="44">
        <f t="shared" si="1"/>
        <v>5.467983304345665E-3</v>
      </c>
      <c r="D70" s="45">
        <v>0</v>
      </c>
      <c r="E70" s="46"/>
    </row>
    <row r="71" spans="2:5" x14ac:dyDescent="0.25">
      <c r="B71" s="29" t="s">
        <v>10</v>
      </c>
      <c r="C71" s="44">
        <f t="shared" si="1"/>
        <v>0.27855734159915296</v>
      </c>
      <c r="D71" s="45">
        <v>35</v>
      </c>
      <c r="E71" s="46"/>
    </row>
    <row r="72" spans="2:5" x14ac:dyDescent="0.25">
      <c r="B72" s="29" t="s">
        <v>20</v>
      </c>
      <c r="C72" s="44">
        <f t="shared" si="1"/>
        <v>2.5399503268368269E-2</v>
      </c>
      <c r="D72" s="45">
        <v>3</v>
      </c>
      <c r="E72" s="46" t="s">
        <v>50</v>
      </c>
    </row>
    <row r="73" spans="2:5" x14ac:dyDescent="0.25">
      <c r="B73" s="29" t="s">
        <v>11</v>
      </c>
      <c r="C73" s="44">
        <f t="shared" si="1"/>
        <v>1.8175336361320928E-2</v>
      </c>
      <c r="D73" s="45">
        <v>4</v>
      </c>
      <c r="E73" s="46" t="s">
        <v>51</v>
      </c>
    </row>
    <row r="74" spans="2:5" x14ac:dyDescent="0.25">
      <c r="B74" s="29" t="s">
        <v>12</v>
      </c>
      <c r="C74" s="44">
        <f t="shared" si="1"/>
        <v>0.39977318723306504</v>
      </c>
      <c r="D74" s="45">
        <v>50</v>
      </c>
      <c r="E74" s="46"/>
    </row>
    <row r="75" spans="2:5" x14ac:dyDescent="0.25">
      <c r="B75" s="32" t="s">
        <v>21</v>
      </c>
      <c r="C75" s="44">
        <f t="shared" si="1"/>
        <v>3.8862474931897662E-4</v>
      </c>
      <c r="D75" s="45">
        <v>0</v>
      </c>
      <c r="E75" s="46"/>
    </row>
    <row r="76" spans="2:5" x14ac:dyDescent="0.25">
      <c r="B76" s="29" t="s">
        <v>13</v>
      </c>
      <c r="C76" s="44">
        <f t="shared" si="1"/>
        <v>6.7625823315990069E-2</v>
      </c>
      <c r="D76" s="45">
        <v>8</v>
      </c>
      <c r="E76" s="46"/>
    </row>
    <row r="77" spans="2:5" x14ac:dyDescent="0.25">
      <c r="B77" s="29" t="s">
        <v>14</v>
      </c>
      <c r="C77" s="44">
        <f t="shared" si="1"/>
        <v>5.9932851237479157E-3</v>
      </c>
      <c r="D77" s="45">
        <v>1</v>
      </c>
      <c r="E77" s="46" t="s">
        <v>50</v>
      </c>
    </row>
    <row r="78" spans="2:5" x14ac:dyDescent="0.25">
      <c r="B78" s="29" t="s">
        <v>22</v>
      </c>
      <c r="C78" s="44">
        <f t="shared" si="1"/>
        <v>1.2517196333653311E-2</v>
      </c>
      <c r="D78" s="45">
        <v>0</v>
      </c>
      <c r="E78" s="46"/>
    </row>
    <row r="79" spans="2:5" x14ac:dyDescent="0.25">
      <c r="B79" s="47"/>
      <c r="C79" s="17"/>
      <c r="D79" s="34"/>
      <c r="E79" s="48"/>
    </row>
    <row r="81" spans="2:6" x14ac:dyDescent="0.25">
      <c r="B81" s="49" t="s">
        <v>52</v>
      </c>
      <c r="C81" s="50"/>
      <c r="D81" s="51">
        <f>SUM(D67:D80)</f>
        <v>122</v>
      </c>
    </row>
    <row r="83" spans="2:6" x14ac:dyDescent="0.25">
      <c r="B83" t="s">
        <v>53</v>
      </c>
      <c r="C83">
        <v>50</v>
      </c>
      <c r="E83" t="s">
        <v>55</v>
      </c>
      <c r="F83">
        <v>35</v>
      </c>
    </row>
    <row r="84" spans="2:6" x14ac:dyDescent="0.25">
      <c r="B84" t="s">
        <v>54</v>
      </c>
      <c r="C84">
        <v>5</v>
      </c>
      <c r="E84" t="s">
        <v>56</v>
      </c>
      <c r="F84">
        <v>16</v>
      </c>
    </row>
    <row r="85" spans="2:6" x14ac:dyDescent="0.25">
      <c r="B85" t="s">
        <v>11</v>
      </c>
      <c r="C85">
        <v>4</v>
      </c>
      <c r="E85" t="s">
        <v>57</v>
      </c>
      <c r="F85">
        <v>8</v>
      </c>
    </row>
    <row r="86" spans="2:6" x14ac:dyDescent="0.25">
      <c r="B86" t="s">
        <v>14</v>
      </c>
      <c r="C86">
        <v>1</v>
      </c>
    </row>
    <row r="87" spans="2:6" x14ac:dyDescent="0.25">
      <c r="B87" t="s">
        <v>6</v>
      </c>
      <c r="C87">
        <f>SUM(C83:C86)</f>
        <v>60</v>
      </c>
      <c r="F87">
        <f>SUM(F83:F86)</f>
        <v>59</v>
      </c>
    </row>
    <row r="88" spans="2:6" x14ac:dyDescent="0.25">
      <c r="E88" t="s">
        <v>58</v>
      </c>
      <c r="F88">
        <v>3</v>
      </c>
    </row>
  </sheetData>
  <mergeCells count="15">
    <mergeCell ref="D9:O9"/>
    <mergeCell ref="B32:M34"/>
    <mergeCell ref="B36:F36"/>
    <mergeCell ref="C40:C41"/>
    <mergeCell ref="D40:D41"/>
    <mergeCell ref="E40:E41"/>
    <mergeCell ref="F40:F41"/>
    <mergeCell ref="G40:G41"/>
    <mergeCell ref="H40:H41"/>
    <mergeCell ref="I40:I41"/>
    <mergeCell ref="J40:J41"/>
    <mergeCell ref="K40:K41"/>
    <mergeCell ref="L40:L41"/>
    <mergeCell ref="M40:M41"/>
    <mergeCell ref="N40:N41"/>
  </mergeCells>
  <pageMargins left="0.7" right="0.7" top="0.75" bottom="0.75" header="0.3" footer="0.3"/>
  <pageSetup paperSize="9" scale="79" fitToHeight="0" orientation="landscape" horizontalDpi="0" verticalDpi="0" r:id="rId1"/>
  <rowBreaks count="2" manualBreakCount="2">
    <brk id="34" max="16383" man="1"/>
    <brk id="61"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Potential Voters</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McInman</dc:creator>
  <cp:lastModifiedBy>GC</cp:lastModifiedBy>
  <cp:lastPrinted>2011-10-20T20:34:21Z</cp:lastPrinted>
  <dcterms:created xsi:type="dcterms:W3CDTF">2011-10-20T20:10:11Z</dcterms:created>
  <dcterms:modified xsi:type="dcterms:W3CDTF">2011-10-20T21:31:03Z</dcterms:modified>
</cp:coreProperties>
</file>