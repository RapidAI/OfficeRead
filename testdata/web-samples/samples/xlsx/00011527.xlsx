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952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44525"/>
</workbook>
</file>

<file path=xl/calcChain.xml><?xml version="1.0" encoding="utf-8"?>
<calcChain xmlns="http://schemas.openxmlformats.org/spreadsheetml/2006/main">
  <c r="BG21" i="1" l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G6" i="1"/>
  <c r="BG15" i="1" s="1"/>
  <c r="BF6" i="1"/>
  <c r="BF15" i="1" s="1"/>
  <c r="BE6" i="1"/>
  <c r="BE15" i="1" s="1"/>
  <c r="BD6" i="1"/>
  <c r="BD15" i="1" s="1"/>
  <c r="BC6" i="1"/>
  <c r="BC15" i="1" s="1"/>
  <c r="BB6" i="1"/>
  <c r="BB15" i="1" s="1"/>
  <c r="BA6" i="1"/>
  <c r="BA15" i="1" s="1"/>
  <c r="AZ6" i="1"/>
  <c r="AZ15" i="1" s="1"/>
  <c r="AY6" i="1"/>
  <c r="AY15" i="1" s="1"/>
  <c r="AX6" i="1"/>
  <c r="AX15" i="1" s="1"/>
  <c r="AW6" i="1"/>
  <c r="AW15" i="1" s="1"/>
  <c r="AV6" i="1"/>
  <c r="AV15" i="1" s="1"/>
  <c r="AU6" i="1"/>
  <c r="AU15" i="1" s="1"/>
  <c r="AT6" i="1"/>
  <c r="AT15" i="1" s="1"/>
  <c r="AS6" i="1"/>
  <c r="AS15" i="1" s="1"/>
  <c r="AR6" i="1"/>
  <c r="AR15" i="1" s="1"/>
  <c r="AQ6" i="1"/>
  <c r="AQ15" i="1" s="1"/>
  <c r="AP6" i="1"/>
  <c r="AP15" i="1" s="1"/>
  <c r="AO6" i="1"/>
  <c r="AO15" i="1" s="1"/>
  <c r="AN6" i="1"/>
  <c r="AN15" i="1" s="1"/>
  <c r="AM6" i="1"/>
  <c r="AM15" i="1" s="1"/>
  <c r="AL6" i="1"/>
  <c r="AL15" i="1" s="1"/>
  <c r="AK6" i="1"/>
  <c r="AK15" i="1" s="1"/>
  <c r="AJ6" i="1"/>
  <c r="AJ15" i="1" s="1"/>
  <c r="AI6" i="1"/>
  <c r="AI15" i="1" s="1"/>
  <c r="AH6" i="1"/>
  <c r="AH15" i="1" s="1"/>
  <c r="AG6" i="1"/>
  <c r="AG15" i="1" s="1"/>
  <c r="AF6" i="1"/>
  <c r="AF15" i="1" s="1"/>
  <c r="AE6" i="1"/>
  <c r="AE15" i="1" s="1"/>
  <c r="AD6" i="1"/>
  <c r="AD15" i="1" s="1"/>
  <c r="AC6" i="1"/>
  <c r="AC15" i="1" s="1"/>
  <c r="AB6" i="1"/>
  <c r="AB15" i="1" s="1"/>
  <c r="AA6" i="1"/>
  <c r="AA15" i="1" s="1"/>
  <c r="Z6" i="1"/>
  <c r="Z15" i="1" s="1"/>
  <c r="Y6" i="1"/>
  <c r="Y15" i="1" s="1"/>
  <c r="X6" i="1"/>
  <c r="X15" i="1" s="1"/>
  <c r="W6" i="1"/>
  <c r="W15" i="1" s="1"/>
  <c r="V6" i="1"/>
  <c r="V15" i="1" s="1"/>
  <c r="U6" i="1"/>
  <c r="U15" i="1" s="1"/>
  <c r="T6" i="1"/>
  <c r="T15" i="1" s="1"/>
  <c r="S6" i="1"/>
  <c r="S15" i="1" s="1"/>
  <c r="R6" i="1"/>
  <c r="R15" i="1" s="1"/>
  <c r="Q6" i="1"/>
  <c r="Q15" i="1" s="1"/>
  <c r="P6" i="1"/>
  <c r="P15" i="1" s="1"/>
  <c r="O6" i="1"/>
  <c r="O15" i="1" s="1"/>
  <c r="N6" i="1"/>
  <c r="N15" i="1" s="1"/>
  <c r="M6" i="1"/>
  <c r="M15" i="1" s="1"/>
  <c r="L6" i="1"/>
  <c r="L15" i="1" s="1"/>
  <c r="K6" i="1"/>
  <c r="K15" i="1" s="1"/>
  <c r="J6" i="1"/>
  <c r="J15" i="1" s="1"/>
  <c r="I6" i="1"/>
  <c r="I15" i="1" s="1"/>
  <c r="H6" i="1"/>
  <c r="H15" i="1" s="1"/>
  <c r="G6" i="1"/>
  <c r="G15" i="1" s="1"/>
  <c r="F6" i="1"/>
  <c r="F15" i="1" s="1"/>
  <c r="E6" i="1"/>
  <c r="E15" i="1" s="1"/>
  <c r="D6" i="1"/>
  <c r="D15" i="1" s="1"/>
  <c r="C6" i="1"/>
  <c r="C15" i="1" s="1"/>
</calcChain>
</file>

<file path=xl/sharedStrings.xml><?xml version="1.0" encoding="utf-8"?>
<sst xmlns="http://schemas.openxmlformats.org/spreadsheetml/2006/main" count="361" uniqueCount="69">
  <si>
    <t>Mood of the Nation</t>
  </si>
  <si>
    <t>Trust</t>
  </si>
  <si>
    <t>Bankers</t>
  </si>
  <si>
    <t>Finance companies</t>
  </si>
  <si>
    <t>Doctors</t>
  </si>
  <si>
    <t>Members of Parliament</t>
  </si>
  <si>
    <t>Local councillors</t>
  </si>
  <si>
    <t>Police</t>
  </si>
  <si>
    <t>Advertising agencies</t>
  </si>
  <si>
    <t>Armed forces</t>
  </si>
  <si>
    <t>Nurses</t>
  </si>
  <si>
    <t>Radio talkback hosts</t>
  </si>
  <si>
    <t>Journalists</t>
  </si>
  <si>
    <t>Radio news</t>
  </si>
  <si>
    <t>Newspapers</t>
  </si>
  <si>
    <t>Online news</t>
  </si>
  <si>
    <t>Internet banking</t>
  </si>
  <si>
    <t>Internet credit card transactions</t>
  </si>
  <si>
    <t>Online shopping web sites</t>
  </si>
  <si>
    <t>Real estate agents</t>
  </si>
  <si>
    <t>Travel agents</t>
  </si>
  <si>
    <t>Used car salespeople</t>
  </si>
  <si>
    <t>New car salespeople</t>
  </si>
  <si>
    <t>Retail sales people</t>
  </si>
  <si>
    <t>Business managers</t>
  </si>
  <si>
    <t>Business owners</t>
  </si>
  <si>
    <t>Farm owners</t>
  </si>
  <si>
    <t>Central Government employees</t>
  </si>
  <si>
    <t>Local Government employees</t>
  </si>
  <si>
    <t>Accountants</t>
  </si>
  <si>
    <t>Lawyers</t>
  </si>
  <si>
    <t>Engineers</t>
  </si>
  <si>
    <t>KiwiSaver fund managers</t>
  </si>
  <si>
    <t>Internet service providers</t>
  </si>
  <si>
    <t>Broadband providers</t>
  </si>
  <si>
    <t>Mobile telephone providers</t>
  </si>
  <si>
    <t>Supermarkets</t>
  </si>
  <si>
    <t>Small shopkeepers</t>
  </si>
  <si>
    <t>Scientists</t>
  </si>
  <si>
    <t>Fire fighters</t>
  </si>
  <si>
    <t>Pilots</t>
  </si>
  <si>
    <t>Ambulance officers</t>
  </si>
  <si>
    <t>Insurance sales people</t>
  </si>
  <si>
    <t>Insurance companies</t>
  </si>
  <si>
    <t>Clergy members</t>
  </si>
  <si>
    <t>Tertiary teachers</t>
  </si>
  <si>
    <t>Secondary school teachers</t>
  </si>
  <si>
    <t>Primary and intermediate teachers</t>
  </si>
  <si>
    <t>Pre-school teachers</t>
  </si>
  <si>
    <t>Judges</t>
  </si>
  <si>
    <t>Dentists</t>
  </si>
  <si>
    <t>Pharmacists</t>
  </si>
  <si>
    <t>Vets</t>
  </si>
  <si>
    <t>Mechanics</t>
  </si>
  <si>
    <t>Plumbers</t>
  </si>
  <si>
    <t>Farmers</t>
  </si>
  <si>
    <t>Taxi drivers</t>
  </si>
  <si>
    <t>Tow truck drivers</t>
  </si>
  <si>
    <t>Telemarketers</t>
  </si>
  <si>
    <t>Totally trust</t>
  </si>
  <si>
    <t>Neither trust nor distrust</t>
  </si>
  <si>
    <t>Distrust</t>
  </si>
  <si>
    <t>Totally distrust</t>
  </si>
  <si>
    <t>Don't know</t>
  </si>
  <si>
    <t>Not Answered</t>
  </si>
  <si>
    <t>Total %</t>
  </si>
  <si>
    <t>Base - All respondents</t>
  </si>
  <si>
    <t>Total Trust</t>
  </si>
  <si>
    <t>Total Distrust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</si>
</sst>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m\ yyyy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1"/>
      <name val="Verdana"/>
      <family val="2"/>
    </font>
    <font>
      <sz val="10"/>
      <color theme="1"/>
      <name val="Verdana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Alignment="1">
      <alignment vertical="center"/>
    </xf>
    <xf numFmtId="0" fontId="4" fillId="0" borderId="6" xfId="0" applyFont="1" applyBorder="1" applyAlignment="1">
      <alignment vertical="center" wrapText="1"/>
    </xf>
    <xf numFmtId="165" fontId="3" fillId="0" borderId="7" xfId="0" applyNumberFormat="1" applyFont="1" applyBorder="1" applyAlignment="1">
      <alignment vertical="center"/>
    </xf>
    <xf numFmtId="165" fontId="3" fillId="0" borderId="0" xfId="0" applyNumberFormat="1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165" fontId="3" fillId="0" borderId="13" xfId="0" applyNumberFormat="1" applyFont="1" applyBorder="1" applyAlignment="1">
      <alignment vertical="center"/>
    </xf>
    <xf numFmtId="165" fontId="3" fillId="0" borderId="14" xfId="0" applyNumberFormat="1" applyFont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center" vertical="center" wrapText="1"/>
    </xf>
    <xf numFmtId="165" fontId="3" fillId="0" borderId="0" xfId="0" applyNumberFormat="1" applyFont="1" applyFill="1" applyBorder="1" applyAlignment="1">
      <alignment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wrapText="1"/>
    </xf>
    <xf numFmtId="0" fontId="6" fillId="0" borderId="0" xfId="0" applyFont="1" applyBorder="1" applyAlignment="1">
      <alignment wrapText="1"/>
    </xf>
    <xf numFmtId="0" fontId="6" fillId="0" borderId="0" xfId="0" applyFont="1" applyFill="1" applyBorder="1" applyAlignment="1">
      <alignment wrapText="1"/>
    </xf>
    <xf numFmtId="165" fontId="3" fillId="0" borderId="0" xfId="0" applyNumberFormat="1" applyFont="1"/>
    <xf numFmtId="165" fontId="7" fillId="0" borderId="0" xfId="0" applyNumberFormat="1" applyFont="1"/>
    <xf numFmtId="0" fontId="3" fillId="0" borderId="0" xfId="0" applyFont="1" applyFill="1"/>
    <xf numFmtId="9" fontId="6" fillId="0" borderId="0" xfId="0" applyNumberFormat="1" applyFont="1" applyBorder="1" applyAlignment="1">
      <alignment wrapText="1"/>
    </xf>
    <xf numFmtId="10" fontId="6" fillId="0" borderId="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How well do we trust these groups?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[1]Tables!$C$24</c:f>
              <c:strCache>
                <c:ptCount val="1"/>
                <c:pt idx="0">
                  <c:v>Trust</c:v>
                </c:pt>
              </c:strCache>
            </c:strRef>
          </c:tx>
          <c:invertIfNegative val="0"/>
          <c:cat>
            <c:strRef>
              <c:f>[1]Tables!$B$25:$B$81</c:f>
              <c:strCache>
                <c:ptCount val="57"/>
                <c:pt idx="0">
                  <c:v>Used car salespeople</c:v>
                </c:pt>
                <c:pt idx="1">
                  <c:v>Telemarketers</c:v>
                </c:pt>
                <c:pt idx="2">
                  <c:v>Advertising agencies</c:v>
                </c:pt>
                <c:pt idx="3">
                  <c:v>Insurance sales people</c:v>
                </c:pt>
                <c:pt idx="4">
                  <c:v>Finance companies</c:v>
                </c:pt>
                <c:pt idx="5">
                  <c:v>Real estate agents</c:v>
                </c:pt>
                <c:pt idx="6">
                  <c:v>New car salespeople</c:v>
                </c:pt>
                <c:pt idx="7">
                  <c:v>Members of Parliament</c:v>
                </c:pt>
                <c:pt idx="8">
                  <c:v>Insurance companies</c:v>
                </c:pt>
                <c:pt idx="9">
                  <c:v>Tow truck drivers</c:v>
                </c:pt>
                <c:pt idx="10">
                  <c:v>Journalists</c:v>
                </c:pt>
                <c:pt idx="11">
                  <c:v>Radio talkback hosts</c:v>
                </c:pt>
                <c:pt idx="12">
                  <c:v>Local councillors</c:v>
                </c:pt>
                <c:pt idx="13">
                  <c:v>Central Government employees</c:v>
                </c:pt>
                <c:pt idx="14">
                  <c:v>Business managers</c:v>
                </c:pt>
                <c:pt idx="15">
                  <c:v>Local Government employees</c:v>
                </c:pt>
                <c:pt idx="16">
                  <c:v>Taxi drivers</c:v>
                </c:pt>
                <c:pt idx="17">
                  <c:v>Business owners</c:v>
                </c:pt>
                <c:pt idx="18">
                  <c:v>Retail sales people</c:v>
                </c:pt>
                <c:pt idx="19">
                  <c:v>KiwiSaver fund managers</c:v>
                </c:pt>
                <c:pt idx="20">
                  <c:v>Travel agents</c:v>
                </c:pt>
                <c:pt idx="21">
                  <c:v>Mobile telephone providers</c:v>
                </c:pt>
                <c:pt idx="22">
                  <c:v>Lawyers</c:v>
                </c:pt>
                <c:pt idx="23">
                  <c:v>Accountants</c:v>
                </c:pt>
                <c:pt idx="24">
                  <c:v>Newspapers</c:v>
                </c:pt>
                <c:pt idx="25">
                  <c:v>Radio news</c:v>
                </c:pt>
                <c:pt idx="26">
                  <c:v>Online news</c:v>
                </c:pt>
                <c:pt idx="27">
                  <c:v>Internet service providers</c:v>
                </c:pt>
                <c:pt idx="28">
                  <c:v>Broadband providers</c:v>
                </c:pt>
                <c:pt idx="29">
                  <c:v>Online shopping web sites</c:v>
                </c:pt>
                <c:pt idx="30">
                  <c:v>Farm owners</c:v>
                </c:pt>
                <c:pt idx="31">
                  <c:v>Clergy members</c:v>
                </c:pt>
                <c:pt idx="32">
                  <c:v>Plumbers</c:v>
                </c:pt>
                <c:pt idx="33">
                  <c:v>Mechanics</c:v>
                </c:pt>
                <c:pt idx="34">
                  <c:v>Bankers</c:v>
                </c:pt>
                <c:pt idx="35">
                  <c:v>Small shopkeepers</c:v>
                </c:pt>
                <c:pt idx="36">
                  <c:v>Supermarkets</c:v>
                </c:pt>
                <c:pt idx="37">
                  <c:v>Scientists</c:v>
                </c:pt>
                <c:pt idx="38">
                  <c:v>Farmers</c:v>
                </c:pt>
                <c:pt idx="39">
                  <c:v>Engineers</c:v>
                </c:pt>
                <c:pt idx="40">
                  <c:v>Tertiary teachers</c:v>
                </c:pt>
                <c:pt idx="41">
                  <c:v>Secondary school teachers</c:v>
                </c:pt>
                <c:pt idx="42">
                  <c:v>Judges</c:v>
                </c:pt>
                <c:pt idx="43">
                  <c:v>Internet credit card transactions</c:v>
                </c:pt>
                <c:pt idx="44">
                  <c:v>Pre-school teachers</c:v>
                </c:pt>
                <c:pt idx="45">
                  <c:v>Primary and intermediate teachers</c:v>
                </c:pt>
                <c:pt idx="46">
                  <c:v>Dentists</c:v>
                </c:pt>
                <c:pt idx="47">
                  <c:v>Police</c:v>
                </c:pt>
                <c:pt idx="48">
                  <c:v>Armed forces</c:v>
                </c:pt>
                <c:pt idx="49">
                  <c:v>Vets</c:v>
                </c:pt>
                <c:pt idx="50">
                  <c:v>Pharmacists</c:v>
                </c:pt>
                <c:pt idx="51">
                  <c:v>Internet banking</c:v>
                </c:pt>
                <c:pt idx="52">
                  <c:v>Doctors</c:v>
                </c:pt>
                <c:pt idx="53">
                  <c:v>Pilots</c:v>
                </c:pt>
                <c:pt idx="54">
                  <c:v>Nurses</c:v>
                </c:pt>
                <c:pt idx="55">
                  <c:v>Fire fighters</c:v>
                </c:pt>
                <c:pt idx="56">
                  <c:v>Ambulance officers</c:v>
                </c:pt>
              </c:strCache>
            </c:strRef>
          </c:cat>
          <c:val>
            <c:numRef>
              <c:f>[1]Tables!$C$25:$C$81</c:f>
              <c:numCache>
                <c:formatCode>0.0%</c:formatCode>
                <c:ptCount val="57"/>
                <c:pt idx="0">
                  <c:v>2.794605115360458E-2</c:v>
                </c:pt>
                <c:pt idx="1">
                  <c:v>3.1957720434005132E-2</c:v>
                </c:pt>
                <c:pt idx="2">
                  <c:v>4.3007981188375774E-2</c:v>
                </c:pt>
                <c:pt idx="3">
                  <c:v>4.8987678409038324E-2</c:v>
                </c:pt>
                <c:pt idx="4">
                  <c:v>5.5117272803804018E-2</c:v>
                </c:pt>
                <c:pt idx="5">
                  <c:v>5.7098085102273939E-2</c:v>
                </c:pt>
                <c:pt idx="6">
                  <c:v>6.9761863725975162E-2</c:v>
                </c:pt>
                <c:pt idx="7">
                  <c:v>8.6143088761762618E-2</c:v>
                </c:pt>
                <c:pt idx="8">
                  <c:v>9.2145526569315142E-2</c:v>
                </c:pt>
                <c:pt idx="9">
                  <c:v>0.11414150842686023</c:v>
                </c:pt>
                <c:pt idx="10">
                  <c:v>0.11665360208074826</c:v>
                </c:pt>
                <c:pt idx="11">
                  <c:v>0.12288267262584199</c:v>
                </c:pt>
                <c:pt idx="12">
                  <c:v>0.12305441083092297</c:v>
                </c:pt>
                <c:pt idx="13">
                  <c:v>0.1293321331013054</c:v>
                </c:pt>
                <c:pt idx="14">
                  <c:v>0.13901227284572684</c:v>
                </c:pt>
                <c:pt idx="15">
                  <c:v>0.14548159497586471</c:v>
                </c:pt>
                <c:pt idx="16">
                  <c:v>0.17528781056137538</c:v>
                </c:pt>
                <c:pt idx="17">
                  <c:v>0.18173477569742574</c:v>
                </c:pt>
                <c:pt idx="18">
                  <c:v>0.18684137449809091</c:v>
                </c:pt>
                <c:pt idx="19">
                  <c:v>0.22317627198504025</c:v>
                </c:pt>
                <c:pt idx="20">
                  <c:v>0.23814253066739552</c:v>
                </c:pt>
                <c:pt idx="21">
                  <c:v>0.24661423668943122</c:v>
                </c:pt>
                <c:pt idx="22">
                  <c:v>0.26725414174884299</c:v>
                </c:pt>
                <c:pt idx="23">
                  <c:v>0.2755511196730312</c:v>
                </c:pt>
                <c:pt idx="24">
                  <c:v>0.30537883362222723</c:v>
                </c:pt>
                <c:pt idx="25">
                  <c:v>0.30910709358311772</c:v>
                </c:pt>
                <c:pt idx="26">
                  <c:v>0.30974669763757579</c:v>
                </c:pt>
                <c:pt idx="27">
                  <c:v>0.31495017871552727</c:v>
                </c:pt>
                <c:pt idx="28">
                  <c:v>0.31994664321297522</c:v>
                </c:pt>
                <c:pt idx="29">
                  <c:v>0.32286327354038907</c:v>
                </c:pt>
                <c:pt idx="30">
                  <c:v>0.33091187530899907</c:v>
                </c:pt>
                <c:pt idx="31">
                  <c:v>0.34205290153830981</c:v>
                </c:pt>
                <c:pt idx="32">
                  <c:v>0.34852991032424896</c:v>
                </c:pt>
                <c:pt idx="33">
                  <c:v>0.35012898147278193</c:v>
                </c:pt>
                <c:pt idx="34">
                  <c:v>0.36964474306694745</c:v>
                </c:pt>
                <c:pt idx="35">
                  <c:v>0.37343008819963813</c:v>
                </c:pt>
                <c:pt idx="36">
                  <c:v>0.37818050722154928</c:v>
                </c:pt>
                <c:pt idx="37">
                  <c:v>0.39070645545632426</c:v>
                </c:pt>
                <c:pt idx="38">
                  <c:v>0.41530991942114676</c:v>
                </c:pt>
                <c:pt idx="39">
                  <c:v>0.45164879917462375</c:v>
                </c:pt>
                <c:pt idx="40">
                  <c:v>0.45396168908866713</c:v>
                </c:pt>
                <c:pt idx="41">
                  <c:v>0.46591066840195489</c:v>
                </c:pt>
                <c:pt idx="42">
                  <c:v>0.47182141442390818</c:v>
                </c:pt>
                <c:pt idx="43">
                  <c:v>0.47680723153993176</c:v>
                </c:pt>
                <c:pt idx="44">
                  <c:v>0.49461514953082469</c:v>
                </c:pt>
                <c:pt idx="45">
                  <c:v>0.49556954736078951</c:v>
                </c:pt>
                <c:pt idx="46">
                  <c:v>0.51875894305018178</c:v>
                </c:pt>
                <c:pt idx="47">
                  <c:v>0.59563670803439106</c:v>
                </c:pt>
                <c:pt idx="48">
                  <c:v>0.59614727592874817</c:v>
                </c:pt>
                <c:pt idx="49">
                  <c:v>0.60753180209907076</c:v>
                </c:pt>
                <c:pt idx="50">
                  <c:v>0.65504778108624007</c:v>
                </c:pt>
                <c:pt idx="51">
                  <c:v>0.66852986716422469</c:v>
                </c:pt>
                <c:pt idx="52">
                  <c:v>0.71244996482525924</c:v>
                </c:pt>
                <c:pt idx="53">
                  <c:v>0.76016326803898648</c:v>
                </c:pt>
                <c:pt idx="54">
                  <c:v>0.79859015359839813</c:v>
                </c:pt>
                <c:pt idx="55">
                  <c:v>0.82141170202938008</c:v>
                </c:pt>
                <c:pt idx="56">
                  <c:v>0.8376625206031324</c:v>
                </c:pt>
              </c:numCache>
            </c:numRef>
          </c:val>
        </c:ser>
        <c:ser>
          <c:idx val="1"/>
          <c:order val="1"/>
          <c:tx>
            <c:strRef>
              <c:f>[1]Tables!$D$24</c:f>
              <c:strCache>
                <c:ptCount val="1"/>
                <c:pt idx="0">
                  <c:v>Distrust</c:v>
                </c:pt>
              </c:strCache>
            </c:strRef>
          </c:tx>
          <c:invertIfNegative val="0"/>
          <c:cat>
            <c:strRef>
              <c:f>[1]Tables!$B$25:$B$81</c:f>
              <c:strCache>
                <c:ptCount val="57"/>
                <c:pt idx="0">
                  <c:v>Used car salespeople</c:v>
                </c:pt>
                <c:pt idx="1">
                  <c:v>Telemarketers</c:v>
                </c:pt>
                <c:pt idx="2">
                  <c:v>Advertising agencies</c:v>
                </c:pt>
                <c:pt idx="3">
                  <c:v>Insurance sales people</c:v>
                </c:pt>
                <c:pt idx="4">
                  <c:v>Finance companies</c:v>
                </c:pt>
                <c:pt idx="5">
                  <c:v>Real estate agents</c:v>
                </c:pt>
                <c:pt idx="6">
                  <c:v>New car salespeople</c:v>
                </c:pt>
                <c:pt idx="7">
                  <c:v>Members of Parliament</c:v>
                </c:pt>
                <c:pt idx="8">
                  <c:v>Insurance companies</c:v>
                </c:pt>
                <c:pt idx="9">
                  <c:v>Tow truck drivers</c:v>
                </c:pt>
                <c:pt idx="10">
                  <c:v>Journalists</c:v>
                </c:pt>
                <c:pt idx="11">
                  <c:v>Radio talkback hosts</c:v>
                </c:pt>
                <c:pt idx="12">
                  <c:v>Local councillors</c:v>
                </c:pt>
                <c:pt idx="13">
                  <c:v>Central Government employees</c:v>
                </c:pt>
                <c:pt idx="14">
                  <c:v>Business managers</c:v>
                </c:pt>
                <c:pt idx="15">
                  <c:v>Local Government employees</c:v>
                </c:pt>
                <c:pt idx="16">
                  <c:v>Taxi drivers</c:v>
                </c:pt>
                <c:pt idx="17">
                  <c:v>Business owners</c:v>
                </c:pt>
                <c:pt idx="18">
                  <c:v>Retail sales people</c:v>
                </c:pt>
                <c:pt idx="19">
                  <c:v>KiwiSaver fund managers</c:v>
                </c:pt>
                <c:pt idx="20">
                  <c:v>Travel agents</c:v>
                </c:pt>
                <c:pt idx="21">
                  <c:v>Mobile telephone providers</c:v>
                </c:pt>
                <c:pt idx="22">
                  <c:v>Lawyers</c:v>
                </c:pt>
                <c:pt idx="23">
                  <c:v>Accountants</c:v>
                </c:pt>
                <c:pt idx="24">
                  <c:v>Newspapers</c:v>
                </c:pt>
                <c:pt idx="25">
                  <c:v>Radio news</c:v>
                </c:pt>
                <c:pt idx="26">
                  <c:v>Online news</c:v>
                </c:pt>
                <c:pt idx="27">
                  <c:v>Internet service providers</c:v>
                </c:pt>
                <c:pt idx="28">
                  <c:v>Broadband providers</c:v>
                </c:pt>
                <c:pt idx="29">
                  <c:v>Online shopping web sites</c:v>
                </c:pt>
                <c:pt idx="30">
                  <c:v>Farm owners</c:v>
                </c:pt>
                <c:pt idx="31">
                  <c:v>Clergy members</c:v>
                </c:pt>
                <c:pt idx="32">
                  <c:v>Plumbers</c:v>
                </c:pt>
                <c:pt idx="33">
                  <c:v>Mechanics</c:v>
                </c:pt>
                <c:pt idx="34">
                  <c:v>Bankers</c:v>
                </c:pt>
                <c:pt idx="35">
                  <c:v>Small shopkeepers</c:v>
                </c:pt>
                <c:pt idx="36">
                  <c:v>Supermarkets</c:v>
                </c:pt>
                <c:pt idx="37">
                  <c:v>Scientists</c:v>
                </c:pt>
                <c:pt idx="38">
                  <c:v>Farmers</c:v>
                </c:pt>
                <c:pt idx="39">
                  <c:v>Engineers</c:v>
                </c:pt>
                <c:pt idx="40">
                  <c:v>Tertiary teachers</c:v>
                </c:pt>
                <c:pt idx="41">
                  <c:v>Secondary school teachers</c:v>
                </c:pt>
                <c:pt idx="42">
                  <c:v>Judges</c:v>
                </c:pt>
                <c:pt idx="43">
                  <c:v>Internet credit card transactions</c:v>
                </c:pt>
                <c:pt idx="44">
                  <c:v>Pre-school teachers</c:v>
                </c:pt>
                <c:pt idx="45">
                  <c:v>Primary and intermediate teachers</c:v>
                </c:pt>
                <c:pt idx="46">
                  <c:v>Dentists</c:v>
                </c:pt>
                <c:pt idx="47">
                  <c:v>Police</c:v>
                </c:pt>
                <c:pt idx="48">
                  <c:v>Armed forces</c:v>
                </c:pt>
                <c:pt idx="49">
                  <c:v>Vets</c:v>
                </c:pt>
                <c:pt idx="50">
                  <c:v>Pharmacists</c:v>
                </c:pt>
                <c:pt idx="51">
                  <c:v>Internet banking</c:v>
                </c:pt>
                <c:pt idx="52">
                  <c:v>Doctors</c:v>
                </c:pt>
                <c:pt idx="53">
                  <c:v>Pilots</c:v>
                </c:pt>
                <c:pt idx="54">
                  <c:v>Nurses</c:v>
                </c:pt>
                <c:pt idx="55">
                  <c:v>Fire fighters</c:v>
                </c:pt>
                <c:pt idx="56">
                  <c:v>Ambulance officers</c:v>
                </c:pt>
              </c:strCache>
            </c:strRef>
          </c:cat>
          <c:val>
            <c:numRef>
              <c:f>[1]Tables!$D$25:$D$81</c:f>
              <c:numCache>
                <c:formatCode>0.0%</c:formatCode>
                <c:ptCount val="57"/>
                <c:pt idx="0">
                  <c:v>0.51055782223550639</c:v>
                </c:pt>
                <c:pt idx="1">
                  <c:v>0.54200515353695156</c:v>
                </c:pt>
                <c:pt idx="2">
                  <c:v>0.47035093909887138</c:v>
                </c:pt>
                <c:pt idx="3">
                  <c:v>0.45441772924785478</c:v>
                </c:pt>
                <c:pt idx="4">
                  <c:v>0.5552063680408198</c:v>
                </c:pt>
                <c:pt idx="5">
                  <c:v>0.46693807167795198</c:v>
                </c:pt>
                <c:pt idx="6">
                  <c:v>0.34446982019762123</c:v>
                </c:pt>
                <c:pt idx="7">
                  <c:v>0.49358987886656597</c:v>
                </c:pt>
                <c:pt idx="8">
                  <c:v>0.4032663521078132</c:v>
                </c:pt>
                <c:pt idx="9">
                  <c:v>0.27431857758477507</c:v>
                </c:pt>
                <c:pt idx="10">
                  <c:v>0.32275910493782983</c:v>
                </c:pt>
                <c:pt idx="11">
                  <c:v>0.26031670016672309</c:v>
                </c:pt>
                <c:pt idx="12">
                  <c:v>0.34797291500913319</c:v>
                </c:pt>
                <c:pt idx="13">
                  <c:v>0.19708612119623742</c:v>
                </c:pt>
                <c:pt idx="14">
                  <c:v>0.16436607589811525</c:v>
                </c:pt>
                <c:pt idx="15">
                  <c:v>0.18785089505385935</c:v>
                </c:pt>
                <c:pt idx="16">
                  <c:v>0.22223576381478455</c:v>
                </c:pt>
                <c:pt idx="17">
                  <c:v>0.12538978847401988</c:v>
                </c:pt>
                <c:pt idx="18">
                  <c:v>0.12591225530140726</c:v>
                </c:pt>
                <c:pt idx="19">
                  <c:v>0.14271727740017459</c:v>
                </c:pt>
                <c:pt idx="20">
                  <c:v>0.13818776226481266</c:v>
                </c:pt>
                <c:pt idx="21">
                  <c:v>0.19267340323627666</c:v>
                </c:pt>
                <c:pt idx="22">
                  <c:v>0.22569882949669856</c:v>
                </c:pt>
                <c:pt idx="23">
                  <c:v>0.14088968380334593</c:v>
                </c:pt>
                <c:pt idx="24">
                  <c:v>0.15753575707088019</c:v>
                </c:pt>
                <c:pt idx="25">
                  <c:v>0.130672486034733</c:v>
                </c:pt>
                <c:pt idx="26">
                  <c:v>0.10943157546632011</c:v>
                </c:pt>
                <c:pt idx="27">
                  <c:v>0.11961094405617595</c:v>
                </c:pt>
                <c:pt idx="28">
                  <c:v>0.1297241839394192</c:v>
                </c:pt>
                <c:pt idx="29">
                  <c:v>0.15301449469190756</c:v>
                </c:pt>
                <c:pt idx="30">
                  <c:v>7.215238340294361E-2</c:v>
                </c:pt>
                <c:pt idx="31">
                  <c:v>0.14445388033547199</c:v>
                </c:pt>
                <c:pt idx="32">
                  <c:v>0.10319895424340675</c:v>
                </c:pt>
                <c:pt idx="33">
                  <c:v>0.147715015201519</c:v>
                </c:pt>
                <c:pt idx="34">
                  <c:v>0.17095223632546741</c:v>
                </c:pt>
                <c:pt idx="35">
                  <c:v>7.9063778006471172E-2</c:v>
                </c:pt>
                <c:pt idx="36">
                  <c:v>0.10623312265075928</c:v>
                </c:pt>
                <c:pt idx="37">
                  <c:v>6.3529797140222763E-2</c:v>
                </c:pt>
                <c:pt idx="38">
                  <c:v>6.3261162788526587E-2</c:v>
                </c:pt>
                <c:pt idx="39">
                  <c:v>2.8886548476062496E-2</c:v>
                </c:pt>
                <c:pt idx="40">
                  <c:v>4.848285609409967E-2</c:v>
                </c:pt>
                <c:pt idx="41">
                  <c:v>5.3133313689627128E-2</c:v>
                </c:pt>
                <c:pt idx="42">
                  <c:v>9.9705798452166886E-2</c:v>
                </c:pt>
                <c:pt idx="43">
                  <c:v>0.14913160779045381</c:v>
                </c:pt>
                <c:pt idx="44">
                  <c:v>3.0249578678229715E-2</c:v>
                </c:pt>
                <c:pt idx="45">
                  <c:v>4.1367426475855493E-2</c:v>
                </c:pt>
                <c:pt idx="46">
                  <c:v>7.8573941725971402E-2</c:v>
                </c:pt>
                <c:pt idx="47">
                  <c:v>9.8952658830174595E-2</c:v>
                </c:pt>
                <c:pt idx="48">
                  <c:v>4.5757260657793224E-2</c:v>
                </c:pt>
                <c:pt idx="49">
                  <c:v>2.1142228214401468E-2</c:v>
                </c:pt>
                <c:pt idx="50">
                  <c:v>1.6009806215281915E-2</c:v>
                </c:pt>
                <c:pt idx="51">
                  <c:v>7.7280758117205361E-2</c:v>
                </c:pt>
                <c:pt idx="52">
                  <c:v>5.6359668092115227E-2</c:v>
                </c:pt>
                <c:pt idx="53">
                  <c:v>5.4146999487445432E-3</c:v>
                </c:pt>
                <c:pt idx="54">
                  <c:v>1.5106979740873168E-2</c:v>
                </c:pt>
                <c:pt idx="55">
                  <c:v>6.676328396453126E-3</c:v>
                </c:pt>
                <c:pt idx="56">
                  <c:v>3.9016537978122522E-3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478848"/>
        <c:axId val="108480384"/>
      </c:barChart>
      <c:catAx>
        <c:axId val="1084788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8480384"/>
        <c:crosses val="autoZero"/>
        <c:auto val="1"/>
        <c:lblAlgn val="ctr"/>
        <c:lblOffset val="100"/>
        <c:noMultiLvlLbl val="0"/>
      </c:catAx>
      <c:valAx>
        <c:axId val="108480384"/>
        <c:scaling>
          <c:orientation val="minMax"/>
        </c:scaling>
        <c:delete val="0"/>
        <c:axPos val="b"/>
        <c:majorGridlines/>
        <c:numFmt formatCode="0.0%" sourceLinked="1"/>
        <c:majorTickMark val="out"/>
        <c:minorTickMark val="none"/>
        <c:tickLblPos val="nextTo"/>
        <c:crossAx val="108478848"/>
        <c:crosses val="autoZero"/>
        <c:crossBetween val="between"/>
        <c:majorUnit val="0.1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Who do we trust?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[1]Tables!$C$85</c:f>
              <c:strCache>
                <c:ptCount val="1"/>
                <c:pt idx="0">
                  <c:v>Trust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7916658806322406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4.7916658806322406E-2"/>
                  <c:y val="-1.259049292870331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4.9999991797901648E-2"/>
                  <c:y val="-1.259049292870331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4.9999991797901648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5.4166657781060099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4.9999991797901648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4.7916658806322406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[1]Tables!$B$86:$B$142</c:f>
              <c:strCache>
                <c:ptCount val="57"/>
                <c:pt idx="0">
                  <c:v>Used car salespeople</c:v>
                </c:pt>
                <c:pt idx="1">
                  <c:v>Telemarketers</c:v>
                </c:pt>
                <c:pt idx="2">
                  <c:v>Advertising agencies</c:v>
                </c:pt>
                <c:pt idx="3">
                  <c:v>Insurance sales people</c:v>
                </c:pt>
                <c:pt idx="4">
                  <c:v>Finance companies</c:v>
                </c:pt>
                <c:pt idx="5">
                  <c:v>Real estate agents</c:v>
                </c:pt>
                <c:pt idx="6">
                  <c:v>New car salespeople</c:v>
                </c:pt>
                <c:pt idx="7">
                  <c:v>Members of Parliament</c:v>
                </c:pt>
                <c:pt idx="8">
                  <c:v>Insurance companies</c:v>
                </c:pt>
                <c:pt idx="9">
                  <c:v>Tow truck drivers</c:v>
                </c:pt>
                <c:pt idx="10">
                  <c:v>Journalists</c:v>
                </c:pt>
                <c:pt idx="11">
                  <c:v>Radio talkback hosts</c:v>
                </c:pt>
                <c:pt idx="12">
                  <c:v>Local councillors</c:v>
                </c:pt>
                <c:pt idx="13">
                  <c:v>Central Government employees</c:v>
                </c:pt>
                <c:pt idx="14">
                  <c:v>Business managers</c:v>
                </c:pt>
                <c:pt idx="15">
                  <c:v>Local Government employees</c:v>
                </c:pt>
                <c:pt idx="16">
                  <c:v>Taxi drivers</c:v>
                </c:pt>
                <c:pt idx="17">
                  <c:v>Business owners</c:v>
                </c:pt>
                <c:pt idx="18">
                  <c:v>Retail sales people</c:v>
                </c:pt>
                <c:pt idx="19">
                  <c:v>KiwiSaver fund managers</c:v>
                </c:pt>
                <c:pt idx="20">
                  <c:v>Travel agents</c:v>
                </c:pt>
                <c:pt idx="21">
                  <c:v>Mobile telephone providers</c:v>
                </c:pt>
                <c:pt idx="22">
                  <c:v>Lawyers</c:v>
                </c:pt>
                <c:pt idx="23">
                  <c:v>Accountants</c:v>
                </c:pt>
                <c:pt idx="24">
                  <c:v>Newspapers</c:v>
                </c:pt>
                <c:pt idx="25">
                  <c:v>Radio news</c:v>
                </c:pt>
                <c:pt idx="26">
                  <c:v>Online news</c:v>
                </c:pt>
                <c:pt idx="27">
                  <c:v>Internet service providers</c:v>
                </c:pt>
                <c:pt idx="28">
                  <c:v>Broadband providers</c:v>
                </c:pt>
                <c:pt idx="29">
                  <c:v>Online shopping web sites</c:v>
                </c:pt>
                <c:pt idx="30">
                  <c:v>Farm owners</c:v>
                </c:pt>
                <c:pt idx="31">
                  <c:v>Clergy members</c:v>
                </c:pt>
                <c:pt idx="32">
                  <c:v>Plumbers</c:v>
                </c:pt>
                <c:pt idx="33">
                  <c:v>Mechanics</c:v>
                </c:pt>
                <c:pt idx="34">
                  <c:v>Bankers</c:v>
                </c:pt>
                <c:pt idx="35">
                  <c:v>Small shopkeepers</c:v>
                </c:pt>
                <c:pt idx="36">
                  <c:v>Supermarkets</c:v>
                </c:pt>
                <c:pt idx="37">
                  <c:v>Scientists</c:v>
                </c:pt>
                <c:pt idx="38">
                  <c:v>Farmers</c:v>
                </c:pt>
                <c:pt idx="39">
                  <c:v>Engineers</c:v>
                </c:pt>
                <c:pt idx="40">
                  <c:v>Tertiary teachers</c:v>
                </c:pt>
                <c:pt idx="41">
                  <c:v>Secondary school teachers</c:v>
                </c:pt>
                <c:pt idx="42">
                  <c:v>Judges</c:v>
                </c:pt>
                <c:pt idx="43">
                  <c:v>Internet credit card transactions</c:v>
                </c:pt>
                <c:pt idx="44">
                  <c:v>Pre-school teachers</c:v>
                </c:pt>
                <c:pt idx="45">
                  <c:v>Primary and intermediate teachers</c:v>
                </c:pt>
                <c:pt idx="46">
                  <c:v>Dentists</c:v>
                </c:pt>
                <c:pt idx="47">
                  <c:v>Police</c:v>
                </c:pt>
                <c:pt idx="48">
                  <c:v>Armed forces</c:v>
                </c:pt>
                <c:pt idx="49">
                  <c:v>Vets</c:v>
                </c:pt>
                <c:pt idx="50">
                  <c:v>Pharmacists</c:v>
                </c:pt>
                <c:pt idx="51">
                  <c:v>Internet banking</c:v>
                </c:pt>
                <c:pt idx="52">
                  <c:v>Doctors</c:v>
                </c:pt>
                <c:pt idx="53">
                  <c:v>Pilots</c:v>
                </c:pt>
                <c:pt idx="54">
                  <c:v>Nurses</c:v>
                </c:pt>
                <c:pt idx="55">
                  <c:v>Fire fighters</c:v>
                </c:pt>
                <c:pt idx="56">
                  <c:v>Ambulance officers</c:v>
                </c:pt>
              </c:strCache>
            </c:strRef>
          </c:cat>
          <c:val>
            <c:numRef>
              <c:f>[1]Tables!$C$86:$C$142</c:f>
              <c:numCache>
                <c:formatCode>0.0%</c:formatCode>
                <c:ptCount val="57"/>
                <c:pt idx="0">
                  <c:v>2.794605115360458E-2</c:v>
                </c:pt>
                <c:pt idx="1">
                  <c:v>3.1957720434005132E-2</c:v>
                </c:pt>
                <c:pt idx="2">
                  <c:v>4.3007981188375774E-2</c:v>
                </c:pt>
                <c:pt idx="3">
                  <c:v>4.8987678409038324E-2</c:v>
                </c:pt>
                <c:pt idx="4">
                  <c:v>5.5117272803804018E-2</c:v>
                </c:pt>
                <c:pt idx="5">
                  <c:v>5.7098085102273939E-2</c:v>
                </c:pt>
                <c:pt idx="6">
                  <c:v>6.9761863725975162E-2</c:v>
                </c:pt>
                <c:pt idx="7">
                  <c:v>8.6143088761762618E-2</c:v>
                </c:pt>
                <c:pt idx="8">
                  <c:v>9.2145526569315142E-2</c:v>
                </c:pt>
                <c:pt idx="9">
                  <c:v>0.11414150842686023</c:v>
                </c:pt>
                <c:pt idx="10">
                  <c:v>0.11665360208074826</c:v>
                </c:pt>
                <c:pt idx="11">
                  <c:v>0.12288267262584199</c:v>
                </c:pt>
                <c:pt idx="12">
                  <c:v>0.12305441083092297</c:v>
                </c:pt>
                <c:pt idx="13">
                  <c:v>0.1293321331013054</c:v>
                </c:pt>
                <c:pt idx="14">
                  <c:v>0.13901227284572684</c:v>
                </c:pt>
                <c:pt idx="15">
                  <c:v>0.14548159497586471</c:v>
                </c:pt>
                <c:pt idx="16">
                  <c:v>0.17528781056137538</c:v>
                </c:pt>
                <c:pt idx="17">
                  <c:v>0.18173477569742574</c:v>
                </c:pt>
                <c:pt idx="18">
                  <c:v>0.18684137449809091</c:v>
                </c:pt>
                <c:pt idx="19">
                  <c:v>0.22317627198504025</c:v>
                </c:pt>
                <c:pt idx="20">
                  <c:v>0.23814253066739552</c:v>
                </c:pt>
                <c:pt idx="21">
                  <c:v>0.24661423668943122</c:v>
                </c:pt>
                <c:pt idx="22">
                  <c:v>0.26725414174884299</c:v>
                </c:pt>
                <c:pt idx="23">
                  <c:v>0.2755511196730312</c:v>
                </c:pt>
                <c:pt idx="24">
                  <c:v>0.30537883362222723</c:v>
                </c:pt>
                <c:pt idx="25">
                  <c:v>0.30910709358311772</c:v>
                </c:pt>
                <c:pt idx="26">
                  <c:v>0.30974669763757579</c:v>
                </c:pt>
                <c:pt idx="27">
                  <c:v>0.31495017871552727</c:v>
                </c:pt>
                <c:pt idx="28">
                  <c:v>0.31994664321297522</c:v>
                </c:pt>
                <c:pt idx="29">
                  <c:v>0.32286327354038907</c:v>
                </c:pt>
                <c:pt idx="30">
                  <c:v>0.33091187530899907</c:v>
                </c:pt>
                <c:pt idx="31">
                  <c:v>0.34205290153830981</c:v>
                </c:pt>
                <c:pt idx="32">
                  <c:v>0.34852991032424896</c:v>
                </c:pt>
                <c:pt idx="33">
                  <c:v>0.35012898147278193</c:v>
                </c:pt>
                <c:pt idx="34">
                  <c:v>0.36964474306694745</c:v>
                </c:pt>
                <c:pt idx="35">
                  <c:v>0.37343008819963813</c:v>
                </c:pt>
                <c:pt idx="36">
                  <c:v>0.37818050722154928</c:v>
                </c:pt>
                <c:pt idx="37">
                  <c:v>0.39070645545632426</c:v>
                </c:pt>
                <c:pt idx="38">
                  <c:v>0.41530991942114676</c:v>
                </c:pt>
                <c:pt idx="39">
                  <c:v>0.45164879917462375</c:v>
                </c:pt>
                <c:pt idx="40">
                  <c:v>0.45396168908866713</c:v>
                </c:pt>
                <c:pt idx="41">
                  <c:v>0.46591066840195489</c:v>
                </c:pt>
                <c:pt idx="42">
                  <c:v>0.47182141442390818</c:v>
                </c:pt>
                <c:pt idx="43">
                  <c:v>0.47680723153993176</c:v>
                </c:pt>
                <c:pt idx="44">
                  <c:v>0.49461514953082469</c:v>
                </c:pt>
                <c:pt idx="45">
                  <c:v>0.49556954736078951</c:v>
                </c:pt>
                <c:pt idx="46">
                  <c:v>0.51875894305018178</c:v>
                </c:pt>
                <c:pt idx="47">
                  <c:v>0.59563670803439106</c:v>
                </c:pt>
                <c:pt idx="48">
                  <c:v>0.59614727592874817</c:v>
                </c:pt>
                <c:pt idx="49">
                  <c:v>0.60753180209907076</c:v>
                </c:pt>
                <c:pt idx="50">
                  <c:v>0.65504778108624007</c:v>
                </c:pt>
                <c:pt idx="51">
                  <c:v>0.66852986716422469</c:v>
                </c:pt>
                <c:pt idx="52">
                  <c:v>0.71244996482525924</c:v>
                </c:pt>
                <c:pt idx="53">
                  <c:v>0.76016326803898648</c:v>
                </c:pt>
                <c:pt idx="54">
                  <c:v>0.79859015359839813</c:v>
                </c:pt>
                <c:pt idx="55">
                  <c:v>0.82141170202938008</c:v>
                </c:pt>
                <c:pt idx="56">
                  <c:v>0.8376625206031324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118976"/>
        <c:axId val="109120512"/>
      </c:barChart>
      <c:catAx>
        <c:axId val="109118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9120512"/>
        <c:crosses val="autoZero"/>
        <c:auto val="1"/>
        <c:lblAlgn val="ctr"/>
        <c:lblOffset val="100"/>
        <c:noMultiLvlLbl val="0"/>
      </c:catAx>
      <c:valAx>
        <c:axId val="109120512"/>
        <c:scaling>
          <c:orientation val="minMax"/>
        </c:scaling>
        <c:delete val="0"/>
        <c:axPos val="b"/>
        <c:majorGridlines/>
        <c:numFmt formatCode="0.0%" sourceLinked="1"/>
        <c:majorTickMark val="out"/>
        <c:minorTickMark val="none"/>
        <c:tickLblPos val="nextTo"/>
        <c:crossAx val="109118976"/>
        <c:crosses val="autoZero"/>
        <c:crossBetween val="between"/>
        <c:majorUnit val="0.1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Who do we distrust?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[1]Tables!$C$145</c:f>
              <c:strCache>
                <c:ptCount val="1"/>
                <c:pt idx="0">
                  <c:v>Distrust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dLbl>
              <c:idx val="0"/>
              <c:layout>
                <c:manualLayout>
                  <c:x val="7.7083320688431683E-2"/>
                  <c:y val="-1.259049292870331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6.458332273895627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6.2499989747377013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6.2499989747377013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6.2499989747377013E-2"/>
                  <c:y val="-9.2329214882188598E-17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>
                <c:manualLayout>
                  <c:x val="6.2499989747377013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>
                <c:manualLayout>
                  <c:x val="6.2499989747377013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>
                <c:manualLayout>
                  <c:x val="6.458332273895627E-2"/>
                  <c:y val="-9.2329214882188598E-17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4"/>
              <c:layout>
                <c:manualLayout>
                  <c:x val="7.4999987696852413E-2"/>
                  <c:y val="1.1541151860273593E-17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5"/>
              <c:layout>
                <c:manualLayout>
                  <c:x val="7.4999987696852413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6"/>
              <c:layout>
                <c:manualLayout>
                  <c:x val="7.4999987696852413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[1]Tables!$B$146:$B$202</c:f>
              <c:strCache>
                <c:ptCount val="57"/>
                <c:pt idx="0">
                  <c:v>Ambulance officers</c:v>
                </c:pt>
                <c:pt idx="1">
                  <c:v>Pilots</c:v>
                </c:pt>
                <c:pt idx="2">
                  <c:v>Fire fighters</c:v>
                </c:pt>
                <c:pt idx="3">
                  <c:v>Nurses</c:v>
                </c:pt>
                <c:pt idx="4">
                  <c:v>Pharmacists</c:v>
                </c:pt>
                <c:pt idx="5">
                  <c:v>Vets</c:v>
                </c:pt>
                <c:pt idx="6">
                  <c:v>Engineers</c:v>
                </c:pt>
                <c:pt idx="7">
                  <c:v>Pre-school teachers</c:v>
                </c:pt>
                <c:pt idx="8">
                  <c:v>Primary and intermediate teachers</c:v>
                </c:pt>
                <c:pt idx="9">
                  <c:v>Armed forces</c:v>
                </c:pt>
                <c:pt idx="10">
                  <c:v>Tertiary teachers</c:v>
                </c:pt>
                <c:pt idx="11">
                  <c:v>Secondary school teachers</c:v>
                </c:pt>
                <c:pt idx="12">
                  <c:v>Doctors</c:v>
                </c:pt>
                <c:pt idx="13">
                  <c:v>Farmers</c:v>
                </c:pt>
                <c:pt idx="14">
                  <c:v>Scientists</c:v>
                </c:pt>
                <c:pt idx="15">
                  <c:v>Farm owners</c:v>
                </c:pt>
                <c:pt idx="16">
                  <c:v>Internet banking</c:v>
                </c:pt>
                <c:pt idx="17">
                  <c:v>Dentists</c:v>
                </c:pt>
                <c:pt idx="18">
                  <c:v>Small shopkeepers</c:v>
                </c:pt>
                <c:pt idx="19">
                  <c:v>Police</c:v>
                </c:pt>
                <c:pt idx="20">
                  <c:v>Judges</c:v>
                </c:pt>
                <c:pt idx="21">
                  <c:v>Plumbers</c:v>
                </c:pt>
                <c:pt idx="22">
                  <c:v>Supermarkets</c:v>
                </c:pt>
                <c:pt idx="23">
                  <c:v>Online news</c:v>
                </c:pt>
                <c:pt idx="24">
                  <c:v>Internet service providers</c:v>
                </c:pt>
                <c:pt idx="25">
                  <c:v>Business owners</c:v>
                </c:pt>
                <c:pt idx="26">
                  <c:v>Retail sales people</c:v>
                </c:pt>
                <c:pt idx="27">
                  <c:v>Broadband providers</c:v>
                </c:pt>
                <c:pt idx="28">
                  <c:v>Radio news</c:v>
                </c:pt>
                <c:pt idx="29">
                  <c:v>Travel agents</c:v>
                </c:pt>
                <c:pt idx="30">
                  <c:v>Accountants</c:v>
                </c:pt>
                <c:pt idx="31">
                  <c:v>KiwiSaver fund managers</c:v>
                </c:pt>
                <c:pt idx="32">
                  <c:v>Clergy members</c:v>
                </c:pt>
                <c:pt idx="33">
                  <c:v>Mechanics</c:v>
                </c:pt>
                <c:pt idx="34">
                  <c:v>Internet credit card transactions</c:v>
                </c:pt>
                <c:pt idx="35">
                  <c:v>Online shopping web sites</c:v>
                </c:pt>
                <c:pt idx="36">
                  <c:v>Newspapers</c:v>
                </c:pt>
                <c:pt idx="37">
                  <c:v>Business managers</c:v>
                </c:pt>
                <c:pt idx="38">
                  <c:v>Bankers</c:v>
                </c:pt>
                <c:pt idx="39">
                  <c:v>Local Government employees</c:v>
                </c:pt>
                <c:pt idx="40">
                  <c:v>Mobile telephone providers</c:v>
                </c:pt>
                <c:pt idx="41">
                  <c:v>Central Government employees</c:v>
                </c:pt>
                <c:pt idx="42">
                  <c:v>Taxi drivers</c:v>
                </c:pt>
                <c:pt idx="43">
                  <c:v>Lawyers</c:v>
                </c:pt>
                <c:pt idx="44">
                  <c:v>Radio talkback hosts</c:v>
                </c:pt>
                <c:pt idx="45">
                  <c:v>Tow truck drivers</c:v>
                </c:pt>
                <c:pt idx="46">
                  <c:v>Journalists</c:v>
                </c:pt>
                <c:pt idx="47">
                  <c:v>New car salespeople</c:v>
                </c:pt>
                <c:pt idx="48">
                  <c:v>Local councillors</c:v>
                </c:pt>
                <c:pt idx="49">
                  <c:v>Insurance companies</c:v>
                </c:pt>
                <c:pt idx="50">
                  <c:v>Insurance sales people</c:v>
                </c:pt>
                <c:pt idx="51">
                  <c:v>Real estate agents</c:v>
                </c:pt>
                <c:pt idx="52">
                  <c:v>Advertising agencies</c:v>
                </c:pt>
                <c:pt idx="53">
                  <c:v>Members of Parliament</c:v>
                </c:pt>
                <c:pt idx="54">
                  <c:v>Used car salespeople</c:v>
                </c:pt>
                <c:pt idx="55">
                  <c:v>Telemarketers</c:v>
                </c:pt>
                <c:pt idx="56">
                  <c:v>Finance companies</c:v>
                </c:pt>
              </c:strCache>
            </c:strRef>
          </c:cat>
          <c:val>
            <c:numRef>
              <c:f>[1]Tables!$C$146:$C$202</c:f>
              <c:numCache>
                <c:formatCode>0.0%</c:formatCode>
                <c:ptCount val="57"/>
                <c:pt idx="0">
                  <c:v>3.9016537978122522E-3</c:v>
                </c:pt>
                <c:pt idx="1">
                  <c:v>5.4146999487445432E-3</c:v>
                </c:pt>
                <c:pt idx="2">
                  <c:v>6.676328396453126E-3</c:v>
                </c:pt>
                <c:pt idx="3">
                  <c:v>1.5106979740873168E-2</c:v>
                </c:pt>
                <c:pt idx="4">
                  <c:v>1.6009806215281915E-2</c:v>
                </c:pt>
                <c:pt idx="5">
                  <c:v>2.1142228214401468E-2</c:v>
                </c:pt>
                <c:pt idx="6">
                  <c:v>2.8886548476062496E-2</c:v>
                </c:pt>
                <c:pt idx="7">
                  <c:v>3.0249578678229715E-2</c:v>
                </c:pt>
                <c:pt idx="8">
                  <c:v>4.1367426475855493E-2</c:v>
                </c:pt>
                <c:pt idx="9">
                  <c:v>4.5757260657793224E-2</c:v>
                </c:pt>
                <c:pt idx="10">
                  <c:v>4.848285609409967E-2</c:v>
                </c:pt>
                <c:pt idx="11">
                  <c:v>5.3133313689627128E-2</c:v>
                </c:pt>
                <c:pt idx="12">
                  <c:v>5.6359668092115227E-2</c:v>
                </c:pt>
                <c:pt idx="13">
                  <c:v>6.3261162788526587E-2</c:v>
                </c:pt>
                <c:pt idx="14">
                  <c:v>6.3529797140222763E-2</c:v>
                </c:pt>
                <c:pt idx="15">
                  <c:v>7.215238340294361E-2</c:v>
                </c:pt>
                <c:pt idx="16">
                  <c:v>7.7280758117205361E-2</c:v>
                </c:pt>
                <c:pt idx="17">
                  <c:v>7.8573941725971402E-2</c:v>
                </c:pt>
                <c:pt idx="18">
                  <c:v>7.9063778006471172E-2</c:v>
                </c:pt>
                <c:pt idx="19">
                  <c:v>9.8952658830174595E-2</c:v>
                </c:pt>
                <c:pt idx="20">
                  <c:v>9.9705798452166886E-2</c:v>
                </c:pt>
                <c:pt idx="21">
                  <c:v>0.10319895424340675</c:v>
                </c:pt>
                <c:pt idx="22">
                  <c:v>0.10623312265075928</c:v>
                </c:pt>
                <c:pt idx="23">
                  <c:v>0.10943157546632011</c:v>
                </c:pt>
                <c:pt idx="24">
                  <c:v>0.11961094405617595</c:v>
                </c:pt>
                <c:pt idx="25">
                  <c:v>0.12538978847401988</c:v>
                </c:pt>
                <c:pt idx="26">
                  <c:v>0.12591225530140726</c:v>
                </c:pt>
                <c:pt idx="27">
                  <c:v>0.1297241839394192</c:v>
                </c:pt>
                <c:pt idx="28">
                  <c:v>0.130672486034733</c:v>
                </c:pt>
                <c:pt idx="29">
                  <c:v>0.13818776226481266</c:v>
                </c:pt>
                <c:pt idx="30">
                  <c:v>0.14088968380334593</c:v>
                </c:pt>
                <c:pt idx="31">
                  <c:v>0.14271727740017459</c:v>
                </c:pt>
                <c:pt idx="32">
                  <c:v>0.14445388033547199</c:v>
                </c:pt>
                <c:pt idx="33">
                  <c:v>0.147715015201519</c:v>
                </c:pt>
                <c:pt idx="34">
                  <c:v>0.14913160779045381</c:v>
                </c:pt>
                <c:pt idx="35">
                  <c:v>0.15301449469190756</c:v>
                </c:pt>
                <c:pt idx="36">
                  <c:v>0.15753575707088019</c:v>
                </c:pt>
                <c:pt idx="37">
                  <c:v>0.16436607589811525</c:v>
                </c:pt>
                <c:pt idx="38">
                  <c:v>0.17095223632546741</c:v>
                </c:pt>
                <c:pt idx="39">
                  <c:v>0.18785089505385935</c:v>
                </c:pt>
                <c:pt idx="40">
                  <c:v>0.19267340323627666</c:v>
                </c:pt>
                <c:pt idx="41">
                  <c:v>0.19708612119623742</c:v>
                </c:pt>
                <c:pt idx="42">
                  <c:v>0.22223576381478455</c:v>
                </c:pt>
                <c:pt idx="43">
                  <c:v>0.22569882949669856</c:v>
                </c:pt>
                <c:pt idx="44">
                  <c:v>0.26031670016672309</c:v>
                </c:pt>
                <c:pt idx="45">
                  <c:v>0.27431857758477507</c:v>
                </c:pt>
                <c:pt idx="46">
                  <c:v>0.32275910493782983</c:v>
                </c:pt>
                <c:pt idx="47">
                  <c:v>0.34446982019762123</c:v>
                </c:pt>
                <c:pt idx="48">
                  <c:v>0.34797291500913319</c:v>
                </c:pt>
                <c:pt idx="49">
                  <c:v>0.4032663521078132</c:v>
                </c:pt>
                <c:pt idx="50">
                  <c:v>0.45441772924785478</c:v>
                </c:pt>
                <c:pt idx="51">
                  <c:v>0.46693807167795198</c:v>
                </c:pt>
                <c:pt idx="52">
                  <c:v>0.47035093909887138</c:v>
                </c:pt>
                <c:pt idx="53">
                  <c:v>0.49358987886656597</c:v>
                </c:pt>
                <c:pt idx="54">
                  <c:v>0.51055782223550639</c:v>
                </c:pt>
                <c:pt idx="55">
                  <c:v>0.54200515353695156</c:v>
                </c:pt>
                <c:pt idx="56">
                  <c:v>0.5552063680408198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289856"/>
        <c:axId val="109291392"/>
      </c:barChart>
      <c:catAx>
        <c:axId val="1092898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9291392"/>
        <c:crosses val="autoZero"/>
        <c:auto val="1"/>
        <c:lblAlgn val="ctr"/>
        <c:lblOffset val="100"/>
        <c:noMultiLvlLbl val="0"/>
      </c:catAx>
      <c:valAx>
        <c:axId val="109291392"/>
        <c:scaling>
          <c:orientation val="minMax"/>
        </c:scaling>
        <c:delete val="0"/>
        <c:axPos val="b"/>
        <c:majorGridlines/>
        <c:numFmt formatCode="0.0%" sourceLinked="1"/>
        <c:majorTickMark val="out"/>
        <c:minorTickMark val="none"/>
        <c:tickLblPos val="nextTo"/>
        <c:crossAx val="109289856"/>
        <c:crosses val="autoZero"/>
        <c:crossBetween val="between"/>
        <c:majorUnit val="0.1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Who do we totally distrust?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[1]Tables!$C$266</c:f>
              <c:strCache>
                <c:ptCount val="1"/>
                <c:pt idx="0">
                  <c:v>Totally distrust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dLbl>
              <c:idx val="0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4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5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6"/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[1]Tables!$B$267:$B$323</c:f>
              <c:strCache>
                <c:ptCount val="57"/>
                <c:pt idx="0">
                  <c:v>Pilots</c:v>
                </c:pt>
                <c:pt idx="1">
                  <c:v>Fire fighters</c:v>
                </c:pt>
                <c:pt idx="2">
                  <c:v>Ambulance officers</c:v>
                </c:pt>
                <c:pt idx="3">
                  <c:v>Pharmacists</c:v>
                </c:pt>
                <c:pt idx="4">
                  <c:v>Vets</c:v>
                </c:pt>
                <c:pt idx="5">
                  <c:v>Pre-school teachers</c:v>
                </c:pt>
                <c:pt idx="6">
                  <c:v>Nurses</c:v>
                </c:pt>
                <c:pt idx="7">
                  <c:v>Primary and intermediate teachers</c:v>
                </c:pt>
                <c:pt idx="8">
                  <c:v>Tertiary teachers</c:v>
                </c:pt>
                <c:pt idx="9">
                  <c:v>Engineers</c:v>
                </c:pt>
                <c:pt idx="10">
                  <c:v>Doctors</c:v>
                </c:pt>
                <c:pt idx="11">
                  <c:v>Farmers</c:v>
                </c:pt>
                <c:pt idx="12">
                  <c:v>Small shopkeepers</c:v>
                </c:pt>
                <c:pt idx="13">
                  <c:v>Scientists</c:v>
                </c:pt>
                <c:pt idx="14">
                  <c:v>Mechanics</c:v>
                </c:pt>
                <c:pt idx="15">
                  <c:v>Secondary school teachers</c:v>
                </c:pt>
                <c:pt idx="16">
                  <c:v>Plumbers</c:v>
                </c:pt>
                <c:pt idx="17">
                  <c:v>Dentists</c:v>
                </c:pt>
                <c:pt idx="18">
                  <c:v>Internet service providers</c:v>
                </c:pt>
                <c:pt idx="19">
                  <c:v>Armed forces</c:v>
                </c:pt>
                <c:pt idx="20">
                  <c:v>Broadband providers</c:v>
                </c:pt>
                <c:pt idx="21">
                  <c:v>Online news</c:v>
                </c:pt>
                <c:pt idx="22">
                  <c:v>Judges</c:v>
                </c:pt>
                <c:pt idx="23">
                  <c:v>Internet banking</c:v>
                </c:pt>
                <c:pt idx="24">
                  <c:v>Supermarkets</c:v>
                </c:pt>
                <c:pt idx="25">
                  <c:v>Retail sales people</c:v>
                </c:pt>
                <c:pt idx="26">
                  <c:v>Business owners</c:v>
                </c:pt>
                <c:pt idx="27">
                  <c:v>Farm owners</c:v>
                </c:pt>
                <c:pt idx="28">
                  <c:v>Radio news</c:v>
                </c:pt>
                <c:pt idx="29">
                  <c:v>Travel agents</c:v>
                </c:pt>
                <c:pt idx="30">
                  <c:v>Police</c:v>
                </c:pt>
                <c:pt idx="31">
                  <c:v>Online shopping web sites</c:v>
                </c:pt>
                <c:pt idx="32">
                  <c:v>Business managers</c:v>
                </c:pt>
                <c:pt idx="33">
                  <c:v>KiwiSaver fund managers</c:v>
                </c:pt>
                <c:pt idx="34">
                  <c:v>Internet credit card transactions</c:v>
                </c:pt>
                <c:pt idx="35">
                  <c:v>Taxi drivers</c:v>
                </c:pt>
                <c:pt idx="36">
                  <c:v>Mobile telephone providers</c:v>
                </c:pt>
                <c:pt idx="37">
                  <c:v>Newspapers</c:v>
                </c:pt>
                <c:pt idx="38">
                  <c:v>Accountants</c:v>
                </c:pt>
                <c:pt idx="39">
                  <c:v>Bankers</c:v>
                </c:pt>
                <c:pt idx="40">
                  <c:v>Central Government employees</c:v>
                </c:pt>
                <c:pt idx="41">
                  <c:v>Clergy members</c:v>
                </c:pt>
                <c:pt idx="42">
                  <c:v>Local Government employees</c:v>
                </c:pt>
                <c:pt idx="43">
                  <c:v>Lawyers</c:v>
                </c:pt>
                <c:pt idx="44">
                  <c:v>Tow truck drivers</c:v>
                </c:pt>
                <c:pt idx="45">
                  <c:v>Journalists</c:v>
                </c:pt>
                <c:pt idx="46">
                  <c:v>New car salespeople</c:v>
                </c:pt>
                <c:pt idx="47">
                  <c:v>Radio talkback hosts</c:v>
                </c:pt>
                <c:pt idx="48">
                  <c:v>Local councillors</c:v>
                </c:pt>
                <c:pt idx="49">
                  <c:v>Insurance companies</c:v>
                </c:pt>
                <c:pt idx="50">
                  <c:v>Insurance sales people</c:v>
                </c:pt>
                <c:pt idx="51">
                  <c:v>Real estate agents</c:v>
                </c:pt>
                <c:pt idx="52">
                  <c:v>Advertising agencies</c:v>
                </c:pt>
                <c:pt idx="53">
                  <c:v>Used car salespeople</c:v>
                </c:pt>
                <c:pt idx="54">
                  <c:v>Members of Parliament</c:v>
                </c:pt>
                <c:pt idx="55">
                  <c:v>Finance companies</c:v>
                </c:pt>
                <c:pt idx="56">
                  <c:v>Telemarketers</c:v>
                </c:pt>
              </c:strCache>
            </c:strRef>
          </c:cat>
          <c:val>
            <c:numRef>
              <c:f>[1]Tables!$C$267:$C$323</c:f>
              <c:numCache>
                <c:formatCode>0.0%</c:formatCode>
                <c:ptCount val="57"/>
                <c:pt idx="0">
                  <c:v>1.440542753223724E-3</c:v>
                </c:pt>
                <c:pt idx="1">
                  <c:v>1.8131225101451231E-3</c:v>
                </c:pt>
                <c:pt idx="2">
                  <c:v>2.1519408045077002E-3</c:v>
                </c:pt>
                <c:pt idx="3">
                  <c:v>3.7357872530556259E-3</c:v>
                </c:pt>
                <c:pt idx="4">
                  <c:v>6.1108680219662563E-3</c:v>
                </c:pt>
                <c:pt idx="5">
                  <c:v>6.3045679401893913E-3</c:v>
                </c:pt>
                <c:pt idx="6">
                  <c:v>9.232524597310561E-3</c:v>
                </c:pt>
                <c:pt idx="7">
                  <c:v>9.8010047049353431E-3</c:v>
                </c:pt>
                <c:pt idx="8">
                  <c:v>1.0176813862282539E-2</c:v>
                </c:pt>
                <c:pt idx="9">
                  <c:v>1.1524222323584089E-2</c:v>
                </c:pt>
                <c:pt idx="10">
                  <c:v>1.2628011806653997E-2</c:v>
                </c:pt>
                <c:pt idx="11">
                  <c:v>1.2936061296474623E-2</c:v>
                </c:pt>
                <c:pt idx="12">
                  <c:v>1.3275686463852174E-2</c:v>
                </c:pt>
                <c:pt idx="13">
                  <c:v>1.3509448082743137E-2</c:v>
                </c:pt>
                <c:pt idx="14">
                  <c:v>1.3957823811351805E-2</c:v>
                </c:pt>
                <c:pt idx="15">
                  <c:v>1.3975612530801535E-2</c:v>
                </c:pt>
                <c:pt idx="16">
                  <c:v>1.4152268071730706E-2</c:v>
                </c:pt>
                <c:pt idx="17">
                  <c:v>1.7528189224521457E-2</c:v>
                </c:pt>
                <c:pt idx="18">
                  <c:v>1.8509080488527094E-2</c:v>
                </c:pt>
                <c:pt idx="19">
                  <c:v>1.9159261788815059E-2</c:v>
                </c:pt>
                <c:pt idx="20">
                  <c:v>1.9511637815950545E-2</c:v>
                </c:pt>
                <c:pt idx="21">
                  <c:v>1.9601162310510092E-2</c:v>
                </c:pt>
                <c:pt idx="22">
                  <c:v>1.9728404671842031E-2</c:v>
                </c:pt>
                <c:pt idx="23">
                  <c:v>2.1388678958232075E-2</c:v>
                </c:pt>
                <c:pt idx="24">
                  <c:v>2.2445406273764242E-2</c:v>
                </c:pt>
                <c:pt idx="25">
                  <c:v>2.2854427449710727E-2</c:v>
                </c:pt>
                <c:pt idx="26">
                  <c:v>2.3623704804579249E-2</c:v>
                </c:pt>
                <c:pt idx="27">
                  <c:v>2.5465165250445804E-2</c:v>
                </c:pt>
                <c:pt idx="28">
                  <c:v>2.9070847000440062E-2</c:v>
                </c:pt>
                <c:pt idx="29">
                  <c:v>3.0661209667674952E-2</c:v>
                </c:pt>
                <c:pt idx="30">
                  <c:v>3.1780796365733228E-2</c:v>
                </c:pt>
                <c:pt idx="31">
                  <c:v>3.1900990050434605E-2</c:v>
                </c:pt>
                <c:pt idx="32">
                  <c:v>3.2291306301033475E-2</c:v>
                </c:pt>
                <c:pt idx="33">
                  <c:v>3.3753901127793848E-2</c:v>
                </c:pt>
                <c:pt idx="34">
                  <c:v>3.3834699973055923E-2</c:v>
                </c:pt>
                <c:pt idx="35">
                  <c:v>3.4606796042900928E-2</c:v>
                </c:pt>
                <c:pt idx="36">
                  <c:v>3.5455272652455731E-2</c:v>
                </c:pt>
                <c:pt idx="37">
                  <c:v>3.731959060654217E-2</c:v>
                </c:pt>
                <c:pt idx="38">
                  <c:v>3.9167875758210832E-2</c:v>
                </c:pt>
                <c:pt idx="39">
                  <c:v>3.9339209317973446E-2</c:v>
                </c:pt>
                <c:pt idx="40">
                  <c:v>5.2190668736540123E-2</c:v>
                </c:pt>
                <c:pt idx="41">
                  <c:v>5.3867197180478221E-2</c:v>
                </c:pt>
                <c:pt idx="42">
                  <c:v>5.8131034056898082E-2</c:v>
                </c:pt>
                <c:pt idx="43">
                  <c:v>6.6825222256649316E-2</c:v>
                </c:pt>
                <c:pt idx="44">
                  <c:v>6.9418989435447623E-2</c:v>
                </c:pt>
                <c:pt idx="45">
                  <c:v>7.6296382350842587E-2</c:v>
                </c:pt>
                <c:pt idx="46">
                  <c:v>9.6929695867708304E-2</c:v>
                </c:pt>
                <c:pt idx="47">
                  <c:v>0.10985856918151192</c:v>
                </c:pt>
                <c:pt idx="48">
                  <c:v>0.11252153786404649</c:v>
                </c:pt>
                <c:pt idx="49">
                  <c:v>0.11832906489803205</c:v>
                </c:pt>
                <c:pt idx="50">
                  <c:v>0.1191134437231362</c:v>
                </c:pt>
                <c:pt idx="51">
                  <c:v>0.15517442515796431</c:v>
                </c:pt>
                <c:pt idx="52">
                  <c:v>0.1665405490113834</c:v>
                </c:pt>
                <c:pt idx="53">
                  <c:v>0.17968798352408949</c:v>
                </c:pt>
                <c:pt idx="54">
                  <c:v>0.18212357670135446</c:v>
                </c:pt>
                <c:pt idx="55">
                  <c:v>0.21646408689644786</c:v>
                </c:pt>
                <c:pt idx="56">
                  <c:v>0.24105149314254604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329408"/>
        <c:axId val="109343488"/>
      </c:barChart>
      <c:catAx>
        <c:axId val="109329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9343488"/>
        <c:crosses val="autoZero"/>
        <c:auto val="1"/>
        <c:lblAlgn val="ctr"/>
        <c:lblOffset val="100"/>
        <c:noMultiLvlLbl val="0"/>
      </c:catAx>
      <c:valAx>
        <c:axId val="109343488"/>
        <c:scaling>
          <c:orientation val="minMax"/>
        </c:scaling>
        <c:delete val="0"/>
        <c:axPos val="b"/>
        <c:majorGridlines/>
        <c:numFmt formatCode="0.0%" sourceLinked="1"/>
        <c:majorTickMark val="out"/>
        <c:minorTickMark val="none"/>
        <c:tickLblPos val="nextTo"/>
        <c:crossAx val="109329408"/>
        <c:crosses val="autoZero"/>
        <c:crossBetween val="between"/>
        <c:majorUnit val="0.1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Who do we totally trust?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[1]Tables!$C$205</c:f>
              <c:strCache>
                <c:ptCount val="1"/>
                <c:pt idx="0">
                  <c:v>Totally trust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791665880632244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4.791665880632244E-2"/>
                  <c:y val="-1.259049292870331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4.999999179790169E-2"/>
                  <c:y val="-1.259049292870331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4.999999179790169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5.4166657781060112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4.999999179790169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4.791665880632244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[1]Tables!$B$206:$B$262</c:f>
              <c:strCache>
                <c:ptCount val="57"/>
                <c:pt idx="0">
                  <c:v>Insurance sales people</c:v>
                </c:pt>
                <c:pt idx="1">
                  <c:v>Business managers</c:v>
                </c:pt>
                <c:pt idx="2">
                  <c:v>Finance companies</c:v>
                </c:pt>
                <c:pt idx="3">
                  <c:v>Insurance companies</c:v>
                </c:pt>
                <c:pt idx="4">
                  <c:v>Local Government employees</c:v>
                </c:pt>
                <c:pt idx="5">
                  <c:v>Used car salespeople</c:v>
                </c:pt>
                <c:pt idx="6">
                  <c:v>Retail sales people</c:v>
                </c:pt>
                <c:pt idx="7">
                  <c:v>Real estate agents</c:v>
                </c:pt>
                <c:pt idx="8">
                  <c:v>Central Government employees</c:v>
                </c:pt>
                <c:pt idx="9">
                  <c:v>Local councillors</c:v>
                </c:pt>
                <c:pt idx="10">
                  <c:v>Members of Parliament</c:v>
                </c:pt>
                <c:pt idx="11">
                  <c:v>Journalists</c:v>
                </c:pt>
                <c:pt idx="12">
                  <c:v>New car salespeople</c:v>
                </c:pt>
                <c:pt idx="13">
                  <c:v>Business owners</c:v>
                </c:pt>
                <c:pt idx="14">
                  <c:v>Advertising agencies</c:v>
                </c:pt>
                <c:pt idx="15">
                  <c:v>Telemarketers</c:v>
                </c:pt>
                <c:pt idx="16">
                  <c:v>Tow truck drivers</c:v>
                </c:pt>
                <c:pt idx="17">
                  <c:v>Internet service providers</c:v>
                </c:pt>
                <c:pt idx="18">
                  <c:v>KiwiSaver fund managers</c:v>
                </c:pt>
                <c:pt idx="19">
                  <c:v>Travel agents</c:v>
                </c:pt>
                <c:pt idx="20">
                  <c:v>Mobile telephone providers</c:v>
                </c:pt>
                <c:pt idx="21">
                  <c:v>Radio talkback hosts</c:v>
                </c:pt>
                <c:pt idx="22">
                  <c:v>Taxi drivers</c:v>
                </c:pt>
                <c:pt idx="23">
                  <c:v>Broadband providers</c:v>
                </c:pt>
                <c:pt idx="24">
                  <c:v>Newspapers</c:v>
                </c:pt>
                <c:pt idx="25">
                  <c:v>Online news</c:v>
                </c:pt>
                <c:pt idx="26">
                  <c:v>Accountants</c:v>
                </c:pt>
                <c:pt idx="27">
                  <c:v>Lawyers</c:v>
                </c:pt>
                <c:pt idx="28">
                  <c:v>Farm owners</c:v>
                </c:pt>
                <c:pt idx="29">
                  <c:v>Radio news</c:v>
                </c:pt>
                <c:pt idx="30">
                  <c:v>Online shopping web sites</c:v>
                </c:pt>
                <c:pt idx="31">
                  <c:v>Supermarkets</c:v>
                </c:pt>
                <c:pt idx="32">
                  <c:v>Plumbers</c:v>
                </c:pt>
                <c:pt idx="33">
                  <c:v>Small shopkeepers</c:v>
                </c:pt>
                <c:pt idx="34">
                  <c:v>Mechanics</c:v>
                </c:pt>
                <c:pt idx="35">
                  <c:v>Bankers</c:v>
                </c:pt>
                <c:pt idx="36">
                  <c:v>Engineers</c:v>
                </c:pt>
                <c:pt idx="37">
                  <c:v>Internet credit card transactions</c:v>
                </c:pt>
                <c:pt idx="38">
                  <c:v>Farmers</c:v>
                </c:pt>
                <c:pt idx="39">
                  <c:v>Secondary school teachers</c:v>
                </c:pt>
                <c:pt idx="40">
                  <c:v>Tertiary teachers</c:v>
                </c:pt>
                <c:pt idx="41">
                  <c:v>Clergy members</c:v>
                </c:pt>
                <c:pt idx="42">
                  <c:v>Scientists</c:v>
                </c:pt>
                <c:pt idx="43">
                  <c:v>Primary and intermediate teachers</c:v>
                </c:pt>
                <c:pt idx="44">
                  <c:v>Pre-school teachers</c:v>
                </c:pt>
                <c:pt idx="45">
                  <c:v>Dentists</c:v>
                </c:pt>
                <c:pt idx="46">
                  <c:v>Judges</c:v>
                </c:pt>
                <c:pt idx="47">
                  <c:v>Internet banking</c:v>
                </c:pt>
                <c:pt idx="48">
                  <c:v>Pharmacists</c:v>
                </c:pt>
                <c:pt idx="49">
                  <c:v>Armed forces</c:v>
                </c:pt>
                <c:pt idx="50">
                  <c:v>Vets</c:v>
                </c:pt>
                <c:pt idx="51">
                  <c:v>Police</c:v>
                </c:pt>
                <c:pt idx="52">
                  <c:v>Doctors</c:v>
                </c:pt>
                <c:pt idx="53">
                  <c:v>Pilots</c:v>
                </c:pt>
                <c:pt idx="54">
                  <c:v>Nurses</c:v>
                </c:pt>
                <c:pt idx="55">
                  <c:v>Fire fighters</c:v>
                </c:pt>
                <c:pt idx="56">
                  <c:v>Ambulance officers</c:v>
                </c:pt>
              </c:strCache>
            </c:strRef>
          </c:cat>
          <c:val>
            <c:numRef>
              <c:f>[1]Tables!$C$206:$C$262</c:f>
              <c:numCache>
                <c:formatCode>0.0%</c:formatCode>
                <c:ptCount val="57"/>
                <c:pt idx="0">
                  <c:v>2.1300386475139407E-4</c:v>
                </c:pt>
                <c:pt idx="1">
                  <c:v>1.0706900315139063E-3</c:v>
                </c:pt>
                <c:pt idx="2">
                  <c:v>1.1837909699367031E-3</c:v>
                </c:pt>
                <c:pt idx="3">
                  <c:v>1.4055015709967132E-3</c:v>
                </c:pt>
                <c:pt idx="4">
                  <c:v>1.4654390448915191E-3</c:v>
                </c:pt>
                <c:pt idx="5">
                  <c:v>1.7505838115632743E-3</c:v>
                </c:pt>
                <c:pt idx="6">
                  <c:v>1.7869694668668633E-3</c:v>
                </c:pt>
                <c:pt idx="7">
                  <c:v>1.8147046624168242E-3</c:v>
                </c:pt>
                <c:pt idx="8">
                  <c:v>1.8642221003625265E-3</c:v>
                </c:pt>
                <c:pt idx="9">
                  <c:v>2.1742672395031861E-3</c:v>
                </c:pt>
                <c:pt idx="10">
                  <c:v>2.332765393753385E-3</c:v>
                </c:pt>
                <c:pt idx="11">
                  <c:v>2.4658465663597172E-3</c:v>
                </c:pt>
                <c:pt idx="12">
                  <c:v>2.5351419692212431E-3</c:v>
                </c:pt>
                <c:pt idx="13">
                  <c:v>2.9221603683502527E-3</c:v>
                </c:pt>
                <c:pt idx="14">
                  <c:v>3.2825856344310231E-3</c:v>
                </c:pt>
                <c:pt idx="15">
                  <c:v>3.5925419256875152E-3</c:v>
                </c:pt>
                <c:pt idx="16">
                  <c:v>6.4706052776734319E-3</c:v>
                </c:pt>
                <c:pt idx="17">
                  <c:v>7.4114154380177715E-3</c:v>
                </c:pt>
                <c:pt idx="18">
                  <c:v>8.0561793214317095E-3</c:v>
                </c:pt>
                <c:pt idx="19">
                  <c:v>8.3233971106429442E-3</c:v>
                </c:pt>
                <c:pt idx="20">
                  <c:v>9.0973233239514447E-3</c:v>
                </c:pt>
                <c:pt idx="21">
                  <c:v>9.2096448968721663E-3</c:v>
                </c:pt>
                <c:pt idx="22">
                  <c:v>1.0158465160303722E-2</c:v>
                </c:pt>
                <c:pt idx="23">
                  <c:v>1.1080824277859069E-2</c:v>
                </c:pt>
                <c:pt idx="24">
                  <c:v>1.1874491840038108E-2</c:v>
                </c:pt>
                <c:pt idx="25">
                  <c:v>1.1899583986511289E-2</c:v>
                </c:pt>
                <c:pt idx="26">
                  <c:v>1.2104040809249452E-2</c:v>
                </c:pt>
                <c:pt idx="27">
                  <c:v>1.3641386507999224E-2</c:v>
                </c:pt>
                <c:pt idx="28">
                  <c:v>1.4116147257265262E-2</c:v>
                </c:pt>
                <c:pt idx="29">
                  <c:v>1.4908252172980299E-2</c:v>
                </c:pt>
                <c:pt idx="30">
                  <c:v>1.517842235856781E-2</c:v>
                </c:pt>
                <c:pt idx="31">
                  <c:v>1.5758673388029071E-2</c:v>
                </c:pt>
                <c:pt idx="32">
                  <c:v>1.9020237790689721E-2</c:v>
                </c:pt>
                <c:pt idx="33">
                  <c:v>2.1160785317892766E-2</c:v>
                </c:pt>
                <c:pt idx="34">
                  <c:v>2.4516865119107702E-2</c:v>
                </c:pt>
                <c:pt idx="35">
                  <c:v>2.820796001568994E-2</c:v>
                </c:pt>
                <c:pt idx="36">
                  <c:v>4.1089250134453227E-2</c:v>
                </c:pt>
                <c:pt idx="37">
                  <c:v>4.1203291277969546E-2</c:v>
                </c:pt>
                <c:pt idx="38">
                  <c:v>4.1967672882953673E-2</c:v>
                </c:pt>
                <c:pt idx="39">
                  <c:v>4.3369047211295073E-2</c:v>
                </c:pt>
                <c:pt idx="40">
                  <c:v>4.445135824284089E-2</c:v>
                </c:pt>
                <c:pt idx="41">
                  <c:v>4.7692560254997574E-2</c:v>
                </c:pt>
                <c:pt idx="42">
                  <c:v>5.0352583744682641E-2</c:v>
                </c:pt>
                <c:pt idx="43">
                  <c:v>5.1818220479544742E-2</c:v>
                </c:pt>
                <c:pt idx="44">
                  <c:v>5.197045611856476E-2</c:v>
                </c:pt>
                <c:pt idx="45">
                  <c:v>6.6178836915696398E-2</c:v>
                </c:pt>
                <c:pt idx="46">
                  <c:v>7.1260924110986251E-2</c:v>
                </c:pt>
                <c:pt idx="47">
                  <c:v>8.7177998149360836E-2</c:v>
                </c:pt>
                <c:pt idx="48">
                  <c:v>0.1021480939266773</c:v>
                </c:pt>
                <c:pt idx="49">
                  <c:v>0.11631396619520562</c:v>
                </c:pt>
                <c:pt idx="50">
                  <c:v>0.11656610057636663</c:v>
                </c:pt>
                <c:pt idx="51">
                  <c:v>0.11981662274483576</c:v>
                </c:pt>
                <c:pt idx="52">
                  <c:v>0.15267213556844267</c:v>
                </c:pt>
                <c:pt idx="53">
                  <c:v>0.19502269140071513</c:v>
                </c:pt>
                <c:pt idx="54">
                  <c:v>0.1951469035344254</c:v>
                </c:pt>
                <c:pt idx="55">
                  <c:v>0.27065664186840427</c:v>
                </c:pt>
                <c:pt idx="56">
                  <c:v>0.33214705085760887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367680"/>
        <c:axId val="109369216"/>
      </c:barChart>
      <c:catAx>
        <c:axId val="109367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9369216"/>
        <c:crosses val="autoZero"/>
        <c:auto val="1"/>
        <c:lblAlgn val="ctr"/>
        <c:lblOffset val="100"/>
        <c:noMultiLvlLbl val="0"/>
      </c:catAx>
      <c:valAx>
        <c:axId val="109369216"/>
        <c:scaling>
          <c:orientation val="minMax"/>
        </c:scaling>
        <c:delete val="0"/>
        <c:axPos val="b"/>
        <c:majorGridlines/>
        <c:numFmt formatCode="0.0%" sourceLinked="1"/>
        <c:majorTickMark val="out"/>
        <c:minorTickMark val="none"/>
        <c:tickLblPos val="nextTo"/>
        <c:crossAx val="109367680"/>
        <c:crosses val="autoZero"/>
        <c:crossBetween val="between"/>
        <c:majorUnit val="0.1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22</xdr:row>
      <xdr:rowOff>190500</xdr:rowOff>
    </xdr:from>
    <xdr:to>
      <xdr:col>15</xdr:col>
      <xdr:colOff>0</xdr:colOff>
      <xdr:row>75</xdr:row>
      <xdr:rowOff>180975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84</xdr:row>
      <xdr:rowOff>0</xdr:rowOff>
    </xdr:from>
    <xdr:to>
      <xdr:col>15</xdr:col>
      <xdr:colOff>0</xdr:colOff>
      <xdr:row>136</xdr:row>
      <xdr:rowOff>180975</xdr:rowOff>
    </xdr:to>
    <xdr:graphicFrame macro="">
      <xdr:nvGraphicFramePr>
        <xdr:cNvPr id="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144</xdr:row>
      <xdr:rowOff>0</xdr:rowOff>
    </xdr:from>
    <xdr:to>
      <xdr:col>15</xdr:col>
      <xdr:colOff>0</xdr:colOff>
      <xdr:row>196</xdr:row>
      <xdr:rowOff>180975</xdr:rowOff>
    </xdr:to>
    <xdr:graphicFrame macro="">
      <xdr:nvGraphicFramePr>
        <xdr:cNvPr id="4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266</xdr:row>
      <xdr:rowOff>0</xdr:rowOff>
    </xdr:from>
    <xdr:to>
      <xdr:col>15</xdr:col>
      <xdr:colOff>0</xdr:colOff>
      <xdr:row>318</xdr:row>
      <xdr:rowOff>180975</xdr:rowOff>
    </xdr:to>
    <xdr:graphicFrame macro="">
      <xdr:nvGraphicFramePr>
        <xdr:cNvPr id="5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205</xdr:row>
      <xdr:rowOff>0</xdr:rowOff>
    </xdr:from>
    <xdr:to>
      <xdr:col>15</xdr:col>
      <xdr:colOff>0</xdr:colOff>
      <xdr:row>257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od%20of%20the%20Nation%20tables%20Trust%20Jan%2020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od%20of%20the%20Nation%20Jan%202011%20Raw%20Data%20%20Final%201301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s"/>
      <sheetName val="Will or may vote"/>
    </sheetNames>
    <sheetDataSet>
      <sheetData sheetId="0">
        <row r="24">
          <cell r="C24" t="str">
            <v>Trust</v>
          </cell>
          <cell r="D24" t="str">
            <v>Distrust</v>
          </cell>
        </row>
        <row r="25">
          <cell r="B25" t="str">
            <v>Used car salespeople</v>
          </cell>
          <cell r="C25">
            <v>2.794605115360458E-2</v>
          </cell>
          <cell r="D25">
            <v>0.51055782223550639</v>
          </cell>
        </row>
        <row r="26">
          <cell r="B26" t="str">
            <v>Telemarketers</v>
          </cell>
          <cell r="C26">
            <v>3.1957720434005132E-2</v>
          </cell>
          <cell r="D26">
            <v>0.54200515353695156</v>
          </cell>
        </row>
        <row r="27">
          <cell r="B27" t="str">
            <v>Advertising agencies</v>
          </cell>
          <cell r="C27">
            <v>4.3007981188375774E-2</v>
          </cell>
          <cell r="D27">
            <v>0.47035093909887138</v>
          </cell>
        </row>
        <row r="28">
          <cell r="B28" t="str">
            <v>Insurance sales people</v>
          </cell>
          <cell r="C28">
            <v>4.8987678409038324E-2</v>
          </cell>
          <cell r="D28">
            <v>0.45441772924785478</v>
          </cell>
        </row>
        <row r="29">
          <cell r="B29" t="str">
            <v>Finance companies</v>
          </cell>
          <cell r="C29">
            <v>5.5117272803804018E-2</v>
          </cell>
          <cell r="D29">
            <v>0.5552063680408198</v>
          </cell>
        </row>
        <row r="30">
          <cell r="B30" t="str">
            <v>Real estate agents</v>
          </cell>
          <cell r="C30">
            <v>5.7098085102273939E-2</v>
          </cell>
          <cell r="D30">
            <v>0.46693807167795198</v>
          </cell>
        </row>
        <row r="31">
          <cell r="B31" t="str">
            <v>New car salespeople</v>
          </cell>
          <cell r="C31">
            <v>6.9761863725975162E-2</v>
          </cell>
          <cell r="D31">
            <v>0.34446982019762123</v>
          </cell>
        </row>
        <row r="32">
          <cell r="B32" t="str">
            <v>Members of Parliament</v>
          </cell>
          <cell r="C32">
            <v>8.6143088761762618E-2</v>
          </cell>
          <cell r="D32">
            <v>0.49358987886656597</v>
          </cell>
        </row>
        <row r="33">
          <cell r="B33" t="str">
            <v>Insurance companies</v>
          </cell>
          <cell r="C33">
            <v>9.2145526569315142E-2</v>
          </cell>
          <cell r="D33">
            <v>0.4032663521078132</v>
          </cell>
        </row>
        <row r="34">
          <cell r="B34" t="str">
            <v>Tow truck drivers</v>
          </cell>
          <cell r="C34">
            <v>0.11414150842686023</v>
          </cell>
          <cell r="D34">
            <v>0.27431857758477507</v>
          </cell>
        </row>
        <row r="35">
          <cell r="B35" t="str">
            <v>Journalists</v>
          </cell>
          <cell r="C35">
            <v>0.11665360208074826</v>
          </cell>
          <cell r="D35">
            <v>0.32275910493782983</v>
          </cell>
        </row>
        <row r="36">
          <cell r="B36" t="str">
            <v>Radio talkback hosts</v>
          </cell>
          <cell r="C36">
            <v>0.12288267262584199</v>
          </cell>
          <cell r="D36">
            <v>0.26031670016672309</v>
          </cell>
        </row>
        <row r="37">
          <cell r="B37" t="str">
            <v>Local councillors</v>
          </cell>
          <cell r="C37">
            <v>0.12305441083092297</v>
          </cell>
          <cell r="D37">
            <v>0.34797291500913319</v>
          </cell>
        </row>
        <row r="38">
          <cell r="B38" t="str">
            <v>Central Government employees</v>
          </cell>
          <cell r="C38">
            <v>0.1293321331013054</v>
          </cell>
          <cell r="D38">
            <v>0.19708612119623742</v>
          </cell>
        </row>
        <row r="39">
          <cell r="B39" t="str">
            <v>Business managers</v>
          </cell>
          <cell r="C39">
            <v>0.13901227284572684</v>
          </cell>
          <cell r="D39">
            <v>0.16436607589811525</v>
          </cell>
        </row>
        <row r="40">
          <cell r="B40" t="str">
            <v>Local Government employees</v>
          </cell>
          <cell r="C40">
            <v>0.14548159497586471</v>
          </cell>
          <cell r="D40">
            <v>0.18785089505385935</v>
          </cell>
        </row>
        <row r="41">
          <cell r="B41" t="str">
            <v>Taxi drivers</v>
          </cell>
          <cell r="C41">
            <v>0.17528781056137538</v>
          </cell>
          <cell r="D41">
            <v>0.22223576381478455</v>
          </cell>
        </row>
        <row r="42">
          <cell r="B42" t="str">
            <v>Business owners</v>
          </cell>
          <cell r="C42">
            <v>0.18173477569742574</v>
          </cell>
          <cell r="D42">
            <v>0.12538978847401988</v>
          </cell>
        </row>
        <row r="43">
          <cell r="B43" t="str">
            <v>Retail sales people</v>
          </cell>
          <cell r="C43">
            <v>0.18684137449809091</v>
          </cell>
          <cell r="D43">
            <v>0.12591225530140726</v>
          </cell>
        </row>
        <row r="44">
          <cell r="B44" t="str">
            <v>KiwiSaver fund managers</v>
          </cell>
          <cell r="C44">
            <v>0.22317627198504025</v>
          </cell>
          <cell r="D44">
            <v>0.14271727740017459</v>
          </cell>
        </row>
        <row r="45">
          <cell r="B45" t="str">
            <v>Travel agents</v>
          </cell>
          <cell r="C45">
            <v>0.23814253066739552</v>
          </cell>
          <cell r="D45">
            <v>0.13818776226481266</v>
          </cell>
        </row>
        <row r="46">
          <cell r="B46" t="str">
            <v>Mobile telephone providers</v>
          </cell>
          <cell r="C46">
            <v>0.24661423668943122</v>
          </cell>
          <cell r="D46">
            <v>0.19267340323627666</v>
          </cell>
        </row>
        <row r="47">
          <cell r="B47" t="str">
            <v>Lawyers</v>
          </cell>
          <cell r="C47">
            <v>0.26725414174884299</v>
          </cell>
          <cell r="D47">
            <v>0.22569882949669856</v>
          </cell>
        </row>
        <row r="48">
          <cell r="B48" t="str">
            <v>Accountants</v>
          </cell>
          <cell r="C48">
            <v>0.2755511196730312</v>
          </cell>
          <cell r="D48">
            <v>0.14088968380334593</v>
          </cell>
        </row>
        <row r="49">
          <cell r="B49" t="str">
            <v>Newspapers</v>
          </cell>
          <cell r="C49">
            <v>0.30537883362222723</v>
          </cell>
          <cell r="D49">
            <v>0.15753575707088019</v>
          </cell>
        </row>
        <row r="50">
          <cell r="B50" t="str">
            <v>Radio news</v>
          </cell>
          <cell r="C50">
            <v>0.30910709358311772</v>
          </cell>
          <cell r="D50">
            <v>0.130672486034733</v>
          </cell>
        </row>
        <row r="51">
          <cell r="B51" t="str">
            <v>Online news</v>
          </cell>
          <cell r="C51">
            <v>0.30974669763757579</v>
          </cell>
          <cell r="D51">
            <v>0.10943157546632011</v>
          </cell>
        </row>
        <row r="52">
          <cell r="B52" t="str">
            <v>Internet service providers</v>
          </cell>
          <cell r="C52">
            <v>0.31495017871552727</v>
          </cell>
          <cell r="D52">
            <v>0.11961094405617595</v>
          </cell>
        </row>
        <row r="53">
          <cell r="B53" t="str">
            <v>Broadband providers</v>
          </cell>
          <cell r="C53">
            <v>0.31994664321297522</v>
          </cell>
          <cell r="D53">
            <v>0.1297241839394192</v>
          </cell>
        </row>
        <row r="54">
          <cell r="B54" t="str">
            <v>Online shopping web sites</v>
          </cell>
          <cell r="C54">
            <v>0.32286327354038907</v>
          </cell>
          <cell r="D54">
            <v>0.15301449469190756</v>
          </cell>
        </row>
        <row r="55">
          <cell r="B55" t="str">
            <v>Farm owners</v>
          </cell>
          <cell r="C55">
            <v>0.33091187530899907</v>
          </cell>
          <cell r="D55">
            <v>7.215238340294361E-2</v>
          </cell>
        </row>
        <row r="56">
          <cell r="B56" t="str">
            <v>Clergy members</v>
          </cell>
          <cell r="C56">
            <v>0.34205290153830981</v>
          </cell>
          <cell r="D56">
            <v>0.14445388033547199</v>
          </cell>
        </row>
        <row r="57">
          <cell r="B57" t="str">
            <v>Plumbers</v>
          </cell>
          <cell r="C57">
            <v>0.34852991032424896</v>
          </cell>
          <cell r="D57">
            <v>0.10319895424340675</v>
          </cell>
        </row>
        <row r="58">
          <cell r="B58" t="str">
            <v>Mechanics</v>
          </cell>
          <cell r="C58">
            <v>0.35012898147278193</v>
          </cell>
          <cell r="D58">
            <v>0.147715015201519</v>
          </cell>
        </row>
        <row r="59">
          <cell r="B59" t="str">
            <v>Bankers</v>
          </cell>
          <cell r="C59">
            <v>0.36964474306694745</v>
          </cell>
          <cell r="D59">
            <v>0.17095223632546741</v>
          </cell>
        </row>
        <row r="60">
          <cell r="B60" t="str">
            <v>Small shopkeepers</v>
          </cell>
          <cell r="C60">
            <v>0.37343008819963813</v>
          </cell>
          <cell r="D60">
            <v>7.9063778006471172E-2</v>
          </cell>
        </row>
        <row r="61">
          <cell r="B61" t="str">
            <v>Supermarkets</v>
          </cell>
          <cell r="C61">
            <v>0.37818050722154928</v>
          </cell>
          <cell r="D61">
            <v>0.10623312265075928</v>
          </cell>
        </row>
        <row r="62">
          <cell r="B62" t="str">
            <v>Scientists</v>
          </cell>
          <cell r="C62">
            <v>0.39070645545632426</v>
          </cell>
          <cell r="D62">
            <v>6.3529797140222763E-2</v>
          </cell>
        </row>
        <row r="63">
          <cell r="B63" t="str">
            <v>Farmers</v>
          </cell>
          <cell r="C63">
            <v>0.41530991942114676</v>
          </cell>
          <cell r="D63">
            <v>6.3261162788526587E-2</v>
          </cell>
        </row>
        <row r="64">
          <cell r="B64" t="str">
            <v>Engineers</v>
          </cell>
          <cell r="C64">
            <v>0.45164879917462375</v>
          </cell>
          <cell r="D64">
            <v>2.8886548476062496E-2</v>
          </cell>
        </row>
        <row r="65">
          <cell r="B65" t="str">
            <v>Tertiary teachers</v>
          </cell>
          <cell r="C65">
            <v>0.45396168908866713</v>
          </cell>
          <cell r="D65">
            <v>4.848285609409967E-2</v>
          </cell>
        </row>
        <row r="66">
          <cell r="B66" t="str">
            <v>Secondary school teachers</v>
          </cell>
          <cell r="C66">
            <v>0.46591066840195489</v>
          </cell>
          <cell r="D66">
            <v>5.3133313689627128E-2</v>
          </cell>
        </row>
        <row r="67">
          <cell r="B67" t="str">
            <v>Judges</v>
          </cell>
          <cell r="C67">
            <v>0.47182141442390818</v>
          </cell>
          <cell r="D67">
            <v>9.9705798452166886E-2</v>
          </cell>
        </row>
        <row r="68">
          <cell r="B68" t="str">
            <v>Internet credit card transactions</v>
          </cell>
          <cell r="C68">
            <v>0.47680723153993176</v>
          </cell>
          <cell r="D68">
            <v>0.14913160779045381</v>
          </cell>
        </row>
        <row r="69">
          <cell r="B69" t="str">
            <v>Pre-school teachers</v>
          </cell>
          <cell r="C69">
            <v>0.49461514953082469</v>
          </cell>
          <cell r="D69">
            <v>3.0249578678229715E-2</v>
          </cell>
        </row>
        <row r="70">
          <cell r="B70" t="str">
            <v>Primary and intermediate teachers</v>
          </cell>
          <cell r="C70">
            <v>0.49556954736078951</v>
          </cell>
          <cell r="D70">
            <v>4.1367426475855493E-2</v>
          </cell>
        </row>
        <row r="71">
          <cell r="B71" t="str">
            <v>Dentists</v>
          </cell>
          <cell r="C71">
            <v>0.51875894305018178</v>
          </cell>
          <cell r="D71">
            <v>7.8573941725971402E-2</v>
          </cell>
        </row>
        <row r="72">
          <cell r="B72" t="str">
            <v>Police</v>
          </cell>
          <cell r="C72">
            <v>0.59563670803439106</v>
          </cell>
          <cell r="D72">
            <v>9.8952658830174595E-2</v>
          </cell>
        </row>
        <row r="73">
          <cell r="B73" t="str">
            <v>Armed forces</v>
          </cell>
          <cell r="C73">
            <v>0.59614727592874817</v>
          </cell>
          <cell r="D73">
            <v>4.5757260657793224E-2</v>
          </cell>
        </row>
        <row r="74">
          <cell r="B74" t="str">
            <v>Vets</v>
          </cell>
          <cell r="C74">
            <v>0.60753180209907076</v>
          </cell>
          <cell r="D74">
            <v>2.1142228214401468E-2</v>
          </cell>
        </row>
        <row r="75">
          <cell r="B75" t="str">
            <v>Pharmacists</v>
          </cell>
          <cell r="C75">
            <v>0.65504778108624007</v>
          </cell>
          <cell r="D75">
            <v>1.6009806215281915E-2</v>
          </cell>
        </row>
        <row r="76">
          <cell r="B76" t="str">
            <v>Internet banking</v>
          </cell>
          <cell r="C76">
            <v>0.66852986716422469</v>
          </cell>
          <cell r="D76">
            <v>7.7280758117205361E-2</v>
          </cell>
        </row>
        <row r="77">
          <cell r="B77" t="str">
            <v>Doctors</v>
          </cell>
          <cell r="C77">
            <v>0.71244996482525924</v>
          </cell>
          <cell r="D77">
            <v>5.6359668092115227E-2</v>
          </cell>
        </row>
        <row r="78">
          <cell r="B78" t="str">
            <v>Pilots</v>
          </cell>
          <cell r="C78">
            <v>0.76016326803898648</v>
          </cell>
          <cell r="D78">
            <v>5.4146999487445432E-3</v>
          </cell>
        </row>
        <row r="79">
          <cell r="B79" t="str">
            <v>Nurses</v>
          </cell>
          <cell r="C79">
            <v>0.79859015359839813</v>
          </cell>
          <cell r="D79">
            <v>1.5106979740873168E-2</v>
          </cell>
        </row>
        <row r="80">
          <cell r="B80" t="str">
            <v>Fire fighters</v>
          </cell>
          <cell r="C80">
            <v>0.82141170202938008</v>
          </cell>
          <cell r="D80">
            <v>6.676328396453126E-3</v>
          </cell>
        </row>
        <row r="81">
          <cell r="B81" t="str">
            <v>Ambulance officers</v>
          </cell>
          <cell r="C81">
            <v>0.8376625206031324</v>
          </cell>
          <cell r="D81">
            <v>3.9016537978122522E-3</v>
          </cell>
        </row>
        <row r="85">
          <cell r="C85" t="str">
            <v>Trust</v>
          </cell>
        </row>
        <row r="86">
          <cell r="B86" t="str">
            <v>Used car salespeople</v>
          </cell>
          <cell r="C86">
            <v>2.794605115360458E-2</v>
          </cell>
        </row>
        <row r="87">
          <cell r="B87" t="str">
            <v>Telemarketers</v>
          </cell>
          <cell r="C87">
            <v>3.1957720434005132E-2</v>
          </cell>
        </row>
        <row r="88">
          <cell r="B88" t="str">
            <v>Advertising agencies</v>
          </cell>
          <cell r="C88">
            <v>4.3007981188375774E-2</v>
          </cell>
        </row>
        <row r="89">
          <cell r="B89" t="str">
            <v>Insurance sales people</v>
          </cell>
          <cell r="C89">
            <v>4.8987678409038324E-2</v>
          </cell>
        </row>
        <row r="90">
          <cell r="B90" t="str">
            <v>Finance companies</v>
          </cell>
          <cell r="C90">
            <v>5.5117272803804018E-2</v>
          </cell>
        </row>
        <row r="91">
          <cell r="B91" t="str">
            <v>Real estate agents</v>
          </cell>
          <cell r="C91">
            <v>5.7098085102273939E-2</v>
          </cell>
        </row>
        <row r="92">
          <cell r="B92" t="str">
            <v>New car salespeople</v>
          </cell>
          <cell r="C92">
            <v>6.9761863725975162E-2</v>
          </cell>
        </row>
        <row r="93">
          <cell r="B93" t="str">
            <v>Members of Parliament</v>
          </cell>
          <cell r="C93">
            <v>8.6143088761762618E-2</v>
          </cell>
        </row>
        <row r="94">
          <cell r="B94" t="str">
            <v>Insurance companies</v>
          </cell>
          <cell r="C94">
            <v>9.2145526569315142E-2</v>
          </cell>
        </row>
        <row r="95">
          <cell r="B95" t="str">
            <v>Tow truck drivers</v>
          </cell>
          <cell r="C95">
            <v>0.11414150842686023</v>
          </cell>
        </row>
        <row r="96">
          <cell r="B96" t="str">
            <v>Journalists</v>
          </cell>
          <cell r="C96">
            <v>0.11665360208074826</v>
          </cell>
        </row>
        <row r="97">
          <cell r="B97" t="str">
            <v>Radio talkback hosts</v>
          </cell>
          <cell r="C97">
            <v>0.12288267262584199</v>
          </cell>
        </row>
        <row r="98">
          <cell r="B98" t="str">
            <v>Local councillors</v>
          </cell>
          <cell r="C98">
            <v>0.12305441083092297</v>
          </cell>
        </row>
        <row r="99">
          <cell r="B99" t="str">
            <v>Central Government employees</v>
          </cell>
          <cell r="C99">
            <v>0.1293321331013054</v>
          </cell>
        </row>
        <row r="100">
          <cell r="B100" t="str">
            <v>Business managers</v>
          </cell>
          <cell r="C100">
            <v>0.13901227284572684</v>
          </cell>
        </row>
        <row r="101">
          <cell r="B101" t="str">
            <v>Local Government employees</v>
          </cell>
          <cell r="C101">
            <v>0.14548159497586471</v>
          </cell>
        </row>
        <row r="102">
          <cell r="B102" t="str">
            <v>Taxi drivers</v>
          </cell>
          <cell r="C102">
            <v>0.17528781056137538</v>
          </cell>
        </row>
        <row r="103">
          <cell r="B103" t="str">
            <v>Business owners</v>
          </cell>
          <cell r="C103">
            <v>0.18173477569742574</v>
          </cell>
        </row>
        <row r="104">
          <cell r="B104" t="str">
            <v>Retail sales people</v>
          </cell>
          <cell r="C104">
            <v>0.18684137449809091</v>
          </cell>
        </row>
        <row r="105">
          <cell r="B105" t="str">
            <v>KiwiSaver fund managers</v>
          </cell>
          <cell r="C105">
            <v>0.22317627198504025</v>
          </cell>
        </row>
        <row r="106">
          <cell r="B106" t="str">
            <v>Travel agents</v>
          </cell>
          <cell r="C106">
            <v>0.23814253066739552</v>
          </cell>
        </row>
        <row r="107">
          <cell r="B107" t="str">
            <v>Mobile telephone providers</v>
          </cell>
          <cell r="C107">
            <v>0.24661423668943122</v>
          </cell>
        </row>
        <row r="108">
          <cell r="B108" t="str">
            <v>Lawyers</v>
          </cell>
          <cell r="C108">
            <v>0.26725414174884299</v>
          </cell>
        </row>
        <row r="109">
          <cell r="B109" t="str">
            <v>Accountants</v>
          </cell>
          <cell r="C109">
            <v>0.2755511196730312</v>
          </cell>
        </row>
        <row r="110">
          <cell r="B110" t="str">
            <v>Newspapers</v>
          </cell>
          <cell r="C110">
            <v>0.30537883362222723</v>
          </cell>
        </row>
        <row r="111">
          <cell r="B111" t="str">
            <v>Radio news</v>
          </cell>
          <cell r="C111">
            <v>0.30910709358311772</v>
          </cell>
        </row>
        <row r="112">
          <cell r="B112" t="str">
            <v>Online news</v>
          </cell>
          <cell r="C112">
            <v>0.30974669763757579</v>
          </cell>
        </row>
        <row r="113">
          <cell r="B113" t="str">
            <v>Internet service providers</v>
          </cell>
          <cell r="C113">
            <v>0.31495017871552727</v>
          </cell>
        </row>
        <row r="114">
          <cell r="B114" t="str">
            <v>Broadband providers</v>
          </cell>
          <cell r="C114">
            <v>0.31994664321297522</v>
          </cell>
        </row>
        <row r="115">
          <cell r="B115" t="str">
            <v>Online shopping web sites</v>
          </cell>
          <cell r="C115">
            <v>0.32286327354038907</v>
          </cell>
        </row>
        <row r="116">
          <cell r="B116" t="str">
            <v>Farm owners</v>
          </cell>
          <cell r="C116">
            <v>0.33091187530899907</v>
          </cell>
        </row>
        <row r="117">
          <cell r="B117" t="str">
            <v>Clergy members</v>
          </cell>
          <cell r="C117">
            <v>0.34205290153830981</v>
          </cell>
        </row>
        <row r="118">
          <cell r="B118" t="str">
            <v>Plumbers</v>
          </cell>
          <cell r="C118">
            <v>0.34852991032424896</v>
          </cell>
        </row>
        <row r="119">
          <cell r="B119" t="str">
            <v>Mechanics</v>
          </cell>
          <cell r="C119">
            <v>0.35012898147278193</v>
          </cell>
        </row>
        <row r="120">
          <cell r="B120" t="str">
            <v>Bankers</v>
          </cell>
          <cell r="C120">
            <v>0.36964474306694745</v>
          </cell>
        </row>
        <row r="121">
          <cell r="B121" t="str">
            <v>Small shopkeepers</v>
          </cell>
          <cell r="C121">
            <v>0.37343008819963813</v>
          </cell>
        </row>
        <row r="122">
          <cell r="B122" t="str">
            <v>Supermarkets</v>
          </cell>
          <cell r="C122">
            <v>0.37818050722154928</v>
          </cell>
        </row>
        <row r="123">
          <cell r="B123" t="str">
            <v>Scientists</v>
          </cell>
          <cell r="C123">
            <v>0.39070645545632426</v>
          </cell>
        </row>
        <row r="124">
          <cell r="B124" t="str">
            <v>Farmers</v>
          </cell>
          <cell r="C124">
            <v>0.41530991942114676</v>
          </cell>
        </row>
        <row r="125">
          <cell r="B125" t="str">
            <v>Engineers</v>
          </cell>
          <cell r="C125">
            <v>0.45164879917462375</v>
          </cell>
        </row>
        <row r="126">
          <cell r="B126" t="str">
            <v>Tertiary teachers</v>
          </cell>
          <cell r="C126">
            <v>0.45396168908866713</v>
          </cell>
        </row>
        <row r="127">
          <cell r="B127" t="str">
            <v>Secondary school teachers</v>
          </cell>
          <cell r="C127">
            <v>0.46591066840195489</v>
          </cell>
        </row>
        <row r="128">
          <cell r="B128" t="str">
            <v>Judges</v>
          </cell>
          <cell r="C128">
            <v>0.47182141442390818</v>
          </cell>
        </row>
        <row r="129">
          <cell r="B129" t="str">
            <v>Internet credit card transactions</v>
          </cell>
          <cell r="C129">
            <v>0.47680723153993176</v>
          </cell>
        </row>
        <row r="130">
          <cell r="B130" t="str">
            <v>Pre-school teachers</v>
          </cell>
          <cell r="C130">
            <v>0.49461514953082469</v>
          </cell>
        </row>
        <row r="131">
          <cell r="B131" t="str">
            <v>Primary and intermediate teachers</v>
          </cell>
          <cell r="C131">
            <v>0.49556954736078951</v>
          </cell>
        </row>
        <row r="132">
          <cell r="B132" t="str">
            <v>Dentists</v>
          </cell>
          <cell r="C132">
            <v>0.51875894305018178</v>
          </cell>
        </row>
        <row r="133">
          <cell r="B133" t="str">
            <v>Police</v>
          </cell>
          <cell r="C133">
            <v>0.59563670803439106</v>
          </cell>
        </row>
        <row r="134">
          <cell r="B134" t="str">
            <v>Armed forces</v>
          </cell>
          <cell r="C134">
            <v>0.59614727592874817</v>
          </cell>
        </row>
        <row r="135">
          <cell r="B135" t="str">
            <v>Vets</v>
          </cell>
          <cell r="C135">
            <v>0.60753180209907076</v>
          </cell>
        </row>
        <row r="136">
          <cell r="B136" t="str">
            <v>Pharmacists</v>
          </cell>
          <cell r="C136">
            <v>0.65504778108624007</v>
          </cell>
        </row>
        <row r="137">
          <cell r="B137" t="str">
            <v>Internet banking</v>
          </cell>
          <cell r="C137">
            <v>0.66852986716422469</v>
          </cell>
        </row>
        <row r="138">
          <cell r="B138" t="str">
            <v>Doctors</v>
          </cell>
          <cell r="C138">
            <v>0.71244996482525924</v>
          </cell>
        </row>
        <row r="139">
          <cell r="B139" t="str">
            <v>Pilots</v>
          </cell>
          <cell r="C139">
            <v>0.76016326803898648</v>
          </cell>
        </row>
        <row r="140">
          <cell r="B140" t="str">
            <v>Nurses</v>
          </cell>
          <cell r="C140">
            <v>0.79859015359839813</v>
          </cell>
        </row>
        <row r="141">
          <cell r="B141" t="str">
            <v>Fire fighters</v>
          </cell>
          <cell r="C141">
            <v>0.82141170202938008</v>
          </cell>
        </row>
        <row r="142">
          <cell r="B142" t="str">
            <v>Ambulance officers</v>
          </cell>
          <cell r="C142">
            <v>0.8376625206031324</v>
          </cell>
        </row>
        <row r="145">
          <cell r="C145" t="str">
            <v>Distrust</v>
          </cell>
        </row>
        <row r="146">
          <cell r="B146" t="str">
            <v>Ambulance officers</v>
          </cell>
          <cell r="C146">
            <v>3.9016537978122522E-3</v>
          </cell>
        </row>
        <row r="147">
          <cell r="B147" t="str">
            <v>Pilots</v>
          </cell>
          <cell r="C147">
            <v>5.4146999487445432E-3</v>
          </cell>
        </row>
        <row r="148">
          <cell r="B148" t="str">
            <v>Fire fighters</v>
          </cell>
          <cell r="C148">
            <v>6.676328396453126E-3</v>
          </cell>
        </row>
        <row r="149">
          <cell r="B149" t="str">
            <v>Nurses</v>
          </cell>
          <cell r="C149">
            <v>1.5106979740873168E-2</v>
          </cell>
        </row>
        <row r="150">
          <cell r="B150" t="str">
            <v>Pharmacists</v>
          </cell>
          <cell r="C150">
            <v>1.6009806215281915E-2</v>
          </cell>
        </row>
        <row r="151">
          <cell r="B151" t="str">
            <v>Vets</v>
          </cell>
          <cell r="C151">
            <v>2.1142228214401468E-2</v>
          </cell>
        </row>
        <row r="152">
          <cell r="B152" t="str">
            <v>Engineers</v>
          </cell>
          <cell r="C152">
            <v>2.8886548476062496E-2</v>
          </cell>
        </row>
        <row r="153">
          <cell r="B153" t="str">
            <v>Pre-school teachers</v>
          </cell>
          <cell r="C153">
            <v>3.0249578678229715E-2</v>
          </cell>
        </row>
        <row r="154">
          <cell r="B154" t="str">
            <v>Primary and intermediate teachers</v>
          </cell>
          <cell r="C154">
            <v>4.1367426475855493E-2</v>
          </cell>
        </row>
        <row r="155">
          <cell r="B155" t="str">
            <v>Armed forces</v>
          </cell>
          <cell r="C155">
            <v>4.5757260657793224E-2</v>
          </cell>
        </row>
        <row r="156">
          <cell r="B156" t="str">
            <v>Tertiary teachers</v>
          </cell>
          <cell r="C156">
            <v>4.848285609409967E-2</v>
          </cell>
        </row>
        <row r="157">
          <cell r="B157" t="str">
            <v>Secondary school teachers</v>
          </cell>
          <cell r="C157">
            <v>5.3133313689627128E-2</v>
          </cell>
        </row>
        <row r="158">
          <cell r="B158" t="str">
            <v>Doctors</v>
          </cell>
          <cell r="C158">
            <v>5.6359668092115227E-2</v>
          </cell>
        </row>
        <row r="159">
          <cell r="B159" t="str">
            <v>Farmers</v>
          </cell>
          <cell r="C159">
            <v>6.3261162788526587E-2</v>
          </cell>
        </row>
        <row r="160">
          <cell r="B160" t="str">
            <v>Scientists</v>
          </cell>
          <cell r="C160">
            <v>6.3529797140222763E-2</v>
          </cell>
        </row>
        <row r="161">
          <cell r="B161" t="str">
            <v>Farm owners</v>
          </cell>
          <cell r="C161">
            <v>7.215238340294361E-2</v>
          </cell>
        </row>
        <row r="162">
          <cell r="B162" t="str">
            <v>Internet banking</v>
          </cell>
          <cell r="C162">
            <v>7.7280758117205361E-2</v>
          </cell>
        </row>
        <row r="163">
          <cell r="B163" t="str">
            <v>Dentists</v>
          </cell>
          <cell r="C163">
            <v>7.8573941725971402E-2</v>
          </cell>
        </row>
        <row r="164">
          <cell r="B164" t="str">
            <v>Small shopkeepers</v>
          </cell>
          <cell r="C164">
            <v>7.9063778006471172E-2</v>
          </cell>
        </row>
        <row r="165">
          <cell r="B165" t="str">
            <v>Police</v>
          </cell>
          <cell r="C165">
            <v>9.8952658830174595E-2</v>
          </cell>
        </row>
        <row r="166">
          <cell r="B166" t="str">
            <v>Judges</v>
          </cell>
          <cell r="C166">
            <v>9.9705798452166886E-2</v>
          </cell>
        </row>
        <row r="167">
          <cell r="B167" t="str">
            <v>Plumbers</v>
          </cell>
          <cell r="C167">
            <v>0.10319895424340675</v>
          </cell>
        </row>
        <row r="168">
          <cell r="B168" t="str">
            <v>Supermarkets</v>
          </cell>
          <cell r="C168">
            <v>0.10623312265075928</v>
          </cell>
        </row>
        <row r="169">
          <cell r="B169" t="str">
            <v>Online news</v>
          </cell>
          <cell r="C169">
            <v>0.10943157546632011</v>
          </cell>
        </row>
        <row r="170">
          <cell r="B170" t="str">
            <v>Internet service providers</v>
          </cell>
          <cell r="C170">
            <v>0.11961094405617595</v>
          </cell>
        </row>
        <row r="171">
          <cell r="B171" t="str">
            <v>Business owners</v>
          </cell>
          <cell r="C171">
            <v>0.12538978847401988</v>
          </cell>
        </row>
        <row r="172">
          <cell r="B172" t="str">
            <v>Retail sales people</v>
          </cell>
          <cell r="C172">
            <v>0.12591225530140726</v>
          </cell>
        </row>
        <row r="173">
          <cell r="B173" t="str">
            <v>Broadband providers</v>
          </cell>
          <cell r="C173">
            <v>0.1297241839394192</v>
          </cell>
        </row>
        <row r="174">
          <cell r="B174" t="str">
            <v>Radio news</v>
          </cell>
          <cell r="C174">
            <v>0.130672486034733</v>
          </cell>
        </row>
        <row r="175">
          <cell r="B175" t="str">
            <v>Travel agents</v>
          </cell>
          <cell r="C175">
            <v>0.13818776226481266</v>
          </cell>
        </row>
        <row r="176">
          <cell r="B176" t="str">
            <v>Accountants</v>
          </cell>
          <cell r="C176">
            <v>0.14088968380334593</v>
          </cell>
        </row>
        <row r="177">
          <cell r="B177" t="str">
            <v>KiwiSaver fund managers</v>
          </cell>
          <cell r="C177">
            <v>0.14271727740017459</v>
          </cell>
        </row>
        <row r="178">
          <cell r="B178" t="str">
            <v>Clergy members</v>
          </cell>
          <cell r="C178">
            <v>0.14445388033547199</v>
          </cell>
        </row>
        <row r="179">
          <cell r="B179" t="str">
            <v>Mechanics</v>
          </cell>
          <cell r="C179">
            <v>0.147715015201519</v>
          </cell>
        </row>
        <row r="180">
          <cell r="B180" t="str">
            <v>Internet credit card transactions</v>
          </cell>
          <cell r="C180">
            <v>0.14913160779045381</v>
          </cell>
        </row>
        <row r="181">
          <cell r="B181" t="str">
            <v>Online shopping web sites</v>
          </cell>
          <cell r="C181">
            <v>0.15301449469190756</v>
          </cell>
        </row>
        <row r="182">
          <cell r="B182" t="str">
            <v>Newspapers</v>
          </cell>
          <cell r="C182">
            <v>0.15753575707088019</v>
          </cell>
        </row>
        <row r="183">
          <cell r="B183" t="str">
            <v>Business managers</v>
          </cell>
          <cell r="C183">
            <v>0.16436607589811525</v>
          </cell>
        </row>
        <row r="184">
          <cell r="B184" t="str">
            <v>Bankers</v>
          </cell>
          <cell r="C184">
            <v>0.17095223632546741</v>
          </cell>
        </row>
        <row r="185">
          <cell r="B185" t="str">
            <v>Local Government employees</v>
          </cell>
          <cell r="C185">
            <v>0.18785089505385935</v>
          </cell>
        </row>
        <row r="186">
          <cell r="B186" t="str">
            <v>Mobile telephone providers</v>
          </cell>
          <cell r="C186">
            <v>0.19267340323627666</v>
          </cell>
        </row>
        <row r="187">
          <cell r="B187" t="str">
            <v>Central Government employees</v>
          </cell>
          <cell r="C187">
            <v>0.19708612119623742</v>
          </cell>
        </row>
        <row r="188">
          <cell r="B188" t="str">
            <v>Taxi drivers</v>
          </cell>
          <cell r="C188">
            <v>0.22223576381478455</v>
          </cell>
        </row>
        <row r="189">
          <cell r="B189" t="str">
            <v>Lawyers</v>
          </cell>
          <cell r="C189">
            <v>0.22569882949669856</v>
          </cell>
        </row>
        <row r="190">
          <cell r="B190" t="str">
            <v>Radio talkback hosts</v>
          </cell>
          <cell r="C190">
            <v>0.26031670016672309</v>
          </cell>
        </row>
        <row r="191">
          <cell r="B191" t="str">
            <v>Tow truck drivers</v>
          </cell>
          <cell r="C191">
            <v>0.27431857758477507</v>
          </cell>
        </row>
        <row r="192">
          <cell r="B192" t="str">
            <v>Journalists</v>
          </cell>
          <cell r="C192">
            <v>0.32275910493782983</v>
          </cell>
        </row>
        <row r="193">
          <cell r="B193" t="str">
            <v>New car salespeople</v>
          </cell>
          <cell r="C193">
            <v>0.34446982019762123</v>
          </cell>
        </row>
        <row r="194">
          <cell r="B194" t="str">
            <v>Local councillors</v>
          </cell>
          <cell r="C194">
            <v>0.34797291500913319</v>
          </cell>
        </row>
        <row r="195">
          <cell r="B195" t="str">
            <v>Insurance companies</v>
          </cell>
          <cell r="C195">
            <v>0.4032663521078132</v>
          </cell>
        </row>
        <row r="196">
          <cell r="B196" t="str">
            <v>Insurance sales people</v>
          </cell>
          <cell r="C196">
            <v>0.45441772924785478</v>
          </cell>
        </row>
        <row r="197">
          <cell r="B197" t="str">
            <v>Real estate agents</v>
          </cell>
          <cell r="C197">
            <v>0.46693807167795198</v>
          </cell>
        </row>
        <row r="198">
          <cell r="B198" t="str">
            <v>Advertising agencies</v>
          </cell>
          <cell r="C198">
            <v>0.47035093909887138</v>
          </cell>
        </row>
        <row r="199">
          <cell r="B199" t="str">
            <v>Members of Parliament</v>
          </cell>
          <cell r="C199">
            <v>0.49358987886656597</v>
          </cell>
        </row>
        <row r="200">
          <cell r="B200" t="str">
            <v>Used car salespeople</v>
          </cell>
          <cell r="C200">
            <v>0.51055782223550639</v>
          </cell>
        </row>
        <row r="201">
          <cell r="B201" t="str">
            <v>Telemarketers</v>
          </cell>
          <cell r="C201">
            <v>0.54200515353695156</v>
          </cell>
        </row>
        <row r="202">
          <cell r="B202" t="str">
            <v>Finance companies</v>
          </cell>
          <cell r="C202">
            <v>0.5552063680408198</v>
          </cell>
        </row>
        <row r="205">
          <cell r="C205" t="str">
            <v>Totally trust</v>
          </cell>
        </row>
        <row r="206">
          <cell r="B206" t="str">
            <v>Insurance sales people</v>
          </cell>
          <cell r="C206">
            <v>2.1300386475139407E-4</v>
          </cell>
        </row>
        <row r="207">
          <cell r="B207" t="str">
            <v>Business managers</v>
          </cell>
          <cell r="C207">
            <v>1.0706900315139063E-3</v>
          </cell>
        </row>
        <row r="208">
          <cell r="B208" t="str">
            <v>Finance companies</v>
          </cell>
          <cell r="C208">
            <v>1.1837909699367031E-3</v>
          </cell>
        </row>
        <row r="209">
          <cell r="B209" t="str">
            <v>Insurance companies</v>
          </cell>
          <cell r="C209">
            <v>1.4055015709967132E-3</v>
          </cell>
        </row>
        <row r="210">
          <cell r="B210" t="str">
            <v>Local Government employees</v>
          </cell>
          <cell r="C210">
            <v>1.4654390448915191E-3</v>
          </cell>
        </row>
        <row r="211">
          <cell r="B211" t="str">
            <v>Used car salespeople</v>
          </cell>
          <cell r="C211">
            <v>1.7505838115632743E-3</v>
          </cell>
        </row>
        <row r="212">
          <cell r="B212" t="str">
            <v>Retail sales people</v>
          </cell>
          <cell r="C212">
            <v>1.7869694668668633E-3</v>
          </cell>
        </row>
        <row r="213">
          <cell r="B213" t="str">
            <v>Real estate agents</v>
          </cell>
          <cell r="C213">
            <v>1.8147046624168242E-3</v>
          </cell>
        </row>
        <row r="214">
          <cell r="B214" t="str">
            <v>Central Government employees</v>
          </cell>
          <cell r="C214">
            <v>1.8642221003625265E-3</v>
          </cell>
        </row>
        <row r="215">
          <cell r="B215" t="str">
            <v>Local councillors</v>
          </cell>
          <cell r="C215">
            <v>2.1742672395031861E-3</v>
          </cell>
        </row>
        <row r="216">
          <cell r="B216" t="str">
            <v>Members of Parliament</v>
          </cell>
          <cell r="C216">
            <v>2.332765393753385E-3</v>
          </cell>
        </row>
        <row r="217">
          <cell r="B217" t="str">
            <v>Journalists</v>
          </cell>
          <cell r="C217">
            <v>2.4658465663597172E-3</v>
          </cell>
        </row>
        <row r="218">
          <cell r="B218" t="str">
            <v>New car salespeople</v>
          </cell>
          <cell r="C218">
            <v>2.5351419692212431E-3</v>
          </cell>
        </row>
        <row r="219">
          <cell r="B219" t="str">
            <v>Business owners</v>
          </cell>
          <cell r="C219">
            <v>2.9221603683502527E-3</v>
          </cell>
        </row>
        <row r="220">
          <cell r="B220" t="str">
            <v>Advertising agencies</v>
          </cell>
          <cell r="C220">
            <v>3.2825856344310231E-3</v>
          </cell>
        </row>
        <row r="221">
          <cell r="B221" t="str">
            <v>Telemarketers</v>
          </cell>
          <cell r="C221">
            <v>3.5925419256875152E-3</v>
          </cell>
        </row>
        <row r="222">
          <cell r="B222" t="str">
            <v>Tow truck drivers</v>
          </cell>
          <cell r="C222">
            <v>6.4706052776734319E-3</v>
          </cell>
        </row>
        <row r="223">
          <cell r="B223" t="str">
            <v>Internet service providers</v>
          </cell>
          <cell r="C223">
            <v>7.4114154380177715E-3</v>
          </cell>
        </row>
        <row r="224">
          <cell r="B224" t="str">
            <v>KiwiSaver fund managers</v>
          </cell>
          <cell r="C224">
            <v>8.0561793214317095E-3</v>
          </cell>
        </row>
        <row r="225">
          <cell r="B225" t="str">
            <v>Travel agents</v>
          </cell>
          <cell r="C225">
            <v>8.3233971106429442E-3</v>
          </cell>
        </row>
        <row r="226">
          <cell r="B226" t="str">
            <v>Mobile telephone providers</v>
          </cell>
          <cell r="C226">
            <v>9.0973233239514447E-3</v>
          </cell>
        </row>
        <row r="227">
          <cell r="B227" t="str">
            <v>Radio talkback hosts</v>
          </cell>
          <cell r="C227">
            <v>9.2096448968721663E-3</v>
          </cell>
        </row>
        <row r="228">
          <cell r="B228" t="str">
            <v>Taxi drivers</v>
          </cell>
          <cell r="C228">
            <v>1.0158465160303722E-2</v>
          </cell>
        </row>
        <row r="229">
          <cell r="B229" t="str">
            <v>Broadband providers</v>
          </cell>
          <cell r="C229">
            <v>1.1080824277859069E-2</v>
          </cell>
        </row>
        <row r="230">
          <cell r="B230" t="str">
            <v>Newspapers</v>
          </cell>
          <cell r="C230">
            <v>1.1874491840038108E-2</v>
          </cell>
        </row>
        <row r="231">
          <cell r="B231" t="str">
            <v>Online news</v>
          </cell>
          <cell r="C231">
            <v>1.1899583986511289E-2</v>
          </cell>
        </row>
        <row r="232">
          <cell r="B232" t="str">
            <v>Accountants</v>
          </cell>
          <cell r="C232">
            <v>1.2104040809249452E-2</v>
          </cell>
        </row>
        <row r="233">
          <cell r="B233" t="str">
            <v>Lawyers</v>
          </cell>
          <cell r="C233">
            <v>1.3641386507999224E-2</v>
          </cell>
        </row>
        <row r="234">
          <cell r="B234" t="str">
            <v>Farm owners</v>
          </cell>
          <cell r="C234">
            <v>1.4116147257265262E-2</v>
          </cell>
        </row>
        <row r="235">
          <cell r="B235" t="str">
            <v>Radio news</v>
          </cell>
          <cell r="C235">
            <v>1.4908252172980299E-2</v>
          </cell>
        </row>
        <row r="236">
          <cell r="B236" t="str">
            <v>Online shopping web sites</v>
          </cell>
          <cell r="C236">
            <v>1.517842235856781E-2</v>
          </cell>
        </row>
        <row r="237">
          <cell r="B237" t="str">
            <v>Supermarkets</v>
          </cell>
          <cell r="C237">
            <v>1.5758673388029071E-2</v>
          </cell>
        </row>
        <row r="238">
          <cell r="B238" t="str">
            <v>Plumbers</v>
          </cell>
          <cell r="C238">
            <v>1.9020237790689721E-2</v>
          </cell>
        </row>
        <row r="239">
          <cell r="B239" t="str">
            <v>Small shopkeepers</v>
          </cell>
          <cell r="C239">
            <v>2.1160785317892766E-2</v>
          </cell>
        </row>
        <row r="240">
          <cell r="B240" t="str">
            <v>Mechanics</v>
          </cell>
          <cell r="C240">
            <v>2.4516865119107702E-2</v>
          </cell>
        </row>
        <row r="241">
          <cell r="B241" t="str">
            <v>Bankers</v>
          </cell>
          <cell r="C241">
            <v>2.820796001568994E-2</v>
          </cell>
        </row>
        <row r="242">
          <cell r="B242" t="str">
            <v>Engineers</v>
          </cell>
          <cell r="C242">
            <v>4.1089250134453227E-2</v>
          </cell>
        </row>
        <row r="243">
          <cell r="B243" t="str">
            <v>Internet credit card transactions</v>
          </cell>
          <cell r="C243">
            <v>4.1203291277969546E-2</v>
          </cell>
        </row>
        <row r="244">
          <cell r="B244" t="str">
            <v>Farmers</v>
          </cell>
          <cell r="C244">
            <v>4.1967672882953673E-2</v>
          </cell>
        </row>
        <row r="245">
          <cell r="B245" t="str">
            <v>Secondary school teachers</v>
          </cell>
          <cell r="C245">
            <v>4.3369047211295073E-2</v>
          </cell>
        </row>
        <row r="246">
          <cell r="B246" t="str">
            <v>Tertiary teachers</v>
          </cell>
          <cell r="C246">
            <v>4.445135824284089E-2</v>
          </cell>
        </row>
        <row r="247">
          <cell r="B247" t="str">
            <v>Clergy members</v>
          </cell>
          <cell r="C247">
            <v>4.7692560254997574E-2</v>
          </cell>
        </row>
        <row r="248">
          <cell r="B248" t="str">
            <v>Scientists</v>
          </cell>
          <cell r="C248">
            <v>5.0352583744682641E-2</v>
          </cell>
        </row>
        <row r="249">
          <cell r="B249" t="str">
            <v>Primary and intermediate teachers</v>
          </cell>
          <cell r="C249">
            <v>5.1818220479544742E-2</v>
          </cell>
        </row>
        <row r="250">
          <cell r="B250" t="str">
            <v>Pre-school teachers</v>
          </cell>
          <cell r="C250">
            <v>5.197045611856476E-2</v>
          </cell>
        </row>
        <row r="251">
          <cell r="B251" t="str">
            <v>Dentists</v>
          </cell>
          <cell r="C251">
            <v>6.6178836915696398E-2</v>
          </cell>
        </row>
        <row r="252">
          <cell r="B252" t="str">
            <v>Judges</v>
          </cell>
          <cell r="C252">
            <v>7.1260924110986251E-2</v>
          </cell>
        </row>
        <row r="253">
          <cell r="B253" t="str">
            <v>Internet banking</v>
          </cell>
          <cell r="C253">
            <v>8.7177998149360836E-2</v>
          </cell>
        </row>
        <row r="254">
          <cell r="B254" t="str">
            <v>Pharmacists</v>
          </cell>
          <cell r="C254">
            <v>0.1021480939266773</v>
          </cell>
        </row>
        <row r="255">
          <cell r="B255" t="str">
            <v>Armed forces</v>
          </cell>
          <cell r="C255">
            <v>0.11631396619520562</v>
          </cell>
        </row>
        <row r="256">
          <cell r="B256" t="str">
            <v>Vets</v>
          </cell>
          <cell r="C256">
            <v>0.11656610057636663</v>
          </cell>
        </row>
        <row r="257">
          <cell r="B257" t="str">
            <v>Police</v>
          </cell>
          <cell r="C257">
            <v>0.11981662274483576</v>
          </cell>
        </row>
        <row r="258">
          <cell r="B258" t="str">
            <v>Doctors</v>
          </cell>
          <cell r="C258">
            <v>0.15267213556844267</v>
          </cell>
        </row>
        <row r="259">
          <cell r="B259" t="str">
            <v>Pilots</v>
          </cell>
          <cell r="C259">
            <v>0.19502269140071513</v>
          </cell>
        </row>
        <row r="260">
          <cell r="B260" t="str">
            <v>Nurses</v>
          </cell>
          <cell r="C260">
            <v>0.1951469035344254</v>
          </cell>
        </row>
        <row r="261">
          <cell r="B261" t="str">
            <v>Fire fighters</v>
          </cell>
          <cell r="C261">
            <v>0.27065664186840427</v>
          </cell>
        </row>
        <row r="262">
          <cell r="B262" t="str">
            <v>Ambulance officers</v>
          </cell>
          <cell r="C262">
            <v>0.33214705085760887</v>
          </cell>
        </row>
        <row r="266">
          <cell r="C266" t="str">
            <v>Totally distrust</v>
          </cell>
        </row>
        <row r="267">
          <cell r="B267" t="str">
            <v>Pilots</v>
          </cell>
          <cell r="C267">
            <v>1.440542753223724E-3</v>
          </cell>
        </row>
        <row r="268">
          <cell r="B268" t="str">
            <v>Fire fighters</v>
          </cell>
          <cell r="C268">
            <v>1.8131225101451231E-3</v>
          </cell>
        </row>
        <row r="269">
          <cell r="B269" t="str">
            <v>Ambulance officers</v>
          </cell>
          <cell r="C269">
            <v>2.1519408045077002E-3</v>
          </cell>
        </row>
        <row r="270">
          <cell r="B270" t="str">
            <v>Pharmacists</v>
          </cell>
          <cell r="C270">
            <v>3.7357872530556259E-3</v>
          </cell>
        </row>
        <row r="271">
          <cell r="B271" t="str">
            <v>Vets</v>
          </cell>
          <cell r="C271">
            <v>6.1108680219662563E-3</v>
          </cell>
        </row>
        <row r="272">
          <cell r="B272" t="str">
            <v>Pre-school teachers</v>
          </cell>
          <cell r="C272">
            <v>6.3045679401893913E-3</v>
          </cell>
        </row>
        <row r="273">
          <cell r="B273" t="str">
            <v>Nurses</v>
          </cell>
          <cell r="C273">
            <v>9.232524597310561E-3</v>
          </cell>
        </row>
        <row r="274">
          <cell r="B274" t="str">
            <v>Primary and intermediate teachers</v>
          </cell>
          <cell r="C274">
            <v>9.8010047049353431E-3</v>
          </cell>
        </row>
        <row r="275">
          <cell r="B275" t="str">
            <v>Tertiary teachers</v>
          </cell>
          <cell r="C275">
            <v>1.0176813862282539E-2</v>
          </cell>
        </row>
        <row r="276">
          <cell r="B276" t="str">
            <v>Engineers</v>
          </cell>
          <cell r="C276">
            <v>1.1524222323584089E-2</v>
          </cell>
        </row>
        <row r="277">
          <cell r="B277" t="str">
            <v>Doctors</v>
          </cell>
          <cell r="C277">
            <v>1.2628011806653997E-2</v>
          </cell>
        </row>
        <row r="278">
          <cell r="B278" t="str">
            <v>Farmers</v>
          </cell>
          <cell r="C278">
            <v>1.2936061296474623E-2</v>
          </cell>
        </row>
        <row r="279">
          <cell r="B279" t="str">
            <v>Small shopkeepers</v>
          </cell>
          <cell r="C279">
            <v>1.3275686463852174E-2</v>
          </cell>
        </row>
        <row r="280">
          <cell r="B280" t="str">
            <v>Scientists</v>
          </cell>
          <cell r="C280">
            <v>1.3509448082743137E-2</v>
          </cell>
        </row>
        <row r="281">
          <cell r="B281" t="str">
            <v>Mechanics</v>
          </cell>
          <cell r="C281">
            <v>1.3957823811351805E-2</v>
          </cell>
        </row>
        <row r="282">
          <cell r="B282" t="str">
            <v>Secondary school teachers</v>
          </cell>
          <cell r="C282">
            <v>1.3975612530801535E-2</v>
          </cell>
        </row>
        <row r="283">
          <cell r="B283" t="str">
            <v>Plumbers</v>
          </cell>
          <cell r="C283">
            <v>1.4152268071730706E-2</v>
          </cell>
        </row>
        <row r="284">
          <cell r="B284" t="str">
            <v>Dentists</v>
          </cell>
          <cell r="C284">
            <v>1.7528189224521457E-2</v>
          </cell>
        </row>
        <row r="285">
          <cell r="B285" t="str">
            <v>Internet service providers</v>
          </cell>
          <cell r="C285">
            <v>1.8509080488527094E-2</v>
          </cell>
        </row>
        <row r="286">
          <cell r="B286" t="str">
            <v>Armed forces</v>
          </cell>
          <cell r="C286">
            <v>1.9159261788815059E-2</v>
          </cell>
        </row>
        <row r="287">
          <cell r="B287" t="str">
            <v>Broadband providers</v>
          </cell>
          <cell r="C287">
            <v>1.9511637815950545E-2</v>
          </cell>
        </row>
        <row r="288">
          <cell r="B288" t="str">
            <v>Online news</v>
          </cell>
          <cell r="C288">
            <v>1.9601162310510092E-2</v>
          </cell>
        </row>
        <row r="289">
          <cell r="B289" t="str">
            <v>Judges</v>
          </cell>
          <cell r="C289">
            <v>1.9728404671842031E-2</v>
          </cell>
        </row>
        <row r="290">
          <cell r="B290" t="str">
            <v>Internet banking</v>
          </cell>
          <cell r="C290">
            <v>2.1388678958232075E-2</v>
          </cell>
        </row>
        <row r="291">
          <cell r="B291" t="str">
            <v>Supermarkets</v>
          </cell>
          <cell r="C291">
            <v>2.2445406273764242E-2</v>
          </cell>
        </row>
        <row r="292">
          <cell r="B292" t="str">
            <v>Retail sales people</v>
          </cell>
          <cell r="C292">
            <v>2.2854427449710727E-2</v>
          </cell>
        </row>
        <row r="293">
          <cell r="B293" t="str">
            <v>Business owners</v>
          </cell>
          <cell r="C293">
            <v>2.3623704804579249E-2</v>
          </cell>
        </row>
        <row r="294">
          <cell r="B294" t="str">
            <v>Farm owners</v>
          </cell>
          <cell r="C294">
            <v>2.5465165250445804E-2</v>
          </cell>
        </row>
        <row r="295">
          <cell r="B295" t="str">
            <v>Radio news</v>
          </cell>
          <cell r="C295">
            <v>2.9070847000440062E-2</v>
          </cell>
        </row>
        <row r="296">
          <cell r="B296" t="str">
            <v>Travel agents</v>
          </cell>
          <cell r="C296">
            <v>3.0661209667674952E-2</v>
          </cell>
        </row>
        <row r="297">
          <cell r="B297" t="str">
            <v>Police</v>
          </cell>
          <cell r="C297">
            <v>3.1780796365733228E-2</v>
          </cell>
        </row>
        <row r="298">
          <cell r="B298" t="str">
            <v>Online shopping web sites</v>
          </cell>
          <cell r="C298">
            <v>3.1900990050434605E-2</v>
          </cell>
        </row>
        <row r="299">
          <cell r="B299" t="str">
            <v>Business managers</v>
          </cell>
          <cell r="C299">
            <v>3.2291306301033475E-2</v>
          </cell>
        </row>
        <row r="300">
          <cell r="B300" t="str">
            <v>KiwiSaver fund managers</v>
          </cell>
          <cell r="C300">
            <v>3.3753901127793848E-2</v>
          </cell>
        </row>
        <row r="301">
          <cell r="B301" t="str">
            <v>Internet credit card transactions</v>
          </cell>
          <cell r="C301">
            <v>3.3834699973055923E-2</v>
          </cell>
        </row>
        <row r="302">
          <cell r="B302" t="str">
            <v>Taxi drivers</v>
          </cell>
          <cell r="C302">
            <v>3.4606796042900928E-2</v>
          </cell>
        </row>
        <row r="303">
          <cell r="B303" t="str">
            <v>Mobile telephone providers</v>
          </cell>
          <cell r="C303">
            <v>3.5455272652455731E-2</v>
          </cell>
        </row>
        <row r="304">
          <cell r="B304" t="str">
            <v>Newspapers</v>
          </cell>
          <cell r="C304">
            <v>3.731959060654217E-2</v>
          </cell>
        </row>
        <row r="305">
          <cell r="B305" t="str">
            <v>Accountants</v>
          </cell>
          <cell r="C305">
            <v>3.9167875758210832E-2</v>
          </cell>
        </row>
        <row r="306">
          <cell r="B306" t="str">
            <v>Bankers</v>
          </cell>
          <cell r="C306">
            <v>3.9339209317973446E-2</v>
          </cell>
        </row>
        <row r="307">
          <cell r="B307" t="str">
            <v>Central Government employees</v>
          </cell>
          <cell r="C307">
            <v>5.2190668736540123E-2</v>
          </cell>
        </row>
        <row r="308">
          <cell r="B308" t="str">
            <v>Clergy members</v>
          </cell>
          <cell r="C308">
            <v>5.3867197180478221E-2</v>
          </cell>
        </row>
        <row r="309">
          <cell r="B309" t="str">
            <v>Local Government employees</v>
          </cell>
          <cell r="C309">
            <v>5.8131034056898082E-2</v>
          </cell>
        </row>
        <row r="310">
          <cell r="B310" t="str">
            <v>Lawyers</v>
          </cell>
          <cell r="C310">
            <v>6.6825222256649316E-2</v>
          </cell>
        </row>
        <row r="311">
          <cell r="B311" t="str">
            <v>Tow truck drivers</v>
          </cell>
          <cell r="C311">
            <v>6.9418989435447623E-2</v>
          </cell>
        </row>
        <row r="312">
          <cell r="B312" t="str">
            <v>Journalists</v>
          </cell>
          <cell r="C312">
            <v>7.6296382350842587E-2</v>
          </cell>
        </row>
        <row r="313">
          <cell r="B313" t="str">
            <v>New car salespeople</v>
          </cell>
          <cell r="C313">
            <v>9.6929695867708304E-2</v>
          </cell>
        </row>
        <row r="314">
          <cell r="B314" t="str">
            <v>Radio talkback hosts</v>
          </cell>
          <cell r="C314">
            <v>0.10985856918151192</v>
          </cell>
        </row>
        <row r="315">
          <cell r="B315" t="str">
            <v>Local councillors</v>
          </cell>
          <cell r="C315">
            <v>0.11252153786404649</v>
          </cell>
        </row>
        <row r="316">
          <cell r="B316" t="str">
            <v>Insurance companies</v>
          </cell>
          <cell r="C316">
            <v>0.11832906489803205</v>
          </cell>
        </row>
        <row r="317">
          <cell r="B317" t="str">
            <v>Insurance sales people</v>
          </cell>
          <cell r="C317">
            <v>0.1191134437231362</v>
          </cell>
        </row>
        <row r="318">
          <cell r="B318" t="str">
            <v>Real estate agents</v>
          </cell>
          <cell r="C318">
            <v>0.15517442515796431</v>
          </cell>
        </row>
        <row r="319">
          <cell r="B319" t="str">
            <v>Advertising agencies</v>
          </cell>
          <cell r="C319">
            <v>0.1665405490113834</v>
          </cell>
        </row>
        <row r="320">
          <cell r="B320" t="str">
            <v>Used car salespeople</v>
          </cell>
          <cell r="C320">
            <v>0.17968798352408949</v>
          </cell>
        </row>
        <row r="321">
          <cell r="B321" t="str">
            <v>Members of Parliament</v>
          </cell>
          <cell r="C321">
            <v>0.18212357670135446</v>
          </cell>
        </row>
        <row r="322">
          <cell r="B322" t="str">
            <v>Finance companies</v>
          </cell>
          <cell r="C322">
            <v>0.21646408689644786</v>
          </cell>
        </row>
        <row r="323">
          <cell r="B323" t="str">
            <v>Telemarketers</v>
          </cell>
          <cell r="C323">
            <v>0.24105149314254604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DataSurvey21 1 "/>
      <sheetName val="Analysis"/>
      <sheetName val="Sheet1"/>
      <sheetName val="Sheet2"/>
      <sheetName val="Sheet3"/>
      <sheetName val="Will or may vote"/>
    </sheetNames>
    <sheetDataSet>
      <sheetData sheetId="0" refreshError="1">
        <row r="4">
          <cell r="GR4">
            <v>63.505648898695227</v>
          </cell>
          <cell r="GS4">
            <v>2.6651134525300901</v>
          </cell>
          <cell r="GT4">
            <v>343.71656201407779</v>
          </cell>
          <cell r="GU4">
            <v>5.251843095932065</v>
          </cell>
          <cell r="GV4">
            <v>4.8950101973706097</v>
          </cell>
          <cell r="GW4">
            <v>269.74770142997363</v>
          </cell>
          <cell r="GX4">
            <v>7.3902093828878552</v>
          </cell>
          <cell r="GY4">
            <v>261.8620380594283</v>
          </cell>
          <cell r="GZ4">
            <v>439.3416160768636</v>
          </cell>
          <cell r="HA4">
            <v>20.734022416974092</v>
          </cell>
          <cell r="HB4">
            <v>5.5514537809253657</v>
          </cell>
          <cell r="HC4">
            <v>33.563512840485018</v>
          </cell>
          <cell r="HD4">
            <v>26.733493284322403</v>
          </cell>
          <cell r="HE4">
            <v>26.78998418416608</v>
          </cell>
          <cell r="HF4">
            <v>196.26712952957234</v>
          </cell>
          <cell r="HG4">
            <v>92.76253043162167</v>
          </cell>
          <cell r="HH4">
            <v>34.171757213324177</v>
          </cell>
          <cell r="HI4">
            <v>4.0855133473731033</v>
          </cell>
          <cell r="HJ4">
            <v>18.738779204837751</v>
          </cell>
          <cell r="HK4">
            <v>3.94115564695357</v>
          </cell>
          <cell r="HL4">
            <v>5.7074611462920881</v>
          </cell>
          <cell r="HM4">
            <v>4.0230720510243874</v>
          </cell>
          <cell r="HN4">
            <v>2.4104850256039332</v>
          </cell>
          <cell r="HO4">
            <v>6.5787703284786501</v>
          </cell>
          <cell r="HP4">
            <v>31.780217038862009</v>
          </cell>
          <cell r="HQ4">
            <v>4.1969938311370329</v>
          </cell>
          <cell r="HR4">
            <v>3.29919843248345</v>
          </cell>
          <cell r="HS4">
            <v>27.250285574005353</v>
          </cell>
          <cell r="HT4">
            <v>30.711370180138427</v>
          </cell>
          <cell r="HU4">
            <v>92.505785285353596</v>
          </cell>
          <cell r="HV4">
            <v>18.137181673797041</v>
          </cell>
          <cell r="HW4">
            <v>16.685600319460548</v>
          </cell>
          <cell r="HX4">
            <v>24.94667943752205</v>
          </cell>
          <cell r="HY4">
            <v>20.481148605125064</v>
          </cell>
          <cell r="HZ4">
            <v>35.478098335815027</v>
          </cell>
          <cell r="IA4">
            <v>47.640077555104774</v>
          </cell>
          <cell r="IB4">
            <v>113.36067913643321</v>
          </cell>
          <cell r="IC4">
            <v>609.3395502912748</v>
          </cell>
          <cell r="ID4">
            <v>439.06197259509531</v>
          </cell>
          <cell r="IE4">
            <v>747.77523730067026</v>
          </cell>
          <cell r="IF4">
            <v>0.47954366928495301</v>
          </cell>
          <cell r="IG4">
            <v>3.1642589270771353</v>
          </cell>
          <cell r="IH4">
            <v>107.37206749261837</v>
          </cell>
          <cell r="II4">
            <v>100.07502662616525</v>
          </cell>
          <cell r="IJ4">
            <v>97.638378802986864</v>
          </cell>
          <cell r="IK4">
            <v>116.66032263583593</v>
          </cell>
          <cell r="IL4">
            <v>117.00305649663611</v>
          </cell>
          <cell r="IM4">
            <v>160.43241780942981</v>
          </cell>
          <cell r="IN4">
            <v>148.99092239759864</v>
          </cell>
          <cell r="IO4">
            <v>229.96987321913011</v>
          </cell>
          <cell r="IP4">
            <v>262.42967774256721</v>
          </cell>
          <cell r="IQ4">
            <v>55.195747139626661</v>
          </cell>
          <cell r="IR4">
            <v>42.820981823335593</v>
          </cell>
          <cell r="IS4">
            <v>94.483411693639283</v>
          </cell>
          <cell r="IT4">
            <v>22.870137417276712</v>
          </cell>
          <cell r="IU4">
            <v>14.567518767660262</v>
          </cell>
          <cell r="IV4">
            <v>8.0880257225142529</v>
          </cell>
        </row>
        <row r="5">
          <cell r="GR5">
            <v>768.68956328257843</v>
          </cell>
          <cell r="GS5">
            <v>121.42249064876097</v>
          </cell>
          <cell r="GT5">
            <v>1260.2490313473188</v>
          </cell>
          <cell r="GU5">
            <v>188.68535572705164</v>
          </cell>
          <cell r="GV5">
            <v>272.14204619797675</v>
          </cell>
          <cell r="GW5">
            <v>1071.2317820408909</v>
          </cell>
          <cell r="GX5">
            <v>89.435287805547404</v>
          </cell>
          <cell r="GY5">
            <v>1080.2669062522741</v>
          </cell>
          <cell r="GZ5">
            <v>1358.5546472532776</v>
          </cell>
          <cell r="HA5">
            <v>255.9163932518442</v>
          </cell>
          <cell r="HB5">
            <v>257.07521941300672</v>
          </cell>
          <cell r="HC5">
            <v>662.34099589630091</v>
          </cell>
          <cell r="HD5">
            <v>660.77744257630809</v>
          </cell>
          <cell r="HE5">
            <v>670.55448938857444</v>
          </cell>
          <cell r="HF5">
            <v>1308.8194842775913</v>
          </cell>
          <cell r="HG5">
            <v>980.69165135576588</v>
          </cell>
          <cell r="HH5">
            <v>692.7025605443132</v>
          </cell>
          <cell r="HI5">
            <v>124.46156851448194</v>
          </cell>
          <cell r="HJ5">
            <v>517.40052090755592</v>
          </cell>
          <cell r="HK5">
            <v>58.974847909441173</v>
          </cell>
          <cell r="HL5">
            <v>151.35006523406929</v>
          </cell>
          <cell r="HM5">
            <v>416.61999189353338</v>
          </cell>
          <cell r="HN5">
            <v>310.55311060626656</v>
          </cell>
          <cell r="HO5">
            <v>402.56761429856891</v>
          </cell>
          <cell r="HP5">
            <v>713.21422276086832</v>
          </cell>
          <cell r="HQ5">
            <v>286.97333651116259</v>
          </cell>
          <cell r="HR5">
            <v>324.22902716839485</v>
          </cell>
          <cell r="HS5">
            <v>593.1083880012726</v>
          </cell>
          <cell r="HT5">
            <v>570.96800270552365</v>
          </cell>
          <cell r="HU5">
            <v>924.30826471851844</v>
          </cell>
          <cell r="HV5">
            <v>484.30801334627358</v>
          </cell>
          <cell r="HW5">
            <v>692.37366731153816</v>
          </cell>
          <cell r="HX5">
            <v>695.36131798227484</v>
          </cell>
          <cell r="HY5">
            <v>534.73082418225488</v>
          </cell>
          <cell r="HZ5">
            <v>815.93400302080818</v>
          </cell>
          <cell r="IA5">
            <v>793.07722551198026</v>
          </cell>
          <cell r="IB5">
            <v>766.25156396310229</v>
          </cell>
          <cell r="IC5">
            <v>1239.935729500048</v>
          </cell>
          <cell r="ID5">
            <v>1272.3223876676498</v>
          </cell>
          <cell r="IE5">
            <v>1138.086125925508</v>
          </cell>
          <cell r="IF5">
            <v>109.80827238250224</v>
          </cell>
          <cell r="IG5">
            <v>204.28645550393551</v>
          </cell>
          <cell r="IH5">
            <v>662.7045866783817</v>
          </cell>
          <cell r="II5">
            <v>921.94612005328588</v>
          </cell>
          <cell r="IJ5">
            <v>951.28395763089316</v>
          </cell>
          <cell r="IK5">
            <v>999.03417147414018</v>
          </cell>
          <cell r="IL5">
            <v>996.5427656262234</v>
          </cell>
          <cell r="IM5">
            <v>901.79700504228208</v>
          </cell>
          <cell r="IN5">
            <v>1018.9107366404446</v>
          </cell>
          <cell r="IO5">
            <v>1244.7640095002735</v>
          </cell>
          <cell r="IP5">
            <v>1105.3296815813649</v>
          </cell>
          <cell r="IQ5">
            <v>733.06289170914238</v>
          </cell>
          <cell r="IR5">
            <v>741.83760757604819</v>
          </cell>
          <cell r="IS5">
            <v>840.51954180723806</v>
          </cell>
          <cell r="IT5">
            <v>371.76195038843315</v>
          </cell>
          <cell r="IU5">
            <v>242.40358282535783</v>
          </cell>
          <cell r="IV5">
            <v>63.85960084657242</v>
          </cell>
        </row>
        <row r="6">
          <cell r="GR6">
            <v>829.6383980526341</v>
          </cell>
          <cell r="GS6">
            <v>647.59004456293837</v>
          </cell>
          <cell r="GT6">
            <v>338.4240253247163</v>
          </cell>
          <cell r="GU6">
            <v>744.51102362367237</v>
          </cell>
          <cell r="GV6">
            <v>943.36815718445735</v>
          </cell>
          <cell r="GW6">
            <v>509.02128817705773</v>
          </cell>
          <cell r="GX6">
            <v>864.3616497246353</v>
          </cell>
          <cell r="GY6">
            <v>571.64433719171825</v>
          </cell>
          <cell r="GZ6">
            <v>223.76196323929099</v>
          </cell>
          <cell r="HA6">
            <v>1114.0434790769802</v>
          </cell>
          <cell r="HB6">
            <v>1062.8176928841424</v>
          </cell>
          <cell r="HC6">
            <v>1058.6449233575618</v>
          </cell>
          <cell r="HD6">
            <v>1022.1096200285009</v>
          </cell>
          <cell r="HE6">
            <v>1094.4220939317372</v>
          </cell>
          <cell r="HF6">
            <v>376.1600894504212</v>
          </cell>
          <cell r="HG6">
            <v>609.22671253619046</v>
          </cell>
          <cell r="HH6">
            <v>917.21949588299117</v>
          </cell>
          <cell r="HI6">
            <v>823.23296958324352</v>
          </cell>
          <cell r="HJ6">
            <v>1120.3925524700358</v>
          </cell>
          <cell r="HK6">
            <v>756.83004951151497</v>
          </cell>
          <cell r="HL6">
            <v>970.67277679767017</v>
          </cell>
          <cell r="HM6">
            <v>1331.5723083060293</v>
          </cell>
          <cell r="HN6">
            <v>1250.2320576822694</v>
          </cell>
          <cell r="HO6">
            <v>1252.783921704003</v>
          </cell>
          <cell r="HP6">
            <v>1020.706108398948</v>
          </cell>
          <cell r="HQ6">
            <v>1215.4267277224071</v>
          </cell>
          <cell r="HR6">
            <v>1202.4507876665652</v>
          </cell>
          <cell r="HS6">
            <v>1036.943403710701</v>
          </cell>
          <cell r="HT6">
            <v>875.2901065535624</v>
          </cell>
          <cell r="HU6">
            <v>831.93663929627257</v>
          </cell>
          <cell r="HV6">
            <v>990.62601839216256</v>
          </cell>
          <cell r="HW6">
            <v>1040.6714127020123</v>
          </cell>
          <cell r="HX6">
            <v>985.7152988354951</v>
          </cell>
          <cell r="HY6">
            <v>1023.4400480060833</v>
          </cell>
          <cell r="HZ6">
            <v>971.09685513629859</v>
          </cell>
          <cell r="IA6">
            <v>1026.1396029600251</v>
          </cell>
          <cell r="IB6">
            <v>943.39366183376239</v>
          </cell>
          <cell r="IC6">
            <v>180.93306614807247</v>
          </cell>
          <cell r="ID6">
            <v>316.64377256253857</v>
          </cell>
          <cell r="IE6">
            <v>155.39280353912619</v>
          </cell>
          <cell r="IF6">
            <v>888.83840094506149</v>
          </cell>
          <cell r="IG6">
            <v>923.80192194465337</v>
          </cell>
          <cell r="IH6">
            <v>852.03595659063001</v>
          </cell>
          <cell r="II6">
            <v>860.81206835887338</v>
          </cell>
          <cell r="IJ6">
            <v>830.73483794048661</v>
          </cell>
          <cell r="IK6">
            <v>795.79039020070024</v>
          </cell>
          <cell r="IL6">
            <v>787.92474834287805</v>
          </cell>
          <cell r="IM6">
            <v>724.31766742492402</v>
          </cell>
          <cell r="IN6">
            <v>692.82537513083435</v>
          </cell>
          <cell r="IO6">
            <v>538.58601487137867</v>
          </cell>
          <cell r="IP6">
            <v>538.1381664768295</v>
          </cell>
          <cell r="IQ6">
            <v>920.0892913307971</v>
          </cell>
          <cell r="IR6">
            <v>994.17808905617073</v>
          </cell>
          <cell r="IS6">
            <v>907.69932242274683</v>
          </cell>
          <cell r="IT6">
            <v>1106.8284869807808</v>
          </cell>
          <cell r="IU6">
            <v>1054.4745804698941</v>
          </cell>
          <cell r="IV6">
            <v>678.23425158215673</v>
          </cell>
        </row>
        <row r="7">
          <cell r="GR7">
            <v>296.30539319338908</v>
          </cell>
          <cell r="GS7">
            <v>762.62332907208031</v>
          </cell>
          <cell r="GT7">
            <v>98.454734347261194</v>
          </cell>
          <cell r="GU7">
            <v>701.21588438429433</v>
          </cell>
          <cell r="GV7">
            <v>530.08060424692974</v>
          </cell>
          <cell r="GW7">
            <v>151.22655843122027</v>
          </cell>
          <cell r="GX7">
            <v>683.97983951835022</v>
          </cell>
          <cell r="GY7">
            <v>59.881082383897621</v>
          </cell>
          <cell r="GZ7">
            <v>13.225383388614976</v>
          </cell>
          <cell r="HA7">
            <v>338.73208962952407</v>
          </cell>
          <cell r="HB7">
            <v>554.87086334920525</v>
          </cell>
          <cell r="HC7">
            <v>228.73961862023577</v>
          </cell>
          <cell r="HD7">
            <v>270.64720934037467</v>
          </cell>
          <cell r="HE7">
            <v>202.23861190686944</v>
          </cell>
          <cell r="HF7">
            <v>125.83195499828931</v>
          </cell>
          <cell r="HG7">
            <v>259.57229600737611</v>
          </cell>
          <cell r="HH7">
            <v>272.66742076966</v>
          </cell>
          <cell r="HI7">
            <v>701.8853069935833</v>
          </cell>
          <cell r="HJ7">
            <v>242.07860095954189</v>
          </cell>
          <cell r="HK7">
            <v>744.89980121525002</v>
          </cell>
          <cell r="HL7">
            <v>557.29645870494949</v>
          </cell>
          <cell r="HM7">
            <v>232.01799166517779</v>
          </cell>
          <cell r="HN7">
            <v>297.34493177610227</v>
          </cell>
          <cell r="HO7">
            <v>229.10983905649402</v>
          </cell>
          <cell r="HP7">
            <v>105.10870273497865</v>
          </cell>
          <cell r="HQ7">
            <v>326.20862075119669</v>
          </cell>
          <cell r="HR7">
            <v>292.0432368408928</v>
          </cell>
          <cell r="HS7">
            <v>229.01015966633793</v>
          </cell>
          <cell r="HT7">
            <v>357.67817009963943</v>
          </cell>
          <cell r="HU7">
            <v>39.088462550664147</v>
          </cell>
          <cell r="HV7">
            <v>245.31337652638763</v>
          </cell>
          <cell r="HW7">
            <v>227.6144551807235</v>
          </cell>
          <cell r="HX7">
            <v>248.12567993060043</v>
          </cell>
          <cell r="HY7">
            <v>353.95113279414323</v>
          </cell>
          <cell r="HZ7">
            <v>188.63445975183029</v>
          </cell>
          <cell r="IA7">
            <v>148.11122253778464</v>
          </cell>
          <cell r="IB7">
            <v>112.61270660010845</v>
          </cell>
          <cell r="IC7">
            <v>10.948719629712999</v>
          </cell>
          <cell r="ID7">
            <v>8.9471706350472626</v>
          </cell>
          <cell r="IE7">
            <v>3.9391951408211789</v>
          </cell>
          <cell r="IF7">
            <v>754.88323930254285</v>
          </cell>
          <cell r="IG7">
            <v>641.49010809807203</v>
          </cell>
          <cell r="IH7">
            <v>203.94123120348135</v>
          </cell>
          <cell r="II7">
            <v>86.239843906446012</v>
          </cell>
          <cell r="IJ7">
            <v>88.15721590959528</v>
          </cell>
          <cell r="IK7">
            <v>71.066681066519976</v>
          </cell>
          <cell r="IL7">
            <v>53.908309709729394</v>
          </cell>
          <cell r="IM7">
            <v>180.05613615521759</v>
          </cell>
          <cell r="IN7">
            <v>137.43461501495977</v>
          </cell>
          <cell r="IO7">
            <v>27.632963828561522</v>
          </cell>
          <cell r="IP7">
            <v>33.840670588006226</v>
          </cell>
          <cell r="IQ7">
            <v>301.13263168888443</v>
          </cell>
          <cell r="IR7">
            <v>200.47417765997011</v>
          </cell>
          <cell r="IS7">
            <v>113.2988073000601</v>
          </cell>
          <cell r="IT7">
            <v>422.41620251582032</v>
          </cell>
          <cell r="IU7">
            <v>461.29820438134152</v>
          </cell>
          <cell r="IV7">
            <v>677.54837574761109</v>
          </cell>
        </row>
        <row r="8">
          <cell r="GR8">
            <v>88.565852103800083</v>
          </cell>
          <cell r="GS8">
            <v>487.33379847306344</v>
          </cell>
          <cell r="GT8">
            <v>28.429921328443562</v>
          </cell>
          <cell r="GU8">
            <v>410.02170705494439</v>
          </cell>
          <cell r="GV8">
            <v>253.32400050059422</v>
          </cell>
          <cell r="GW8">
            <v>71.549310712315958</v>
          </cell>
          <cell r="GX8">
            <v>374.93904653261296</v>
          </cell>
          <cell r="GY8">
            <v>43.133971816533588</v>
          </cell>
          <cell r="GZ8">
            <v>20.785532353252357</v>
          </cell>
          <cell r="HA8">
            <v>247.32875823255361</v>
          </cell>
          <cell r="HB8">
            <v>171.76893568759223</v>
          </cell>
          <cell r="HC8">
            <v>65.448299053556312</v>
          </cell>
          <cell r="HD8">
            <v>84.019007995752247</v>
          </cell>
          <cell r="HE8">
            <v>44.128839200183698</v>
          </cell>
          <cell r="HF8">
            <v>48.153143140194381</v>
          </cell>
          <cell r="HG8">
            <v>76.173341705193408</v>
          </cell>
          <cell r="HH8">
            <v>71.819907307611729</v>
          </cell>
          <cell r="HI8">
            <v>349.35006135350653</v>
          </cell>
          <cell r="HJ8">
            <v>69.028742769118708</v>
          </cell>
          <cell r="HK8">
            <v>404.53836387488411</v>
          </cell>
          <cell r="HL8">
            <v>218.22149599645317</v>
          </cell>
          <cell r="HM8">
            <v>51.45303824150124</v>
          </cell>
          <cell r="HN8">
            <v>72.698641067734798</v>
          </cell>
          <cell r="HO8">
            <v>53.184941490684238</v>
          </cell>
          <cell r="HP8">
            <v>57.330691146844764</v>
          </cell>
          <cell r="HQ8">
            <v>117.49882950512112</v>
          </cell>
          <cell r="HR8">
            <v>130.87259897142798</v>
          </cell>
          <cell r="HS8">
            <v>88.180122370604437</v>
          </cell>
          <cell r="HT8">
            <v>150.44615420071338</v>
          </cell>
          <cell r="HU8">
            <v>25.944918253746916</v>
          </cell>
          <cell r="HV8">
            <v>75.991436204200852</v>
          </cell>
          <cell r="HW8">
            <v>41.670194026377303</v>
          </cell>
          <cell r="HX8">
            <v>43.927289314400753</v>
          </cell>
          <cell r="HY8">
            <v>79.82179836549561</v>
          </cell>
          <cell r="HZ8">
            <v>50.53219337440197</v>
          </cell>
          <cell r="IA8">
            <v>29.888055818060412</v>
          </cell>
          <cell r="IB8">
            <v>30.414332205541914</v>
          </cell>
          <cell r="IC8">
            <v>4.0819513880320146</v>
          </cell>
          <cell r="ID8">
            <v>3.2431484679821141</v>
          </cell>
          <cell r="IE8">
            <v>4.8447458485416135</v>
          </cell>
          <cell r="IF8">
            <v>268.16460786205357</v>
          </cell>
          <cell r="IG8">
            <v>266.39870610088644</v>
          </cell>
          <cell r="IH8">
            <v>121.27326149772841</v>
          </cell>
          <cell r="II8">
            <v>22.911446545089053</v>
          </cell>
          <cell r="IJ8">
            <v>31.463825885729491</v>
          </cell>
          <cell r="IK8">
            <v>22.065373153531119</v>
          </cell>
          <cell r="IL8">
            <v>14.19371262030077</v>
          </cell>
          <cell r="IM8">
            <v>44.415304748181192</v>
          </cell>
          <cell r="IN8">
            <v>39.461876367635163</v>
          </cell>
          <cell r="IO8">
            <v>8.4105193541401437</v>
          </cell>
          <cell r="IP8">
            <v>13.757628657066897</v>
          </cell>
          <cell r="IQ8">
            <v>31.423777467796977</v>
          </cell>
          <cell r="IR8">
            <v>31.861537196721745</v>
          </cell>
          <cell r="IS8">
            <v>29.1234448137679</v>
          </cell>
          <cell r="IT8">
            <v>77.911590834175655</v>
          </cell>
          <cell r="IU8">
            <v>156.28560050204482</v>
          </cell>
          <cell r="IV8">
            <v>542.68835752397626</v>
          </cell>
        </row>
        <row r="9">
          <cell r="GR9">
            <v>53.180223156956281</v>
          </cell>
          <cell r="GS9">
            <v>80.826411937611141</v>
          </cell>
          <cell r="GT9">
            <v>23.40673665661366</v>
          </cell>
          <cell r="GU9">
            <v>51.848045824182222</v>
          </cell>
          <cell r="GV9">
            <v>91.950247139853914</v>
          </cell>
          <cell r="GW9">
            <v>26.588074423432275</v>
          </cell>
          <cell r="GX9">
            <v>72.181447491159545</v>
          </cell>
          <cell r="GY9">
            <v>83.285252232173832</v>
          </cell>
          <cell r="GZ9">
            <v>41.497582324151232</v>
          </cell>
          <cell r="HA9">
            <v>124.4038724015613</v>
          </cell>
          <cell r="HB9">
            <v>49.048879107080886</v>
          </cell>
          <cell r="HC9">
            <v>50.965645809957628</v>
          </cell>
          <cell r="HD9">
            <v>31.386604477970863</v>
          </cell>
          <cell r="HE9">
            <v>54.932364061190384</v>
          </cell>
          <cell r="HF9">
            <v>40.324966369094739</v>
          </cell>
          <cell r="HG9">
            <v>80.340359343349704</v>
          </cell>
          <cell r="HH9">
            <v>104.80353385504405</v>
          </cell>
          <cell r="HI9">
            <v>98.709037024521464</v>
          </cell>
          <cell r="HJ9">
            <v>131.3061363330755</v>
          </cell>
          <cell r="HK9">
            <v>121.73433679251175</v>
          </cell>
          <cell r="HL9">
            <v>194.76307304315804</v>
          </cell>
          <cell r="HM9">
            <v>63.940354036635426</v>
          </cell>
          <cell r="HN9">
            <v>161.61737450673954</v>
          </cell>
          <cell r="HO9">
            <v>151.15279120468631</v>
          </cell>
          <cell r="HP9">
            <v>163.31278951251511</v>
          </cell>
          <cell r="HQ9">
            <v>142.78145085880593</v>
          </cell>
          <cell r="HR9">
            <v>137.3095088214649</v>
          </cell>
          <cell r="HS9">
            <v>121.93635076424255</v>
          </cell>
          <cell r="HT9">
            <v>104.10043841705519</v>
          </cell>
          <cell r="HU9">
            <v>165.36207591496097</v>
          </cell>
          <cell r="HV9">
            <v>275.9333938677803</v>
          </cell>
          <cell r="HW9">
            <v>72.584161995855737</v>
          </cell>
          <cell r="HX9">
            <v>91.442170182292813</v>
          </cell>
          <cell r="HY9">
            <v>76.860009446381198</v>
          </cell>
          <cell r="HZ9">
            <v>26.438782116147319</v>
          </cell>
          <cell r="IA9">
            <v>42.961990360290756</v>
          </cell>
          <cell r="IB9">
            <v>114.97846355964248</v>
          </cell>
          <cell r="IC9">
            <v>32.954044621393884</v>
          </cell>
          <cell r="ID9">
            <v>45.769036343247336</v>
          </cell>
          <cell r="IE9">
            <v>27.626237422201129</v>
          </cell>
          <cell r="IF9">
            <v>77.35952553014755</v>
          </cell>
          <cell r="IG9">
            <v>60.82278585268223</v>
          </cell>
          <cell r="IH9">
            <v>153.71455661363984</v>
          </cell>
          <cell r="II9">
            <v>102.65163356377103</v>
          </cell>
          <cell r="IJ9">
            <v>99.987018899592528</v>
          </cell>
          <cell r="IK9">
            <v>89.547084717485532</v>
          </cell>
          <cell r="IL9">
            <v>118.93470103917777</v>
          </cell>
          <cell r="IM9">
            <v>75.119625600358134</v>
          </cell>
          <cell r="IN9">
            <v>57.463263483763214</v>
          </cell>
          <cell r="IO9">
            <v>42.501093670115822</v>
          </cell>
          <cell r="IP9">
            <v>142.76275904957978</v>
          </cell>
          <cell r="IQ9">
            <v>61.882572705010787</v>
          </cell>
          <cell r="IR9">
            <v>92.36540576489206</v>
          </cell>
          <cell r="IS9">
            <v>113.4517768357982</v>
          </cell>
          <cell r="IT9">
            <v>94.006505084628571</v>
          </cell>
          <cell r="IU9">
            <v>166.06177429199423</v>
          </cell>
          <cell r="IV9">
            <v>109.28196569137133</v>
          </cell>
        </row>
        <row r="10">
          <cell r="GR10">
            <v>151.45280123562353</v>
          </cell>
          <cell r="GS10">
            <v>148.8766917766921</v>
          </cell>
          <cell r="GT10">
            <v>158.65686890524472</v>
          </cell>
          <cell r="GU10">
            <v>149.80402021359924</v>
          </cell>
          <cell r="GV10">
            <v>155.57781445649465</v>
          </cell>
          <cell r="GW10">
            <v>151.97316470878636</v>
          </cell>
          <cell r="GX10">
            <v>159.05039946848296</v>
          </cell>
          <cell r="GY10">
            <v>151.26429198764984</v>
          </cell>
          <cell r="GZ10">
            <v>154.17115528822637</v>
          </cell>
          <cell r="HA10">
            <v>150.17926491423893</v>
          </cell>
          <cell r="HB10">
            <v>150.20483570172507</v>
          </cell>
          <cell r="HC10">
            <v>151.63488434557999</v>
          </cell>
          <cell r="HD10">
            <v>155.66450222044827</v>
          </cell>
          <cell r="HE10">
            <v>158.27149725095686</v>
          </cell>
          <cell r="HF10">
            <v>155.78111215851405</v>
          </cell>
          <cell r="HG10">
            <v>152.5709885441791</v>
          </cell>
          <cell r="HH10">
            <v>157.95320435073197</v>
          </cell>
          <cell r="HI10">
            <v>149.61342310696645</v>
          </cell>
          <cell r="HJ10">
            <v>152.39254727951237</v>
          </cell>
          <cell r="HK10">
            <v>160.41932497312044</v>
          </cell>
          <cell r="HL10">
            <v>153.3265490010844</v>
          </cell>
          <cell r="HM10">
            <v>151.71112372977603</v>
          </cell>
          <cell r="HN10">
            <v>156.48127925896117</v>
          </cell>
          <cell r="HO10">
            <v>155.96000184076246</v>
          </cell>
          <cell r="HP10">
            <v>159.88514833066009</v>
          </cell>
          <cell r="HQ10">
            <v>158.251920743846</v>
          </cell>
          <cell r="HR10">
            <v>161.13352202244727</v>
          </cell>
          <cell r="HS10">
            <v>154.90916983651448</v>
          </cell>
          <cell r="HT10">
            <v>162.14363776704488</v>
          </cell>
          <cell r="HU10">
            <v>172.1917339041606</v>
          </cell>
          <cell r="HV10">
            <v>161.02845991307578</v>
          </cell>
          <cell r="HW10">
            <v>159.73838838771039</v>
          </cell>
          <cell r="HX10">
            <v>161.81944424109145</v>
          </cell>
          <cell r="HY10">
            <v>162.05291852419415</v>
          </cell>
          <cell r="HZ10">
            <v>163.22348818837503</v>
          </cell>
          <cell r="IA10">
            <v>163.51970518043132</v>
          </cell>
          <cell r="IB10">
            <v>170.3264726250857</v>
          </cell>
          <cell r="IC10">
            <v>173.14481834514223</v>
          </cell>
          <cell r="ID10">
            <v>165.35039165211575</v>
          </cell>
          <cell r="IE10">
            <v>173.67353474680721</v>
          </cell>
          <cell r="IF10">
            <v>151.80429023208342</v>
          </cell>
          <cell r="IG10">
            <v>151.37364349636857</v>
          </cell>
          <cell r="IH10">
            <v>150.29621984719606</v>
          </cell>
          <cell r="II10">
            <v>156.70174087004611</v>
          </cell>
          <cell r="IJ10">
            <v>152.07264485439256</v>
          </cell>
          <cell r="IK10">
            <v>157.17385667546407</v>
          </cell>
          <cell r="IL10">
            <v>162.83058608873171</v>
          </cell>
          <cell r="IM10">
            <v>165.19972314328399</v>
          </cell>
          <cell r="IN10">
            <v>156.25109088844036</v>
          </cell>
          <cell r="IO10">
            <v>159.47340548007583</v>
          </cell>
          <cell r="IP10">
            <v>155.07929582826097</v>
          </cell>
          <cell r="IQ10">
            <v>148.55096788241778</v>
          </cell>
          <cell r="IR10">
            <v>147.80008084653815</v>
          </cell>
          <cell r="IS10">
            <v>152.76157505042548</v>
          </cell>
          <cell r="IT10">
            <v>155.54300670256146</v>
          </cell>
          <cell r="IU10">
            <v>156.24661868538459</v>
          </cell>
          <cell r="IV10">
            <v>171.63730280947439</v>
          </cell>
        </row>
        <row r="12">
          <cell r="GR12">
            <v>2251.3378799236766</v>
          </cell>
          <cell r="GS12">
            <v>2251.3378799236766</v>
          </cell>
          <cell r="GT12">
            <v>2251.3378799236762</v>
          </cell>
          <cell r="GU12">
            <v>2251.3378799236762</v>
          </cell>
          <cell r="GV12">
            <v>2251.3378799236775</v>
          </cell>
          <cell r="GW12">
            <v>2251.3378799236775</v>
          </cell>
          <cell r="GX12">
            <v>2251.3378799236762</v>
          </cell>
          <cell r="GY12">
            <v>2251.3378799236757</v>
          </cell>
          <cell r="GZ12">
            <v>2251.3378799236771</v>
          </cell>
          <cell r="HA12">
            <v>2251.3378799236766</v>
          </cell>
          <cell r="HB12">
            <v>2251.3378799236775</v>
          </cell>
          <cell r="HC12">
            <v>2251.3378799236771</v>
          </cell>
          <cell r="HD12">
            <v>2251.3378799236775</v>
          </cell>
          <cell r="HE12">
            <v>2251.3378799236784</v>
          </cell>
          <cell r="HF12">
            <v>2251.337879923678</v>
          </cell>
          <cell r="HG12">
            <v>2251.3378799236766</v>
          </cell>
          <cell r="HH12">
            <v>2251.3378799236762</v>
          </cell>
          <cell r="HI12">
            <v>2251.3378799236762</v>
          </cell>
          <cell r="HJ12">
            <v>2251.337879923678</v>
          </cell>
          <cell r="HK12">
            <v>2251.3378799236762</v>
          </cell>
          <cell r="HL12">
            <v>2251.3378799236766</v>
          </cell>
          <cell r="HM12">
            <v>2251.3378799236771</v>
          </cell>
          <cell r="HN12">
            <v>2251.3378799236775</v>
          </cell>
          <cell r="HO12">
            <v>2251.3378799236775</v>
          </cell>
          <cell r="HP12">
            <v>2251.3378799236775</v>
          </cell>
          <cell r="HQ12">
            <v>2251.3378799236762</v>
          </cell>
          <cell r="HR12">
            <v>2251.3378799236766</v>
          </cell>
          <cell r="HS12">
            <v>2251.3378799236789</v>
          </cell>
          <cell r="HT12">
            <v>2251.3378799236771</v>
          </cell>
          <cell r="HU12">
            <v>2251.3378799236771</v>
          </cell>
          <cell r="HV12">
            <v>2251.337879923678</v>
          </cell>
          <cell r="HW12">
            <v>2251.337879923678</v>
          </cell>
          <cell r="HX12">
            <v>2251.3378799236775</v>
          </cell>
          <cell r="HY12">
            <v>2251.3378799236771</v>
          </cell>
          <cell r="HZ12">
            <v>2251.3378799236762</v>
          </cell>
          <cell r="IA12">
            <v>2251.3378799236771</v>
          </cell>
          <cell r="IB12">
            <v>2251.3378799236766</v>
          </cell>
          <cell r="IC12">
            <v>2251.3378799236757</v>
          </cell>
          <cell r="ID12">
            <v>2251.3378799236762</v>
          </cell>
          <cell r="IE12">
            <v>2251.3378799236752</v>
          </cell>
          <cell r="IF12">
            <v>2251.3378799236762</v>
          </cell>
          <cell r="IG12">
            <v>2251.3378799236752</v>
          </cell>
          <cell r="IH12">
            <v>2251.3378799236752</v>
          </cell>
          <cell r="II12">
            <v>2251.3378799236766</v>
          </cell>
          <cell r="IJ12">
            <v>2251.3378799236762</v>
          </cell>
          <cell r="IK12">
            <v>2251.3378799236771</v>
          </cell>
          <cell r="IL12">
            <v>2251.3378799236775</v>
          </cell>
          <cell r="IM12">
            <v>2251.3378799236766</v>
          </cell>
          <cell r="IN12">
            <v>2251.3378799236762</v>
          </cell>
          <cell r="IO12">
            <v>2251.3378799236752</v>
          </cell>
          <cell r="IP12">
            <v>2251.3378799236757</v>
          </cell>
          <cell r="IQ12">
            <v>2251.3378799236762</v>
          </cell>
          <cell r="IR12">
            <v>2251.3378799236766</v>
          </cell>
          <cell r="IS12">
            <v>2251.3378799236762</v>
          </cell>
          <cell r="IT12">
            <v>2251.3378799236766</v>
          </cell>
          <cell r="IU12">
            <v>2251.3378799236775</v>
          </cell>
          <cell r="IV12">
            <v>2251.3378799236766</v>
          </cell>
        </row>
        <row r="13">
          <cell r="GR13">
            <v>2037</v>
          </cell>
          <cell r="GS13">
            <v>2037</v>
          </cell>
          <cell r="GT13">
            <v>2037</v>
          </cell>
          <cell r="GU13">
            <v>2037</v>
          </cell>
          <cell r="GV13">
            <v>2037</v>
          </cell>
          <cell r="GW13">
            <v>2037</v>
          </cell>
          <cell r="GX13">
            <v>2037</v>
          </cell>
          <cell r="GY13">
            <v>2037</v>
          </cell>
          <cell r="GZ13">
            <v>2037</v>
          </cell>
          <cell r="HA13">
            <v>2037</v>
          </cell>
          <cell r="HB13">
            <v>2037</v>
          </cell>
          <cell r="HC13">
            <v>2037</v>
          </cell>
          <cell r="HD13">
            <v>2037</v>
          </cell>
          <cell r="HE13">
            <v>2037</v>
          </cell>
          <cell r="HF13">
            <v>2037</v>
          </cell>
          <cell r="HG13">
            <v>2037</v>
          </cell>
          <cell r="HH13">
            <v>2037</v>
          </cell>
          <cell r="HI13">
            <v>2037</v>
          </cell>
          <cell r="HJ13">
            <v>2037</v>
          </cell>
          <cell r="HK13">
            <v>2037</v>
          </cell>
          <cell r="HL13">
            <v>2037</v>
          </cell>
          <cell r="HM13">
            <v>2037</v>
          </cell>
          <cell r="HN13">
            <v>2037</v>
          </cell>
          <cell r="HO13">
            <v>2037</v>
          </cell>
          <cell r="HP13">
            <v>2037</v>
          </cell>
          <cell r="HQ13">
            <v>2037</v>
          </cell>
          <cell r="HR13">
            <v>2037</v>
          </cell>
          <cell r="HS13">
            <v>2037</v>
          </cell>
          <cell r="HT13">
            <v>2037</v>
          </cell>
          <cell r="HU13">
            <v>2037</v>
          </cell>
          <cell r="HV13">
            <v>2037</v>
          </cell>
          <cell r="HW13">
            <v>2037</v>
          </cell>
          <cell r="HX13">
            <v>2037</v>
          </cell>
          <cell r="HY13">
            <v>2037</v>
          </cell>
          <cell r="HZ13">
            <v>2037</v>
          </cell>
          <cell r="IA13">
            <v>2037</v>
          </cell>
          <cell r="IB13">
            <v>2037</v>
          </cell>
          <cell r="IC13">
            <v>2037</v>
          </cell>
          <cell r="ID13">
            <v>2037</v>
          </cell>
          <cell r="IE13">
            <v>2037</v>
          </cell>
          <cell r="IF13">
            <v>2037</v>
          </cell>
          <cell r="IG13">
            <v>2037</v>
          </cell>
          <cell r="IH13">
            <v>2037</v>
          </cell>
          <cell r="II13">
            <v>2037</v>
          </cell>
          <cell r="IJ13">
            <v>2037</v>
          </cell>
          <cell r="IK13">
            <v>2037</v>
          </cell>
          <cell r="IL13">
            <v>2037</v>
          </cell>
          <cell r="IM13">
            <v>2037</v>
          </cell>
          <cell r="IN13">
            <v>2037</v>
          </cell>
          <cell r="IO13">
            <v>2037</v>
          </cell>
          <cell r="IP13">
            <v>2037</v>
          </cell>
          <cell r="IQ13">
            <v>2037</v>
          </cell>
          <cell r="IR13">
            <v>2037</v>
          </cell>
          <cell r="IS13">
            <v>2037</v>
          </cell>
          <cell r="IT13">
            <v>2037</v>
          </cell>
          <cell r="IU13">
            <v>2037</v>
          </cell>
          <cell r="IV13">
            <v>2037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92"/>
  <sheetViews>
    <sheetView tabSelected="1" workbookViewId="0">
      <selection sqref="A1:XFD1048576"/>
    </sheetView>
  </sheetViews>
  <sheetFormatPr defaultRowHeight="15" x14ac:dyDescent="0.25"/>
  <cols>
    <col min="1" max="1" width="12.140625" bestFit="1" customWidth="1"/>
    <col min="2" max="2" width="48.85546875" customWidth="1"/>
    <col min="257" max="257" width="12.140625" bestFit="1" customWidth="1"/>
    <col min="258" max="258" width="48.85546875" customWidth="1"/>
    <col min="513" max="513" width="12.140625" bestFit="1" customWidth="1"/>
    <col min="514" max="514" width="48.85546875" customWidth="1"/>
    <col min="769" max="769" width="12.140625" bestFit="1" customWidth="1"/>
    <col min="770" max="770" width="48.85546875" customWidth="1"/>
    <col min="1025" max="1025" width="12.140625" bestFit="1" customWidth="1"/>
    <col min="1026" max="1026" width="48.85546875" customWidth="1"/>
    <col min="1281" max="1281" width="12.140625" bestFit="1" customWidth="1"/>
    <col min="1282" max="1282" width="48.85546875" customWidth="1"/>
    <col min="1537" max="1537" width="12.140625" bestFit="1" customWidth="1"/>
    <col min="1538" max="1538" width="48.85546875" customWidth="1"/>
    <col min="1793" max="1793" width="12.140625" bestFit="1" customWidth="1"/>
    <col min="1794" max="1794" width="48.85546875" customWidth="1"/>
    <col min="2049" max="2049" width="12.140625" bestFit="1" customWidth="1"/>
    <col min="2050" max="2050" width="48.85546875" customWidth="1"/>
    <col min="2305" max="2305" width="12.140625" bestFit="1" customWidth="1"/>
    <col min="2306" max="2306" width="48.85546875" customWidth="1"/>
    <col min="2561" max="2561" width="12.140625" bestFit="1" customWidth="1"/>
    <col min="2562" max="2562" width="48.85546875" customWidth="1"/>
    <col min="2817" max="2817" width="12.140625" bestFit="1" customWidth="1"/>
    <col min="2818" max="2818" width="48.85546875" customWidth="1"/>
    <col min="3073" max="3073" width="12.140625" bestFit="1" customWidth="1"/>
    <col min="3074" max="3074" width="48.85546875" customWidth="1"/>
    <col min="3329" max="3329" width="12.140625" bestFit="1" customWidth="1"/>
    <col min="3330" max="3330" width="48.85546875" customWidth="1"/>
    <col min="3585" max="3585" width="12.140625" bestFit="1" customWidth="1"/>
    <col min="3586" max="3586" width="48.85546875" customWidth="1"/>
    <col min="3841" max="3841" width="12.140625" bestFit="1" customWidth="1"/>
    <col min="3842" max="3842" width="48.85546875" customWidth="1"/>
    <col min="4097" max="4097" width="12.140625" bestFit="1" customWidth="1"/>
    <col min="4098" max="4098" width="48.85546875" customWidth="1"/>
    <col min="4353" max="4353" width="12.140625" bestFit="1" customWidth="1"/>
    <col min="4354" max="4354" width="48.85546875" customWidth="1"/>
    <col min="4609" max="4609" width="12.140625" bestFit="1" customWidth="1"/>
    <col min="4610" max="4610" width="48.85546875" customWidth="1"/>
    <col min="4865" max="4865" width="12.140625" bestFit="1" customWidth="1"/>
    <col min="4866" max="4866" width="48.85546875" customWidth="1"/>
    <col min="5121" max="5121" width="12.140625" bestFit="1" customWidth="1"/>
    <col min="5122" max="5122" width="48.85546875" customWidth="1"/>
    <col min="5377" max="5377" width="12.140625" bestFit="1" customWidth="1"/>
    <col min="5378" max="5378" width="48.85546875" customWidth="1"/>
    <col min="5633" max="5633" width="12.140625" bestFit="1" customWidth="1"/>
    <col min="5634" max="5634" width="48.85546875" customWidth="1"/>
    <col min="5889" max="5889" width="12.140625" bestFit="1" customWidth="1"/>
    <col min="5890" max="5890" width="48.85546875" customWidth="1"/>
    <col min="6145" max="6145" width="12.140625" bestFit="1" customWidth="1"/>
    <col min="6146" max="6146" width="48.85546875" customWidth="1"/>
    <col min="6401" max="6401" width="12.140625" bestFit="1" customWidth="1"/>
    <col min="6402" max="6402" width="48.85546875" customWidth="1"/>
    <col min="6657" max="6657" width="12.140625" bestFit="1" customWidth="1"/>
    <col min="6658" max="6658" width="48.85546875" customWidth="1"/>
    <col min="6913" max="6913" width="12.140625" bestFit="1" customWidth="1"/>
    <col min="6914" max="6914" width="48.85546875" customWidth="1"/>
    <col min="7169" max="7169" width="12.140625" bestFit="1" customWidth="1"/>
    <col min="7170" max="7170" width="48.85546875" customWidth="1"/>
    <col min="7425" max="7425" width="12.140625" bestFit="1" customWidth="1"/>
    <col min="7426" max="7426" width="48.85546875" customWidth="1"/>
    <col min="7681" max="7681" width="12.140625" bestFit="1" customWidth="1"/>
    <col min="7682" max="7682" width="48.85546875" customWidth="1"/>
    <col min="7937" max="7937" width="12.140625" bestFit="1" customWidth="1"/>
    <col min="7938" max="7938" width="48.85546875" customWidth="1"/>
    <col min="8193" max="8193" width="12.140625" bestFit="1" customWidth="1"/>
    <col min="8194" max="8194" width="48.85546875" customWidth="1"/>
    <col min="8449" max="8449" width="12.140625" bestFit="1" customWidth="1"/>
    <col min="8450" max="8450" width="48.85546875" customWidth="1"/>
    <col min="8705" max="8705" width="12.140625" bestFit="1" customWidth="1"/>
    <col min="8706" max="8706" width="48.85546875" customWidth="1"/>
    <col min="8961" max="8961" width="12.140625" bestFit="1" customWidth="1"/>
    <col min="8962" max="8962" width="48.85546875" customWidth="1"/>
    <col min="9217" max="9217" width="12.140625" bestFit="1" customWidth="1"/>
    <col min="9218" max="9218" width="48.85546875" customWidth="1"/>
    <col min="9473" max="9473" width="12.140625" bestFit="1" customWidth="1"/>
    <col min="9474" max="9474" width="48.85546875" customWidth="1"/>
    <col min="9729" max="9729" width="12.140625" bestFit="1" customWidth="1"/>
    <col min="9730" max="9730" width="48.85546875" customWidth="1"/>
    <col min="9985" max="9985" width="12.140625" bestFit="1" customWidth="1"/>
    <col min="9986" max="9986" width="48.85546875" customWidth="1"/>
    <col min="10241" max="10241" width="12.140625" bestFit="1" customWidth="1"/>
    <col min="10242" max="10242" width="48.85546875" customWidth="1"/>
    <col min="10497" max="10497" width="12.140625" bestFit="1" customWidth="1"/>
    <col min="10498" max="10498" width="48.85546875" customWidth="1"/>
    <col min="10753" max="10753" width="12.140625" bestFit="1" customWidth="1"/>
    <col min="10754" max="10754" width="48.85546875" customWidth="1"/>
    <col min="11009" max="11009" width="12.140625" bestFit="1" customWidth="1"/>
    <col min="11010" max="11010" width="48.85546875" customWidth="1"/>
    <col min="11265" max="11265" width="12.140625" bestFit="1" customWidth="1"/>
    <col min="11266" max="11266" width="48.85546875" customWidth="1"/>
    <col min="11521" max="11521" width="12.140625" bestFit="1" customWidth="1"/>
    <col min="11522" max="11522" width="48.85546875" customWidth="1"/>
    <col min="11777" max="11777" width="12.140625" bestFit="1" customWidth="1"/>
    <col min="11778" max="11778" width="48.85546875" customWidth="1"/>
    <col min="12033" max="12033" width="12.140625" bestFit="1" customWidth="1"/>
    <col min="12034" max="12034" width="48.85546875" customWidth="1"/>
    <col min="12289" max="12289" width="12.140625" bestFit="1" customWidth="1"/>
    <col min="12290" max="12290" width="48.85546875" customWidth="1"/>
    <col min="12545" max="12545" width="12.140625" bestFit="1" customWidth="1"/>
    <col min="12546" max="12546" width="48.85546875" customWidth="1"/>
    <col min="12801" max="12801" width="12.140625" bestFit="1" customWidth="1"/>
    <col min="12802" max="12802" width="48.85546875" customWidth="1"/>
    <col min="13057" max="13057" width="12.140625" bestFit="1" customWidth="1"/>
    <col min="13058" max="13058" width="48.85546875" customWidth="1"/>
    <col min="13313" max="13313" width="12.140625" bestFit="1" customWidth="1"/>
    <col min="13314" max="13314" width="48.85546875" customWidth="1"/>
    <col min="13569" max="13569" width="12.140625" bestFit="1" customWidth="1"/>
    <col min="13570" max="13570" width="48.85546875" customWidth="1"/>
    <col min="13825" max="13825" width="12.140625" bestFit="1" customWidth="1"/>
    <col min="13826" max="13826" width="48.85546875" customWidth="1"/>
    <col min="14081" max="14081" width="12.140625" bestFit="1" customWidth="1"/>
    <col min="14082" max="14082" width="48.85546875" customWidth="1"/>
    <col min="14337" max="14337" width="12.140625" bestFit="1" customWidth="1"/>
    <col min="14338" max="14338" width="48.85546875" customWidth="1"/>
    <col min="14593" max="14593" width="12.140625" bestFit="1" customWidth="1"/>
    <col min="14594" max="14594" width="48.85546875" customWidth="1"/>
    <col min="14849" max="14849" width="12.140625" bestFit="1" customWidth="1"/>
    <col min="14850" max="14850" width="48.85546875" customWidth="1"/>
    <col min="15105" max="15105" width="12.140625" bestFit="1" customWidth="1"/>
    <col min="15106" max="15106" width="48.85546875" customWidth="1"/>
    <col min="15361" max="15361" width="12.140625" bestFit="1" customWidth="1"/>
    <col min="15362" max="15362" width="48.85546875" customWidth="1"/>
    <col min="15617" max="15617" width="12.140625" bestFit="1" customWidth="1"/>
    <col min="15618" max="15618" width="48.85546875" customWidth="1"/>
    <col min="15873" max="15873" width="12.140625" bestFit="1" customWidth="1"/>
    <col min="15874" max="15874" width="48.85546875" customWidth="1"/>
    <col min="16129" max="16129" width="12.140625" bestFit="1" customWidth="1"/>
    <col min="16130" max="16130" width="48.85546875" customWidth="1"/>
  </cols>
  <sheetData>
    <row r="1" spans="1:59" ht="21" x14ac:dyDescent="0.35">
      <c r="A1" s="1" t="s">
        <v>0</v>
      </c>
    </row>
    <row r="2" spans="1:59" x14ac:dyDescent="0.25">
      <c r="A2" s="2">
        <v>40544</v>
      </c>
    </row>
    <row r="4" spans="1:59" ht="45" x14ac:dyDescent="0.25"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  <c r="AL4" s="4" t="s">
        <v>37</v>
      </c>
      <c r="AM4" s="4" t="s">
        <v>38</v>
      </c>
      <c r="AN4" s="4" t="s">
        <v>39</v>
      </c>
      <c r="AO4" s="4" t="s">
        <v>40</v>
      </c>
      <c r="AP4" s="4" t="s">
        <v>41</v>
      </c>
      <c r="AQ4" s="4" t="s">
        <v>42</v>
      </c>
      <c r="AR4" s="4" t="s">
        <v>43</v>
      </c>
      <c r="AS4" s="4" t="s">
        <v>44</v>
      </c>
      <c r="AT4" s="4" t="s">
        <v>45</v>
      </c>
      <c r="AU4" s="4" t="s">
        <v>46</v>
      </c>
      <c r="AV4" s="4" t="s">
        <v>47</v>
      </c>
      <c r="AW4" s="4" t="s">
        <v>48</v>
      </c>
      <c r="AX4" s="4" t="s">
        <v>49</v>
      </c>
      <c r="AY4" s="4" t="s">
        <v>50</v>
      </c>
      <c r="AZ4" s="4" t="s">
        <v>51</v>
      </c>
      <c r="BA4" s="4" t="s">
        <v>52</v>
      </c>
      <c r="BB4" s="4" t="s">
        <v>53</v>
      </c>
      <c r="BC4" s="4" t="s">
        <v>54</v>
      </c>
      <c r="BD4" s="4" t="s">
        <v>55</v>
      </c>
      <c r="BE4" s="4" t="s">
        <v>56</v>
      </c>
      <c r="BF4" s="4" t="s">
        <v>57</v>
      </c>
      <c r="BG4" s="4" t="s">
        <v>58</v>
      </c>
    </row>
    <row r="5" spans="1:59" s="5" customFormat="1" ht="12.75" x14ac:dyDescent="0.2">
      <c r="B5" s="6"/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9"/>
    </row>
    <row r="6" spans="1:59" s="10" customFormat="1" ht="12.75" x14ac:dyDescent="0.25">
      <c r="B6" s="11" t="s">
        <v>59</v>
      </c>
      <c r="C6" s="12">
        <f>'[2]RawDataSurvey21 1 '!GR4/'[2]RawDataSurvey21 1 '!GR$12</f>
        <v>2.820796001568994E-2</v>
      </c>
      <c r="D6" s="13">
        <f>'[2]RawDataSurvey21 1 '!GS4/'[2]RawDataSurvey21 1 '!GS$12</f>
        <v>1.1837909699367031E-3</v>
      </c>
      <c r="E6" s="13">
        <f>'[2]RawDataSurvey21 1 '!GT4/'[2]RawDataSurvey21 1 '!GT$12</f>
        <v>0.15267213556844267</v>
      </c>
      <c r="F6" s="13">
        <f>'[2]RawDataSurvey21 1 '!GU4/'[2]RawDataSurvey21 1 '!GU$12</f>
        <v>2.332765393753385E-3</v>
      </c>
      <c r="G6" s="13">
        <f>'[2]RawDataSurvey21 1 '!GV4/'[2]RawDataSurvey21 1 '!GV$12</f>
        <v>2.1742672395031861E-3</v>
      </c>
      <c r="H6" s="13">
        <f>'[2]RawDataSurvey21 1 '!GW4/'[2]RawDataSurvey21 1 '!GW$12</f>
        <v>0.11981662274483576</v>
      </c>
      <c r="I6" s="13">
        <f>'[2]RawDataSurvey21 1 '!GX4/'[2]RawDataSurvey21 1 '!GX$12</f>
        <v>3.2825856344310231E-3</v>
      </c>
      <c r="J6" s="13">
        <f>'[2]RawDataSurvey21 1 '!GY4/'[2]RawDataSurvey21 1 '!GY$12</f>
        <v>0.11631396619520562</v>
      </c>
      <c r="K6" s="13">
        <f>'[2]RawDataSurvey21 1 '!GZ4/'[2]RawDataSurvey21 1 '!GZ$12</f>
        <v>0.1951469035344254</v>
      </c>
      <c r="L6" s="13">
        <f>'[2]RawDataSurvey21 1 '!HA4/'[2]RawDataSurvey21 1 '!HA$12</f>
        <v>9.2096448968721663E-3</v>
      </c>
      <c r="M6" s="13">
        <f>'[2]RawDataSurvey21 1 '!HB4/'[2]RawDataSurvey21 1 '!HB$12</f>
        <v>2.4658465663597172E-3</v>
      </c>
      <c r="N6" s="13">
        <f>'[2]RawDataSurvey21 1 '!HC4/'[2]RawDataSurvey21 1 '!HC$12</f>
        <v>1.4908252172980299E-2</v>
      </c>
      <c r="O6" s="13">
        <f>'[2]RawDataSurvey21 1 '!HD4/'[2]RawDataSurvey21 1 '!HD$12</f>
        <v>1.1874491840038108E-2</v>
      </c>
      <c r="P6" s="13">
        <f>'[2]RawDataSurvey21 1 '!HE4/'[2]RawDataSurvey21 1 '!HE$12</f>
        <v>1.1899583986511289E-2</v>
      </c>
      <c r="Q6" s="13">
        <f>'[2]RawDataSurvey21 1 '!HF4/'[2]RawDataSurvey21 1 '!HF$12</f>
        <v>8.7177998149360836E-2</v>
      </c>
      <c r="R6" s="13">
        <f>'[2]RawDataSurvey21 1 '!HG4/'[2]RawDataSurvey21 1 '!HG$12</f>
        <v>4.1203291277969546E-2</v>
      </c>
      <c r="S6" s="13">
        <f>'[2]RawDataSurvey21 1 '!HH4/'[2]RawDataSurvey21 1 '!HH$12</f>
        <v>1.517842235856781E-2</v>
      </c>
      <c r="T6" s="13">
        <f>'[2]RawDataSurvey21 1 '!HI4/'[2]RawDataSurvey21 1 '!HI$12</f>
        <v>1.8147046624168242E-3</v>
      </c>
      <c r="U6" s="13">
        <f>'[2]RawDataSurvey21 1 '!HJ4/'[2]RawDataSurvey21 1 '!HJ$12</f>
        <v>8.3233971106429442E-3</v>
      </c>
      <c r="V6" s="13">
        <f>'[2]RawDataSurvey21 1 '!HK4/'[2]RawDataSurvey21 1 '!HK$12</f>
        <v>1.7505838115632743E-3</v>
      </c>
      <c r="W6" s="13">
        <f>'[2]RawDataSurvey21 1 '!HL4/'[2]RawDataSurvey21 1 '!HL$12</f>
        <v>2.5351419692212431E-3</v>
      </c>
      <c r="X6" s="13">
        <f>'[2]RawDataSurvey21 1 '!HM4/'[2]RawDataSurvey21 1 '!HM$12</f>
        <v>1.7869694668668633E-3</v>
      </c>
      <c r="Y6" s="13">
        <f>'[2]RawDataSurvey21 1 '!HN4/'[2]RawDataSurvey21 1 '!HN$12</f>
        <v>1.0706900315139063E-3</v>
      </c>
      <c r="Z6" s="13">
        <f>'[2]RawDataSurvey21 1 '!HO4/'[2]RawDataSurvey21 1 '!HO$12</f>
        <v>2.9221603683502527E-3</v>
      </c>
      <c r="AA6" s="13">
        <f>'[2]RawDataSurvey21 1 '!HP4/'[2]RawDataSurvey21 1 '!HP$12</f>
        <v>1.4116147257265262E-2</v>
      </c>
      <c r="AB6" s="13">
        <f>'[2]RawDataSurvey21 1 '!HQ4/'[2]RawDataSurvey21 1 '!HQ$12</f>
        <v>1.8642221003625265E-3</v>
      </c>
      <c r="AC6" s="13">
        <f>'[2]RawDataSurvey21 1 '!HR4/'[2]RawDataSurvey21 1 '!HR$12</f>
        <v>1.4654390448915191E-3</v>
      </c>
      <c r="AD6" s="13">
        <f>'[2]RawDataSurvey21 1 '!HS4/'[2]RawDataSurvey21 1 '!HS$12</f>
        <v>1.2104040809249452E-2</v>
      </c>
      <c r="AE6" s="13">
        <f>'[2]RawDataSurvey21 1 '!HT4/'[2]RawDataSurvey21 1 '!HT$12</f>
        <v>1.3641386507999224E-2</v>
      </c>
      <c r="AF6" s="13">
        <f>'[2]RawDataSurvey21 1 '!HU4/'[2]RawDataSurvey21 1 '!HU$12</f>
        <v>4.1089250134453227E-2</v>
      </c>
      <c r="AG6" s="13">
        <f>'[2]RawDataSurvey21 1 '!HV4/'[2]RawDataSurvey21 1 '!HV$12</f>
        <v>8.0561793214317095E-3</v>
      </c>
      <c r="AH6" s="13">
        <f>'[2]RawDataSurvey21 1 '!HW4/'[2]RawDataSurvey21 1 '!HW$12</f>
        <v>7.4114154380177715E-3</v>
      </c>
      <c r="AI6" s="13">
        <f>'[2]RawDataSurvey21 1 '!HX4/'[2]RawDataSurvey21 1 '!HX$12</f>
        <v>1.1080824277859069E-2</v>
      </c>
      <c r="AJ6" s="13">
        <f>'[2]RawDataSurvey21 1 '!HY4/'[2]RawDataSurvey21 1 '!HY$12</f>
        <v>9.0973233239514447E-3</v>
      </c>
      <c r="AK6" s="13">
        <f>'[2]RawDataSurvey21 1 '!HZ4/'[2]RawDataSurvey21 1 '!HZ$12</f>
        <v>1.5758673388029071E-2</v>
      </c>
      <c r="AL6" s="13">
        <f>'[2]RawDataSurvey21 1 '!IA4/'[2]RawDataSurvey21 1 '!IA$12</f>
        <v>2.1160785317892766E-2</v>
      </c>
      <c r="AM6" s="13">
        <f>'[2]RawDataSurvey21 1 '!IB4/'[2]RawDataSurvey21 1 '!IB$12</f>
        <v>5.0352583744682641E-2</v>
      </c>
      <c r="AN6" s="13">
        <f>'[2]RawDataSurvey21 1 '!IC4/'[2]RawDataSurvey21 1 '!IC$12</f>
        <v>0.27065664186840427</v>
      </c>
      <c r="AO6" s="13">
        <f>'[2]RawDataSurvey21 1 '!ID4/'[2]RawDataSurvey21 1 '!ID$12</f>
        <v>0.19502269140071513</v>
      </c>
      <c r="AP6" s="13">
        <f>'[2]RawDataSurvey21 1 '!IE4/'[2]RawDataSurvey21 1 '!IE$12</f>
        <v>0.33214705085760887</v>
      </c>
      <c r="AQ6" s="13">
        <f>'[2]RawDataSurvey21 1 '!IF4/'[2]RawDataSurvey21 1 '!IF$12</f>
        <v>2.1300386475139407E-4</v>
      </c>
      <c r="AR6" s="13">
        <f>'[2]RawDataSurvey21 1 '!IG4/'[2]RawDataSurvey21 1 '!IG$12</f>
        <v>1.4055015709967132E-3</v>
      </c>
      <c r="AS6" s="13">
        <f>'[2]RawDataSurvey21 1 '!IH4/'[2]RawDataSurvey21 1 '!IH$12</f>
        <v>4.7692560254997574E-2</v>
      </c>
      <c r="AT6" s="13">
        <f>'[2]RawDataSurvey21 1 '!II4/'[2]RawDataSurvey21 1 '!II$12</f>
        <v>4.445135824284089E-2</v>
      </c>
      <c r="AU6" s="13">
        <f>'[2]RawDataSurvey21 1 '!IJ4/'[2]RawDataSurvey21 1 '!IJ$12</f>
        <v>4.3369047211295073E-2</v>
      </c>
      <c r="AV6" s="13">
        <f>'[2]RawDataSurvey21 1 '!IK4/'[2]RawDataSurvey21 1 '!IK$12</f>
        <v>5.1818220479544742E-2</v>
      </c>
      <c r="AW6" s="13">
        <f>'[2]RawDataSurvey21 1 '!IL4/'[2]RawDataSurvey21 1 '!IL$12</f>
        <v>5.197045611856476E-2</v>
      </c>
      <c r="AX6" s="13">
        <f>'[2]RawDataSurvey21 1 '!IM4/'[2]RawDataSurvey21 1 '!IM$12</f>
        <v>7.1260924110986251E-2</v>
      </c>
      <c r="AY6" s="13">
        <f>'[2]RawDataSurvey21 1 '!IN4/'[2]RawDataSurvey21 1 '!IN$12</f>
        <v>6.6178836915696398E-2</v>
      </c>
      <c r="AZ6" s="13">
        <f>'[2]RawDataSurvey21 1 '!IO4/'[2]RawDataSurvey21 1 '!IO$12</f>
        <v>0.1021480939266773</v>
      </c>
      <c r="BA6" s="13">
        <f>'[2]RawDataSurvey21 1 '!IP4/'[2]RawDataSurvey21 1 '!IP$12</f>
        <v>0.11656610057636663</v>
      </c>
      <c r="BB6" s="13">
        <f>'[2]RawDataSurvey21 1 '!IQ4/'[2]RawDataSurvey21 1 '!IQ$12</f>
        <v>2.4516865119107702E-2</v>
      </c>
      <c r="BC6" s="13">
        <f>'[2]RawDataSurvey21 1 '!IR4/'[2]RawDataSurvey21 1 '!IR$12</f>
        <v>1.9020237790689721E-2</v>
      </c>
      <c r="BD6" s="13">
        <f>'[2]RawDataSurvey21 1 '!IS4/'[2]RawDataSurvey21 1 '!IS$12</f>
        <v>4.1967672882953673E-2</v>
      </c>
      <c r="BE6" s="13">
        <f>'[2]RawDataSurvey21 1 '!IT4/'[2]RawDataSurvey21 1 '!IT$12</f>
        <v>1.0158465160303722E-2</v>
      </c>
      <c r="BF6" s="13">
        <f>'[2]RawDataSurvey21 1 '!IU4/'[2]RawDataSurvey21 1 '!IU$12</f>
        <v>6.4706052776734319E-3</v>
      </c>
      <c r="BG6" s="14">
        <f>'[2]RawDataSurvey21 1 '!IV4/'[2]RawDataSurvey21 1 '!IV$12</f>
        <v>3.5925419256875152E-3</v>
      </c>
    </row>
    <row r="7" spans="1:59" s="10" customFormat="1" ht="12.75" x14ac:dyDescent="0.25">
      <c r="B7" s="11" t="s">
        <v>1</v>
      </c>
      <c r="C7" s="12">
        <f>'[2]RawDataSurvey21 1 '!GR5/'[2]RawDataSurvey21 1 '!GR$12</f>
        <v>0.34143678305125752</v>
      </c>
      <c r="D7" s="13">
        <f>'[2]RawDataSurvey21 1 '!GS5/'[2]RawDataSurvey21 1 '!GS$12</f>
        <v>5.3933481833867314E-2</v>
      </c>
      <c r="E7" s="13">
        <f>'[2]RawDataSurvey21 1 '!GT5/'[2]RawDataSurvey21 1 '!GT$12</f>
        <v>0.55977782925681652</v>
      </c>
      <c r="F7" s="13">
        <f>'[2]RawDataSurvey21 1 '!GU5/'[2]RawDataSurvey21 1 '!GU$12</f>
        <v>8.381032336800924E-2</v>
      </c>
      <c r="G7" s="13">
        <f>'[2]RawDataSurvey21 1 '!GV5/'[2]RawDataSurvey21 1 '!GV$12</f>
        <v>0.1208801435914198</v>
      </c>
      <c r="H7" s="13">
        <f>'[2]RawDataSurvey21 1 '!GW5/'[2]RawDataSurvey21 1 '!GW$12</f>
        <v>0.47582008528955533</v>
      </c>
      <c r="I7" s="13">
        <f>'[2]RawDataSurvey21 1 '!GX5/'[2]RawDataSurvey21 1 '!GX$12</f>
        <v>3.9725395553944748E-2</v>
      </c>
      <c r="J7" s="13">
        <f>'[2]RawDataSurvey21 1 '!GY5/'[2]RawDataSurvey21 1 '!GY$12</f>
        <v>0.47983330973354255</v>
      </c>
      <c r="K7" s="13">
        <f>'[2]RawDataSurvey21 1 '!GZ5/'[2]RawDataSurvey21 1 '!GZ$12</f>
        <v>0.6034432500639727</v>
      </c>
      <c r="L7" s="13">
        <f>'[2]RawDataSurvey21 1 '!HA5/'[2]RawDataSurvey21 1 '!HA$12</f>
        <v>0.11367302772896981</v>
      </c>
      <c r="M7" s="13">
        <f>'[2]RawDataSurvey21 1 '!HB5/'[2]RawDataSurvey21 1 '!HB$12</f>
        <v>0.11418775551438855</v>
      </c>
      <c r="N7" s="13">
        <f>'[2]RawDataSurvey21 1 '!HC5/'[2]RawDataSurvey21 1 '!HC$12</f>
        <v>0.29419884141013741</v>
      </c>
      <c r="O7" s="13">
        <f>'[2]RawDataSurvey21 1 '!HD5/'[2]RawDataSurvey21 1 '!HD$12</f>
        <v>0.29350434178218909</v>
      </c>
      <c r="P7" s="13">
        <f>'[2]RawDataSurvey21 1 '!HE5/'[2]RawDataSurvey21 1 '!HE$12</f>
        <v>0.29784711365106448</v>
      </c>
      <c r="Q7" s="13">
        <f>'[2]RawDataSurvey21 1 '!HF5/'[2]RawDataSurvey21 1 '!HF$12</f>
        <v>0.5813518690148638</v>
      </c>
      <c r="R7" s="13">
        <f>'[2]RawDataSurvey21 1 '!HG5/'[2]RawDataSurvey21 1 '!HG$12</f>
        <v>0.4356039402619622</v>
      </c>
      <c r="S7" s="13">
        <f>'[2]RawDataSurvey21 1 '!HH5/'[2]RawDataSurvey21 1 '!HH$12</f>
        <v>0.30768485118182121</v>
      </c>
      <c r="T7" s="13">
        <f>'[2]RawDataSurvey21 1 '!HI5/'[2]RawDataSurvey21 1 '!HI$12</f>
        <v>5.5283380439857116E-2</v>
      </c>
      <c r="U7" s="13">
        <f>'[2]RawDataSurvey21 1 '!HJ5/'[2]RawDataSurvey21 1 '!HJ$12</f>
        <v>0.22981913355675257</v>
      </c>
      <c r="V7" s="13">
        <f>'[2]RawDataSurvey21 1 '!HK5/'[2]RawDataSurvey21 1 '!HK$12</f>
        <v>2.6195467342041309E-2</v>
      </c>
      <c r="W7" s="13">
        <f>'[2]RawDataSurvey21 1 '!HL5/'[2]RawDataSurvey21 1 '!HL$12</f>
        <v>6.7226721756753927E-2</v>
      </c>
      <c r="X7" s="13">
        <f>'[2]RawDataSurvey21 1 '!HM5/'[2]RawDataSurvey21 1 '!HM$12</f>
        <v>0.18505440503122406</v>
      </c>
      <c r="Y7" s="13">
        <f>'[2]RawDataSurvey21 1 '!HN5/'[2]RawDataSurvey21 1 '!HN$12</f>
        <v>0.13794158281421295</v>
      </c>
      <c r="Z7" s="13">
        <f>'[2]RawDataSurvey21 1 '!HO5/'[2]RawDataSurvey21 1 '!HO$12</f>
        <v>0.1788126153290755</v>
      </c>
      <c r="AA7" s="13">
        <f>'[2]RawDataSurvey21 1 '!HP5/'[2]RawDataSurvey21 1 '!HP$12</f>
        <v>0.31679572805173384</v>
      </c>
      <c r="AB7" s="13">
        <f>'[2]RawDataSurvey21 1 '!HQ5/'[2]RawDataSurvey21 1 '!HQ$12</f>
        <v>0.12746791100094287</v>
      </c>
      <c r="AC7" s="13">
        <f>'[2]RawDataSurvey21 1 '!HR5/'[2]RawDataSurvey21 1 '!HR$12</f>
        <v>0.14401615593097322</v>
      </c>
      <c r="AD7" s="13">
        <f>'[2]RawDataSurvey21 1 '!HS5/'[2]RawDataSurvey21 1 '!HS$12</f>
        <v>0.26344707886378171</v>
      </c>
      <c r="AE7" s="13">
        <f>'[2]RawDataSurvey21 1 '!HT5/'[2]RawDataSurvey21 1 '!HT$12</f>
        <v>0.25361275524084376</v>
      </c>
      <c r="AF7" s="13">
        <f>'[2]RawDataSurvey21 1 '!HU5/'[2]RawDataSurvey21 1 '!HU$12</f>
        <v>0.4105595490401705</v>
      </c>
      <c r="AG7" s="13">
        <f>'[2]RawDataSurvey21 1 '!HV5/'[2]RawDataSurvey21 1 '!HV$12</f>
        <v>0.21512009266360854</v>
      </c>
      <c r="AH7" s="13">
        <f>'[2]RawDataSurvey21 1 '!HW5/'[2]RawDataSurvey21 1 '!HW$12</f>
        <v>0.30753876327750951</v>
      </c>
      <c r="AI7" s="13">
        <f>'[2]RawDataSurvey21 1 '!HX5/'[2]RawDataSurvey21 1 '!HX$12</f>
        <v>0.30886581893511617</v>
      </c>
      <c r="AJ7" s="13">
        <f>'[2]RawDataSurvey21 1 '!HY5/'[2]RawDataSurvey21 1 '!HY$12</f>
        <v>0.23751691336547975</v>
      </c>
      <c r="AK7" s="13">
        <f>'[2]RawDataSurvey21 1 '!HZ5/'[2]RawDataSurvey21 1 '!HZ$12</f>
        <v>0.36242183383352017</v>
      </c>
      <c r="AL7" s="13">
        <f>'[2]RawDataSurvey21 1 '!IA5/'[2]RawDataSurvey21 1 '!IA$12</f>
        <v>0.35226930288174535</v>
      </c>
      <c r="AM7" s="13">
        <f>'[2]RawDataSurvey21 1 '!IB5/'[2]RawDataSurvey21 1 '!IB$12</f>
        <v>0.34035387171164161</v>
      </c>
      <c r="AN7" s="13">
        <f>'[2]RawDataSurvey21 1 '!IC5/'[2]RawDataSurvey21 1 '!IC$12</f>
        <v>0.55075506016097586</v>
      </c>
      <c r="AO7" s="13">
        <f>'[2]RawDataSurvey21 1 '!ID5/'[2]RawDataSurvey21 1 '!ID$12</f>
        <v>0.56514057663827144</v>
      </c>
      <c r="AP7" s="13">
        <f>'[2]RawDataSurvey21 1 '!IE5/'[2]RawDataSurvey21 1 '!IE$12</f>
        <v>0.50551546974552364</v>
      </c>
      <c r="AQ7" s="13">
        <f>'[2]RawDataSurvey21 1 '!IF5/'[2]RawDataSurvey21 1 '!IF$12</f>
        <v>4.8774674544286932E-2</v>
      </c>
      <c r="AR7" s="13">
        <f>'[2]RawDataSurvey21 1 '!IG5/'[2]RawDataSurvey21 1 '!IG$12</f>
        <v>9.074002499831843E-2</v>
      </c>
      <c r="AS7" s="13">
        <f>'[2]RawDataSurvey21 1 '!IH5/'[2]RawDataSurvey21 1 '!IH$12</f>
        <v>0.29436034128331223</v>
      </c>
      <c r="AT7" s="13">
        <f>'[2]RawDataSurvey21 1 '!II5/'[2]RawDataSurvey21 1 '!II$12</f>
        <v>0.40951033084582628</v>
      </c>
      <c r="AU7" s="13">
        <f>'[2]RawDataSurvey21 1 '!IJ5/'[2]RawDataSurvey21 1 '!IJ$12</f>
        <v>0.4225416211906598</v>
      </c>
      <c r="AV7" s="13">
        <f>'[2]RawDataSurvey21 1 '!IK5/'[2]RawDataSurvey21 1 '!IK$12</f>
        <v>0.44375132688124475</v>
      </c>
      <c r="AW7" s="13">
        <f>'[2]RawDataSurvey21 1 '!IL5/'[2]RawDataSurvey21 1 '!IL$12</f>
        <v>0.44264469341225987</v>
      </c>
      <c r="AX7" s="13">
        <f>'[2]RawDataSurvey21 1 '!IM5/'[2]RawDataSurvey21 1 '!IM$12</f>
        <v>0.40056049031292196</v>
      </c>
      <c r="AY7" s="13">
        <f>'[2]RawDataSurvey21 1 '!IN5/'[2]RawDataSurvey21 1 '!IN$12</f>
        <v>0.45258010613448535</v>
      </c>
      <c r="AZ7" s="13">
        <f>'[2]RawDataSurvey21 1 '!IO5/'[2]RawDataSurvey21 1 '!IO$12</f>
        <v>0.55289968715956284</v>
      </c>
      <c r="BA7" s="13">
        <f>'[2]RawDataSurvey21 1 '!IP5/'[2]RawDataSurvey21 1 '!IP$12</f>
        <v>0.49096570152270413</v>
      </c>
      <c r="BB7" s="13">
        <f>'[2]RawDataSurvey21 1 '!IQ5/'[2]RawDataSurvey21 1 '!IQ$12</f>
        <v>0.32561211635367426</v>
      </c>
      <c r="BC7" s="13">
        <f>'[2]RawDataSurvey21 1 '!IR5/'[2]RawDataSurvey21 1 '!IR$12</f>
        <v>0.32950967253355923</v>
      </c>
      <c r="BD7" s="13">
        <f>'[2]RawDataSurvey21 1 '!IS5/'[2]RawDataSurvey21 1 '!IS$12</f>
        <v>0.37334224653819309</v>
      </c>
      <c r="BE7" s="13">
        <f>'[2]RawDataSurvey21 1 '!IT5/'[2]RawDataSurvey21 1 '!IT$12</f>
        <v>0.16512934540107163</v>
      </c>
      <c r="BF7" s="13">
        <f>'[2]RawDataSurvey21 1 '!IU5/'[2]RawDataSurvey21 1 '!IU$12</f>
        <v>0.1076709031491868</v>
      </c>
      <c r="BG7" s="14">
        <f>'[2]RawDataSurvey21 1 '!IV5/'[2]RawDataSurvey21 1 '!IV$12</f>
        <v>2.8365178508317618E-2</v>
      </c>
    </row>
    <row r="8" spans="1:59" s="10" customFormat="1" ht="12.75" x14ac:dyDescent="0.25">
      <c r="B8" s="11" t="s">
        <v>60</v>
      </c>
      <c r="C8" s="12">
        <f>'[2]RawDataSurvey21 1 '!GR6/'[2]RawDataSurvey21 1 '!GR$12</f>
        <v>0.36850905652631755</v>
      </c>
      <c r="D8" s="13">
        <f>'[2]RawDataSurvey21 1 '!GS6/'[2]RawDataSurvey21 1 '!GS$12</f>
        <v>0.28764675899509695</v>
      </c>
      <c r="E8" s="13">
        <f>'[2]RawDataSurvey21 1 '!GT6/'[2]RawDataSurvey21 1 '!GT$12</f>
        <v>0.15032129488097512</v>
      </c>
      <c r="F8" s="13">
        <f>'[2]RawDataSurvey21 1 '!GU6/'[2]RawDataSurvey21 1 '!GU$12</f>
        <v>0.33069715135291572</v>
      </c>
      <c r="G8" s="13">
        <f>'[2]RawDataSurvey21 1 '!GV6/'[2]RawDataSurvey21 1 '!GV$12</f>
        <v>0.4190255783447478</v>
      </c>
      <c r="H8" s="13">
        <f>'[2]RawDataSurvey21 1 '!GW6/'[2]RawDataSurvey21 1 '!GW$12</f>
        <v>0.22609724320647687</v>
      </c>
      <c r="I8" s="13">
        <f>'[2]RawDataSurvey21 1 '!GX6/'[2]RawDataSurvey21 1 '!GX$12</f>
        <v>0.38393244187493458</v>
      </c>
      <c r="J8" s="13">
        <f>'[2]RawDataSurvey21 1 '!GY6/'[2]RawDataSurvey21 1 '!GY$12</f>
        <v>0.25391316971537742</v>
      </c>
      <c r="K8" s="13">
        <f>'[2]RawDataSurvey21 1 '!GZ6/'[2]RawDataSurvey21 1 '!GZ$12</f>
        <v>9.939066242996665E-2</v>
      </c>
      <c r="L8" s="13">
        <f>'[2]RawDataSurvey21 1 '!HA6/'[2]RawDataSurvey21 1 '!HA$12</f>
        <v>0.49483619896039233</v>
      </c>
      <c r="M8" s="13">
        <f>'[2]RawDataSurvey21 1 '!HB6/'[2]RawDataSurvey21 1 '!HB$12</f>
        <v>0.47208271240040295</v>
      </c>
      <c r="N8" s="13">
        <f>'[2]RawDataSurvey21 1 '!HC6/'[2]RawDataSurvey21 1 '!HC$12</f>
        <v>0.4702292502596061</v>
      </c>
      <c r="O8" s="13">
        <f>'[2]RawDataSurvey21 1 '!HD6/'[2]RawDataSurvey21 1 '!HD$12</f>
        <v>0.45400098720994797</v>
      </c>
      <c r="P8" s="13">
        <f>'[2]RawDataSurvey21 1 '!HE6/'[2]RawDataSurvey21 1 '!HE$12</f>
        <v>0.48612076565283868</v>
      </c>
      <c r="Q8" s="13">
        <f>'[2]RawDataSurvey21 1 '!HF6/'[2]RawDataSurvey21 1 '!HF$12</f>
        <v>0.16708291225623287</v>
      </c>
      <c r="R8" s="13">
        <f>'[2]RawDataSurvey21 1 '!HG6/'[2]RawDataSurvey21 1 '!HG$12</f>
        <v>0.27060652155723691</v>
      </c>
      <c r="S8" s="13">
        <f>'[2]RawDataSurvey21 1 '!HH6/'[2]RawDataSurvey21 1 '!HH$12</f>
        <v>0.40741085736721416</v>
      </c>
      <c r="T8" s="13">
        <f>'[2]RawDataSurvey21 1 '!HI6/'[2]RawDataSurvey21 1 '!HI$12</f>
        <v>0.36566389120195159</v>
      </c>
      <c r="U8" s="13">
        <f>'[2]RawDataSurvey21 1 '!HJ6/'[2]RawDataSurvey21 1 '!HJ$12</f>
        <v>0.49765633246841556</v>
      </c>
      <c r="V8" s="13">
        <f>'[2]RawDataSurvey21 1 '!HK6/'[2]RawDataSurvey21 1 '!HK$12</f>
        <v>0.33616902032367202</v>
      </c>
      <c r="W8" s="13">
        <f>'[2]RawDataSurvey21 1 '!HL6/'[2]RawDataSurvey21 1 '!HL$12</f>
        <v>0.43115375326540378</v>
      </c>
      <c r="X8" s="13">
        <f>'[2]RawDataSurvey21 1 '!HM6/'[2]RawDataSurvey21 1 '!HM$12</f>
        <v>0.59145822587552743</v>
      </c>
      <c r="Y8" s="13">
        <f>'[2]RawDataSurvey21 1 '!HN6/'[2]RawDataSurvey21 1 '!HN$12</f>
        <v>0.55532848659955625</v>
      </c>
      <c r="Z8" s="13">
        <f>'[2]RawDataSurvey21 1 '!HO6/'[2]RawDataSurvey21 1 '!HO$12</f>
        <v>0.5564619744000725</v>
      </c>
      <c r="AA8" s="13">
        <f>'[2]RawDataSurvey21 1 '!HP6/'[2]RawDataSurvey21 1 '!HP$12</f>
        <v>0.4533775749526992</v>
      </c>
      <c r="AB8" s="13">
        <f>'[2]RawDataSurvey21 1 '!HQ6/'[2]RawDataSurvey21 1 '!HQ$12</f>
        <v>0.53986864369004084</v>
      </c>
      <c r="AC8" s="13">
        <f>'[2]RawDataSurvey21 1 '!HR6/'[2]RawDataSurvey21 1 '!HR$12</f>
        <v>0.53410498636807457</v>
      </c>
      <c r="AD8" s="13">
        <f>'[2]RawDataSurvey21 1 '!HS6/'[2]RawDataSurvey21 1 '!HS$12</f>
        <v>0.46058986212493958</v>
      </c>
      <c r="AE8" s="13">
        <f>'[2]RawDataSurvey21 1 '!HT6/'[2]RawDataSurvey21 1 '!HT$12</f>
        <v>0.38878664742372465</v>
      </c>
      <c r="AF8" s="13">
        <f>'[2]RawDataSurvey21 1 '!HU6/'[2]RawDataSurvey21 1 '!HU$12</f>
        <v>0.36952989007783948</v>
      </c>
      <c r="AG8" s="13">
        <f>'[2]RawDataSurvey21 1 '!HV6/'[2]RawDataSurvey21 1 '!HV$12</f>
        <v>0.44001659067973642</v>
      </c>
      <c r="AH8" s="13">
        <f>'[2]RawDataSurvey21 1 '!HW6/'[2]RawDataSurvey21 1 '!HW$12</f>
        <v>0.46224577038489301</v>
      </c>
      <c r="AI8" s="13">
        <f>'[2]RawDataSurvey21 1 '!HX6/'[2]RawDataSurvey21 1 '!HX$12</f>
        <v>0.43783534565185384</v>
      </c>
      <c r="AJ8" s="13">
        <f>'[2]RawDataSurvey21 1 '!HY6/'[2]RawDataSurvey21 1 '!HY$12</f>
        <v>0.45459193714662638</v>
      </c>
      <c r="AK8" s="13">
        <f>'[2]RawDataSurvey21 1 '!HZ6/'[2]RawDataSurvey21 1 '!HZ$12</f>
        <v>0.43134212052134097</v>
      </c>
      <c r="AL8" s="13">
        <f>'[2]RawDataSurvey21 1 '!IA6/'[2]RawDataSurvey21 1 '!IA$12</f>
        <v>0.45579102635398838</v>
      </c>
      <c r="AM8" s="13">
        <f>'[2]RawDataSurvey21 1 '!IB6/'[2]RawDataSurvey21 1 '!IB$12</f>
        <v>0.41903690700826512</v>
      </c>
      <c r="AN8" s="13">
        <f>'[2]RawDataSurvey21 1 '!IC6/'[2]RawDataSurvey21 1 '!IC$12</f>
        <v>8.0366908832985307E-2</v>
      </c>
      <c r="AO8" s="13">
        <f>'[2]RawDataSurvey21 1 '!ID6/'[2]RawDataSurvey21 1 '!ID$12</f>
        <v>0.14064693504525108</v>
      </c>
      <c r="AP8" s="13">
        <f>'[2]RawDataSurvey21 1 '!IE6/'[2]RawDataSurvey21 1 '!IE$12</f>
        <v>6.9022426586805491E-2</v>
      </c>
      <c r="AQ8" s="13">
        <f>'[2]RawDataSurvey21 1 '!IF6/'[2]RawDataSurvey21 1 '!IF$12</f>
        <v>0.39480453328275827</v>
      </c>
      <c r="AR8" s="13">
        <f>'[2]RawDataSurvey21 1 '!IG6/'[2]RawDataSurvey21 1 '!IG$12</f>
        <v>0.4103346415403325</v>
      </c>
      <c r="AS8" s="13">
        <f>'[2]RawDataSurvey21 1 '!IH6/'[2]RawDataSurvey21 1 '!IH$12</f>
        <v>0.37845761144458501</v>
      </c>
      <c r="AT8" s="13">
        <f>'[2]RawDataSurvey21 1 '!II6/'[2]RawDataSurvey21 1 '!II$12</f>
        <v>0.38235578765638506</v>
      </c>
      <c r="AU8" s="13">
        <f>'[2]RawDataSurvey21 1 '!IJ6/'[2]RawDataSurvey21 1 '!IJ$12</f>
        <v>0.3689960735563379</v>
      </c>
      <c r="AV8" s="13">
        <f>'[2]RawDataSurvey21 1 '!IK6/'[2]RawDataSurvey21 1 '!IK$12</f>
        <v>0.35347443726557759</v>
      </c>
      <c r="AW8" s="13">
        <f>'[2]RawDataSurvey21 1 '!IL6/'[2]RawDataSurvey21 1 '!IL$12</f>
        <v>0.34998067387805398</v>
      </c>
      <c r="AX8" s="13">
        <f>'[2]RawDataSurvey21 1 '!IM6/'[2]RawDataSurvey21 1 '!IM$12</f>
        <v>0.32172765975468748</v>
      </c>
      <c r="AY8" s="13">
        <f>'[2]RawDataSurvey21 1 '!IN6/'[2]RawDataSurvey21 1 '!IN$12</f>
        <v>0.30773940300525759</v>
      </c>
      <c r="AZ8" s="13">
        <f>'[2]RawDataSurvey21 1 '!IO6/'[2]RawDataSurvey21 1 '!IO$12</f>
        <v>0.23922931323379937</v>
      </c>
      <c r="BA8" s="13">
        <f>'[2]RawDataSurvey21 1 '!IP6/'[2]RawDataSurvey21 1 '!IP$12</f>
        <v>0.23903038778660507</v>
      </c>
      <c r="BB8" s="13">
        <f>'[2]RawDataSurvey21 1 '!IQ6/'[2]RawDataSurvey21 1 '!IQ$12</f>
        <v>0.40868556405313516</v>
      </c>
      <c r="BC8" s="13">
        <f>'[2]RawDataSurvey21 1 '!IR6/'[2]RawDataSurvey21 1 '!IR$12</f>
        <v>0.44159435059559993</v>
      </c>
      <c r="BD8" s="13">
        <f>'[2]RawDataSurvey21 1 '!IS6/'[2]RawDataSurvey21 1 '!IS$12</f>
        <v>0.40318218358832891</v>
      </c>
      <c r="BE8" s="13">
        <f>'[2]RawDataSurvey21 1 '!IT6/'[2]RawDataSurvey21 1 '!IT$12</f>
        <v>0.49163144139799386</v>
      </c>
      <c r="BF8" s="13">
        <f>'[2]RawDataSurvey21 1 '!IU6/'[2]RawDataSurvey21 1 '!IU$12</f>
        <v>0.46837686598407957</v>
      </c>
      <c r="BG8" s="14">
        <f>'[2]RawDataSurvey21 1 '!IV6/'[2]RawDataSurvey21 1 '!IV$12</f>
        <v>0.30125831294818783</v>
      </c>
    </row>
    <row r="9" spans="1:59" s="10" customFormat="1" ht="12.75" x14ac:dyDescent="0.25">
      <c r="B9" s="11" t="s">
        <v>61</v>
      </c>
      <c r="C9" s="12">
        <f>'[2]RawDataSurvey21 1 '!GR7/'[2]RawDataSurvey21 1 '!GR$12</f>
        <v>0.13161302700749397</v>
      </c>
      <c r="D9" s="13">
        <f>'[2]RawDataSurvey21 1 '!GS7/'[2]RawDataSurvey21 1 '!GS$12</f>
        <v>0.33874228114437194</v>
      </c>
      <c r="E9" s="13">
        <f>'[2]RawDataSurvey21 1 '!GT7/'[2]RawDataSurvey21 1 '!GT$12</f>
        <v>4.3731656285461232E-2</v>
      </c>
      <c r="F9" s="13">
        <f>'[2]RawDataSurvey21 1 '!GU7/'[2]RawDataSurvey21 1 '!GU$12</f>
        <v>0.31146630216521148</v>
      </c>
      <c r="G9" s="13">
        <f>'[2]RawDataSurvey21 1 '!GV7/'[2]RawDataSurvey21 1 '!GV$12</f>
        <v>0.23545137714508671</v>
      </c>
      <c r="H9" s="13">
        <f>'[2]RawDataSurvey21 1 '!GW7/'[2]RawDataSurvey21 1 '!GW$12</f>
        <v>6.7171862464441359E-2</v>
      </c>
      <c r="I9" s="13">
        <f>'[2]RawDataSurvey21 1 '!GX7/'[2]RawDataSurvey21 1 '!GX$12</f>
        <v>0.303810390087488</v>
      </c>
      <c r="J9" s="13">
        <f>'[2]RawDataSurvey21 1 '!GY7/'[2]RawDataSurvey21 1 '!GY$12</f>
        <v>2.6597998868978161E-2</v>
      </c>
      <c r="K9" s="13">
        <f>'[2]RawDataSurvey21 1 '!GZ7/'[2]RawDataSurvey21 1 '!GZ$12</f>
        <v>5.8744551435626052E-3</v>
      </c>
      <c r="L9" s="13">
        <f>'[2]RawDataSurvey21 1 '!HA7/'[2]RawDataSurvey21 1 '!HA$12</f>
        <v>0.15045813098521113</v>
      </c>
      <c r="M9" s="13">
        <f>'[2]RawDataSurvey21 1 '!HB7/'[2]RawDataSurvey21 1 '!HB$12</f>
        <v>0.2464627225869872</v>
      </c>
      <c r="N9" s="13">
        <f>'[2]RawDataSurvey21 1 '!HC7/'[2]RawDataSurvey21 1 '!HC$12</f>
        <v>0.10160163903429294</v>
      </c>
      <c r="O9" s="13">
        <f>'[2]RawDataSurvey21 1 '!HD7/'[2]RawDataSurvey21 1 '!HD$12</f>
        <v>0.12021616646433803</v>
      </c>
      <c r="P9" s="13">
        <f>'[2]RawDataSurvey21 1 '!HE7/'[2]RawDataSurvey21 1 '!HE$12</f>
        <v>8.9830413155810016E-2</v>
      </c>
      <c r="Q9" s="13">
        <f>'[2]RawDataSurvey21 1 '!HF7/'[2]RawDataSurvey21 1 '!HF$12</f>
        <v>5.5892079158973283E-2</v>
      </c>
      <c r="R9" s="13">
        <f>'[2]RawDataSurvey21 1 '!HG7/'[2]RawDataSurvey21 1 '!HG$12</f>
        <v>0.11529690781739788</v>
      </c>
      <c r="S9" s="13">
        <f>'[2]RawDataSurvey21 1 '!HH7/'[2]RawDataSurvey21 1 '!HH$12</f>
        <v>0.12111350464147294</v>
      </c>
      <c r="T9" s="13">
        <f>'[2]RawDataSurvey21 1 '!HI7/'[2]RawDataSurvey21 1 '!HI$12</f>
        <v>0.31176364651998761</v>
      </c>
      <c r="U9" s="13">
        <f>'[2]RawDataSurvey21 1 '!HJ7/'[2]RawDataSurvey21 1 '!HJ$12</f>
        <v>0.10752655259713773</v>
      </c>
      <c r="V9" s="13">
        <f>'[2]RawDataSurvey21 1 '!HK7/'[2]RawDataSurvey21 1 '!HK$12</f>
        <v>0.3308698387114169</v>
      </c>
      <c r="W9" s="13">
        <f>'[2]RawDataSurvey21 1 '!HL7/'[2]RawDataSurvey21 1 '!HL$12</f>
        <v>0.24754012432991293</v>
      </c>
      <c r="X9" s="13">
        <f>'[2]RawDataSurvey21 1 '!HM7/'[2]RawDataSurvey21 1 '!HM$12</f>
        <v>0.10305782785169655</v>
      </c>
      <c r="Y9" s="13">
        <f>'[2]RawDataSurvey21 1 '!HN7/'[2]RawDataSurvey21 1 '!HN$12</f>
        <v>0.13207476959708178</v>
      </c>
      <c r="Z9" s="13">
        <f>'[2]RawDataSurvey21 1 '!HO7/'[2]RawDataSurvey21 1 '!HO$12</f>
        <v>0.10176608366944062</v>
      </c>
      <c r="AA9" s="13">
        <f>'[2]RawDataSurvey21 1 '!HP7/'[2]RawDataSurvey21 1 '!HP$12</f>
        <v>4.6687218152497809E-2</v>
      </c>
      <c r="AB9" s="13">
        <f>'[2]RawDataSurvey21 1 '!HQ7/'[2]RawDataSurvey21 1 '!HQ$12</f>
        <v>0.14489545245969729</v>
      </c>
      <c r="AC9" s="13">
        <f>'[2]RawDataSurvey21 1 '!HR7/'[2]RawDataSurvey21 1 '!HR$12</f>
        <v>0.12971986099696126</v>
      </c>
      <c r="AD9" s="13">
        <f>'[2]RawDataSurvey21 1 '!HS7/'[2]RawDataSurvey21 1 '!HS$12</f>
        <v>0.10172180804513511</v>
      </c>
      <c r="AE9" s="13">
        <f>'[2]RawDataSurvey21 1 '!HT7/'[2]RawDataSurvey21 1 '!HT$12</f>
        <v>0.15887360724004926</v>
      </c>
      <c r="AF9" s="13">
        <f>'[2]RawDataSurvey21 1 '!HU7/'[2]RawDataSurvey21 1 '!HU$12</f>
        <v>1.7362326152478406E-2</v>
      </c>
      <c r="AG9" s="13">
        <f>'[2]RawDataSurvey21 1 '!HV7/'[2]RawDataSurvey21 1 '!HV$12</f>
        <v>0.10896337627238073</v>
      </c>
      <c r="AH9" s="13">
        <f>'[2]RawDataSurvey21 1 '!HW7/'[2]RawDataSurvey21 1 '!HW$12</f>
        <v>0.10110186356764884</v>
      </c>
      <c r="AI9" s="13">
        <f>'[2]RawDataSurvey21 1 '!HX7/'[2]RawDataSurvey21 1 '!HX$12</f>
        <v>0.11021254612346865</v>
      </c>
      <c r="AJ9" s="13">
        <f>'[2]RawDataSurvey21 1 '!HY7/'[2]RawDataSurvey21 1 '!HY$12</f>
        <v>0.15721813058382095</v>
      </c>
      <c r="AK9" s="13">
        <f>'[2]RawDataSurvey21 1 '!HZ7/'[2]RawDataSurvey21 1 '!HZ$12</f>
        <v>8.3787716376995044E-2</v>
      </c>
      <c r="AL9" s="13">
        <f>'[2]RawDataSurvey21 1 '!IA7/'[2]RawDataSurvey21 1 '!IA$12</f>
        <v>6.5788091542618998E-2</v>
      </c>
      <c r="AM9" s="13">
        <f>'[2]RawDataSurvey21 1 '!IB7/'[2]RawDataSurvey21 1 '!IB$12</f>
        <v>5.0020349057479624E-2</v>
      </c>
      <c r="AN9" s="13">
        <f>'[2]RawDataSurvey21 1 '!IC7/'[2]RawDataSurvey21 1 '!IC$12</f>
        <v>4.8632058863080025E-3</v>
      </c>
      <c r="AO9" s="13">
        <f>'[2]RawDataSurvey21 1 '!ID7/'[2]RawDataSurvey21 1 '!ID$12</f>
        <v>3.974157195520819E-3</v>
      </c>
      <c r="AP9" s="13">
        <f>'[2]RawDataSurvey21 1 '!IE7/'[2]RawDataSurvey21 1 '!IE$12</f>
        <v>1.7497129933045524E-3</v>
      </c>
      <c r="AQ9" s="13">
        <f>'[2]RawDataSurvey21 1 '!IF7/'[2]RawDataSurvey21 1 '!IF$12</f>
        <v>0.33530428552471858</v>
      </c>
      <c r="AR9" s="13">
        <f>'[2]RawDataSurvey21 1 '!IG7/'[2]RawDataSurvey21 1 '!IG$12</f>
        <v>0.28493728720978112</v>
      </c>
      <c r="AS9" s="13">
        <f>'[2]RawDataSurvey21 1 '!IH7/'[2]RawDataSurvey21 1 '!IH$12</f>
        <v>9.0586683154993755E-2</v>
      </c>
      <c r="AT9" s="13">
        <f>'[2]RawDataSurvey21 1 '!II7/'[2]RawDataSurvey21 1 '!II$12</f>
        <v>3.8306042231817133E-2</v>
      </c>
      <c r="AU9" s="13">
        <f>'[2]RawDataSurvey21 1 '!IJ7/'[2]RawDataSurvey21 1 '!IJ$12</f>
        <v>3.9157701158825588E-2</v>
      </c>
      <c r="AV9" s="13">
        <f>'[2]RawDataSurvey21 1 '!IK7/'[2]RawDataSurvey21 1 '!IK$12</f>
        <v>3.1566421770920151E-2</v>
      </c>
      <c r="AW9" s="13">
        <f>'[2]RawDataSurvey21 1 '!IL7/'[2]RawDataSurvey21 1 '!IL$12</f>
        <v>2.3945010738040323E-2</v>
      </c>
      <c r="AX9" s="13">
        <f>'[2]RawDataSurvey21 1 '!IM7/'[2]RawDataSurvey21 1 '!IM$12</f>
        <v>7.9977393780324854E-2</v>
      </c>
      <c r="AY9" s="13">
        <f>'[2]RawDataSurvey21 1 '!IN7/'[2]RawDataSurvey21 1 '!IN$12</f>
        <v>6.1045752501449946E-2</v>
      </c>
      <c r="AZ9" s="13">
        <f>'[2]RawDataSurvey21 1 '!IO7/'[2]RawDataSurvey21 1 '!IO$12</f>
        <v>1.2274018962226289E-2</v>
      </c>
      <c r="BA9" s="13">
        <f>'[2]RawDataSurvey21 1 '!IP7/'[2]RawDataSurvey21 1 '!IP$12</f>
        <v>1.5031360192435212E-2</v>
      </c>
      <c r="BB9" s="13">
        <f>'[2]RawDataSurvey21 1 '!IQ7/'[2]RawDataSurvey21 1 '!IQ$12</f>
        <v>0.1337571913901672</v>
      </c>
      <c r="BC9" s="13">
        <f>'[2]RawDataSurvey21 1 '!IR7/'[2]RawDataSurvey21 1 '!IR$12</f>
        <v>8.9046686171676034E-2</v>
      </c>
      <c r="BD9" s="13">
        <f>'[2]RawDataSurvey21 1 '!IS7/'[2]RawDataSurvey21 1 '!IS$12</f>
        <v>5.0325101492051966E-2</v>
      </c>
      <c r="BE9" s="13">
        <f>'[2]RawDataSurvey21 1 '!IT7/'[2]RawDataSurvey21 1 '!IT$12</f>
        <v>0.18762896777188362</v>
      </c>
      <c r="BF9" s="13">
        <f>'[2]RawDataSurvey21 1 '!IU7/'[2]RawDataSurvey21 1 '!IU$12</f>
        <v>0.20489958814932743</v>
      </c>
      <c r="BG9" s="14">
        <f>'[2]RawDataSurvey21 1 '!IV7/'[2]RawDataSurvey21 1 '!IV$12</f>
        <v>0.30095366039440552</v>
      </c>
    </row>
    <row r="10" spans="1:59" s="10" customFormat="1" ht="12.75" x14ac:dyDescent="0.25">
      <c r="B10" s="11" t="s">
        <v>62</v>
      </c>
      <c r="C10" s="12">
        <f>'[2]RawDataSurvey21 1 '!GR8/'[2]RawDataSurvey21 1 '!GR$12</f>
        <v>3.9339209317973446E-2</v>
      </c>
      <c r="D10" s="13">
        <f>'[2]RawDataSurvey21 1 '!GS8/'[2]RawDataSurvey21 1 '!GS$12</f>
        <v>0.21646408689644786</v>
      </c>
      <c r="E10" s="13">
        <f>'[2]RawDataSurvey21 1 '!GT8/'[2]RawDataSurvey21 1 '!GT$12</f>
        <v>1.2628011806653997E-2</v>
      </c>
      <c r="F10" s="13">
        <f>'[2]RawDataSurvey21 1 '!GU8/'[2]RawDataSurvey21 1 '!GU$12</f>
        <v>0.18212357670135446</v>
      </c>
      <c r="G10" s="13">
        <f>'[2]RawDataSurvey21 1 '!GV8/'[2]RawDataSurvey21 1 '!GV$12</f>
        <v>0.11252153786404649</v>
      </c>
      <c r="H10" s="13">
        <f>'[2]RawDataSurvey21 1 '!GW8/'[2]RawDataSurvey21 1 '!GW$12</f>
        <v>3.1780796365733228E-2</v>
      </c>
      <c r="I10" s="13">
        <f>'[2]RawDataSurvey21 1 '!GX8/'[2]RawDataSurvey21 1 '!GX$12</f>
        <v>0.1665405490113834</v>
      </c>
      <c r="J10" s="13">
        <f>'[2]RawDataSurvey21 1 '!GY8/'[2]RawDataSurvey21 1 '!GY$12</f>
        <v>1.9159261788815059E-2</v>
      </c>
      <c r="K10" s="13">
        <f>'[2]RawDataSurvey21 1 '!GZ8/'[2]RawDataSurvey21 1 '!GZ$12</f>
        <v>9.232524597310561E-3</v>
      </c>
      <c r="L10" s="13">
        <f>'[2]RawDataSurvey21 1 '!HA8/'[2]RawDataSurvey21 1 '!HA$12</f>
        <v>0.10985856918151192</v>
      </c>
      <c r="M10" s="13">
        <f>'[2]RawDataSurvey21 1 '!HB8/'[2]RawDataSurvey21 1 '!HB$12</f>
        <v>7.6296382350842587E-2</v>
      </c>
      <c r="N10" s="13">
        <f>'[2]RawDataSurvey21 1 '!HC8/'[2]RawDataSurvey21 1 '!HC$12</f>
        <v>2.9070847000440062E-2</v>
      </c>
      <c r="O10" s="13">
        <f>'[2]RawDataSurvey21 1 '!HD8/'[2]RawDataSurvey21 1 '!HD$12</f>
        <v>3.731959060654217E-2</v>
      </c>
      <c r="P10" s="13">
        <f>'[2]RawDataSurvey21 1 '!HE8/'[2]RawDataSurvey21 1 '!HE$12</f>
        <v>1.9601162310510092E-2</v>
      </c>
      <c r="Q10" s="13">
        <f>'[2]RawDataSurvey21 1 '!HF8/'[2]RawDataSurvey21 1 '!HF$12</f>
        <v>2.1388678958232075E-2</v>
      </c>
      <c r="R10" s="13">
        <f>'[2]RawDataSurvey21 1 '!HG8/'[2]RawDataSurvey21 1 '!HG$12</f>
        <v>3.3834699973055923E-2</v>
      </c>
      <c r="S10" s="13">
        <f>'[2]RawDataSurvey21 1 '!HH8/'[2]RawDataSurvey21 1 '!HH$12</f>
        <v>3.1900990050434605E-2</v>
      </c>
      <c r="T10" s="13">
        <f>'[2]RawDataSurvey21 1 '!HI8/'[2]RawDataSurvey21 1 '!HI$12</f>
        <v>0.15517442515796431</v>
      </c>
      <c r="U10" s="13">
        <f>'[2]RawDataSurvey21 1 '!HJ8/'[2]RawDataSurvey21 1 '!HJ$12</f>
        <v>3.0661209667674952E-2</v>
      </c>
      <c r="V10" s="13">
        <f>'[2]RawDataSurvey21 1 '!HK8/'[2]RawDataSurvey21 1 '!HK$12</f>
        <v>0.17968798352408949</v>
      </c>
      <c r="W10" s="13">
        <f>'[2]RawDataSurvey21 1 '!HL8/'[2]RawDataSurvey21 1 '!HL$12</f>
        <v>9.6929695867708304E-2</v>
      </c>
      <c r="X10" s="13">
        <f>'[2]RawDataSurvey21 1 '!HM8/'[2]RawDataSurvey21 1 '!HM$12</f>
        <v>2.2854427449710727E-2</v>
      </c>
      <c r="Y10" s="13">
        <f>'[2]RawDataSurvey21 1 '!HN8/'[2]RawDataSurvey21 1 '!HN$12</f>
        <v>3.2291306301033475E-2</v>
      </c>
      <c r="Z10" s="13">
        <f>'[2]RawDataSurvey21 1 '!HO8/'[2]RawDataSurvey21 1 '!HO$12</f>
        <v>2.3623704804579249E-2</v>
      </c>
      <c r="AA10" s="13">
        <f>'[2]RawDataSurvey21 1 '!HP8/'[2]RawDataSurvey21 1 '!HP$12</f>
        <v>2.5465165250445804E-2</v>
      </c>
      <c r="AB10" s="13">
        <f>'[2]RawDataSurvey21 1 '!HQ8/'[2]RawDataSurvey21 1 '!HQ$12</f>
        <v>5.2190668736540123E-2</v>
      </c>
      <c r="AC10" s="13">
        <f>'[2]RawDataSurvey21 1 '!HR8/'[2]RawDataSurvey21 1 '!HR$12</f>
        <v>5.8131034056898082E-2</v>
      </c>
      <c r="AD10" s="13">
        <f>'[2]RawDataSurvey21 1 '!HS8/'[2]RawDataSurvey21 1 '!HS$12</f>
        <v>3.9167875758210832E-2</v>
      </c>
      <c r="AE10" s="13">
        <f>'[2]RawDataSurvey21 1 '!HT8/'[2]RawDataSurvey21 1 '!HT$12</f>
        <v>6.6825222256649316E-2</v>
      </c>
      <c r="AF10" s="13">
        <f>'[2]RawDataSurvey21 1 '!HU8/'[2]RawDataSurvey21 1 '!HU$12</f>
        <v>1.1524222323584089E-2</v>
      </c>
      <c r="AG10" s="13">
        <f>'[2]RawDataSurvey21 1 '!HV8/'[2]RawDataSurvey21 1 '!HV$12</f>
        <v>3.3753901127793848E-2</v>
      </c>
      <c r="AH10" s="13">
        <f>'[2]RawDataSurvey21 1 '!HW8/'[2]RawDataSurvey21 1 '!HW$12</f>
        <v>1.8509080488527094E-2</v>
      </c>
      <c r="AI10" s="13">
        <f>'[2]RawDataSurvey21 1 '!HX8/'[2]RawDataSurvey21 1 '!HX$12</f>
        <v>1.9511637815950545E-2</v>
      </c>
      <c r="AJ10" s="13">
        <f>'[2]RawDataSurvey21 1 '!HY8/'[2]RawDataSurvey21 1 '!HY$12</f>
        <v>3.5455272652455731E-2</v>
      </c>
      <c r="AK10" s="13">
        <f>'[2]RawDataSurvey21 1 '!HZ8/'[2]RawDataSurvey21 1 '!HZ$12</f>
        <v>2.2445406273764242E-2</v>
      </c>
      <c r="AL10" s="13">
        <f>'[2]RawDataSurvey21 1 '!IA8/'[2]RawDataSurvey21 1 '!IA$12</f>
        <v>1.3275686463852174E-2</v>
      </c>
      <c r="AM10" s="13">
        <f>'[2]RawDataSurvey21 1 '!IB8/'[2]RawDataSurvey21 1 '!IB$12</f>
        <v>1.3509448082743137E-2</v>
      </c>
      <c r="AN10" s="13">
        <f>'[2]RawDataSurvey21 1 '!IC8/'[2]RawDataSurvey21 1 '!IC$12</f>
        <v>1.8131225101451231E-3</v>
      </c>
      <c r="AO10" s="13">
        <f>'[2]RawDataSurvey21 1 '!ID8/'[2]RawDataSurvey21 1 '!ID$12</f>
        <v>1.440542753223724E-3</v>
      </c>
      <c r="AP10" s="13">
        <f>'[2]RawDataSurvey21 1 '!IE8/'[2]RawDataSurvey21 1 '!IE$12</f>
        <v>2.1519408045077002E-3</v>
      </c>
      <c r="AQ10" s="13">
        <f>'[2]RawDataSurvey21 1 '!IF8/'[2]RawDataSurvey21 1 '!IF$12</f>
        <v>0.1191134437231362</v>
      </c>
      <c r="AR10" s="13">
        <f>'[2]RawDataSurvey21 1 '!IG8/'[2]RawDataSurvey21 1 '!IG$12</f>
        <v>0.11832906489803205</v>
      </c>
      <c r="AS10" s="13">
        <f>'[2]RawDataSurvey21 1 '!IH8/'[2]RawDataSurvey21 1 '!IH$12</f>
        <v>5.3867197180478221E-2</v>
      </c>
      <c r="AT10" s="13">
        <f>'[2]RawDataSurvey21 1 '!II8/'[2]RawDataSurvey21 1 '!II$12</f>
        <v>1.0176813862282539E-2</v>
      </c>
      <c r="AU10" s="13">
        <f>'[2]RawDataSurvey21 1 '!IJ8/'[2]RawDataSurvey21 1 '!IJ$12</f>
        <v>1.3975612530801535E-2</v>
      </c>
      <c r="AV10" s="13">
        <f>'[2]RawDataSurvey21 1 '!IK8/'[2]RawDataSurvey21 1 '!IK$12</f>
        <v>9.8010047049353431E-3</v>
      </c>
      <c r="AW10" s="13">
        <f>'[2]RawDataSurvey21 1 '!IL8/'[2]RawDataSurvey21 1 '!IL$12</f>
        <v>6.3045679401893913E-3</v>
      </c>
      <c r="AX10" s="13">
        <f>'[2]RawDataSurvey21 1 '!IM8/'[2]RawDataSurvey21 1 '!IM$12</f>
        <v>1.9728404671842031E-2</v>
      </c>
      <c r="AY10" s="13">
        <f>'[2]RawDataSurvey21 1 '!IN8/'[2]RawDataSurvey21 1 '!IN$12</f>
        <v>1.7528189224521457E-2</v>
      </c>
      <c r="AZ10" s="13">
        <f>'[2]RawDataSurvey21 1 '!IO8/'[2]RawDataSurvey21 1 '!IO$12</f>
        <v>3.7357872530556259E-3</v>
      </c>
      <c r="BA10" s="13">
        <f>'[2]RawDataSurvey21 1 '!IP8/'[2]RawDataSurvey21 1 '!IP$12</f>
        <v>6.1108680219662563E-3</v>
      </c>
      <c r="BB10" s="13">
        <f>'[2]RawDataSurvey21 1 '!IQ8/'[2]RawDataSurvey21 1 '!IQ$12</f>
        <v>1.3957823811351805E-2</v>
      </c>
      <c r="BC10" s="13">
        <f>'[2]RawDataSurvey21 1 '!IR8/'[2]RawDataSurvey21 1 '!IR$12</f>
        <v>1.4152268071730706E-2</v>
      </c>
      <c r="BD10" s="13">
        <f>'[2]RawDataSurvey21 1 '!IS8/'[2]RawDataSurvey21 1 '!IS$12</f>
        <v>1.2936061296474623E-2</v>
      </c>
      <c r="BE10" s="13">
        <f>'[2]RawDataSurvey21 1 '!IT8/'[2]RawDataSurvey21 1 '!IT$12</f>
        <v>3.4606796042900928E-2</v>
      </c>
      <c r="BF10" s="13">
        <f>'[2]RawDataSurvey21 1 '!IU8/'[2]RawDataSurvey21 1 '!IU$12</f>
        <v>6.9418989435447623E-2</v>
      </c>
      <c r="BG10" s="14">
        <f>'[2]RawDataSurvey21 1 '!IV8/'[2]RawDataSurvey21 1 '!IV$12</f>
        <v>0.24105149314254604</v>
      </c>
    </row>
    <row r="11" spans="1:59" s="10" customFormat="1" ht="12.75" x14ac:dyDescent="0.25">
      <c r="B11" s="11" t="s">
        <v>63</v>
      </c>
      <c r="C11" s="12">
        <f>'[2]RawDataSurvey21 1 '!GR9/'[2]RawDataSurvey21 1 '!GR$12</f>
        <v>2.362160901355205E-2</v>
      </c>
      <c r="D11" s="13">
        <f>'[2]RawDataSurvey21 1 '!GS9/'[2]RawDataSurvey21 1 '!GS$12</f>
        <v>3.5901502239349015E-2</v>
      </c>
      <c r="E11" s="13">
        <f>'[2]RawDataSurvey21 1 '!GT9/'[2]RawDataSurvey21 1 '!GT$12</f>
        <v>1.0396811986927162E-2</v>
      </c>
      <c r="F11" s="13">
        <f>'[2]RawDataSurvey21 1 '!GU9/'[2]RawDataSurvey21 1 '!GU$12</f>
        <v>2.3029882047709317E-2</v>
      </c>
      <c r="G11" s="13">
        <f>'[2]RawDataSurvey21 1 '!GV9/'[2]RawDataSurvey21 1 '!GV$12</f>
        <v>4.0842491018261158E-2</v>
      </c>
      <c r="H11" s="13">
        <f>'[2]RawDataSurvey21 1 '!GW9/'[2]RawDataSurvey21 1 '!GW$12</f>
        <v>1.18098996425777E-2</v>
      </c>
      <c r="I11" s="13">
        <f>'[2]RawDataSurvey21 1 '!GX9/'[2]RawDataSurvey21 1 '!GX$12</f>
        <v>3.2061579088078336E-2</v>
      </c>
      <c r="J11" s="13">
        <f>'[2]RawDataSurvey21 1 '!GY9/'[2]RawDataSurvey21 1 '!GY$12</f>
        <v>3.6993670730133738E-2</v>
      </c>
      <c r="K11" s="13">
        <f>'[2]RawDataSurvey21 1 '!GZ9/'[2]RawDataSurvey21 1 '!GZ$12</f>
        <v>1.8432409765857999E-2</v>
      </c>
      <c r="L11" s="13">
        <f>'[2]RawDataSurvey21 1 '!HA9/'[2]RawDataSurvey21 1 '!HA$12</f>
        <v>5.5257752961442981E-2</v>
      </c>
      <c r="M11" s="13">
        <f>'[2]RawDataSurvey21 1 '!HB9/'[2]RawDataSurvey21 1 '!HB$12</f>
        <v>2.1786547254623409E-2</v>
      </c>
      <c r="N11" s="13">
        <f>'[2]RawDataSurvey21 1 '!HC9/'[2]RawDataSurvey21 1 '!HC$12</f>
        <v>2.2637937319157718E-2</v>
      </c>
      <c r="O11" s="13">
        <f>'[2]RawDataSurvey21 1 '!HD9/'[2]RawDataSurvey21 1 '!HD$12</f>
        <v>1.3941312300504133E-2</v>
      </c>
      <c r="P11" s="13">
        <f>'[2]RawDataSurvey21 1 '!HE9/'[2]RawDataSurvey21 1 '!HE$12</f>
        <v>2.4399875536697594E-2</v>
      </c>
      <c r="Q11" s="13">
        <f>'[2]RawDataSurvey21 1 '!HF9/'[2]RawDataSurvey21 1 '!HF$12</f>
        <v>1.7911556825251741E-2</v>
      </c>
      <c r="R11" s="13">
        <f>'[2]RawDataSurvey21 1 '!HG9/'[2]RawDataSurvey21 1 '!HG$12</f>
        <v>3.5685607238160694E-2</v>
      </c>
      <c r="S11" s="13">
        <f>'[2]RawDataSurvey21 1 '!HH9/'[2]RawDataSurvey21 1 '!HH$12</f>
        <v>4.6551668139034309E-2</v>
      </c>
      <c r="T11" s="13">
        <f>'[2]RawDataSurvey21 1 '!HI9/'[2]RawDataSurvey21 1 '!HI$12</f>
        <v>4.3844612532290293E-2</v>
      </c>
      <c r="U11" s="13">
        <f>'[2]RawDataSurvey21 1 '!HJ9/'[2]RawDataSurvey21 1 '!HJ$12</f>
        <v>5.8323602824790953E-2</v>
      </c>
      <c r="V11" s="13">
        <f>'[2]RawDataSurvey21 1 '!HK9/'[2]RawDataSurvey21 1 '!HK$12</f>
        <v>5.4071997756568971E-2</v>
      </c>
      <c r="W11" s="13">
        <f>'[2]RawDataSurvey21 1 '!HL9/'[2]RawDataSurvey21 1 '!HL$12</f>
        <v>8.6509925844520844E-2</v>
      </c>
      <c r="X11" s="13">
        <f>'[2]RawDataSurvey21 1 '!HM9/'[2]RawDataSurvey21 1 '!HM$12</f>
        <v>2.8401047486840615E-2</v>
      </c>
      <c r="Y11" s="13">
        <f>'[2]RawDataSurvey21 1 '!HN9/'[2]RawDataSurvey21 1 '!HN$12</f>
        <v>7.1787258566545553E-2</v>
      </c>
      <c r="Z11" s="13">
        <f>'[2]RawDataSurvey21 1 '!HO9/'[2]RawDataSurvey21 1 '!HO$12</f>
        <v>6.7139096513496463E-2</v>
      </c>
      <c r="AA11" s="13">
        <f>'[2]RawDataSurvey21 1 '!HP9/'[2]RawDataSurvey21 1 '!HP$12</f>
        <v>7.2540328561455897E-2</v>
      </c>
      <c r="AB11" s="13">
        <f>'[2]RawDataSurvey21 1 '!HQ9/'[2]RawDataSurvey21 1 '!HQ$12</f>
        <v>6.3420711805216218E-2</v>
      </c>
      <c r="AC11" s="13">
        <f>'[2]RawDataSurvey21 1 '!HR9/'[2]RawDataSurvey21 1 '!HR$12</f>
        <v>6.0990182791274265E-2</v>
      </c>
      <c r="AD11" s="13">
        <f>'[2]RawDataSurvey21 1 '!HS9/'[2]RawDataSurvey21 1 '!HS$12</f>
        <v>5.4161728388977419E-2</v>
      </c>
      <c r="AE11" s="13">
        <f>'[2]RawDataSurvey21 1 '!HT9/'[2]RawDataSurvey21 1 '!HT$12</f>
        <v>4.6239366976130791E-2</v>
      </c>
      <c r="AF11" s="13">
        <f>'[2]RawDataSurvey21 1 '!HU9/'[2]RawDataSurvey21 1 '!HU$12</f>
        <v>7.3450581269732348E-2</v>
      </c>
      <c r="AG11" s="13">
        <f>'[2]RawDataSurvey21 1 '!HV9/'[2]RawDataSurvey21 1 '!HV$12</f>
        <v>0.12256418564641867</v>
      </c>
      <c r="AH11" s="13">
        <f>'[2]RawDataSurvey21 1 '!HW9/'[2]RawDataSurvey21 1 '!HW$12</f>
        <v>3.2240456949232513E-2</v>
      </c>
      <c r="AI11" s="13">
        <f>'[2]RawDataSurvey21 1 '!HX9/'[2]RawDataSurvey21 1 '!HX$12</f>
        <v>4.0616813228138281E-2</v>
      </c>
      <c r="AJ11" s="13">
        <f>'[2]RawDataSurvey21 1 '!HY9/'[2]RawDataSurvey21 1 '!HY$12</f>
        <v>3.4139704276191028E-2</v>
      </c>
      <c r="AK11" s="13">
        <f>'[2]RawDataSurvey21 1 '!HZ9/'[2]RawDataSurvey21 1 '!HZ$12</f>
        <v>1.1743586936423614E-2</v>
      </c>
      <c r="AL11" s="13">
        <f>'[2]RawDataSurvey21 1 '!IA9/'[2]RawDataSurvey21 1 '!IA$12</f>
        <v>1.9082871009014079E-2</v>
      </c>
      <c r="AM11" s="13">
        <f>'[2]RawDataSurvey21 1 '!IB9/'[2]RawDataSurvey21 1 '!IB$12</f>
        <v>5.1071171761894935E-2</v>
      </c>
      <c r="AN11" s="13">
        <f>'[2]RawDataSurvey21 1 '!IC9/'[2]RawDataSurvey21 1 '!IC$12</f>
        <v>1.4637538378962062E-2</v>
      </c>
      <c r="AO11" s="13">
        <f>'[2]RawDataSurvey21 1 '!ID9/'[2]RawDataSurvey21 1 '!ID$12</f>
        <v>2.032970561699916E-2</v>
      </c>
      <c r="AP11" s="13">
        <f>'[2]RawDataSurvey21 1 '!IE9/'[2]RawDataSurvey21 1 '!IE$12</f>
        <v>1.2271031224836724E-2</v>
      </c>
      <c r="AQ11" s="13">
        <f>'[2]RawDataSurvey21 1 '!IF9/'[2]RawDataSurvey21 1 '!IF$12</f>
        <v>3.4361579494575981E-2</v>
      </c>
      <c r="AR11" s="13">
        <f>'[2]RawDataSurvey21 1 '!IG9/'[2]RawDataSurvey21 1 '!IG$12</f>
        <v>2.7016285025481934E-2</v>
      </c>
      <c r="AS11" s="13">
        <f>'[2]RawDataSurvey21 1 '!IH9/'[2]RawDataSurvey21 1 '!IH$12</f>
        <v>6.8276982315444837E-2</v>
      </c>
      <c r="AT11" s="13">
        <f>'[2]RawDataSurvey21 1 '!II9/'[2]RawDataSurvey21 1 '!II$12</f>
        <v>4.5595836359867518E-2</v>
      </c>
      <c r="AU11" s="13">
        <f>'[2]RawDataSurvey21 1 '!IJ9/'[2]RawDataSurvey21 1 '!IJ$12</f>
        <v>4.4412266941904893E-2</v>
      </c>
      <c r="AV11" s="13">
        <f>'[2]RawDataSurvey21 1 '!IK9/'[2]RawDataSurvey21 1 '!IK$12</f>
        <v>3.9775053543060927E-2</v>
      </c>
      <c r="AW11" s="13">
        <f>'[2]RawDataSurvey21 1 '!IL9/'[2]RawDataSurvey21 1 '!IL$12</f>
        <v>5.2828454626814951E-2</v>
      </c>
      <c r="AX11" s="13">
        <f>'[2]RawDataSurvey21 1 '!IM9/'[2]RawDataSurvey21 1 '!IM$12</f>
        <v>3.3366660007028703E-2</v>
      </c>
      <c r="AY11" s="13">
        <f>'[2]RawDataSurvey21 1 '!IN9/'[2]RawDataSurvey21 1 '!IN$12</f>
        <v>2.5524051274663093E-2</v>
      </c>
      <c r="AZ11" s="13">
        <f>'[2]RawDataSurvey21 1 '!IO9/'[2]RawDataSurvey21 1 '!IO$12</f>
        <v>1.8878149765577033E-2</v>
      </c>
      <c r="BA11" s="13">
        <f>'[2]RawDataSurvey21 1 '!IP9/'[2]RawDataSurvey21 1 '!IP$12</f>
        <v>6.3412409271246167E-2</v>
      </c>
      <c r="BB11" s="13">
        <f>'[2]RawDataSurvey21 1 '!IQ9/'[2]RawDataSurvey21 1 '!IQ$12</f>
        <v>2.748702149812746E-2</v>
      </c>
      <c r="BC11" s="13">
        <f>'[2]RawDataSurvey21 1 '!IR9/'[2]RawDataSurvey21 1 '!IR$12</f>
        <v>4.1026896312881908E-2</v>
      </c>
      <c r="BD11" s="13">
        <f>'[2]RawDataSurvey21 1 '!IS9/'[2]RawDataSurvey21 1 '!IS$12</f>
        <v>5.0393047550749866E-2</v>
      </c>
      <c r="BE11" s="13">
        <f>'[2]RawDataSurvey21 1 '!IT9/'[2]RawDataSurvey21 1 '!IT$12</f>
        <v>4.175584034850225E-2</v>
      </c>
      <c r="BF11" s="13">
        <f>'[2]RawDataSurvey21 1 '!IU9/'[2]RawDataSurvey21 1 '!IU$12</f>
        <v>7.3761373524983229E-2</v>
      </c>
      <c r="BG11" s="14">
        <f>'[2]RawDataSurvey21 1 '!IV9/'[2]RawDataSurvey21 1 '!IV$12</f>
        <v>4.8540899465110997E-2</v>
      </c>
    </row>
    <row r="12" spans="1:59" s="10" customFormat="1" ht="12.75" x14ac:dyDescent="0.25">
      <c r="B12" s="15" t="s">
        <v>64</v>
      </c>
      <c r="C12" s="12">
        <f>'[2]RawDataSurvey21 1 '!GR10/'[2]RawDataSurvey21 1 '!GR$12</f>
        <v>6.7272355067715547E-2</v>
      </c>
      <c r="D12" s="13">
        <f>'[2]RawDataSurvey21 1 '!GS10/'[2]RawDataSurvey21 1 '!GS$12</f>
        <v>6.6128097920930121E-2</v>
      </c>
      <c r="E12" s="13">
        <f>'[2]RawDataSurvey21 1 '!GT10/'[2]RawDataSurvey21 1 '!GT$12</f>
        <v>7.0472260214723276E-2</v>
      </c>
      <c r="F12" s="13">
        <f>'[2]RawDataSurvey21 1 '!GU10/'[2]RawDataSurvey21 1 '!GU$12</f>
        <v>6.6539998971046427E-2</v>
      </c>
      <c r="G12" s="13">
        <f>'[2]RawDataSurvey21 1 '!GV10/'[2]RawDataSurvey21 1 '!GV$12</f>
        <v>6.910460479693474E-2</v>
      </c>
      <c r="H12" s="13">
        <f>'[2]RawDataSurvey21 1 '!GW10/'[2]RawDataSurvey21 1 '!GW$12</f>
        <v>6.7503490286379572E-2</v>
      </c>
      <c r="I12" s="13">
        <f>'[2]RawDataSurvey21 1 '!GX10/'[2]RawDataSurvey21 1 '!GX$12</f>
        <v>7.0647058749739963E-2</v>
      </c>
      <c r="J12" s="13">
        <f>'[2]RawDataSurvey21 1 '!GY10/'[2]RawDataSurvey21 1 '!GY$12</f>
        <v>6.7188622967947378E-2</v>
      </c>
      <c r="K12" s="13">
        <f>'[2]RawDataSurvey21 1 '!GZ10/'[2]RawDataSurvey21 1 '!GZ$12</f>
        <v>6.8479794464904112E-2</v>
      </c>
      <c r="L12" s="13">
        <f>'[2]RawDataSurvey21 1 '!HA10/'[2]RawDataSurvey21 1 '!HA$12</f>
        <v>6.6706675285599606E-2</v>
      </c>
      <c r="M12" s="13">
        <f>'[2]RawDataSurvey21 1 '!HB10/'[2]RawDataSurvey21 1 '!HB$12</f>
        <v>6.6718033326395754E-2</v>
      </c>
      <c r="N12" s="13">
        <f>'[2]RawDataSurvey21 1 '!HC10/'[2]RawDataSurvey21 1 '!HC$12</f>
        <v>6.7353232803385593E-2</v>
      </c>
      <c r="O12" s="13">
        <f>'[2]RawDataSurvey21 1 '!HD10/'[2]RawDataSurvey21 1 '!HD$12</f>
        <v>6.9143109796440436E-2</v>
      </c>
      <c r="P12" s="13">
        <f>'[2]RawDataSurvey21 1 '!HE10/'[2]RawDataSurvey21 1 '!HE$12</f>
        <v>7.0301085706567665E-2</v>
      </c>
      <c r="Q12" s="13">
        <f>'[2]RawDataSurvey21 1 '!HF10/'[2]RawDataSurvey21 1 '!HF$12</f>
        <v>6.9194905637085066E-2</v>
      </c>
      <c r="R12" s="13">
        <f>'[2]RawDataSurvey21 1 '!HG10/'[2]RawDataSurvey21 1 '!HG$12</f>
        <v>6.7769031874216706E-2</v>
      </c>
      <c r="S12" s="13">
        <f>'[2]RawDataSurvey21 1 '!HH10/'[2]RawDataSurvey21 1 '!HH$12</f>
        <v>7.0159706261454999E-2</v>
      </c>
      <c r="T12" s="13">
        <f>'[2]RawDataSurvey21 1 '!HI10/'[2]RawDataSurvey21 1 '!HI$12</f>
        <v>6.6455339485532297E-2</v>
      </c>
      <c r="U12" s="13">
        <f>'[2]RawDataSurvey21 1 '!HJ10/'[2]RawDataSurvey21 1 '!HJ$12</f>
        <v>6.7689771774585253E-2</v>
      </c>
      <c r="V12" s="13">
        <f>'[2]RawDataSurvey21 1 '!HK10/'[2]RawDataSurvey21 1 '!HK$12</f>
        <v>7.1255108530647968E-2</v>
      </c>
      <c r="W12" s="13">
        <f>'[2]RawDataSurvey21 1 '!HL10/'[2]RawDataSurvey21 1 '!HL$12</f>
        <v>6.8104636966478962E-2</v>
      </c>
      <c r="X12" s="13">
        <f>'[2]RawDataSurvey21 1 '!HM10/'[2]RawDataSurvey21 1 '!HM$12</f>
        <v>6.7387096838133959E-2</v>
      </c>
      <c r="Y12" s="13">
        <f>'[2]RawDataSurvey21 1 '!HN10/'[2]RawDataSurvey21 1 '!HN$12</f>
        <v>6.9505906090056122E-2</v>
      </c>
      <c r="Z12" s="13">
        <f>'[2]RawDataSurvey21 1 '!HO10/'[2]RawDataSurvey21 1 '!HO$12</f>
        <v>6.9274364914985412E-2</v>
      </c>
      <c r="AA12" s="13">
        <f>'[2]RawDataSurvey21 1 '!HP10/'[2]RawDataSurvey21 1 '!HP$12</f>
        <v>7.1017837773901957E-2</v>
      </c>
      <c r="AB12" s="13">
        <f>'[2]RawDataSurvey21 1 '!HQ10/'[2]RawDataSurvey21 1 '!HQ$12</f>
        <v>7.0292390207200253E-2</v>
      </c>
      <c r="AC12" s="13">
        <f>'[2]RawDataSurvey21 1 '!HR10/'[2]RawDataSurvey21 1 '!HR$12</f>
        <v>7.1572340810927018E-2</v>
      </c>
      <c r="AD12" s="13">
        <f>'[2]RawDataSurvey21 1 '!HS10/'[2]RawDataSurvey21 1 '!HS$12</f>
        <v>6.8807606009705632E-2</v>
      </c>
      <c r="AE12" s="13">
        <f>'[2]RawDataSurvey21 1 '!HT10/'[2]RawDataSurvey21 1 '!HT$12</f>
        <v>7.2021014354603105E-2</v>
      </c>
      <c r="AF12" s="13">
        <f>'[2]RawDataSurvey21 1 '!HU10/'[2]RawDataSurvey21 1 '!HU$12</f>
        <v>7.6484181001741994E-2</v>
      </c>
      <c r="AG12" s="13">
        <f>'[2]RawDataSurvey21 1 '!HV10/'[2]RawDataSurvey21 1 '!HV$12</f>
        <v>7.1525674288629992E-2</v>
      </c>
      <c r="AH12" s="13">
        <f>'[2]RawDataSurvey21 1 '!HW10/'[2]RawDataSurvey21 1 '!HW$12</f>
        <v>7.0952649894171216E-2</v>
      </c>
      <c r="AI12" s="13">
        <f>'[2]RawDataSurvey21 1 '!HX10/'[2]RawDataSurvey21 1 '!HX$12</f>
        <v>7.1877013967613465E-2</v>
      </c>
      <c r="AJ12" s="13">
        <f>'[2]RawDataSurvey21 1 '!HY10/'[2]RawDataSurvey21 1 '!HY$12</f>
        <v>7.1980718651474887E-2</v>
      </c>
      <c r="AK12" s="13">
        <f>'[2]RawDataSurvey21 1 '!HZ10/'[2]RawDataSurvey21 1 '!HZ$12</f>
        <v>7.2500662669926982E-2</v>
      </c>
      <c r="AL12" s="13">
        <f>'[2]RawDataSurvey21 1 '!IA10/'[2]RawDataSurvey21 1 '!IA$12</f>
        <v>7.26322364308883E-2</v>
      </c>
      <c r="AM12" s="13">
        <f>'[2]RawDataSurvey21 1 '!IB10/'[2]RawDataSurvey21 1 '!IB$12</f>
        <v>7.5655668633292844E-2</v>
      </c>
      <c r="AN12" s="13">
        <f>'[2]RawDataSurvey21 1 '!IC10/'[2]RawDataSurvey21 1 '!IC$12</f>
        <v>7.6907522362219635E-2</v>
      </c>
      <c r="AO12" s="13">
        <f>'[2]RawDataSurvey21 1 '!ID10/'[2]RawDataSurvey21 1 '!ID$12</f>
        <v>7.3445391350018679E-2</v>
      </c>
      <c r="AP12" s="13">
        <f>'[2]RawDataSurvey21 1 '!IE10/'[2]RawDataSurvey21 1 '!IE$12</f>
        <v>7.714236778741318E-2</v>
      </c>
      <c r="AQ12" s="13">
        <f>'[2]RawDataSurvey21 1 '!IF10/'[2]RawDataSurvey21 1 '!IF$12</f>
        <v>6.7428479565772609E-2</v>
      </c>
      <c r="AR12" s="13">
        <f>'[2]RawDataSurvey21 1 '!IG10/'[2]RawDataSurvey21 1 '!IG$12</f>
        <v>6.7237194757057278E-2</v>
      </c>
      <c r="AS12" s="13">
        <f>'[2]RawDataSurvey21 1 '!IH10/'[2]RawDataSurvey21 1 '!IH$12</f>
        <v>6.6758624366188596E-2</v>
      </c>
      <c r="AT12" s="13">
        <f>'[2]RawDataSurvey21 1 '!II10/'[2]RawDataSurvey21 1 '!II$12</f>
        <v>6.9603830800980662E-2</v>
      </c>
      <c r="AU12" s="13">
        <f>'[2]RawDataSurvey21 1 '!IJ10/'[2]RawDataSurvey21 1 '!IJ$12</f>
        <v>6.7547677410175352E-2</v>
      </c>
      <c r="AV12" s="13">
        <f>'[2]RawDataSurvey21 1 '!IK10/'[2]RawDataSurvey21 1 '!IK$12</f>
        <v>6.9813535354716474E-2</v>
      </c>
      <c r="AW12" s="13">
        <f>'[2]RawDataSurvey21 1 '!IL10/'[2]RawDataSurvey21 1 '!IL$12</f>
        <v>7.2326143286076547E-2</v>
      </c>
      <c r="AX12" s="13">
        <f>'[2]RawDataSurvey21 1 '!IM10/'[2]RawDataSurvey21 1 '!IM$12</f>
        <v>7.3378467362208863E-2</v>
      </c>
      <c r="AY12" s="13">
        <f>'[2]RawDataSurvey21 1 '!IN10/'[2]RawDataSurvey21 1 '!IN$12</f>
        <v>6.9403660943926151E-2</v>
      </c>
      <c r="AZ12" s="13">
        <f>'[2]RawDataSurvey21 1 '!IO10/'[2]RawDataSurvey21 1 '!IO$12</f>
        <v>7.0834949699101715E-2</v>
      </c>
      <c r="BA12" s="13">
        <f>'[2]RawDataSurvey21 1 '!IP10/'[2]RawDataSurvey21 1 '!IP$12</f>
        <v>6.8883172628676437E-2</v>
      </c>
      <c r="BB12" s="13">
        <f>'[2]RawDataSurvey21 1 '!IQ10/'[2]RawDataSurvey21 1 '!IQ$12</f>
        <v>6.5983417774436365E-2</v>
      </c>
      <c r="BC12" s="13">
        <f>'[2]RawDataSurvey21 1 '!IR10/'[2]RawDataSurvey21 1 '!IR$12</f>
        <v>6.5649888523862429E-2</v>
      </c>
      <c r="BD12" s="13">
        <f>'[2]RawDataSurvey21 1 '!IS10/'[2]RawDataSurvey21 1 '!IS$12</f>
        <v>6.7853686651247719E-2</v>
      </c>
      <c r="BE12" s="13">
        <f>'[2]RawDataSurvey21 1 '!IT10/'[2]RawDataSurvey21 1 '!IT$12</f>
        <v>6.9089143877343981E-2</v>
      </c>
      <c r="BF12" s="13">
        <f>'[2]RawDataSurvey21 1 '!IU10/'[2]RawDataSurvey21 1 '!IU$12</f>
        <v>6.9401674479301831E-2</v>
      </c>
      <c r="BG12" s="14">
        <f>'[2]RawDataSurvey21 1 '!IV10/'[2]RawDataSurvey21 1 '!IV$12</f>
        <v>7.6237913615744404E-2</v>
      </c>
    </row>
    <row r="13" spans="1:59" s="10" customFormat="1" ht="12.75" x14ac:dyDescent="0.25"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9"/>
    </row>
    <row r="14" spans="1:59" s="10" customFormat="1" ht="12.75" x14ac:dyDescent="0.25">
      <c r="B14" s="20"/>
    </row>
    <row r="15" spans="1:59" s="10" customFormat="1" ht="12.75" x14ac:dyDescent="0.25">
      <c r="B15" s="21" t="s">
        <v>65</v>
      </c>
      <c r="C15" s="22">
        <f>SUM(C6:C13)</f>
        <v>1</v>
      </c>
      <c r="D15" s="22">
        <f t="shared" ref="D15:BG15" si="0">SUM(D6:D13)</f>
        <v>0.99999999999999989</v>
      </c>
      <c r="E15" s="22">
        <f t="shared" si="0"/>
        <v>1</v>
      </c>
      <c r="F15" s="22">
        <f t="shared" si="0"/>
        <v>1</v>
      </c>
      <c r="G15" s="22">
        <f t="shared" si="0"/>
        <v>0.99999999999999989</v>
      </c>
      <c r="H15" s="22">
        <f t="shared" si="0"/>
        <v>0.99999999999999989</v>
      </c>
      <c r="I15" s="22">
        <f t="shared" si="0"/>
        <v>1</v>
      </c>
      <c r="J15" s="22">
        <f t="shared" si="0"/>
        <v>1</v>
      </c>
      <c r="K15" s="22">
        <f t="shared" si="0"/>
        <v>1</v>
      </c>
      <c r="L15" s="22">
        <f t="shared" si="0"/>
        <v>0.99999999999999989</v>
      </c>
      <c r="M15" s="22">
        <f t="shared" si="0"/>
        <v>1.0000000000000002</v>
      </c>
      <c r="N15" s="22">
        <f t="shared" si="0"/>
        <v>1.0000000000000002</v>
      </c>
      <c r="O15" s="22">
        <f t="shared" si="0"/>
        <v>0.99999999999999989</v>
      </c>
      <c r="P15" s="22">
        <f t="shared" si="0"/>
        <v>0.99999999999999989</v>
      </c>
      <c r="Q15" s="22">
        <f t="shared" si="0"/>
        <v>0.99999999999999956</v>
      </c>
      <c r="R15" s="22">
        <f t="shared" si="0"/>
        <v>0.99999999999999989</v>
      </c>
      <c r="S15" s="22">
        <f t="shared" si="0"/>
        <v>1</v>
      </c>
      <c r="T15" s="22">
        <f t="shared" si="0"/>
        <v>1.0000000000000002</v>
      </c>
      <c r="U15" s="22">
        <f t="shared" si="0"/>
        <v>1</v>
      </c>
      <c r="V15" s="22">
        <f t="shared" si="0"/>
        <v>1</v>
      </c>
      <c r="W15" s="22">
        <f t="shared" si="0"/>
        <v>1</v>
      </c>
      <c r="X15" s="22">
        <f t="shared" si="0"/>
        <v>1.0000000000000002</v>
      </c>
      <c r="Y15" s="22">
        <f t="shared" si="0"/>
        <v>1</v>
      </c>
      <c r="Z15" s="22">
        <f t="shared" si="0"/>
        <v>0.99999999999999989</v>
      </c>
      <c r="AA15" s="22">
        <f t="shared" si="0"/>
        <v>0.99999999999999978</v>
      </c>
      <c r="AB15" s="22">
        <f t="shared" si="0"/>
        <v>1.0000000000000002</v>
      </c>
      <c r="AC15" s="22">
        <f t="shared" si="0"/>
        <v>1</v>
      </c>
      <c r="AD15" s="22">
        <f t="shared" si="0"/>
        <v>0.99999999999999956</v>
      </c>
      <c r="AE15" s="22">
        <f t="shared" si="0"/>
        <v>1.0000000000000002</v>
      </c>
      <c r="AF15" s="22">
        <f t="shared" si="0"/>
        <v>1.0000000000000002</v>
      </c>
      <c r="AG15" s="22">
        <f t="shared" si="0"/>
        <v>1</v>
      </c>
      <c r="AH15" s="22">
        <f t="shared" si="0"/>
        <v>1</v>
      </c>
      <c r="AI15" s="22">
        <f t="shared" si="0"/>
        <v>1</v>
      </c>
      <c r="AJ15" s="22">
        <f t="shared" si="0"/>
        <v>1.0000000000000002</v>
      </c>
      <c r="AK15" s="22">
        <f t="shared" si="0"/>
        <v>1</v>
      </c>
      <c r="AL15" s="22">
        <f t="shared" si="0"/>
        <v>1</v>
      </c>
      <c r="AM15" s="22">
        <f t="shared" si="0"/>
        <v>0.99999999999999989</v>
      </c>
      <c r="AN15" s="22">
        <f t="shared" si="0"/>
        <v>1</v>
      </c>
      <c r="AO15" s="22">
        <f t="shared" si="0"/>
        <v>1</v>
      </c>
      <c r="AP15" s="22">
        <f t="shared" si="0"/>
        <v>1</v>
      </c>
      <c r="AQ15" s="22">
        <f t="shared" si="0"/>
        <v>0.99999999999999989</v>
      </c>
      <c r="AR15" s="22">
        <f t="shared" si="0"/>
        <v>1.0000000000000002</v>
      </c>
      <c r="AS15" s="22">
        <f t="shared" si="0"/>
        <v>1.0000000000000002</v>
      </c>
      <c r="AT15" s="22">
        <f t="shared" si="0"/>
        <v>1.0000000000000002</v>
      </c>
      <c r="AU15" s="22">
        <f t="shared" si="0"/>
        <v>1</v>
      </c>
      <c r="AV15" s="22">
        <f t="shared" si="0"/>
        <v>1</v>
      </c>
      <c r="AW15" s="22">
        <f t="shared" si="0"/>
        <v>0.99999999999999989</v>
      </c>
      <c r="AX15" s="22">
        <f t="shared" si="0"/>
        <v>1.0000000000000002</v>
      </c>
      <c r="AY15" s="22">
        <f t="shared" si="0"/>
        <v>1</v>
      </c>
      <c r="AZ15" s="22">
        <f t="shared" si="0"/>
        <v>1.0000000000000002</v>
      </c>
      <c r="BA15" s="22">
        <f t="shared" si="0"/>
        <v>1</v>
      </c>
      <c r="BB15" s="22">
        <f t="shared" si="0"/>
        <v>1</v>
      </c>
      <c r="BC15" s="22">
        <f t="shared" si="0"/>
        <v>1</v>
      </c>
      <c r="BD15" s="22">
        <f t="shared" si="0"/>
        <v>0.99999999999999978</v>
      </c>
      <c r="BE15" s="22">
        <f t="shared" si="0"/>
        <v>1</v>
      </c>
      <c r="BF15" s="22">
        <f t="shared" si="0"/>
        <v>0.99999999999999989</v>
      </c>
      <c r="BG15" s="23">
        <f t="shared" si="0"/>
        <v>0.99999999999999989</v>
      </c>
    </row>
    <row r="16" spans="1:59" s="10" customFormat="1" ht="12.75" x14ac:dyDescent="0.25">
      <c r="B16" s="24"/>
    </row>
    <row r="17" spans="2:59" s="10" customFormat="1" ht="12.75" x14ac:dyDescent="0.25">
      <c r="B17" s="21" t="s">
        <v>66</v>
      </c>
      <c r="C17" s="25">
        <f>'[2]RawDataSurvey21 1 '!GR13</f>
        <v>2037</v>
      </c>
      <c r="D17" s="26">
        <f>'[2]RawDataSurvey21 1 '!GS13</f>
        <v>2037</v>
      </c>
      <c r="E17" s="26">
        <f>'[2]RawDataSurvey21 1 '!GT13</f>
        <v>2037</v>
      </c>
      <c r="F17" s="26">
        <f>'[2]RawDataSurvey21 1 '!GU13</f>
        <v>2037</v>
      </c>
      <c r="G17" s="26">
        <f>'[2]RawDataSurvey21 1 '!GV13</f>
        <v>2037</v>
      </c>
      <c r="H17" s="26">
        <f>'[2]RawDataSurvey21 1 '!GW13</f>
        <v>2037</v>
      </c>
      <c r="I17" s="26">
        <f>'[2]RawDataSurvey21 1 '!GX13</f>
        <v>2037</v>
      </c>
      <c r="J17" s="26">
        <f>'[2]RawDataSurvey21 1 '!GY13</f>
        <v>2037</v>
      </c>
      <c r="K17" s="26">
        <f>'[2]RawDataSurvey21 1 '!GZ13</f>
        <v>2037</v>
      </c>
      <c r="L17" s="26">
        <f>'[2]RawDataSurvey21 1 '!HA13</f>
        <v>2037</v>
      </c>
      <c r="M17" s="26">
        <f>'[2]RawDataSurvey21 1 '!HB13</f>
        <v>2037</v>
      </c>
      <c r="N17" s="26">
        <f>'[2]RawDataSurvey21 1 '!HC13</f>
        <v>2037</v>
      </c>
      <c r="O17" s="26">
        <f>'[2]RawDataSurvey21 1 '!HD13</f>
        <v>2037</v>
      </c>
      <c r="P17" s="26">
        <f>'[2]RawDataSurvey21 1 '!HE13</f>
        <v>2037</v>
      </c>
      <c r="Q17" s="26">
        <f>'[2]RawDataSurvey21 1 '!HF13</f>
        <v>2037</v>
      </c>
      <c r="R17" s="26">
        <f>'[2]RawDataSurvey21 1 '!HG13</f>
        <v>2037</v>
      </c>
      <c r="S17" s="26">
        <f>'[2]RawDataSurvey21 1 '!HH13</f>
        <v>2037</v>
      </c>
      <c r="T17" s="26">
        <f>'[2]RawDataSurvey21 1 '!HI13</f>
        <v>2037</v>
      </c>
      <c r="U17" s="26">
        <f>'[2]RawDataSurvey21 1 '!HJ13</f>
        <v>2037</v>
      </c>
      <c r="V17" s="26">
        <f>'[2]RawDataSurvey21 1 '!HK13</f>
        <v>2037</v>
      </c>
      <c r="W17" s="26">
        <f>'[2]RawDataSurvey21 1 '!HL13</f>
        <v>2037</v>
      </c>
      <c r="X17" s="26">
        <f>'[2]RawDataSurvey21 1 '!HM13</f>
        <v>2037</v>
      </c>
      <c r="Y17" s="26">
        <f>'[2]RawDataSurvey21 1 '!HN13</f>
        <v>2037</v>
      </c>
      <c r="Z17" s="26">
        <f>'[2]RawDataSurvey21 1 '!HO13</f>
        <v>2037</v>
      </c>
      <c r="AA17" s="26">
        <f>'[2]RawDataSurvey21 1 '!HP13</f>
        <v>2037</v>
      </c>
      <c r="AB17" s="26">
        <f>'[2]RawDataSurvey21 1 '!HQ13</f>
        <v>2037</v>
      </c>
      <c r="AC17" s="26">
        <f>'[2]RawDataSurvey21 1 '!HR13</f>
        <v>2037</v>
      </c>
      <c r="AD17" s="26">
        <f>'[2]RawDataSurvey21 1 '!HS13</f>
        <v>2037</v>
      </c>
      <c r="AE17" s="26">
        <f>'[2]RawDataSurvey21 1 '!HT13</f>
        <v>2037</v>
      </c>
      <c r="AF17" s="26">
        <f>'[2]RawDataSurvey21 1 '!HU13</f>
        <v>2037</v>
      </c>
      <c r="AG17" s="26">
        <f>'[2]RawDataSurvey21 1 '!HV13</f>
        <v>2037</v>
      </c>
      <c r="AH17" s="26">
        <f>'[2]RawDataSurvey21 1 '!HW13</f>
        <v>2037</v>
      </c>
      <c r="AI17" s="26">
        <f>'[2]RawDataSurvey21 1 '!HX13</f>
        <v>2037</v>
      </c>
      <c r="AJ17" s="26">
        <f>'[2]RawDataSurvey21 1 '!HY13</f>
        <v>2037</v>
      </c>
      <c r="AK17" s="26">
        <f>'[2]RawDataSurvey21 1 '!HZ13</f>
        <v>2037</v>
      </c>
      <c r="AL17" s="26">
        <f>'[2]RawDataSurvey21 1 '!IA13</f>
        <v>2037</v>
      </c>
      <c r="AM17" s="26">
        <f>'[2]RawDataSurvey21 1 '!IB13</f>
        <v>2037</v>
      </c>
      <c r="AN17" s="26">
        <f>'[2]RawDataSurvey21 1 '!IC13</f>
        <v>2037</v>
      </c>
      <c r="AO17" s="26">
        <f>'[2]RawDataSurvey21 1 '!ID13</f>
        <v>2037</v>
      </c>
      <c r="AP17" s="26">
        <f>'[2]RawDataSurvey21 1 '!IE13</f>
        <v>2037</v>
      </c>
      <c r="AQ17" s="26">
        <f>'[2]RawDataSurvey21 1 '!IF13</f>
        <v>2037</v>
      </c>
      <c r="AR17" s="26">
        <f>'[2]RawDataSurvey21 1 '!IG13</f>
        <v>2037</v>
      </c>
      <c r="AS17" s="26">
        <f>'[2]RawDataSurvey21 1 '!IH13</f>
        <v>2037</v>
      </c>
      <c r="AT17" s="26">
        <f>'[2]RawDataSurvey21 1 '!II13</f>
        <v>2037</v>
      </c>
      <c r="AU17" s="26">
        <f>'[2]RawDataSurvey21 1 '!IJ13</f>
        <v>2037</v>
      </c>
      <c r="AV17" s="26">
        <f>'[2]RawDataSurvey21 1 '!IK13</f>
        <v>2037</v>
      </c>
      <c r="AW17" s="26">
        <f>'[2]RawDataSurvey21 1 '!IL13</f>
        <v>2037</v>
      </c>
      <c r="AX17" s="26">
        <f>'[2]RawDataSurvey21 1 '!IM13</f>
        <v>2037</v>
      </c>
      <c r="AY17" s="26">
        <f>'[2]RawDataSurvey21 1 '!IN13</f>
        <v>2037</v>
      </c>
      <c r="AZ17" s="26">
        <f>'[2]RawDataSurvey21 1 '!IO13</f>
        <v>2037</v>
      </c>
      <c r="BA17" s="26">
        <f>'[2]RawDataSurvey21 1 '!IP13</f>
        <v>2037</v>
      </c>
      <c r="BB17" s="26">
        <f>'[2]RawDataSurvey21 1 '!IQ13</f>
        <v>2037</v>
      </c>
      <c r="BC17" s="26">
        <f>'[2]RawDataSurvey21 1 '!IR13</f>
        <v>2037</v>
      </c>
      <c r="BD17" s="26">
        <f>'[2]RawDataSurvey21 1 '!IS13</f>
        <v>2037</v>
      </c>
      <c r="BE17" s="26">
        <f>'[2]RawDataSurvey21 1 '!IT13</f>
        <v>2037</v>
      </c>
      <c r="BF17" s="26">
        <f>'[2]RawDataSurvey21 1 '!IU13</f>
        <v>2037</v>
      </c>
      <c r="BG17" s="27">
        <f>'[2]RawDataSurvey21 1 '!IV13</f>
        <v>2037</v>
      </c>
    </row>
    <row r="18" spans="2:59" s="5" customFormat="1" ht="12.75" x14ac:dyDescent="0.2"/>
    <row r="20" spans="2:59" x14ac:dyDescent="0.25">
      <c r="B20" s="28" t="s">
        <v>67</v>
      </c>
      <c r="C20" s="22">
        <f>SUM('[2]RawDataSurvey21 1 '!GR4:GR5)/'[2]RawDataSurvey21 1 '!GR$12</f>
        <v>0.36964474306694745</v>
      </c>
      <c r="D20" s="22">
        <f>SUM('[2]RawDataSurvey21 1 '!GS4:GS5)/'[2]RawDataSurvey21 1 '!GS$12</f>
        <v>5.5117272803804018E-2</v>
      </c>
      <c r="E20" s="22">
        <f>SUM('[2]RawDataSurvey21 1 '!GT4:GT5)/'[2]RawDataSurvey21 1 '!GT$12</f>
        <v>0.71244996482525924</v>
      </c>
      <c r="F20" s="22">
        <f>SUM('[2]RawDataSurvey21 1 '!GU4:GU5)/'[2]RawDataSurvey21 1 '!GU$12</f>
        <v>8.6143088761762618E-2</v>
      </c>
      <c r="G20" s="22">
        <f>SUM('[2]RawDataSurvey21 1 '!GV4:GV5)/'[2]RawDataSurvey21 1 '!GV$12</f>
        <v>0.12305441083092297</v>
      </c>
      <c r="H20" s="22">
        <f>SUM('[2]RawDataSurvey21 1 '!GW4:GW5)/'[2]RawDataSurvey21 1 '!GW$12</f>
        <v>0.59563670803439106</v>
      </c>
      <c r="I20" s="22">
        <f>SUM('[2]RawDataSurvey21 1 '!GX4:GX5)/'[2]RawDataSurvey21 1 '!GX$12</f>
        <v>4.3007981188375774E-2</v>
      </c>
      <c r="J20" s="22">
        <f>SUM('[2]RawDataSurvey21 1 '!GY4:GY5)/'[2]RawDataSurvey21 1 '!GY$12</f>
        <v>0.59614727592874817</v>
      </c>
      <c r="K20" s="22">
        <f>SUM('[2]RawDataSurvey21 1 '!GZ4:GZ5)/'[2]RawDataSurvey21 1 '!GZ$12</f>
        <v>0.79859015359839813</v>
      </c>
      <c r="L20" s="22">
        <f>SUM('[2]RawDataSurvey21 1 '!HA4:HA5)/'[2]RawDataSurvey21 1 '!HA$12</f>
        <v>0.12288267262584199</v>
      </c>
      <c r="M20" s="22">
        <f>SUM('[2]RawDataSurvey21 1 '!HB4:HB5)/'[2]RawDataSurvey21 1 '!HB$12</f>
        <v>0.11665360208074826</v>
      </c>
      <c r="N20" s="22">
        <f>SUM('[2]RawDataSurvey21 1 '!HC4:HC5)/'[2]RawDataSurvey21 1 '!HC$12</f>
        <v>0.30910709358311772</v>
      </c>
      <c r="O20" s="22">
        <f>SUM('[2]RawDataSurvey21 1 '!HD4:HD5)/'[2]RawDataSurvey21 1 '!HD$12</f>
        <v>0.30537883362222723</v>
      </c>
      <c r="P20" s="22">
        <f>SUM('[2]RawDataSurvey21 1 '!HE4:HE5)/'[2]RawDataSurvey21 1 '!HE$12</f>
        <v>0.30974669763757579</v>
      </c>
      <c r="Q20" s="22">
        <f>SUM('[2]RawDataSurvey21 1 '!HF4:HF5)/'[2]RawDataSurvey21 1 '!HF$12</f>
        <v>0.66852986716422469</v>
      </c>
      <c r="R20" s="22">
        <f>SUM('[2]RawDataSurvey21 1 '!HG4:HG5)/'[2]RawDataSurvey21 1 '!HG$12</f>
        <v>0.47680723153993176</v>
      </c>
      <c r="S20" s="22">
        <f>SUM('[2]RawDataSurvey21 1 '!HH4:HH5)/'[2]RawDataSurvey21 1 '!HH$12</f>
        <v>0.32286327354038907</v>
      </c>
      <c r="T20" s="22">
        <f>SUM('[2]RawDataSurvey21 1 '!HI4:HI5)/'[2]RawDataSurvey21 1 '!HI$12</f>
        <v>5.7098085102273939E-2</v>
      </c>
      <c r="U20" s="22">
        <f>SUM('[2]RawDataSurvey21 1 '!HJ4:HJ5)/'[2]RawDataSurvey21 1 '!HJ$12</f>
        <v>0.23814253066739552</v>
      </c>
      <c r="V20" s="22">
        <f>SUM('[2]RawDataSurvey21 1 '!HK4:HK5)/'[2]RawDataSurvey21 1 '!HK$12</f>
        <v>2.794605115360458E-2</v>
      </c>
      <c r="W20" s="22">
        <f>SUM('[2]RawDataSurvey21 1 '!HL4:HL5)/'[2]RawDataSurvey21 1 '!HL$12</f>
        <v>6.9761863725975162E-2</v>
      </c>
      <c r="X20" s="22">
        <f>SUM('[2]RawDataSurvey21 1 '!HM4:HM5)/'[2]RawDataSurvey21 1 '!HM$12</f>
        <v>0.18684137449809091</v>
      </c>
      <c r="Y20" s="22">
        <f>SUM('[2]RawDataSurvey21 1 '!HN4:HN5)/'[2]RawDataSurvey21 1 '!HN$12</f>
        <v>0.13901227284572684</v>
      </c>
      <c r="Z20" s="22">
        <f>SUM('[2]RawDataSurvey21 1 '!HO4:HO5)/'[2]RawDataSurvey21 1 '!HO$12</f>
        <v>0.18173477569742574</v>
      </c>
      <c r="AA20" s="22">
        <f>SUM('[2]RawDataSurvey21 1 '!HP4:HP5)/'[2]RawDataSurvey21 1 '!HP$12</f>
        <v>0.33091187530899907</v>
      </c>
      <c r="AB20" s="22">
        <f>SUM('[2]RawDataSurvey21 1 '!HQ4:HQ5)/'[2]RawDataSurvey21 1 '!HQ$12</f>
        <v>0.1293321331013054</v>
      </c>
      <c r="AC20" s="22">
        <f>SUM('[2]RawDataSurvey21 1 '!HR4:HR5)/'[2]RawDataSurvey21 1 '!HR$12</f>
        <v>0.14548159497586471</v>
      </c>
      <c r="AD20" s="22">
        <f>SUM('[2]RawDataSurvey21 1 '!HS4:HS5)/'[2]RawDataSurvey21 1 '!HS$12</f>
        <v>0.2755511196730312</v>
      </c>
      <c r="AE20" s="22">
        <f>SUM('[2]RawDataSurvey21 1 '!HT4:HT5)/'[2]RawDataSurvey21 1 '!HT$12</f>
        <v>0.26725414174884299</v>
      </c>
      <c r="AF20" s="22">
        <f>SUM('[2]RawDataSurvey21 1 '!HU4:HU5)/'[2]RawDataSurvey21 1 '!HU$12</f>
        <v>0.45164879917462375</v>
      </c>
      <c r="AG20" s="22">
        <f>SUM('[2]RawDataSurvey21 1 '!HV4:HV5)/'[2]RawDataSurvey21 1 '!HV$12</f>
        <v>0.22317627198504025</v>
      </c>
      <c r="AH20" s="22">
        <f>SUM('[2]RawDataSurvey21 1 '!HW4:HW5)/'[2]RawDataSurvey21 1 '!HW$12</f>
        <v>0.31495017871552727</v>
      </c>
      <c r="AI20" s="22">
        <f>SUM('[2]RawDataSurvey21 1 '!HX4:HX5)/'[2]RawDataSurvey21 1 '!HX$12</f>
        <v>0.31994664321297522</v>
      </c>
      <c r="AJ20" s="22">
        <f>SUM('[2]RawDataSurvey21 1 '!HY4:HY5)/'[2]RawDataSurvey21 1 '!HY$12</f>
        <v>0.24661423668943122</v>
      </c>
      <c r="AK20" s="22">
        <f>SUM('[2]RawDataSurvey21 1 '!HZ4:HZ5)/'[2]RawDataSurvey21 1 '!HZ$12</f>
        <v>0.37818050722154928</v>
      </c>
      <c r="AL20" s="22">
        <f>SUM('[2]RawDataSurvey21 1 '!IA4:IA5)/'[2]RawDataSurvey21 1 '!IA$12</f>
        <v>0.37343008819963813</v>
      </c>
      <c r="AM20" s="22">
        <f>SUM('[2]RawDataSurvey21 1 '!IB4:IB5)/'[2]RawDataSurvey21 1 '!IB$12</f>
        <v>0.39070645545632426</v>
      </c>
      <c r="AN20" s="22">
        <f>SUM('[2]RawDataSurvey21 1 '!IC4:IC5)/'[2]RawDataSurvey21 1 '!IC$12</f>
        <v>0.82141170202938008</v>
      </c>
      <c r="AO20" s="22">
        <f>SUM('[2]RawDataSurvey21 1 '!ID4:ID5)/'[2]RawDataSurvey21 1 '!ID$12</f>
        <v>0.76016326803898648</v>
      </c>
      <c r="AP20" s="22">
        <f>SUM('[2]RawDataSurvey21 1 '!IE4:IE5)/'[2]RawDataSurvey21 1 '!IE$12</f>
        <v>0.8376625206031324</v>
      </c>
      <c r="AQ20" s="22">
        <f>SUM('[2]RawDataSurvey21 1 '!IF4:IF5)/'[2]RawDataSurvey21 1 '!IF$12</f>
        <v>4.8987678409038324E-2</v>
      </c>
      <c r="AR20" s="22">
        <f>SUM('[2]RawDataSurvey21 1 '!IG4:IG5)/'[2]RawDataSurvey21 1 '!IG$12</f>
        <v>9.2145526569315142E-2</v>
      </c>
      <c r="AS20" s="22">
        <f>SUM('[2]RawDataSurvey21 1 '!IH4:IH5)/'[2]RawDataSurvey21 1 '!IH$12</f>
        <v>0.34205290153830981</v>
      </c>
      <c r="AT20" s="22">
        <f>SUM('[2]RawDataSurvey21 1 '!II4:II5)/'[2]RawDataSurvey21 1 '!II$12</f>
        <v>0.45396168908866713</v>
      </c>
      <c r="AU20" s="22">
        <f>SUM('[2]RawDataSurvey21 1 '!IJ4:IJ5)/'[2]RawDataSurvey21 1 '!IJ$12</f>
        <v>0.46591066840195489</v>
      </c>
      <c r="AV20" s="22">
        <f>SUM('[2]RawDataSurvey21 1 '!IK4:IK5)/'[2]RawDataSurvey21 1 '!IK$12</f>
        <v>0.49556954736078951</v>
      </c>
      <c r="AW20" s="22">
        <f>SUM('[2]RawDataSurvey21 1 '!IL4:IL5)/'[2]RawDataSurvey21 1 '!IL$12</f>
        <v>0.49461514953082469</v>
      </c>
      <c r="AX20" s="22">
        <f>SUM('[2]RawDataSurvey21 1 '!IM4:IM5)/'[2]RawDataSurvey21 1 '!IM$12</f>
        <v>0.47182141442390818</v>
      </c>
      <c r="AY20" s="22">
        <f>SUM('[2]RawDataSurvey21 1 '!IN4:IN5)/'[2]RawDataSurvey21 1 '!IN$12</f>
        <v>0.51875894305018178</v>
      </c>
      <c r="AZ20" s="22">
        <f>SUM('[2]RawDataSurvey21 1 '!IO4:IO5)/'[2]RawDataSurvey21 1 '!IO$12</f>
        <v>0.65504778108624007</v>
      </c>
      <c r="BA20" s="22">
        <f>SUM('[2]RawDataSurvey21 1 '!IP4:IP5)/'[2]RawDataSurvey21 1 '!IP$12</f>
        <v>0.60753180209907076</v>
      </c>
      <c r="BB20" s="22">
        <f>SUM('[2]RawDataSurvey21 1 '!IQ4:IQ5)/'[2]RawDataSurvey21 1 '!IQ$12</f>
        <v>0.35012898147278193</v>
      </c>
      <c r="BC20" s="22">
        <f>SUM('[2]RawDataSurvey21 1 '!IR4:IR5)/'[2]RawDataSurvey21 1 '!IR$12</f>
        <v>0.34852991032424896</v>
      </c>
      <c r="BD20" s="22">
        <f>SUM('[2]RawDataSurvey21 1 '!IS4:IS5)/'[2]RawDataSurvey21 1 '!IS$12</f>
        <v>0.41530991942114676</v>
      </c>
      <c r="BE20" s="22">
        <f>SUM('[2]RawDataSurvey21 1 '!IT4:IT5)/'[2]RawDataSurvey21 1 '!IT$12</f>
        <v>0.17528781056137538</v>
      </c>
      <c r="BF20" s="22">
        <f>SUM('[2]RawDataSurvey21 1 '!IU4:IU5)/'[2]RawDataSurvey21 1 '!IU$12</f>
        <v>0.11414150842686023</v>
      </c>
      <c r="BG20" s="23">
        <f>SUM('[2]RawDataSurvey21 1 '!IV4:IV5)/'[2]RawDataSurvey21 1 '!IV$12</f>
        <v>3.1957720434005132E-2</v>
      </c>
    </row>
    <row r="21" spans="2:59" x14ac:dyDescent="0.25">
      <c r="B21" s="28" t="s">
        <v>68</v>
      </c>
      <c r="C21" s="22">
        <f>SUM('[2]RawDataSurvey21 1 '!GR7:GR8)/'[2]RawDataSurvey21 1 '!GR$12</f>
        <v>0.17095223632546741</v>
      </c>
      <c r="D21" s="22">
        <f>SUM('[2]RawDataSurvey21 1 '!GS7:GS8)/'[2]RawDataSurvey21 1 '!GS$12</f>
        <v>0.5552063680408198</v>
      </c>
      <c r="E21" s="22">
        <f>SUM('[2]RawDataSurvey21 1 '!GT7:GT8)/'[2]RawDataSurvey21 1 '!GT$12</f>
        <v>5.6359668092115227E-2</v>
      </c>
      <c r="F21" s="22">
        <f>SUM('[2]RawDataSurvey21 1 '!GU7:GU8)/'[2]RawDataSurvey21 1 '!GU$12</f>
        <v>0.49358987886656597</v>
      </c>
      <c r="G21" s="22">
        <f>SUM('[2]RawDataSurvey21 1 '!GV7:GV8)/'[2]RawDataSurvey21 1 '!GV$12</f>
        <v>0.34797291500913319</v>
      </c>
      <c r="H21" s="22">
        <f>SUM('[2]RawDataSurvey21 1 '!GW7:GW8)/'[2]RawDataSurvey21 1 '!GW$12</f>
        <v>9.8952658830174595E-2</v>
      </c>
      <c r="I21" s="22">
        <f>SUM('[2]RawDataSurvey21 1 '!GX7:GX8)/'[2]RawDataSurvey21 1 '!GX$12</f>
        <v>0.47035093909887138</v>
      </c>
      <c r="J21" s="22">
        <f>SUM('[2]RawDataSurvey21 1 '!GY7:GY8)/'[2]RawDataSurvey21 1 '!GY$12</f>
        <v>4.5757260657793224E-2</v>
      </c>
      <c r="K21" s="22">
        <f>SUM('[2]RawDataSurvey21 1 '!GZ7:GZ8)/'[2]RawDataSurvey21 1 '!GZ$12</f>
        <v>1.5106979740873168E-2</v>
      </c>
      <c r="L21" s="22">
        <f>SUM('[2]RawDataSurvey21 1 '!HA7:HA8)/'[2]RawDataSurvey21 1 '!HA$12</f>
        <v>0.26031670016672309</v>
      </c>
      <c r="M21" s="22">
        <f>SUM('[2]RawDataSurvey21 1 '!HB7:HB8)/'[2]RawDataSurvey21 1 '!HB$12</f>
        <v>0.32275910493782983</v>
      </c>
      <c r="N21" s="22">
        <f>SUM('[2]RawDataSurvey21 1 '!HC7:HC8)/'[2]RawDataSurvey21 1 '!HC$12</f>
        <v>0.130672486034733</v>
      </c>
      <c r="O21" s="22">
        <f>SUM('[2]RawDataSurvey21 1 '!HD7:HD8)/'[2]RawDataSurvey21 1 '!HD$12</f>
        <v>0.15753575707088019</v>
      </c>
      <c r="P21" s="22">
        <f>SUM('[2]RawDataSurvey21 1 '!HE7:HE8)/'[2]RawDataSurvey21 1 '!HE$12</f>
        <v>0.10943157546632011</v>
      </c>
      <c r="Q21" s="22">
        <f>SUM('[2]RawDataSurvey21 1 '!HF7:HF8)/'[2]RawDataSurvey21 1 '!HF$12</f>
        <v>7.7280758117205361E-2</v>
      </c>
      <c r="R21" s="22">
        <f>SUM('[2]RawDataSurvey21 1 '!HG7:HG8)/'[2]RawDataSurvey21 1 '!HG$12</f>
        <v>0.14913160779045381</v>
      </c>
      <c r="S21" s="22">
        <f>SUM('[2]RawDataSurvey21 1 '!HH7:HH8)/'[2]RawDataSurvey21 1 '!HH$12</f>
        <v>0.15301449469190756</v>
      </c>
      <c r="T21" s="22">
        <f>SUM('[2]RawDataSurvey21 1 '!HI7:HI8)/'[2]RawDataSurvey21 1 '!HI$12</f>
        <v>0.46693807167795198</v>
      </c>
      <c r="U21" s="22">
        <f>SUM('[2]RawDataSurvey21 1 '!HJ7:HJ8)/'[2]RawDataSurvey21 1 '!HJ$12</f>
        <v>0.13818776226481266</v>
      </c>
      <c r="V21" s="22">
        <f>SUM('[2]RawDataSurvey21 1 '!HK7:HK8)/'[2]RawDataSurvey21 1 '!HK$12</f>
        <v>0.51055782223550639</v>
      </c>
      <c r="W21" s="22">
        <f>SUM('[2]RawDataSurvey21 1 '!HL7:HL8)/'[2]RawDataSurvey21 1 '!HL$12</f>
        <v>0.34446982019762123</v>
      </c>
      <c r="X21" s="22">
        <f>SUM('[2]RawDataSurvey21 1 '!HM7:HM8)/'[2]RawDataSurvey21 1 '!HM$12</f>
        <v>0.12591225530140726</v>
      </c>
      <c r="Y21" s="22">
        <f>SUM('[2]RawDataSurvey21 1 '!HN7:HN8)/'[2]RawDataSurvey21 1 '!HN$12</f>
        <v>0.16436607589811525</v>
      </c>
      <c r="Z21" s="22">
        <f>SUM('[2]RawDataSurvey21 1 '!HO7:HO8)/'[2]RawDataSurvey21 1 '!HO$12</f>
        <v>0.12538978847401988</v>
      </c>
      <c r="AA21" s="22">
        <f>SUM('[2]RawDataSurvey21 1 '!HP7:HP8)/'[2]RawDataSurvey21 1 '!HP$12</f>
        <v>7.215238340294361E-2</v>
      </c>
      <c r="AB21" s="22">
        <f>SUM('[2]RawDataSurvey21 1 '!HQ7:HQ8)/'[2]RawDataSurvey21 1 '!HQ$12</f>
        <v>0.19708612119623742</v>
      </c>
      <c r="AC21" s="22">
        <f>SUM('[2]RawDataSurvey21 1 '!HR7:HR8)/'[2]RawDataSurvey21 1 '!HR$12</f>
        <v>0.18785089505385935</v>
      </c>
      <c r="AD21" s="22">
        <f>SUM('[2]RawDataSurvey21 1 '!HS7:HS8)/'[2]RawDataSurvey21 1 '!HS$12</f>
        <v>0.14088968380334593</v>
      </c>
      <c r="AE21" s="22">
        <f>SUM('[2]RawDataSurvey21 1 '!HT7:HT8)/'[2]RawDataSurvey21 1 '!HT$12</f>
        <v>0.22569882949669856</v>
      </c>
      <c r="AF21" s="22">
        <f>SUM('[2]RawDataSurvey21 1 '!HU7:HU8)/'[2]RawDataSurvey21 1 '!HU$12</f>
        <v>2.8886548476062496E-2</v>
      </c>
      <c r="AG21" s="22">
        <f>SUM('[2]RawDataSurvey21 1 '!HV7:HV8)/'[2]RawDataSurvey21 1 '!HV$12</f>
        <v>0.14271727740017459</v>
      </c>
      <c r="AH21" s="22">
        <f>SUM('[2]RawDataSurvey21 1 '!HW7:HW8)/'[2]RawDataSurvey21 1 '!HW$12</f>
        <v>0.11961094405617595</v>
      </c>
      <c r="AI21" s="22">
        <f>SUM('[2]RawDataSurvey21 1 '!HX7:HX8)/'[2]RawDataSurvey21 1 '!HX$12</f>
        <v>0.1297241839394192</v>
      </c>
      <c r="AJ21" s="22">
        <f>SUM('[2]RawDataSurvey21 1 '!HY7:HY8)/'[2]RawDataSurvey21 1 '!HY$12</f>
        <v>0.19267340323627666</v>
      </c>
      <c r="AK21" s="22">
        <f>SUM('[2]RawDataSurvey21 1 '!HZ7:HZ8)/'[2]RawDataSurvey21 1 '!HZ$12</f>
        <v>0.10623312265075928</v>
      </c>
      <c r="AL21" s="22">
        <f>SUM('[2]RawDataSurvey21 1 '!IA7:IA8)/'[2]RawDataSurvey21 1 '!IA$12</f>
        <v>7.9063778006471172E-2</v>
      </c>
      <c r="AM21" s="22">
        <f>SUM('[2]RawDataSurvey21 1 '!IB7:IB8)/'[2]RawDataSurvey21 1 '!IB$12</f>
        <v>6.3529797140222763E-2</v>
      </c>
      <c r="AN21" s="22">
        <f>SUM('[2]RawDataSurvey21 1 '!IC7:IC8)/'[2]RawDataSurvey21 1 '!IC$12</f>
        <v>6.676328396453126E-3</v>
      </c>
      <c r="AO21" s="22">
        <f>SUM('[2]RawDataSurvey21 1 '!ID7:ID8)/'[2]RawDataSurvey21 1 '!ID$12</f>
        <v>5.4146999487445432E-3</v>
      </c>
      <c r="AP21" s="22">
        <f>SUM('[2]RawDataSurvey21 1 '!IE7:IE8)/'[2]RawDataSurvey21 1 '!IE$12</f>
        <v>3.9016537978122522E-3</v>
      </c>
      <c r="AQ21" s="22">
        <f>SUM('[2]RawDataSurvey21 1 '!IF7:IF8)/'[2]RawDataSurvey21 1 '!IF$12</f>
        <v>0.45441772924785478</v>
      </c>
      <c r="AR21" s="22">
        <f>SUM('[2]RawDataSurvey21 1 '!IG7:IG8)/'[2]RawDataSurvey21 1 '!IG$12</f>
        <v>0.4032663521078132</v>
      </c>
      <c r="AS21" s="22">
        <f>SUM('[2]RawDataSurvey21 1 '!IH7:IH8)/'[2]RawDataSurvey21 1 '!IH$12</f>
        <v>0.14445388033547199</v>
      </c>
      <c r="AT21" s="22">
        <f>SUM('[2]RawDataSurvey21 1 '!II7:II8)/'[2]RawDataSurvey21 1 '!II$12</f>
        <v>4.848285609409967E-2</v>
      </c>
      <c r="AU21" s="22">
        <f>SUM('[2]RawDataSurvey21 1 '!IJ7:IJ8)/'[2]RawDataSurvey21 1 '!IJ$12</f>
        <v>5.3133313689627128E-2</v>
      </c>
      <c r="AV21" s="22">
        <f>SUM('[2]RawDataSurvey21 1 '!IK7:IK8)/'[2]RawDataSurvey21 1 '!IK$12</f>
        <v>4.1367426475855493E-2</v>
      </c>
      <c r="AW21" s="22">
        <f>SUM('[2]RawDataSurvey21 1 '!IL7:IL8)/'[2]RawDataSurvey21 1 '!IL$12</f>
        <v>3.0249578678229715E-2</v>
      </c>
      <c r="AX21" s="22">
        <f>SUM('[2]RawDataSurvey21 1 '!IM7:IM8)/'[2]RawDataSurvey21 1 '!IM$12</f>
        <v>9.9705798452166886E-2</v>
      </c>
      <c r="AY21" s="22">
        <f>SUM('[2]RawDataSurvey21 1 '!IN7:IN8)/'[2]RawDataSurvey21 1 '!IN$12</f>
        <v>7.8573941725971402E-2</v>
      </c>
      <c r="AZ21" s="22">
        <f>SUM('[2]RawDataSurvey21 1 '!IO7:IO8)/'[2]RawDataSurvey21 1 '!IO$12</f>
        <v>1.6009806215281915E-2</v>
      </c>
      <c r="BA21" s="22">
        <f>SUM('[2]RawDataSurvey21 1 '!IP7:IP8)/'[2]RawDataSurvey21 1 '!IP$12</f>
        <v>2.1142228214401468E-2</v>
      </c>
      <c r="BB21" s="22">
        <f>SUM('[2]RawDataSurvey21 1 '!IQ7:IQ8)/'[2]RawDataSurvey21 1 '!IQ$12</f>
        <v>0.147715015201519</v>
      </c>
      <c r="BC21" s="22">
        <f>SUM('[2]RawDataSurvey21 1 '!IR7:IR8)/'[2]RawDataSurvey21 1 '!IR$12</f>
        <v>0.10319895424340675</v>
      </c>
      <c r="BD21" s="22">
        <f>SUM('[2]RawDataSurvey21 1 '!IS7:IS8)/'[2]RawDataSurvey21 1 '!IS$12</f>
        <v>6.3261162788526587E-2</v>
      </c>
      <c r="BE21" s="22">
        <f>SUM('[2]RawDataSurvey21 1 '!IT7:IT8)/'[2]RawDataSurvey21 1 '!IT$12</f>
        <v>0.22223576381478455</v>
      </c>
      <c r="BF21" s="22">
        <f>SUM('[2]RawDataSurvey21 1 '!IU7:IU8)/'[2]RawDataSurvey21 1 '!IU$12</f>
        <v>0.27431857758477507</v>
      </c>
      <c r="BG21" s="23">
        <f>SUM('[2]RawDataSurvey21 1 '!IV7:IV8)/'[2]RawDataSurvey21 1 '!IV$12</f>
        <v>0.54200515353695156</v>
      </c>
    </row>
    <row r="24" spans="2:59" x14ac:dyDescent="0.25">
      <c r="B24" s="29"/>
      <c r="C24" s="30" t="s">
        <v>1</v>
      </c>
      <c r="D24" s="30" t="s">
        <v>61</v>
      </c>
    </row>
    <row r="25" spans="2:59" x14ac:dyDescent="0.25">
      <c r="B25" s="29" t="s">
        <v>21</v>
      </c>
      <c r="C25" s="31">
        <v>2.794605115360458E-2</v>
      </c>
      <c r="D25" s="31">
        <v>0.51055782223550639</v>
      </c>
    </row>
    <row r="26" spans="2:59" x14ac:dyDescent="0.25">
      <c r="B26" s="29" t="s">
        <v>58</v>
      </c>
      <c r="C26" s="31">
        <v>3.1957720434005132E-2</v>
      </c>
      <c r="D26" s="31">
        <v>0.54200515353695156</v>
      </c>
    </row>
    <row r="27" spans="2:59" x14ac:dyDescent="0.25">
      <c r="B27" s="29" t="s">
        <v>8</v>
      </c>
      <c r="C27" s="31">
        <v>4.3007981188375774E-2</v>
      </c>
      <c r="D27" s="31">
        <v>0.47035093909887138</v>
      </c>
    </row>
    <row r="28" spans="2:59" x14ac:dyDescent="0.25">
      <c r="B28" s="29" t="s">
        <v>42</v>
      </c>
      <c r="C28" s="31">
        <v>4.8987678409038324E-2</v>
      </c>
      <c r="D28" s="31">
        <v>0.45441772924785478</v>
      </c>
    </row>
    <row r="29" spans="2:59" x14ac:dyDescent="0.25">
      <c r="B29" s="29" t="s">
        <v>3</v>
      </c>
      <c r="C29" s="31">
        <v>5.5117272803804018E-2</v>
      </c>
      <c r="D29" s="31">
        <v>0.5552063680408198</v>
      </c>
    </row>
    <row r="30" spans="2:59" x14ac:dyDescent="0.25">
      <c r="B30" s="29" t="s">
        <v>19</v>
      </c>
      <c r="C30" s="31">
        <v>5.7098085102273939E-2</v>
      </c>
      <c r="D30" s="31">
        <v>0.46693807167795198</v>
      </c>
    </row>
    <row r="31" spans="2:59" x14ac:dyDescent="0.25">
      <c r="B31" s="29" t="s">
        <v>22</v>
      </c>
      <c r="C31" s="31">
        <v>6.9761863725975162E-2</v>
      </c>
      <c r="D31" s="31">
        <v>0.34446982019762123</v>
      </c>
    </row>
    <row r="32" spans="2:59" x14ac:dyDescent="0.25">
      <c r="B32" s="29" t="s">
        <v>5</v>
      </c>
      <c r="C32" s="31">
        <v>8.6143088761762618E-2</v>
      </c>
      <c r="D32" s="31">
        <v>0.49358987886656597</v>
      </c>
    </row>
    <row r="33" spans="2:4" x14ac:dyDescent="0.25">
      <c r="B33" s="29" t="s">
        <v>43</v>
      </c>
      <c r="C33" s="31">
        <v>9.2145526569315142E-2</v>
      </c>
      <c r="D33" s="31">
        <v>0.4032663521078132</v>
      </c>
    </row>
    <row r="34" spans="2:4" x14ac:dyDescent="0.25">
      <c r="B34" s="29" t="s">
        <v>57</v>
      </c>
      <c r="C34" s="31">
        <v>0.11414150842686023</v>
      </c>
      <c r="D34" s="31">
        <v>0.27431857758477507</v>
      </c>
    </row>
    <row r="35" spans="2:4" x14ac:dyDescent="0.25">
      <c r="B35" s="29" t="s">
        <v>12</v>
      </c>
      <c r="C35" s="31">
        <v>0.11665360208074826</v>
      </c>
      <c r="D35" s="31">
        <v>0.32275910493782983</v>
      </c>
    </row>
    <row r="36" spans="2:4" x14ac:dyDescent="0.25">
      <c r="B36" s="29" t="s">
        <v>11</v>
      </c>
      <c r="C36" s="31">
        <v>0.12288267262584199</v>
      </c>
      <c r="D36" s="31">
        <v>0.26031670016672309</v>
      </c>
    </row>
    <row r="37" spans="2:4" x14ac:dyDescent="0.25">
      <c r="B37" s="29" t="s">
        <v>6</v>
      </c>
      <c r="C37" s="31">
        <v>0.12305441083092297</v>
      </c>
      <c r="D37" s="31">
        <v>0.34797291500913319</v>
      </c>
    </row>
    <row r="38" spans="2:4" x14ac:dyDescent="0.25">
      <c r="B38" s="29" t="s">
        <v>27</v>
      </c>
      <c r="C38" s="31">
        <v>0.1293321331013054</v>
      </c>
      <c r="D38" s="31">
        <v>0.19708612119623742</v>
      </c>
    </row>
    <row r="39" spans="2:4" x14ac:dyDescent="0.25">
      <c r="B39" s="29" t="s">
        <v>24</v>
      </c>
      <c r="C39" s="31">
        <v>0.13901227284572684</v>
      </c>
      <c r="D39" s="31">
        <v>0.16436607589811525</v>
      </c>
    </row>
    <row r="40" spans="2:4" x14ac:dyDescent="0.25">
      <c r="B40" s="29" t="s">
        <v>28</v>
      </c>
      <c r="C40" s="31">
        <v>0.14548159497586471</v>
      </c>
      <c r="D40" s="31">
        <v>0.18785089505385935</v>
      </c>
    </row>
    <row r="41" spans="2:4" x14ac:dyDescent="0.25">
      <c r="B41" s="29" t="s">
        <v>56</v>
      </c>
      <c r="C41" s="31">
        <v>0.17528781056137538</v>
      </c>
      <c r="D41" s="31">
        <v>0.22223576381478455</v>
      </c>
    </row>
    <row r="42" spans="2:4" x14ac:dyDescent="0.25">
      <c r="B42" s="29" t="s">
        <v>25</v>
      </c>
      <c r="C42" s="31">
        <v>0.18173477569742574</v>
      </c>
      <c r="D42" s="31">
        <v>0.12538978847401988</v>
      </c>
    </row>
    <row r="43" spans="2:4" x14ac:dyDescent="0.25">
      <c r="B43" s="29" t="s">
        <v>23</v>
      </c>
      <c r="C43" s="31">
        <v>0.18684137449809091</v>
      </c>
      <c r="D43" s="31">
        <v>0.12591225530140726</v>
      </c>
    </row>
    <row r="44" spans="2:4" x14ac:dyDescent="0.25">
      <c r="B44" s="29" t="s">
        <v>32</v>
      </c>
      <c r="C44" s="31">
        <v>0.22317627198504025</v>
      </c>
      <c r="D44" s="31">
        <v>0.14271727740017459</v>
      </c>
    </row>
    <row r="45" spans="2:4" x14ac:dyDescent="0.25">
      <c r="B45" s="29" t="s">
        <v>20</v>
      </c>
      <c r="C45" s="31">
        <v>0.23814253066739552</v>
      </c>
      <c r="D45" s="31">
        <v>0.13818776226481266</v>
      </c>
    </row>
    <row r="46" spans="2:4" x14ac:dyDescent="0.25">
      <c r="B46" s="29" t="s">
        <v>35</v>
      </c>
      <c r="C46" s="31">
        <v>0.24661423668943122</v>
      </c>
      <c r="D46" s="31">
        <v>0.19267340323627666</v>
      </c>
    </row>
    <row r="47" spans="2:4" x14ac:dyDescent="0.25">
      <c r="B47" s="29" t="s">
        <v>30</v>
      </c>
      <c r="C47" s="31">
        <v>0.26725414174884299</v>
      </c>
      <c r="D47" s="31">
        <v>0.22569882949669856</v>
      </c>
    </row>
    <row r="48" spans="2:4" x14ac:dyDescent="0.25">
      <c r="B48" s="29" t="s">
        <v>29</v>
      </c>
      <c r="C48" s="31">
        <v>0.2755511196730312</v>
      </c>
      <c r="D48" s="31">
        <v>0.14088968380334593</v>
      </c>
    </row>
    <row r="49" spans="2:4" x14ac:dyDescent="0.25">
      <c r="B49" s="29" t="s">
        <v>14</v>
      </c>
      <c r="C49" s="31">
        <v>0.30537883362222723</v>
      </c>
      <c r="D49" s="31">
        <v>0.15753575707088019</v>
      </c>
    </row>
    <row r="50" spans="2:4" x14ac:dyDescent="0.25">
      <c r="B50" s="29" t="s">
        <v>13</v>
      </c>
      <c r="C50" s="31">
        <v>0.30910709358311772</v>
      </c>
      <c r="D50" s="31">
        <v>0.130672486034733</v>
      </c>
    </row>
    <row r="51" spans="2:4" x14ac:dyDescent="0.25">
      <c r="B51" s="29" t="s">
        <v>15</v>
      </c>
      <c r="C51" s="31">
        <v>0.30974669763757579</v>
      </c>
      <c r="D51" s="31">
        <v>0.10943157546632011</v>
      </c>
    </row>
    <row r="52" spans="2:4" x14ac:dyDescent="0.25">
      <c r="B52" s="29" t="s">
        <v>33</v>
      </c>
      <c r="C52" s="31">
        <v>0.31495017871552727</v>
      </c>
      <c r="D52" s="31">
        <v>0.11961094405617595</v>
      </c>
    </row>
    <row r="53" spans="2:4" x14ac:dyDescent="0.25">
      <c r="B53" s="29" t="s">
        <v>34</v>
      </c>
      <c r="C53" s="31">
        <v>0.31994664321297522</v>
      </c>
      <c r="D53" s="31">
        <v>0.1297241839394192</v>
      </c>
    </row>
    <row r="54" spans="2:4" x14ac:dyDescent="0.25">
      <c r="B54" s="29" t="s">
        <v>18</v>
      </c>
      <c r="C54" s="31">
        <v>0.32286327354038907</v>
      </c>
      <c r="D54" s="31">
        <v>0.15301449469190756</v>
      </c>
    </row>
    <row r="55" spans="2:4" x14ac:dyDescent="0.25">
      <c r="B55" s="29" t="s">
        <v>26</v>
      </c>
      <c r="C55" s="31">
        <v>0.33091187530899907</v>
      </c>
      <c r="D55" s="31">
        <v>7.215238340294361E-2</v>
      </c>
    </row>
    <row r="56" spans="2:4" x14ac:dyDescent="0.25">
      <c r="B56" s="29" t="s">
        <v>44</v>
      </c>
      <c r="C56" s="31">
        <v>0.34205290153830981</v>
      </c>
      <c r="D56" s="31">
        <v>0.14445388033547199</v>
      </c>
    </row>
    <row r="57" spans="2:4" x14ac:dyDescent="0.25">
      <c r="B57" s="29" t="s">
        <v>54</v>
      </c>
      <c r="C57" s="31">
        <v>0.34852991032424896</v>
      </c>
      <c r="D57" s="31">
        <v>0.10319895424340675</v>
      </c>
    </row>
    <row r="58" spans="2:4" x14ac:dyDescent="0.25">
      <c r="B58" s="29" t="s">
        <v>53</v>
      </c>
      <c r="C58" s="31">
        <v>0.35012898147278193</v>
      </c>
      <c r="D58" s="31">
        <v>0.147715015201519</v>
      </c>
    </row>
    <row r="59" spans="2:4" x14ac:dyDescent="0.25">
      <c r="B59" s="29" t="s">
        <v>2</v>
      </c>
      <c r="C59" s="31">
        <v>0.36964474306694745</v>
      </c>
      <c r="D59" s="31">
        <v>0.17095223632546741</v>
      </c>
    </row>
    <row r="60" spans="2:4" x14ac:dyDescent="0.25">
      <c r="B60" s="29" t="s">
        <v>37</v>
      </c>
      <c r="C60" s="31">
        <v>0.37343008819963813</v>
      </c>
      <c r="D60" s="31">
        <v>7.9063778006471172E-2</v>
      </c>
    </row>
    <row r="61" spans="2:4" x14ac:dyDescent="0.25">
      <c r="B61" s="29" t="s">
        <v>36</v>
      </c>
      <c r="C61" s="31">
        <v>0.37818050722154928</v>
      </c>
      <c r="D61" s="31">
        <v>0.10623312265075928</v>
      </c>
    </row>
    <row r="62" spans="2:4" x14ac:dyDescent="0.25">
      <c r="B62" s="29" t="s">
        <v>38</v>
      </c>
      <c r="C62" s="31">
        <v>0.39070645545632426</v>
      </c>
      <c r="D62" s="31">
        <v>6.3529797140222763E-2</v>
      </c>
    </row>
    <row r="63" spans="2:4" x14ac:dyDescent="0.25">
      <c r="B63" s="29" t="s">
        <v>55</v>
      </c>
      <c r="C63" s="31">
        <v>0.41530991942114676</v>
      </c>
      <c r="D63" s="31">
        <v>6.3261162788526587E-2</v>
      </c>
    </row>
    <row r="64" spans="2:4" x14ac:dyDescent="0.25">
      <c r="B64" s="29" t="s">
        <v>31</v>
      </c>
      <c r="C64" s="31">
        <v>0.45164879917462375</v>
      </c>
      <c r="D64" s="31">
        <v>2.8886548476062496E-2</v>
      </c>
    </row>
    <row r="65" spans="2:4" x14ac:dyDescent="0.25">
      <c r="B65" s="29" t="s">
        <v>45</v>
      </c>
      <c r="C65" s="31">
        <v>0.45396168908866713</v>
      </c>
      <c r="D65" s="31">
        <v>4.848285609409967E-2</v>
      </c>
    </row>
    <row r="66" spans="2:4" x14ac:dyDescent="0.25">
      <c r="B66" s="29" t="s">
        <v>46</v>
      </c>
      <c r="C66" s="31">
        <v>0.46591066840195489</v>
      </c>
      <c r="D66" s="31">
        <v>5.3133313689627128E-2</v>
      </c>
    </row>
    <row r="67" spans="2:4" x14ac:dyDescent="0.25">
      <c r="B67" s="29" t="s">
        <v>49</v>
      </c>
      <c r="C67" s="31">
        <v>0.47182141442390818</v>
      </c>
      <c r="D67" s="31">
        <v>9.9705798452166886E-2</v>
      </c>
    </row>
    <row r="68" spans="2:4" x14ac:dyDescent="0.25">
      <c r="B68" s="29" t="s">
        <v>17</v>
      </c>
      <c r="C68" s="31">
        <v>0.47680723153993176</v>
      </c>
      <c r="D68" s="31">
        <v>0.14913160779045381</v>
      </c>
    </row>
    <row r="69" spans="2:4" x14ac:dyDescent="0.25">
      <c r="B69" s="29" t="s">
        <v>48</v>
      </c>
      <c r="C69" s="31">
        <v>0.49461514953082469</v>
      </c>
      <c r="D69" s="31">
        <v>3.0249578678229715E-2</v>
      </c>
    </row>
    <row r="70" spans="2:4" x14ac:dyDescent="0.25">
      <c r="B70" s="29" t="s">
        <v>47</v>
      </c>
      <c r="C70" s="31">
        <v>0.49556954736078951</v>
      </c>
      <c r="D70" s="31">
        <v>4.1367426475855493E-2</v>
      </c>
    </row>
    <row r="71" spans="2:4" x14ac:dyDescent="0.25">
      <c r="B71" s="29" t="s">
        <v>50</v>
      </c>
      <c r="C71" s="31">
        <v>0.51875894305018178</v>
      </c>
      <c r="D71" s="31">
        <v>7.8573941725971402E-2</v>
      </c>
    </row>
    <row r="72" spans="2:4" x14ac:dyDescent="0.25">
      <c r="B72" s="29" t="s">
        <v>7</v>
      </c>
      <c r="C72" s="31">
        <v>0.59563670803439106</v>
      </c>
      <c r="D72" s="31">
        <v>9.8952658830174595E-2</v>
      </c>
    </row>
    <row r="73" spans="2:4" x14ac:dyDescent="0.25">
      <c r="B73" s="29" t="s">
        <v>9</v>
      </c>
      <c r="C73" s="31">
        <v>0.59614727592874817</v>
      </c>
      <c r="D73" s="31">
        <v>4.5757260657793224E-2</v>
      </c>
    </row>
    <row r="74" spans="2:4" x14ac:dyDescent="0.25">
      <c r="B74" s="29" t="s">
        <v>52</v>
      </c>
      <c r="C74" s="31">
        <v>0.60753180209907076</v>
      </c>
      <c r="D74" s="31">
        <v>2.1142228214401468E-2</v>
      </c>
    </row>
    <row r="75" spans="2:4" x14ac:dyDescent="0.25">
      <c r="B75" s="29" t="s">
        <v>51</v>
      </c>
      <c r="C75" s="31">
        <v>0.65504778108624007</v>
      </c>
      <c r="D75" s="31">
        <v>1.6009806215281915E-2</v>
      </c>
    </row>
    <row r="76" spans="2:4" x14ac:dyDescent="0.25">
      <c r="B76" s="29" t="s">
        <v>16</v>
      </c>
      <c r="C76" s="31">
        <v>0.66852986716422469</v>
      </c>
      <c r="D76" s="31">
        <v>7.7280758117205361E-2</v>
      </c>
    </row>
    <row r="77" spans="2:4" x14ac:dyDescent="0.25">
      <c r="B77" s="29" t="s">
        <v>4</v>
      </c>
      <c r="C77" s="31">
        <v>0.71244996482525924</v>
      </c>
      <c r="D77" s="31">
        <v>5.6359668092115227E-2</v>
      </c>
    </row>
    <row r="78" spans="2:4" x14ac:dyDescent="0.25">
      <c r="B78" s="29" t="s">
        <v>40</v>
      </c>
      <c r="C78" s="31">
        <v>0.76016326803898648</v>
      </c>
      <c r="D78" s="31">
        <v>5.4146999487445432E-3</v>
      </c>
    </row>
    <row r="79" spans="2:4" x14ac:dyDescent="0.25">
      <c r="B79" s="29" t="s">
        <v>10</v>
      </c>
      <c r="C79" s="31">
        <v>0.79859015359839813</v>
      </c>
      <c r="D79" s="31">
        <v>1.5106979740873168E-2</v>
      </c>
    </row>
    <row r="80" spans="2:4" x14ac:dyDescent="0.25">
      <c r="B80" s="29" t="s">
        <v>39</v>
      </c>
      <c r="C80" s="31">
        <v>0.82141170202938008</v>
      </c>
      <c r="D80" s="31">
        <v>6.676328396453126E-3</v>
      </c>
    </row>
    <row r="81" spans="2:4" x14ac:dyDescent="0.25">
      <c r="B81" s="29" t="s">
        <v>41</v>
      </c>
      <c r="C81" s="31">
        <v>0.8376625206031324</v>
      </c>
      <c r="D81" s="31">
        <v>3.9016537978122522E-3</v>
      </c>
    </row>
    <row r="82" spans="2:4" x14ac:dyDescent="0.25">
      <c r="B82" s="29"/>
      <c r="C82" s="29"/>
      <c r="D82" s="29"/>
    </row>
    <row r="85" spans="2:4" x14ac:dyDescent="0.25">
      <c r="B85" s="29"/>
      <c r="C85" s="30" t="s">
        <v>1</v>
      </c>
      <c r="D85" s="30"/>
    </row>
    <row r="86" spans="2:4" x14ac:dyDescent="0.25">
      <c r="B86" s="29" t="s">
        <v>21</v>
      </c>
      <c r="C86" s="31">
        <v>2.794605115360458E-2</v>
      </c>
      <c r="D86" s="31"/>
    </row>
    <row r="87" spans="2:4" x14ac:dyDescent="0.25">
      <c r="B87" s="29" t="s">
        <v>58</v>
      </c>
      <c r="C87" s="31">
        <v>3.1957720434005132E-2</v>
      </c>
      <c r="D87" s="31"/>
    </row>
    <row r="88" spans="2:4" x14ac:dyDescent="0.25">
      <c r="B88" s="29" t="s">
        <v>8</v>
      </c>
      <c r="C88" s="31">
        <v>4.3007981188375774E-2</v>
      </c>
      <c r="D88" s="31"/>
    </row>
    <row r="89" spans="2:4" x14ac:dyDescent="0.25">
      <c r="B89" s="29" t="s">
        <v>42</v>
      </c>
      <c r="C89" s="31">
        <v>4.8987678409038324E-2</v>
      </c>
      <c r="D89" s="31"/>
    </row>
    <row r="90" spans="2:4" x14ac:dyDescent="0.25">
      <c r="B90" s="29" t="s">
        <v>3</v>
      </c>
      <c r="C90" s="31">
        <v>5.5117272803804018E-2</v>
      </c>
      <c r="D90" s="31"/>
    </row>
    <row r="91" spans="2:4" x14ac:dyDescent="0.25">
      <c r="B91" s="29" t="s">
        <v>19</v>
      </c>
      <c r="C91" s="31">
        <v>5.7098085102273939E-2</v>
      </c>
      <c r="D91" s="31"/>
    </row>
    <row r="92" spans="2:4" x14ac:dyDescent="0.25">
      <c r="B92" s="29" t="s">
        <v>22</v>
      </c>
      <c r="C92" s="31">
        <v>6.9761863725975162E-2</v>
      </c>
      <c r="D92" s="31"/>
    </row>
    <row r="93" spans="2:4" x14ac:dyDescent="0.25">
      <c r="B93" s="29" t="s">
        <v>5</v>
      </c>
      <c r="C93" s="31">
        <v>8.6143088761762618E-2</v>
      </c>
      <c r="D93" s="31"/>
    </row>
    <row r="94" spans="2:4" x14ac:dyDescent="0.25">
      <c r="B94" s="29" t="s">
        <v>43</v>
      </c>
      <c r="C94" s="31">
        <v>9.2145526569315142E-2</v>
      </c>
      <c r="D94" s="31"/>
    </row>
    <row r="95" spans="2:4" x14ac:dyDescent="0.25">
      <c r="B95" s="29" t="s">
        <v>57</v>
      </c>
      <c r="C95" s="31">
        <v>0.11414150842686023</v>
      </c>
      <c r="D95" s="31"/>
    </row>
    <row r="96" spans="2:4" x14ac:dyDescent="0.25">
      <c r="B96" s="29" t="s">
        <v>12</v>
      </c>
      <c r="C96" s="31">
        <v>0.11665360208074826</v>
      </c>
      <c r="D96" s="31"/>
    </row>
    <row r="97" spans="2:4" x14ac:dyDescent="0.25">
      <c r="B97" s="29" t="s">
        <v>11</v>
      </c>
      <c r="C97" s="31">
        <v>0.12288267262584199</v>
      </c>
      <c r="D97" s="31"/>
    </row>
    <row r="98" spans="2:4" x14ac:dyDescent="0.25">
      <c r="B98" s="29" t="s">
        <v>6</v>
      </c>
      <c r="C98" s="31">
        <v>0.12305441083092297</v>
      </c>
      <c r="D98" s="31"/>
    </row>
    <row r="99" spans="2:4" x14ac:dyDescent="0.25">
      <c r="B99" s="29" t="s">
        <v>27</v>
      </c>
      <c r="C99" s="31">
        <v>0.1293321331013054</v>
      </c>
      <c r="D99" s="31"/>
    </row>
    <row r="100" spans="2:4" x14ac:dyDescent="0.25">
      <c r="B100" s="29" t="s">
        <v>24</v>
      </c>
      <c r="C100" s="31">
        <v>0.13901227284572684</v>
      </c>
      <c r="D100" s="31"/>
    </row>
    <row r="101" spans="2:4" x14ac:dyDescent="0.25">
      <c r="B101" s="29" t="s">
        <v>28</v>
      </c>
      <c r="C101" s="31">
        <v>0.14548159497586471</v>
      </c>
      <c r="D101" s="31"/>
    </row>
    <row r="102" spans="2:4" x14ac:dyDescent="0.25">
      <c r="B102" s="29" t="s">
        <v>56</v>
      </c>
      <c r="C102" s="31">
        <v>0.17528781056137538</v>
      </c>
      <c r="D102" s="31"/>
    </row>
    <row r="103" spans="2:4" x14ac:dyDescent="0.25">
      <c r="B103" s="29" t="s">
        <v>25</v>
      </c>
      <c r="C103" s="31">
        <v>0.18173477569742574</v>
      </c>
      <c r="D103" s="31"/>
    </row>
    <row r="104" spans="2:4" x14ac:dyDescent="0.25">
      <c r="B104" s="29" t="s">
        <v>23</v>
      </c>
      <c r="C104" s="31">
        <v>0.18684137449809091</v>
      </c>
      <c r="D104" s="31"/>
    </row>
    <row r="105" spans="2:4" x14ac:dyDescent="0.25">
      <c r="B105" s="29" t="s">
        <v>32</v>
      </c>
      <c r="C105" s="31">
        <v>0.22317627198504025</v>
      </c>
      <c r="D105" s="31"/>
    </row>
    <row r="106" spans="2:4" x14ac:dyDescent="0.25">
      <c r="B106" s="29" t="s">
        <v>20</v>
      </c>
      <c r="C106" s="31">
        <v>0.23814253066739552</v>
      </c>
      <c r="D106" s="31"/>
    </row>
    <row r="107" spans="2:4" x14ac:dyDescent="0.25">
      <c r="B107" s="29" t="s">
        <v>35</v>
      </c>
      <c r="C107" s="31">
        <v>0.24661423668943122</v>
      </c>
      <c r="D107" s="31"/>
    </row>
    <row r="108" spans="2:4" x14ac:dyDescent="0.25">
      <c r="B108" s="29" t="s">
        <v>30</v>
      </c>
      <c r="C108" s="31">
        <v>0.26725414174884299</v>
      </c>
      <c r="D108" s="31"/>
    </row>
    <row r="109" spans="2:4" x14ac:dyDescent="0.25">
      <c r="B109" s="29" t="s">
        <v>29</v>
      </c>
      <c r="C109" s="31">
        <v>0.2755511196730312</v>
      </c>
      <c r="D109" s="31"/>
    </row>
    <row r="110" spans="2:4" x14ac:dyDescent="0.25">
      <c r="B110" s="29" t="s">
        <v>14</v>
      </c>
      <c r="C110" s="31">
        <v>0.30537883362222723</v>
      </c>
      <c r="D110" s="31"/>
    </row>
    <row r="111" spans="2:4" x14ac:dyDescent="0.25">
      <c r="B111" s="29" t="s">
        <v>13</v>
      </c>
      <c r="C111" s="31">
        <v>0.30910709358311772</v>
      </c>
      <c r="D111" s="31"/>
    </row>
    <row r="112" spans="2:4" x14ac:dyDescent="0.25">
      <c r="B112" s="29" t="s">
        <v>15</v>
      </c>
      <c r="C112" s="31">
        <v>0.30974669763757579</v>
      </c>
      <c r="D112" s="31"/>
    </row>
    <row r="113" spans="2:4" x14ac:dyDescent="0.25">
      <c r="B113" s="29" t="s">
        <v>33</v>
      </c>
      <c r="C113" s="31">
        <v>0.31495017871552727</v>
      </c>
      <c r="D113" s="31"/>
    </row>
    <row r="114" spans="2:4" x14ac:dyDescent="0.25">
      <c r="B114" s="29" t="s">
        <v>34</v>
      </c>
      <c r="C114" s="31">
        <v>0.31994664321297522</v>
      </c>
      <c r="D114" s="31"/>
    </row>
    <row r="115" spans="2:4" x14ac:dyDescent="0.25">
      <c r="B115" s="29" t="s">
        <v>18</v>
      </c>
      <c r="C115" s="31">
        <v>0.32286327354038907</v>
      </c>
      <c r="D115" s="31"/>
    </row>
    <row r="116" spans="2:4" x14ac:dyDescent="0.25">
      <c r="B116" s="29" t="s">
        <v>26</v>
      </c>
      <c r="C116" s="31">
        <v>0.33091187530899907</v>
      </c>
      <c r="D116" s="31"/>
    </row>
    <row r="117" spans="2:4" x14ac:dyDescent="0.25">
      <c r="B117" s="29" t="s">
        <v>44</v>
      </c>
      <c r="C117" s="31">
        <v>0.34205290153830981</v>
      </c>
      <c r="D117" s="31"/>
    </row>
    <row r="118" spans="2:4" x14ac:dyDescent="0.25">
      <c r="B118" s="29" t="s">
        <v>54</v>
      </c>
      <c r="C118" s="31">
        <v>0.34852991032424896</v>
      </c>
      <c r="D118" s="31"/>
    </row>
    <row r="119" spans="2:4" x14ac:dyDescent="0.25">
      <c r="B119" s="29" t="s">
        <v>53</v>
      </c>
      <c r="C119" s="31">
        <v>0.35012898147278193</v>
      </c>
      <c r="D119" s="31"/>
    </row>
    <row r="120" spans="2:4" x14ac:dyDescent="0.25">
      <c r="B120" s="29" t="s">
        <v>2</v>
      </c>
      <c r="C120" s="31">
        <v>0.36964474306694745</v>
      </c>
      <c r="D120" s="31"/>
    </row>
    <row r="121" spans="2:4" x14ac:dyDescent="0.25">
      <c r="B121" s="29" t="s">
        <v>37</v>
      </c>
      <c r="C121" s="31">
        <v>0.37343008819963813</v>
      </c>
      <c r="D121" s="31"/>
    </row>
    <row r="122" spans="2:4" x14ac:dyDescent="0.25">
      <c r="B122" s="29" t="s">
        <v>36</v>
      </c>
      <c r="C122" s="31">
        <v>0.37818050722154928</v>
      </c>
      <c r="D122" s="31"/>
    </row>
    <row r="123" spans="2:4" x14ac:dyDescent="0.25">
      <c r="B123" s="29" t="s">
        <v>38</v>
      </c>
      <c r="C123" s="31">
        <v>0.39070645545632426</v>
      </c>
      <c r="D123" s="31"/>
    </row>
    <row r="124" spans="2:4" x14ac:dyDescent="0.25">
      <c r="B124" s="29" t="s">
        <v>55</v>
      </c>
      <c r="C124" s="31">
        <v>0.41530991942114676</v>
      </c>
      <c r="D124" s="31"/>
    </row>
    <row r="125" spans="2:4" x14ac:dyDescent="0.25">
      <c r="B125" s="29" t="s">
        <v>31</v>
      </c>
      <c r="C125" s="31">
        <v>0.45164879917462375</v>
      </c>
      <c r="D125" s="31"/>
    </row>
    <row r="126" spans="2:4" x14ac:dyDescent="0.25">
      <c r="B126" s="29" t="s">
        <v>45</v>
      </c>
      <c r="C126" s="31">
        <v>0.45396168908866713</v>
      </c>
      <c r="D126" s="31"/>
    </row>
    <row r="127" spans="2:4" x14ac:dyDescent="0.25">
      <c r="B127" s="29" t="s">
        <v>46</v>
      </c>
      <c r="C127" s="31">
        <v>0.46591066840195489</v>
      </c>
      <c r="D127" s="31"/>
    </row>
    <row r="128" spans="2:4" x14ac:dyDescent="0.25">
      <c r="B128" s="29" t="s">
        <v>49</v>
      </c>
      <c r="C128" s="31">
        <v>0.47182141442390818</v>
      </c>
      <c r="D128" s="31"/>
    </row>
    <row r="129" spans="2:4" x14ac:dyDescent="0.25">
      <c r="B129" s="29" t="s">
        <v>17</v>
      </c>
      <c r="C129" s="31">
        <v>0.47680723153993176</v>
      </c>
      <c r="D129" s="31"/>
    </row>
    <row r="130" spans="2:4" x14ac:dyDescent="0.25">
      <c r="B130" s="29" t="s">
        <v>48</v>
      </c>
      <c r="C130" s="31">
        <v>0.49461514953082469</v>
      </c>
      <c r="D130" s="31"/>
    </row>
    <row r="131" spans="2:4" x14ac:dyDescent="0.25">
      <c r="B131" s="29" t="s">
        <v>47</v>
      </c>
      <c r="C131" s="31">
        <v>0.49556954736078951</v>
      </c>
      <c r="D131" s="31"/>
    </row>
    <row r="132" spans="2:4" x14ac:dyDescent="0.25">
      <c r="B132" s="29" t="s">
        <v>50</v>
      </c>
      <c r="C132" s="31">
        <v>0.51875894305018178</v>
      </c>
      <c r="D132" s="31"/>
    </row>
    <row r="133" spans="2:4" x14ac:dyDescent="0.25">
      <c r="B133" s="29" t="s">
        <v>7</v>
      </c>
      <c r="C133" s="31">
        <v>0.59563670803439106</v>
      </c>
      <c r="D133" s="31"/>
    </row>
    <row r="134" spans="2:4" x14ac:dyDescent="0.25">
      <c r="B134" s="29" t="s">
        <v>9</v>
      </c>
      <c r="C134" s="31">
        <v>0.59614727592874817</v>
      </c>
      <c r="D134" s="31"/>
    </row>
    <row r="135" spans="2:4" x14ac:dyDescent="0.25">
      <c r="B135" s="29" t="s">
        <v>52</v>
      </c>
      <c r="C135" s="31">
        <v>0.60753180209907076</v>
      </c>
      <c r="D135" s="31"/>
    </row>
    <row r="136" spans="2:4" x14ac:dyDescent="0.25">
      <c r="B136" s="29" t="s">
        <v>51</v>
      </c>
      <c r="C136" s="31">
        <v>0.65504778108624007</v>
      </c>
      <c r="D136" s="31"/>
    </row>
    <row r="137" spans="2:4" x14ac:dyDescent="0.25">
      <c r="B137" s="29" t="s">
        <v>16</v>
      </c>
      <c r="C137" s="31">
        <v>0.66852986716422469</v>
      </c>
      <c r="D137" s="31"/>
    </row>
    <row r="138" spans="2:4" x14ac:dyDescent="0.25">
      <c r="B138" s="29" t="s">
        <v>4</v>
      </c>
      <c r="C138" s="31">
        <v>0.71244996482525924</v>
      </c>
      <c r="D138" s="31"/>
    </row>
    <row r="139" spans="2:4" x14ac:dyDescent="0.25">
      <c r="B139" s="29" t="s">
        <v>40</v>
      </c>
      <c r="C139" s="31">
        <v>0.76016326803898648</v>
      </c>
      <c r="D139" s="31"/>
    </row>
    <row r="140" spans="2:4" x14ac:dyDescent="0.25">
      <c r="B140" s="29" t="s">
        <v>10</v>
      </c>
      <c r="C140" s="31">
        <v>0.79859015359839813</v>
      </c>
      <c r="D140" s="31"/>
    </row>
    <row r="141" spans="2:4" x14ac:dyDescent="0.25">
      <c r="B141" s="29" t="s">
        <v>39</v>
      </c>
      <c r="C141" s="31">
        <v>0.82141170202938008</v>
      </c>
      <c r="D141" s="31"/>
    </row>
    <row r="142" spans="2:4" x14ac:dyDescent="0.25">
      <c r="B142" s="29" t="s">
        <v>41</v>
      </c>
      <c r="C142" s="31">
        <v>0.8376625206031324</v>
      </c>
      <c r="D142" s="31"/>
    </row>
    <row r="145" spans="2:3" x14ac:dyDescent="0.25">
      <c r="B145" s="29"/>
      <c r="C145" s="30" t="s">
        <v>61</v>
      </c>
    </row>
    <row r="146" spans="2:3" x14ac:dyDescent="0.25">
      <c r="B146" s="29" t="s">
        <v>41</v>
      </c>
      <c r="C146" s="31">
        <v>3.9016537978122522E-3</v>
      </c>
    </row>
    <row r="147" spans="2:3" x14ac:dyDescent="0.25">
      <c r="B147" s="29" t="s">
        <v>40</v>
      </c>
      <c r="C147" s="31">
        <v>5.4146999487445432E-3</v>
      </c>
    </row>
    <row r="148" spans="2:3" x14ac:dyDescent="0.25">
      <c r="B148" s="29" t="s">
        <v>39</v>
      </c>
      <c r="C148" s="31">
        <v>6.676328396453126E-3</v>
      </c>
    </row>
    <row r="149" spans="2:3" x14ac:dyDescent="0.25">
      <c r="B149" s="29" t="s">
        <v>10</v>
      </c>
      <c r="C149" s="31">
        <v>1.5106979740873168E-2</v>
      </c>
    </row>
    <row r="150" spans="2:3" x14ac:dyDescent="0.25">
      <c r="B150" s="29" t="s">
        <v>51</v>
      </c>
      <c r="C150" s="31">
        <v>1.6009806215281915E-2</v>
      </c>
    </row>
    <row r="151" spans="2:3" x14ac:dyDescent="0.25">
      <c r="B151" s="29" t="s">
        <v>52</v>
      </c>
      <c r="C151" s="31">
        <v>2.1142228214401468E-2</v>
      </c>
    </row>
    <row r="152" spans="2:3" x14ac:dyDescent="0.25">
      <c r="B152" s="29" t="s">
        <v>31</v>
      </c>
      <c r="C152" s="31">
        <v>2.8886548476062496E-2</v>
      </c>
    </row>
    <row r="153" spans="2:3" x14ac:dyDescent="0.25">
      <c r="B153" s="29" t="s">
        <v>48</v>
      </c>
      <c r="C153" s="31">
        <v>3.0249578678229715E-2</v>
      </c>
    </row>
    <row r="154" spans="2:3" x14ac:dyDescent="0.25">
      <c r="B154" s="29" t="s">
        <v>47</v>
      </c>
      <c r="C154" s="31">
        <v>4.1367426475855493E-2</v>
      </c>
    </row>
    <row r="155" spans="2:3" x14ac:dyDescent="0.25">
      <c r="B155" s="29" t="s">
        <v>9</v>
      </c>
      <c r="C155" s="31">
        <v>4.5757260657793224E-2</v>
      </c>
    </row>
    <row r="156" spans="2:3" x14ac:dyDescent="0.25">
      <c r="B156" s="29" t="s">
        <v>45</v>
      </c>
      <c r="C156" s="31">
        <v>4.848285609409967E-2</v>
      </c>
    </row>
    <row r="157" spans="2:3" x14ac:dyDescent="0.25">
      <c r="B157" s="29" t="s">
        <v>46</v>
      </c>
      <c r="C157" s="31">
        <v>5.3133313689627128E-2</v>
      </c>
    </row>
    <row r="158" spans="2:3" x14ac:dyDescent="0.25">
      <c r="B158" s="29" t="s">
        <v>4</v>
      </c>
      <c r="C158" s="31">
        <v>5.6359668092115227E-2</v>
      </c>
    </row>
    <row r="159" spans="2:3" x14ac:dyDescent="0.25">
      <c r="B159" s="29" t="s">
        <v>55</v>
      </c>
      <c r="C159" s="31">
        <v>6.3261162788526587E-2</v>
      </c>
    </row>
    <row r="160" spans="2:3" x14ac:dyDescent="0.25">
      <c r="B160" s="29" t="s">
        <v>38</v>
      </c>
      <c r="C160" s="31">
        <v>6.3529797140222763E-2</v>
      </c>
    </row>
    <row r="161" spans="2:3" x14ac:dyDescent="0.25">
      <c r="B161" s="29" t="s">
        <v>26</v>
      </c>
      <c r="C161" s="31">
        <v>7.215238340294361E-2</v>
      </c>
    </row>
    <row r="162" spans="2:3" x14ac:dyDescent="0.25">
      <c r="B162" s="29" t="s">
        <v>16</v>
      </c>
      <c r="C162" s="31">
        <v>7.7280758117205361E-2</v>
      </c>
    </row>
    <row r="163" spans="2:3" x14ac:dyDescent="0.25">
      <c r="B163" s="29" t="s">
        <v>50</v>
      </c>
      <c r="C163" s="31">
        <v>7.8573941725971402E-2</v>
      </c>
    </row>
    <row r="164" spans="2:3" x14ac:dyDescent="0.25">
      <c r="B164" s="29" t="s">
        <v>37</v>
      </c>
      <c r="C164" s="31">
        <v>7.9063778006471172E-2</v>
      </c>
    </row>
    <row r="165" spans="2:3" x14ac:dyDescent="0.25">
      <c r="B165" s="29" t="s">
        <v>7</v>
      </c>
      <c r="C165" s="31">
        <v>9.8952658830174595E-2</v>
      </c>
    </row>
    <row r="166" spans="2:3" x14ac:dyDescent="0.25">
      <c r="B166" s="29" t="s">
        <v>49</v>
      </c>
      <c r="C166" s="31">
        <v>9.9705798452166886E-2</v>
      </c>
    </row>
    <row r="167" spans="2:3" x14ac:dyDescent="0.25">
      <c r="B167" s="29" t="s">
        <v>54</v>
      </c>
      <c r="C167" s="31">
        <v>0.10319895424340675</v>
      </c>
    </row>
    <row r="168" spans="2:3" x14ac:dyDescent="0.25">
      <c r="B168" s="29" t="s">
        <v>36</v>
      </c>
      <c r="C168" s="31">
        <v>0.10623312265075928</v>
      </c>
    </row>
    <row r="169" spans="2:3" x14ac:dyDescent="0.25">
      <c r="B169" s="29" t="s">
        <v>15</v>
      </c>
      <c r="C169" s="31">
        <v>0.10943157546632011</v>
      </c>
    </row>
    <row r="170" spans="2:3" x14ac:dyDescent="0.25">
      <c r="B170" s="29" t="s">
        <v>33</v>
      </c>
      <c r="C170" s="31">
        <v>0.11961094405617595</v>
      </c>
    </row>
    <row r="171" spans="2:3" x14ac:dyDescent="0.25">
      <c r="B171" s="29" t="s">
        <v>25</v>
      </c>
      <c r="C171" s="31">
        <v>0.12538978847401988</v>
      </c>
    </row>
    <row r="172" spans="2:3" x14ac:dyDescent="0.25">
      <c r="B172" s="29" t="s">
        <v>23</v>
      </c>
      <c r="C172" s="31">
        <v>0.12591225530140726</v>
      </c>
    </row>
    <row r="173" spans="2:3" x14ac:dyDescent="0.25">
      <c r="B173" s="29" t="s">
        <v>34</v>
      </c>
      <c r="C173" s="31">
        <v>0.1297241839394192</v>
      </c>
    </row>
    <row r="174" spans="2:3" x14ac:dyDescent="0.25">
      <c r="B174" s="29" t="s">
        <v>13</v>
      </c>
      <c r="C174" s="31">
        <v>0.130672486034733</v>
      </c>
    </row>
    <row r="175" spans="2:3" x14ac:dyDescent="0.25">
      <c r="B175" s="29" t="s">
        <v>20</v>
      </c>
      <c r="C175" s="31">
        <v>0.13818776226481266</v>
      </c>
    </row>
    <row r="176" spans="2:3" x14ac:dyDescent="0.25">
      <c r="B176" s="29" t="s">
        <v>29</v>
      </c>
      <c r="C176" s="31">
        <v>0.14088968380334593</v>
      </c>
    </row>
    <row r="177" spans="2:3" x14ac:dyDescent="0.25">
      <c r="B177" s="29" t="s">
        <v>32</v>
      </c>
      <c r="C177" s="31">
        <v>0.14271727740017459</v>
      </c>
    </row>
    <row r="178" spans="2:3" x14ac:dyDescent="0.25">
      <c r="B178" s="29" t="s">
        <v>44</v>
      </c>
      <c r="C178" s="31">
        <v>0.14445388033547199</v>
      </c>
    </row>
    <row r="179" spans="2:3" x14ac:dyDescent="0.25">
      <c r="B179" s="29" t="s">
        <v>53</v>
      </c>
      <c r="C179" s="31">
        <v>0.147715015201519</v>
      </c>
    </row>
    <row r="180" spans="2:3" x14ac:dyDescent="0.25">
      <c r="B180" s="29" t="s">
        <v>17</v>
      </c>
      <c r="C180" s="31">
        <v>0.14913160779045381</v>
      </c>
    </row>
    <row r="181" spans="2:3" x14ac:dyDescent="0.25">
      <c r="B181" s="29" t="s">
        <v>18</v>
      </c>
      <c r="C181" s="31">
        <v>0.15301449469190756</v>
      </c>
    </row>
    <row r="182" spans="2:3" x14ac:dyDescent="0.25">
      <c r="B182" s="29" t="s">
        <v>14</v>
      </c>
      <c r="C182" s="31">
        <v>0.15753575707088019</v>
      </c>
    </row>
    <row r="183" spans="2:3" x14ac:dyDescent="0.25">
      <c r="B183" s="29" t="s">
        <v>24</v>
      </c>
      <c r="C183" s="31">
        <v>0.16436607589811525</v>
      </c>
    </row>
    <row r="184" spans="2:3" x14ac:dyDescent="0.25">
      <c r="B184" s="29" t="s">
        <v>2</v>
      </c>
      <c r="C184" s="31">
        <v>0.17095223632546741</v>
      </c>
    </row>
    <row r="185" spans="2:3" x14ac:dyDescent="0.25">
      <c r="B185" s="29" t="s">
        <v>28</v>
      </c>
      <c r="C185" s="31">
        <v>0.18785089505385935</v>
      </c>
    </row>
    <row r="186" spans="2:3" x14ac:dyDescent="0.25">
      <c r="B186" s="29" t="s">
        <v>35</v>
      </c>
      <c r="C186" s="31">
        <v>0.19267340323627666</v>
      </c>
    </row>
    <row r="187" spans="2:3" x14ac:dyDescent="0.25">
      <c r="B187" s="29" t="s">
        <v>27</v>
      </c>
      <c r="C187" s="31">
        <v>0.19708612119623742</v>
      </c>
    </row>
    <row r="188" spans="2:3" x14ac:dyDescent="0.25">
      <c r="B188" s="29" t="s">
        <v>56</v>
      </c>
      <c r="C188" s="31">
        <v>0.22223576381478455</v>
      </c>
    </row>
    <row r="189" spans="2:3" x14ac:dyDescent="0.25">
      <c r="B189" s="29" t="s">
        <v>30</v>
      </c>
      <c r="C189" s="31">
        <v>0.22569882949669856</v>
      </c>
    </row>
    <row r="190" spans="2:3" x14ac:dyDescent="0.25">
      <c r="B190" s="29" t="s">
        <v>11</v>
      </c>
      <c r="C190" s="31">
        <v>0.26031670016672309</v>
      </c>
    </row>
    <row r="191" spans="2:3" x14ac:dyDescent="0.25">
      <c r="B191" s="29" t="s">
        <v>57</v>
      </c>
      <c r="C191" s="31">
        <v>0.27431857758477507</v>
      </c>
    </row>
    <row r="192" spans="2:3" x14ac:dyDescent="0.25">
      <c r="B192" s="29" t="s">
        <v>12</v>
      </c>
      <c r="C192" s="31">
        <v>0.32275910493782983</v>
      </c>
    </row>
    <row r="193" spans="2:3" x14ac:dyDescent="0.25">
      <c r="B193" s="29" t="s">
        <v>22</v>
      </c>
      <c r="C193" s="31">
        <v>0.34446982019762123</v>
      </c>
    </row>
    <row r="194" spans="2:3" x14ac:dyDescent="0.25">
      <c r="B194" s="29" t="s">
        <v>6</v>
      </c>
      <c r="C194" s="31">
        <v>0.34797291500913319</v>
      </c>
    </row>
    <row r="195" spans="2:3" x14ac:dyDescent="0.25">
      <c r="B195" s="29" t="s">
        <v>43</v>
      </c>
      <c r="C195" s="31">
        <v>0.4032663521078132</v>
      </c>
    </row>
    <row r="196" spans="2:3" x14ac:dyDescent="0.25">
      <c r="B196" s="29" t="s">
        <v>42</v>
      </c>
      <c r="C196" s="31">
        <v>0.45441772924785478</v>
      </c>
    </row>
    <row r="197" spans="2:3" x14ac:dyDescent="0.25">
      <c r="B197" s="29" t="s">
        <v>19</v>
      </c>
      <c r="C197" s="31">
        <v>0.46693807167795198</v>
      </c>
    </row>
    <row r="198" spans="2:3" x14ac:dyDescent="0.25">
      <c r="B198" s="29" t="s">
        <v>8</v>
      </c>
      <c r="C198" s="31">
        <v>0.47035093909887138</v>
      </c>
    </row>
    <row r="199" spans="2:3" x14ac:dyDescent="0.25">
      <c r="B199" s="29" t="s">
        <v>5</v>
      </c>
      <c r="C199" s="31">
        <v>0.49358987886656597</v>
      </c>
    </row>
    <row r="200" spans="2:3" x14ac:dyDescent="0.25">
      <c r="B200" s="29" t="s">
        <v>21</v>
      </c>
      <c r="C200" s="31">
        <v>0.51055782223550639</v>
      </c>
    </row>
    <row r="201" spans="2:3" x14ac:dyDescent="0.25">
      <c r="B201" s="29" t="s">
        <v>58</v>
      </c>
      <c r="C201" s="31">
        <v>0.54200515353695156</v>
      </c>
    </row>
    <row r="202" spans="2:3" x14ac:dyDescent="0.25">
      <c r="B202" s="29" t="s">
        <v>3</v>
      </c>
      <c r="C202" s="31">
        <v>0.5552063680408198</v>
      </c>
    </row>
    <row r="205" spans="2:3" x14ac:dyDescent="0.25">
      <c r="C205" s="5" t="s">
        <v>59</v>
      </c>
    </row>
    <row r="206" spans="2:3" x14ac:dyDescent="0.25">
      <c r="B206" s="5" t="s">
        <v>42</v>
      </c>
      <c r="C206" s="31">
        <v>2.1300386475139407E-4</v>
      </c>
    </row>
    <row r="207" spans="2:3" x14ac:dyDescent="0.25">
      <c r="B207" s="5" t="s">
        <v>24</v>
      </c>
      <c r="C207" s="31">
        <v>1.0706900315139063E-3</v>
      </c>
    </row>
    <row r="208" spans="2:3" x14ac:dyDescent="0.25">
      <c r="B208" s="5" t="s">
        <v>3</v>
      </c>
      <c r="C208" s="31">
        <v>1.1837909699367031E-3</v>
      </c>
    </row>
    <row r="209" spans="2:3" x14ac:dyDescent="0.25">
      <c r="B209" s="5" t="s">
        <v>43</v>
      </c>
      <c r="C209" s="31">
        <v>1.4055015709967132E-3</v>
      </c>
    </row>
    <row r="210" spans="2:3" x14ac:dyDescent="0.25">
      <c r="B210" s="5" t="s">
        <v>28</v>
      </c>
      <c r="C210" s="31">
        <v>1.4654390448915191E-3</v>
      </c>
    </row>
    <row r="211" spans="2:3" x14ac:dyDescent="0.25">
      <c r="B211" s="5" t="s">
        <v>21</v>
      </c>
      <c r="C211" s="31">
        <v>1.7505838115632743E-3</v>
      </c>
    </row>
    <row r="212" spans="2:3" x14ac:dyDescent="0.25">
      <c r="B212" s="5" t="s">
        <v>23</v>
      </c>
      <c r="C212" s="31">
        <v>1.7869694668668633E-3</v>
      </c>
    </row>
    <row r="213" spans="2:3" x14ac:dyDescent="0.25">
      <c r="B213" s="5" t="s">
        <v>19</v>
      </c>
      <c r="C213" s="31">
        <v>1.8147046624168242E-3</v>
      </c>
    </row>
    <row r="214" spans="2:3" x14ac:dyDescent="0.25">
      <c r="B214" s="5" t="s">
        <v>27</v>
      </c>
      <c r="C214" s="31">
        <v>1.8642221003625265E-3</v>
      </c>
    </row>
    <row r="215" spans="2:3" x14ac:dyDescent="0.25">
      <c r="B215" s="5" t="s">
        <v>6</v>
      </c>
      <c r="C215" s="31">
        <v>2.1742672395031861E-3</v>
      </c>
    </row>
    <row r="216" spans="2:3" x14ac:dyDescent="0.25">
      <c r="B216" s="5" t="s">
        <v>5</v>
      </c>
      <c r="C216" s="31">
        <v>2.332765393753385E-3</v>
      </c>
    </row>
    <row r="217" spans="2:3" x14ac:dyDescent="0.25">
      <c r="B217" s="5" t="s">
        <v>12</v>
      </c>
      <c r="C217" s="31">
        <v>2.4658465663597172E-3</v>
      </c>
    </row>
    <row r="218" spans="2:3" x14ac:dyDescent="0.25">
      <c r="B218" s="5" t="s">
        <v>22</v>
      </c>
      <c r="C218" s="31">
        <v>2.5351419692212431E-3</v>
      </c>
    </row>
    <row r="219" spans="2:3" x14ac:dyDescent="0.25">
      <c r="B219" s="5" t="s">
        <v>25</v>
      </c>
      <c r="C219" s="31">
        <v>2.9221603683502527E-3</v>
      </c>
    </row>
    <row r="220" spans="2:3" x14ac:dyDescent="0.25">
      <c r="B220" s="5" t="s">
        <v>8</v>
      </c>
      <c r="C220" s="31">
        <v>3.2825856344310231E-3</v>
      </c>
    </row>
    <row r="221" spans="2:3" x14ac:dyDescent="0.25">
      <c r="B221" s="5" t="s">
        <v>58</v>
      </c>
      <c r="C221" s="31">
        <v>3.5925419256875152E-3</v>
      </c>
    </row>
    <row r="222" spans="2:3" x14ac:dyDescent="0.25">
      <c r="B222" s="5" t="s">
        <v>57</v>
      </c>
      <c r="C222" s="31">
        <v>6.4706052776734319E-3</v>
      </c>
    </row>
    <row r="223" spans="2:3" x14ac:dyDescent="0.25">
      <c r="B223" s="5" t="s">
        <v>33</v>
      </c>
      <c r="C223" s="31">
        <v>7.4114154380177715E-3</v>
      </c>
    </row>
    <row r="224" spans="2:3" x14ac:dyDescent="0.25">
      <c r="B224" s="5" t="s">
        <v>32</v>
      </c>
      <c r="C224" s="31">
        <v>8.0561793214317095E-3</v>
      </c>
    </row>
    <row r="225" spans="2:3" x14ac:dyDescent="0.25">
      <c r="B225" s="5" t="s">
        <v>20</v>
      </c>
      <c r="C225" s="31">
        <v>8.3233971106429442E-3</v>
      </c>
    </row>
    <row r="226" spans="2:3" x14ac:dyDescent="0.25">
      <c r="B226" s="5" t="s">
        <v>35</v>
      </c>
      <c r="C226" s="31">
        <v>9.0973233239514447E-3</v>
      </c>
    </row>
    <row r="227" spans="2:3" x14ac:dyDescent="0.25">
      <c r="B227" s="5" t="s">
        <v>11</v>
      </c>
      <c r="C227" s="31">
        <v>9.2096448968721663E-3</v>
      </c>
    </row>
    <row r="228" spans="2:3" x14ac:dyDescent="0.25">
      <c r="B228" s="5" t="s">
        <v>56</v>
      </c>
      <c r="C228" s="31">
        <v>1.0158465160303722E-2</v>
      </c>
    </row>
    <row r="229" spans="2:3" x14ac:dyDescent="0.25">
      <c r="B229" s="5" t="s">
        <v>34</v>
      </c>
      <c r="C229" s="31">
        <v>1.1080824277859069E-2</v>
      </c>
    </row>
    <row r="230" spans="2:3" x14ac:dyDescent="0.25">
      <c r="B230" s="5" t="s">
        <v>14</v>
      </c>
      <c r="C230" s="31">
        <v>1.1874491840038108E-2</v>
      </c>
    </row>
    <row r="231" spans="2:3" x14ac:dyDescent="0.25">
      <c r="B231" s="5" t="s">
        <v>15</v>
      </c>
      <c r="C231" s="31">
        <v>1.1899583986511289E-2</v>
      </c>
    </row>
    <row r="232" spans="2:3" x14ac:dyDescent="0.25">
      <c r="B232" s="5" t="s">
        <v>29</v>
      </c>
      <c r="C232" s="31">
        <v>1.2104040809249452E-2</v>
      </c>
    </row>
    <row r="233" spans="2:3" x14ac:dyDescent="0.25">
      <c r="B233" s="5" t="s">
        <v>30</v>
      </c>
      <c r="C233" s="31">
        <v>1.3641386507999224E-2</v>
      </c>
    </row>
    <row r="234" spans="2:3" x14ac:dyDescent="0.25">
      <c r="B234" s="5" t="s">
        <v>26</v>
      </c>
      <c r="C234" s="31">
        <v>1.4116147257265262E-2</v>
      </c>
    </row>
    <row r="235" spans="2:3" x14ac:dyDescent="0.25">
      <c r="B235" s="5" t="s">
        <v>13</v>
      </c>
      <c r="C235" s="31">
        <v>1.4908252172980299E-2</v>
      </c>
    </row>
    <row r="236" spans="2:3" x14ac:dyDescent="0.25">
      <c r="B236" s="5" t="s">
        <v>18</v>
      </c>
      <c r="C236" s="31">
        <v>1.517842235856781E-2</v>
      </c>
    </row>
    <row r="237" spans="2:3" x14ac:dyDescent="0.25">
      <c r="B237" s="5" t="s">
        <v>36</v>
      </c>
      <c r="C237" s="31">
        <v>1.5758673388029071E-2</v>
      </c>
    </row>
    <row r="238" spans="2:3" x14ac:dyDescent="0.25">
      <c r="B238" s="5" t="s">
        <v>54</v>
      </c>
      <c r="C238" s="31">
        <v>1.9020237790689721E-2</v>
      </c>
    </row>
    <row r="239" spans="2:3" x14ac:dyDescent="0.25">
      <c r="B239" s="5" t="s">
        <v>37</v>
      </c>
      <c r="C239" s="31">
        <v>2.1160785317892766E-2</v>
      </c>
    </row>
    <row r="240" spans="2:3" x14ac:dyDescent="0.25">
      <c r="B240" s="5" t="s">
        <v>53</v>
      </c>
      <c r="C240" s="31">
        <v>2.4516865119107702E-2</v>
      </c>
    </row>
    <row r="241" spans="2:3" x14ac:dyDescent="0.25">
      <c r="B241" s="5" t="s">
        <v>2</v>
      </c>
      <c r="C241" s="31">
        <v>2.820796001568994E-2</v>
      </c>
    </row>
    <row r="242" spans="2:3" x14ac:dyDescent="0.25">
      <c r="B242" s="5" t="s">
        <v>31</v>
      </c>
      <c r="C242" s="31">
        <v>4.1089250134453227E-2</v>
      </c>
    </row>
    <row r="243" spans="2:3" x14ac:dyDescent="0.25">
      <c r="B243" s="5" t="s">
        <v>17</v>
      </c>
      <c r="C243" s="31">
        <v>4.1203291277969546E-2</v>
      </c>
    </row>
    <row r="244" spans="2:3" x14ac:dyDescent="0.25">
      <c r="B244" s="5" t="s">
        <v>55</v>
      </c>
      <c r="C244" s="31">
        <v>4.1967672882953673E-2</v>
      </c>
    </row>
    <row r="245" spans="2:3" x14ac:dyDescent="0.25">
      <c r="B245" s="5" t="s">
        <v>46</v>
      </c>
      <c r="C245" s="31">
        <v>4.3369047211295073E-2</v>
      </c>
    </row>
    <row r="246" spans="2:3" x14ac:dyDescent="0.25">
      <c r="B246" s="5" t="s">
        <v>45</v>
      </c>
      <c r="C246" s="31">
        <v>4.445135824284089E-2</v>
      </c>
    </row>
    <row r="247" spans="2:3" x14ac:dyDescent="0.25">
      <c r="B247" s="5" t="s">
        <v>44</v>
      </c>
      <c r="C247" s="31">
        <v>4.7692560254997574E-2</v>
      </c>
    </row>
    <row r="248" spans="2:3" x14ac:dyDescent="0.25">
      <c r="B248" s="5" t="s">
        <v>38</v>
      </c>
      <c r="C248" s="31">
        <v>5.0352583744682641E-2</v>
      </c>
    </row>
    <row r="249" spans="2:3" x14ac:dyDescent="0.25">
      <c r="B249" s="5" t="s">
        <v>47</v>
      </c>
      <c r="C249" s="31">
        <v>5.1818220479544742E-2</v>
      </c>
    </row>
    <row r="250" spans="2:3" x14ac:dyDescent="0.25">
      <c r="B250" s="5" t="s">
        <v>48</v>
      </c>
      <c r="C250" s="31">
        <v>5.197045611856476E-2</v>
      </c>
    </row>
    <row r="251" spans="2:3" x14ac:dyDescent="0.25">
      <c r="B251" s="5" t="s">
        <v>50</v>
      </c>
      <c r="C251" s="31">
        <v>6.6178836915696398E-2</v>
      </c>
    </row>
    <row r="252" spans="2:3" x14ac:dyDescent="0.25">
      <c r="B252" s="5" t="s">
        <v>49</v>
      </c>
      <c r="C252" s="31">
        <v>7.1260924110986251E-2</v>
      </c>
    </row>
    <row r="253" spans="2:3" x14ac:dyDescent="0.25">
      <c r="B253" s="5" t="s">
        <v>16</v>
      </c>
      <c r="C253" s="31">
        <v>8.7177998149360836E-2</v>
      </c>
    </row>
    <row r="254" spans="2:3" x14ac:dyDescent="0.25">
      <c r="B254" s="5" t="s">
        <v>51</v>
      </c>
      <c r="C254" s="31">
        <v>0.1021480939266773</v>
      </c>
    </row>
    <row r="255" spans="2:3" x14ac:dyDescent="0.25">
      <c r="B255" s="5" t="s">
        <v>9</v>
      </c>
      <c r="C255" s="31">
        <v>0.11631396619520562</v>
      </c>
    </row>
    <row r="256" spans="2:3" x14ac:dyDescent="0.25">
      <c r="B256" s="5" t="s">
        <v>52</v>
      </c>
      <c r="C256" s="31">
        <v>0.11656610057636663</v>
      </c>
    </row>
    <row r="257" spans="2:3" x14ac:dyDescent="0.25">
      <c r="B257" s="5" t="s">
        <v>7</v>
      </c>
      <c r="C257" s="31">
        <v>0.11981662274483576</v>
      </c>
    </row>
    <row r="258" spans="2:3" x14ac:dyDescent="0.25">
      <c r="B258" s="5" t="s">
        <v>4</v>
      </c>
      <c r="C258" s="31">
        <v>0.15267213556844267</v>
      </c>
    </row>
    <row r="259" spans="2:3" x14ac:dyDescent="0.25">
      <c r="B259" s="5" t="s">
        <v>40</v>
      </c>
      <c r="C259" s="31">
        <v>0.19502269140071513</v>
      </c>
    </row>
    <row r="260" spans="2:3" x14ac:dyDescent="0.25">
      <c r="B260" s="5" t="s">
        <v>10</v>
      </c>
      <c r="C260" s="31">
        <v>0.1951469035344254</v>
      </c>
    </row>
    <row r="261" spans="2:3" x14ac:dyDescent="0.25">
      <c r="B261" s="5" t="s">
        <v>39</v>
      </c>
      <c r="C261" s="31">
        <v>0.27065664186840427</v>
      </c>
    </row>
    <row r="262" spans="2:3" x14ac:dyDescent="0.25">
      <c r="B262" s="5" t="s">
        <v>41</v>
      </c>
      <c r="C262" s="31">
        <v>0.33214705085760887</v>
      </c>
    </row>
    <row r="266" spans="2:3" x14ac:dyDescent="0.25">
      <c r="C266" s="5" t="s">
        <v>62</v>
      </c>
    </row>
    <row r="267" spans="2:3" x14ac:dyDescent="0.25">
      <c r="B267" s="5" t="s">
        <v>40</v>
      </c>
      <c r="C267" s="31">
        <v>1.440542753223724E-3</v>
      </c>
    </row>
    <row r="268" spans="2:3" x14ac:dyDescent="0.25">
      <c r="B268" s="5" t="s">
        <v>39</v>
      </c>
      <c r="C268" s="31">
        <v>1.8131225101451231E-3</v>
      </c>
    </row>
    <row r="269" spans="2:3" x14ac:dyDescent="0.25">
      <c r="B269" s="5" t="s">
        <v>41</v>
      </c>
      <c r="C269" s="31">
        <v>2.1519408045077002E-3</v>
      </c>
    </row>
    <row r="270" spans="2:3" x14ac:dyDescent="0.25">
      <c r="B270" s="5" t="s">
        <v>51</v>
      </c>
      <c r="C270" s="31">
        <v>3.7357872530556259E-3</v>
      </c>
    </row>
    <row r="271" spans="2:3" x14ac:dyDescent="0.25">
      <c r="B271" s="5" t="s">
        <v>52</v>
      </c>
      <c r="C271" s="31">
        <v>6.1108680219662563E-3</v>
      </c>
    </row>
    <row r="272" spans="2:3" x14ac:dyDescent="0.25">
      <c r="B272" s="5" t="s">
        <v>48</v>
      </c>
      <c r="C272" s="31">
        <v>6.3045679401893913E-3</v>
      </c>
    </row>
    <row r="273" spans="2:3" x14ac:dyDescent="0.25">
      <c r="B273" s="5" t="s">
        <v>10</v>
      </c>
      <c r="C273" s="31">
        <v>9.232524597310561E-3</v>
      </c>
    </row>
    <row r="274" spans="2:3" x14ac:dyDescent="0.25">
      <c r="B274" s="5" t="s">
        <v>47</v>
      </c>
      <c r="C274" s="31">
        <v>9.8010047049353431E-3</v>
      </c>
    </row>
    <row r="275" spans="2:3" x14ac:dyDescent="0.25">
      <c r="B275" s="5" t="s">
        <v>45</v>
      </c>
      <c r="C275" s="31">
        <v>1.0176813862282539E-2</v>
      </c>
    </row>
    <row r="276" spans="2:3" x14ac:dyDescent="0.25">
      <c r="B276" s="5" t="s">
        <v>31</v>
      </c>
      <c r="C276" s="31">
        <v>1.1524222323584089E-2</v>
      </c>
    </row>
    <row r="277" spans="2:3" x14ac:dyDescent="0.25">
      <c r="B277" s="5" t="s">
        <v>4</v>
      </c>
      <c r="C277" s="31">
        <v>1.2628011806653997E-2</v>
      </c>
    </row>
    <row r="278" spans="2:3" x14ac:dyDescent="0.25">
      <c r="B278" s="5" t="s">
        <v>55</v>
      </c>
      <c r="C278" s="31">
        <v>1.2936061296474623E-2</v>
      </c>
    </row>
    <row r="279" spans="2:3" x14ac:dyDescent="0.25">
      <c r="B279" s="5" t="s">
        <v>37</v>
      </c>
      <c r="C279" s="31">
        <v>1.3275686463852174E-2</v>
      </c>
    </row>
    <row r="280" spans="2:3" x14ac:dyDescent="0.25">
      <c r="B280" s="5" t="s">
        <v>38</v>
      </c>
      <c r="C280" s="31">
        <v>1.3509448082743137E-2</v>
      </c>
    </row>
    <row r="281" spans="2:3" x14ac:dyDescent="0.25">
      <c r="B281" s="5" t="s">
        <v>53</v>
      </c>
      <c r="C281" s="31">
        <v>1.3957823811351805E-2</v>
      </c>
    </row>
    <row r="282" spans="2:3" x14ac:dyDescent="0.25">
      <c r="B282" s="5" t="s">
        <v>46</v>
      </c>
      <c r="C282" s="31">
        <v>1.3975612530801535E-2</v>
      </c>
    </row>
    <row r="283" spans="2:3" x14ac:dyDescent="0.25">
      <c r="B283" s="5" t="s">
        <v>54</v>
      </c>
      <c r="C283" s="31">
        <v>1.4152268071730706E-2</v>
      </c>
    </row>
    <row r="284" spans="2:3" x14ac:dyDescent="0.25">
      <c r="B284" s="5" t="s">
        <v>50</v>
      </c>
      <c r="C284" s="31">
        <v>1.7528189224521457E-2</v>
      </c>
    </row>
    <row r="285" spans="2:3" x14ac:dyDescent="0.25">
      <c r="B285" s="5" t="s">
        <v>33</v>
      </c>
      <c r="C285" s="31">
        <v>1.8509080488527094E-2</v>
      </c>
    </row>
    <row r="286" spans="2:3" x14ac:dyDescent="0.25">
      <c r="B286" s="5" t="s">
        <v>9</v>
      </c>
      <c r="C286" s="31">
        <v>1.9159261788815059E-2</v>
      </c>
    </row>
    <row r="287" spans="2:3" x14ac:dyDescent="0.25">
      <c r="B287" s="5" t="s">
        <v>34</v>
      </c>
      <c r="C287" s="31">
        <v>1.9511637815950545E-2</v>
      </c>
    </row>
    <row r="288" spans="2:3" x14ac:dyDescent="0.25">
      <c r="B288" s="5" t="s">
        <v>15</v>
      </c>
      <c r="C288" s="31">
        <v>1.9601162310510092E-2</v>
      </c>
    </row>
    <row r="289" spans="2:3" x14ac:dyDescent="0.25">
      <c r="B289" s="5" t="s">
        <v>49</v>
      </c>
      <c r="C289" s="31">
        <v>1.9728404671842031E-2</v>
      </c>
    </row>
    <row r="290" spans="2:3" x14ac:dyDescent="0.25">
      <c r="B290" s="5" t="s">
        <v>16</v>
      </c>
      <c r="C290" s="31">
        <v>2.1388678958232075E-2</v>
      </c>
    </row>
    <row r="291" spans="2:3" x14ac:dyDescent="0.25">
      <c r="B291" s="5" t="s">
        <v>36</v>
      </c>
      <c r="C291" s="31">
        <v>2.2445406273764242E-2</v>
      </c>
    </row>
    <row r="292" spans="2:3" x14ac:dyDescent="0.25">
      <c r="B292" s="5" t="s">
        <v>23</v>
      </c>
      <c r="C292" s="31">
        <v>2.2854427449710727E-2</v>
      </c>
    </row>
    <row r="293" spans="2:3" x14ac:dyDescent="0.25">
      <c r="B293" s="5" t="s">
        <v>25</v>
      </c>
      <c r="C293" s="31">
        <v>2.3623704804579249E-2</v>
      </c>
    </row>
    <row r="294" spans="2:3" x14ac:dyDescent="0.25">
      <c r="B294" s="5" t="s">
        <v>26</v>
      </c>
      <c r="C294" s="31">
        <v>2.5465165250445804E-2</v>
      </c>
    </row>
    <row r="295" spans="2:3" x14ac:dyDescent="0.25">
      <c r="B295" s="5" t="s">
        <v>13</v>
      </c>
      <c r="C295" s="31">
        <v>2.9070847000440062E-2</v>
      </c>
    </row>
    <row r="296" spans="2:3" x14ac:dyDescent="0.25">
      <c r="B296" s="5" t="s">
        <v>20</v>
      </c>
      <c r="C296" s="31">
        <v>3.0661209667674952E-2</v>
      </c>
    </row>
    <row r="297" spans="2:3" x14ac:dyDescent="0.25">
      <c r="B297" s="5" t="s">
        <v>7</v>
      </c>
      <c r="C297" s="31">
        <v>3.1780796365733228E-2</v>
      </c>
    </row>
    <row r="298" spans="2:3" x14ac:dyDescent="0.25">
      <c r="B298" s="5" t="s">
        <v>18</v>
      </c>
      <c r="C298" s="31">
        <v>3.1900990050434605E-2</v>
      </c>
    </row>
    <row r="299" spans="2:3" x14ac:dyDescent="0.25">
      <c r="B299" s="5" t="s">
        <v>24</v>
      </c>
      <c r="C299" s="31">
        <v>3.2291306301033475E-2</v>
      </c>
    </row>
    <row r="300" spans="2:3" x14ac:dyDescent="0.25">
      <c r="B300" s="5" t="s">
        <v>32</v>
      </c>
      <c r="C300" s="31">
        <v>3.3753901127793848E-2</v>
      </c>
    </row>
    <row r="301" spans="2:3" x14ac:dyDescent="0.25">
      <c r="B301" s="5" t="s">
        <v>17</v>
      </c>
      <c r="C301" s="31">
        <v>3.3834699973055923E-2</v>
      </c>
    </row>
    <row r="302" spans="2:3" x14ac:dyDescent="0.25">
      <c r="B302" s="5" t="s">
        <v>56</v>
      </c>
      <c r="C302" s="31">
        <v>3.4606796042900928E-2</v>
      </c>
    </row>
    <row r="303" spans="2:3" x14ac:dyDescent="0.25">
      <c r="B303" s="5" t="s">
        <v>35</v>
      </c>
      <c r="C303" s="31">
        <v>3.5455272652455731E-2</v>
      </c>
    </row>
    <row r="304" spans="2:3" x14ac:dyDescent="0.25">
      <c r="B304" s="5" t="s">
        <v>14</v>
      </c>
      <c r="C304" s="31">
        <v>3.731959060654217E-2</v>
      </c>
    </row>
    <row r="305" spans="2:3" x14ac:dyDescent="0.25">
      <c r="B305" s="5" t="s">
        <v>29</v>
      </c>
      <c r="C305" s="31">
        <v>3.9167875758210832E-2</v>
      </c>
    </row>
    <row r="306" spans="2:3" x14ac:dyDescent="0.25">
      <c r="B306" s="5" t="s">
        <v>2</v>
      </c>
      <c r="C306" s="31">
        <v>3.9339209317973446E-2</v>
      </c>
    </row>
    <row r="307" spans="2:3" x14ac:dyDescent="0.25">
      <c r="B307" s="5" t="s">
        <v>27</v>
      </c>
      <c r="C307" s="31">
        <v>5.2190668736540123E-2</v>
      </c>
    </row>
    <row r="308" spans="2:3" x14ac:dyDescent="0.25">
      <c r="B308" s="5" t="s">
        <v>44</v>
      </c>
      <c r="C308" s="31">
        <v>5.3867197180478221E-2</v>
      </c>
    </row>
    <row r="309" spans="2:3" x14ac:dyDescent="0.25">
      <c r="B309" s="5" t="s">
        <v>28</v>
      </c>
      <c r="C309" s="31">
        <v>5.8131034056898082E-2</v>
      </c>
    </row>
    <row r="310" spans="2:3" x14ac:dyDescent="0.25">
      <c r="B310" s="5" t="s">
        <v>30</v>
      </c>
      <c r="C310" s="31">
        <v>6.6825222256649316E-2</v>
      </c>
    </row>
    <row r="311" spans="2:3" x14ac:dyDescent="0.25">
      <c r="B311" s="5" t="s">
        <v>57</v>
      </c>
      <c r="C311" s="31">
        <v>6.9418989435447623E-2</v>
      </c>
    </row>
    <row r="312" spans="2:3" x14ac:dyDescent="0.25">
      <c r="B312" s="5" t="s">
        <v>12</v>
      </c>
      <c r="C312" s="31">
        <v>7.6296382350842587E-2</v>
      </c>
    </row>
    <row r="313" spans="2:3" x14ac:dyDescent="0.25">
      <c r="B313" s="5" t="s">
        <v>22</v>
      </c>
      <c r="C313" s="31">
        <v>9.6929695867708304E-2</v>
      </c>
    </row>
    <row r="314" spans="2:3" x14ac:dyDescent="0.25">
      <c r="B314" s="5" t="s">
        <v>11</v>
      </c>
      <c r="C314" s="31">
        <v>0.10985856918151192</v>
      </c>
    </row>
    <row r="315" spans="2:3" x14ac:dyDescent="0.25">
      <c r="B315" s="5" t="s">
        <v>6</v>
      </c>
      <c r="C315" s="31">
        <v>0.11252153786404649</v>
      </c>
    </row>
    <row r="316" spans="2:3" x14ac:dyDescent="0.25">
      <c r="B316" s="5" t="s">
        <v>43</v>
      </c>
      <c r="C316" s="31">
        <v>0.11832906489803205</v>
      </c>
    </row>
    <row r="317" spans="2:3" x14ac:dyDescent="0.25">
      <c r="B317" s="5" t="s">
        <v>42</v>
      </c>
      <c r="C317" s="31">
        <v>0.1191134437231362</v>
      </c>
    </row>
    <row r="318" spans="2:3" x14ac:dyDescent="0.25">
      <c r="B318" s="5" t="s">
        <v>19</v>
      </c>
      <c r="C318" s="31">
        <v>0.15517442515796431</v>
      </c>
    </row>
    <row r="319" spans="2:3" x14ac:dyDescent="0.25">
      <c r="B319" s="5" t="s">
        <v>8</v>
      </c>
      <c r="C319" s="31">
        <v>0.1665405490113834</v>
      </c>
    </row>
    <row r="320" spans="2:3" x14ac:dyDescent="0.25">
      <c r="B320" s="5" t="s">
        <v>21</v>
      </c>
      <c r="C320" s="31">
        <v>0.17968798352408949</v>
      </c>
    </row>
    <row r="321" spans="2:11" x14ac:dyDescent="0.25">
      <c r="B321" s="5" t="s">
        <v>5</v>
      </c>
      <c r="C321" s="31">
        <v>0.18212357670135446</v>
      </c>
    </row>
    <row r="322" spans="2:11" x14ac:dyDescent="0.25">
      <c r="B322" s="5" t="s">
        <v>3</v>
      </c>
      <c r="C322" s="31">
        <v>0.21646408689644786</v>
      </c>
    </row>
    <row r="323" spans="2:11" x14ac:dyDescent="0.25">
      <c r="B323" s="5" t="s">
        <v>58</v>
      </c>
      <c r="C323" s="31">
        <v>0.24105149314254604</v>
      </c>
    </row>
    <row r="327" spans="2:11" ht="12.75" customHeight="1" x14ac:dyDescent="0.25"/>
    <row r="328" spans="2:11" hidden="1" x14ac:dyDescent="0.25"/>
    <row r="329" spans="2:11" ht="15.75" thickBot="1" x14ac:dyDescent="0.3"/>
    <row r="330" spans="2:11" ht="33" customHeight="1" thickBot="1" x14ac:dyDescent="0.3">
      <c r="B330" s="32"/>
      <c r="C330" s="33"/>
      <c r="D330" s="33"/>
      <c r="E330" s="33"/>
      <c r="F330" s="33"/>
      <c r="G330" s="33"/>
      <c r="H330" s="33"/>
      <c r="I330" s="33"/>
      <c r="J330" s="33"/>
      <c r="K330" s="34"/>
    </row>
    <row r="332" spans="2:11" x14ac:dyDescent="0.25">
      <c r="B332" s="35"/>
      <c r="C332" s="36"/>
      <c r="D332" s="36"/>
      <c r="E332" s="36"/>
      <c r="F332" s="36"/>
      <c r="G332" s="36"/>
      <c r="H332" s="36"/>
      <c r="I332" s="36"/>
      <c r="J332" s="36"/>
      <c r="K332" s="36"/>
    </row>
    <row r="334" spans="2:11" x14ac:dyDescent="0.25">
      <c r="B334" s="37"/>
      <c r="C334" s="5"/>
      <c r="D334" s="5"/>
      <c r="E334" s="5"/>
      <c r="F334" s="5"/>
      <c r="G334" s="5"/>
      <c r="H334" s="5"/>
      <c r="I334" s="5"/>
      <c r="J334" s="5"/>
      <c r="K334" s="38"/>
    </row>
    <row r="335" spans="2:11" x14ac:dyDescent="0.25">
      <c r="B335" s="39"/>
      <c r="C335" s="40"/>
      <c r="D335" s="41"/>
      <c r="E335" s="40"/>
      <c r="F335" s="40"/>
      <c r="G335" s="40"/>
      <c r="H335" s="40"/>
      <c r="I335" s="40"/>
      <c r="J335" s="40"/>
      <c r="K335" s="40"/>
    </row>
    <row r="336" spans="2:11" x14ac:dyDescent="0.25">
      <c r="B336" s="39"/>
      <c r="C336" s="40"/>
      <c r="D336" s="40"/>
      <c r="E336" s="40"/>
      <c r="F336" s="40"/>
      <c r="G336" s="40"/>
      <c r="H336" s="41"/>
      <c r="I336" s="41"/>
      <c r="J336" s="40"/>
      <c r="K336" s="40"/>
    </row>
    <row r="337" spans="2:11" x14ac:dyDescent="0.25">
      <c r="B337" s="42"/>
      <c r="C337" s="40"/>
      <c r="D337" s="40"/>
      <c r="E337" s="40"/>
      <c r="F337" s="40"/>
      <c r="G337" s="40"/>
      <c r="H337" s="40"/>
      <c r="I337" s="40"/>
      <c r="J337" s="40"/>
      <c r="K337" s="38"/>
    </row>
    <row r="338" spans="2:11" x14ac:dyDescent="0.25">
      <c r="B338" s="42"/>
      <c r="C338" s="40"/>
      <c r="D338" s="40"/>
      <c r="E338" s="40"/>
      <c r="F338" s="40"/>
      <c r="G338" s="40"/>
      <c r="H338" s="40"/>
      <c r="I338" s="40"/>
      <c r="J338" s="40"/>
      <c r="K338" s="43"/>
    </row>
    <row r="339" spans="2:11" x14ac:dyDescent="0.25">
      <c r="B339" s="42"/>
      <c r="C339" s="40"/>
      <c r="D339" s="40"/>
      <c r="E339" s="40"/>
      <c r="F339" s="40"/>
      <c r="G339" s="40"/>
      <c r="H339" s="40"/>
      <c r="I339" s="40"/>
      <c r="J339" s="40"/>
      <c r="K339" s="44"/>
    </row>
    <row r="340" spans="2:11" x14ac:dyDescent="0.25">
      <c r="B340" s="42"/>
      <c r="C340" s="40"/>
      <c r="D340" s="40"/>
      <c r="E340" s="40"/>
      <c r="F340" s="40"/>
      <c r="G340" s="40"/>
      <c r="H340" s="40"/>
      <c r="I340" s="40"/>
      <c r="J340" s="40"/>
      <c r="K340" s="40"/>
    </row>
    <row r="341" spans="2:11" x14ac:dyDescent="0.25">
      <c r="B341" s="42"/>
      <c r="C341" s="40"/>
      <c r="D341" s="40"/>
      <c r="E341" s="40"/>
      <c r="F341" s="40"/>
      <c r="G341" s="40"/>
      <c r="H341" s="40"/>
      <c r="I341" s="40"/>
      <c r="J341" s="40"/>
      <c r="K341" s="40"/>
    </row>
    <row r="342" spans="2:11" x14ac:dyDescent="0.25">
      <c r="B342" s="42"/>
      <c r="C342" s="40"/>
      <c r="D342" s="40"/>
      <c r="E342" s="40"/>
      <c r="F342" s="40"/>
      <c r="G342" s="40"/>
      <c r="H342" s="40"/>
      <c r="I342" s="40"/>
      <c r="J342" s="40"/>
      <c r="K342" s="40"/>
    </row>
    <row r="343" spans="2:11" x14ac:dyDescent="0.25">
      <c r="B343" s="42"/>
      <c r="C343" s="40"/>
      <c r="D343" s="40"/>
      <c r="E343" s="40"/>
      <c r="F343" s="40"/>
      <c r="G343" s="40"/>
      <c r="H343" s="40"/>
      <c r="I343" s="40"/>
      <c r="J343" s="40"/>
      <c r="K343" s="40"/>
    </row>
    <row r="344" spans="2:11" x14ac:dyDescent="0.25">
      <c r="B344" s="5"/>
      <c r="C344" s="40"/>
      <c r="D344" s="40"/>
      <c r="E344" s="40"/>
      <c r="F344" s="40"/>
      <c r="G344" s="40"/>
      <c r="H344" s="40"/>
      <c r="I344" s="40"/>
      <c r="J344" s="40"/>
      <c r="K344" s="40"/>
    </row>
    <row r="345" spans="2:11" x14ac:dyDescent="0.25">
      <c r="B345" s="5"/>
      <c r="C345" s="40"/>
      <c r="D345" s="40"/>
      <c r="E345" s="40"/>
      <c r="F345" s="40"/>
      <c r="G345" s="40"/>
      <c r="H345" s="40"/>
      <c r="I345" s="40"/>
      <c r="J345" s="40"/>
      <c r="K345" s="40"/>
    </row>
    <row r="346" spans="2:11" x14ac:dyDescent="0.25">
      <c r="B346" s="5"/>
      <c r="C346" s="40"/>
      <c r="D346" s="40"/>
      <c r="E346" s="40"/>
      <c r="F346" s="40"/>
      <c r="G346" s="40"/>
      <c r="H346" s="40"/>
      <c r="I346" s="40"/>
      <c r="J346" s="40"/>
      <c r="K346" s="40"/>
    </row>
    <row r="347" spans="2:11" x14ac:dyDescent="0.25"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spans="2:11" x14ac:dyDescent="0.25">
      <c r="B348" s="38"/>
      <c r="C348" s="5"/>
      <c r="D348" s="5"/>
      <c r="E348" s="5"/>
      <c r="F348" s="5"/>
      <c r="G348" s="5"/>
      <c r="H348" s="5"/>
      <c r="I348" s="5"/>
      <c r="J348" s="5"/>
      <c r="K348" s="5"/>
    </row>
    <row r="349" spans="2:11" x14ac:dyDescent="0.25">
      <c r="B349" s="5"/>
      <c r="C349" s="40"/>
      <c r="D349" s="40"/>
      <c r="E349" s="40"/>
      <c r="F349" s="40"/>
      <c r="G349" s="40"/>
      <c r="H349" s="40"/>
      <c r="I349" s="40"/>
      <c r="J349" s="40"/>
      <c r="K349" s="40"/>
    </row>
    <row r="350" spans="2:11" x14ac:dyDescent="0.25">
      <c r="B350" s="5"/>
      <c r="C350" s="40"/>
      <c r="D350" s="40"/>
      <c r="E350" s="40"/>
      <c r="F350" s="40"/>
      <c r="G350" s="40"/>
      <c r="H350" s="40"/>
      <c r="I350" s="40"/>
      <c r="J350" s="40"/>
      <c r="K350" s="40"/>
    </row>
    <row r="351" spans="2:11" x14ac:dyDescent="0.25">
      <c r="B351" s="5"/>
      <c r="C351" s="40"/>
      <c r="D351" s="40"/>
      <c r="E351" s="40"/>
      <c r="F351" s="40"/>
      <c r="G351" s="40"/>
      <c r="H351" s="40"/>
      <c r="I351" s="40"/>
      <c r="J351" s="40"/>
      <c r="K351" s="40"/>
    </row>
    <row r="352" spans="2:11" x14ac:dyDescent="0.25">
      <c r="B352" s="5"/>
      <c r="C352" s="40"/>
      <c r="D352" s="40"/>
      <c r="E352" s="40"/>
      <c r="F352" s="40"/>
      <c r="G352" s="40"/>
      <c r="H352" s="40"/>
      <c r="I352" s="40"/>
      <c r="J352" s="40"/>
      <c r="K352" s="40"/>
    </row>
    <row r="353" spans="2:11" x14ac:dyDescent="0.25">
      <c r="B353" s="5"/>
      <c r="C353" s="40"/>
      <c r="D353" s="40"/>
      <c r="E353" s="40"/>
      <c r="F353" s="40"/>
      <c r="G353" s="40"/>
      <c r="H353" s="40"/>
      <c r="I353" s="40"/>
      <c r="J353" s="40"/>
      <c r="K353" s="40"/>
    </row>
    <row r="354" spans="2:11" x14ac:dyDescent="0.25">
      <c r="B354" s="5"/>
      <c r="C354" s="40"/>
      <c r="D354" s="40"/>
      <c r="E354" s="40"/>
      <c r="F354" s="40"/>
      <c r="G354" s="40"/>
      <c r="H354" s="40"/>
      <c r="I354" s="40"/>
      <c r="J354" s="40"/>
      <c r="K354" s="40"/>
    </row>
    <row r="355" spans="2:11" x14ac:dyDescent="0.25">
      <c r="B355" s="5"/>
      <c r="C355" s="40"/>
      <c r="D355" s="40"/>
      <c r="E355" s="40"/>
      <c r="F355" s="40"/>
      <c r="G355" s="40"/>
      <c r="H355" s="40"/>
      <c r="I355" s="40"/>
      <c r="J355" s="40"/>
      <c r="K355" s="40"/>
    </row>
    <row r="356" spans="2:11" x14ac:dyDescent="0.25">
      <c r="B356" s="5"/>
      <c r="C356" s="40"/>
      <c r="D356" s="40"/>
      <c r="E356" s="40"/>
      <c r="F356" s="40"/>
      <c r="G356" s="40"/>
      <c r="H356" s="40"/>
      <c r="I356" s="40"/>
      <c r="J356" s="40"/>
      <c r="K356" s="40"/>
    </row>
    <row r="357" spans="2:11" x14ac:dyDescent="0.25">
      <c r="B357" s="5"/>
      <c r="C357" s="40"/>
      <c r="D357" s="40"/>
      <c r="E357" s="40"/>
      <c r="F357" s="40"/>
      <c r="G357" s="40"/>
      <c r="H357" s="40"/>
      <c r="I357" s="40"/>
      <c r="J357" s="40"/>
      <c r="K357" s="40"/>
    </row>
    <row r="358" spans="2:11" x14ac:dyDescent="0.25">
      <c r="B358" s="5"/>
      <c r="C358" s="40"/>
      <c r="D358" s="40"/>
      <c r="E358" s="40"/>
      <c r="F358" s="40"/>
      <c r="G358" s="40"/>
      <c r="H358" s="40"/>
      <c r="I358" s="40"/>
      <c r="J358" s="40"/>
      <c r="K358" s="40"/>
    </row>
    <row r="359" spans="2:11" x14ac:dyDescent="0.25">
      <c r="B359" s="5"/>
      <c r="C359" s="40"/>
      <c r="D359" s="40"/>
      <c r="E359" s="40"/>
      <c r="F359" s="40"/>
      <c r="G359" s="40"/>
      <c r="H359" s="40"/>
      <c r="I359" s="40"/>
      <c r="J359" s="40"/>
      <c r="K359" s="40"/>
    </row>
    <row r="360" spans="2:11" x14ac:dyDescent="0.25">
      <c r="B360" s="5"/>
      <c r="C360" s="40"/>
      <c r="D360" s="40"/>
      <c r="E360" s="40"/>
      <c r="F360" s="40"/>
      <c r="G360" s="40"/>
      <c r="H360" s="40"/>
      <c r="I360" s="40"/>
      <c r="J360" s="40"/>
      <c r="K360" s="40"/>
    </row>
    <row r="361" spans="2:11" x14ac:dyDescent="0.25">
      <c r="B361" s="5"/>
      <c r="C361" s="40"/>
      <c r="D361" s="40"/>
      <c r="E361" s="40"/>
      <c r="F361" s="40"/>
      <c r="G361" s="40"/>
      <c r="H361" s="40"/>
      <c r="I361" s="40"/>
      <c r="J361" s="40"/>
      <c r="K361" s="40"/>
    </row>
    <row r="362" spans="2:11" x14ac:dyDescent="0.25"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spans="2:11" x14ac:dyDescent="0.25"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spans="2:11" x14ac:dyDescent="0.25">
      <c r="B364" s="5"/>
      <c r="C364" s="40"/>
      <c r="D364" s="40"/>
      <c r="E364" s="40"/>
      <c r="F364" s="40"/>
      <c r="G364" s="40"/>
      <c r="H364" s="40"/>
      <c r="I364" s="40"/>
      <c r="J364" s="40"/>
      <c r="K364" s="40"/>
    </row>
    <row r="365" spans="2:11" x14ac:dyDescent="0.25">
      <c r="B365" s="5"/>
      <c r="C365" s="40"/>
      <c r="D365" s="40"/>
      <c r="E365" s="40"/>
      <c r="F365" s="40"/>
      <c r="G365" s="40"/>
      <c r="H365" s="40"/>
      <c r="I365" s="40"/>
      <c r="J365" s="40"/>
      <c r="K365" s="40"/>
    </row>
    <row r="366" spans="2:11" x14ac:dyDescent="0.25">
      <c r="B366" s="5"/>
      <c r="C366" s="40"/>
      <c r="D366" s="40"/>
      <c r="E366" s="40"/>
      <c r="F366" s="40"/>
      <c r="G366" s="40"/>
      <c r="H366" s="40"/>
      <c r="I366" s="40"/>
      <c r="J366" s="40"/>
      <c r="K366" s="40"/>
    </row>
    <row r="367" spans="2:11" x14ac:dyDescent="0.25">
      <c r="B367" s="5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2:11" x14ac:dyDescent="0.25">
      <c r="B368" s="5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2:11" x14ac:dyDescent="0.25">
      <c r="B369" s="5"/>
      <c r="C369" s="40"/>
      <c r="D369" s="40"/>
      <c r="E369" s="40"/>
      <c r="F369" s="40"/>
      <c r="G369" s="40"/>
      <c r="H369" s="40"/>
      <c r="I369" s="40"/>
      <c r="J369" s="40"/>
      <c r="K369" s="40"/>
    </row>
    <row r="370" spans="2:11" x14ac:dyDescent="0.25">
      <c r="B370" s="5"/>
      <c r="C370" s="40"/>
      <c r="D370" s="40"/>
      <c r="E370" s="40"/>
      <c r="F370" s="40"/>
      <c r="G370" s="40"/>
      <c r="H370" s="40"/>
      <c r="I370" s="40"/>
      <c r="J370" s="40"/>
      <c r="K370" s="40"/>
    </row>
    <row r="371" spans="2:11" x14ac:dyDescent="0.25">
      <c r="B371" s="5"/>
      <c r="C371" s="40"/>
      <c r="D371" s="40"/>
      <c r="E371" s="40"/>
      <c r="F371" s="40"/>
      <c r="G371" s="40"/>
      <c r="H371" s="40"/>
      <c r="I371" s="40"/>
      <c r="J371" s="40"/>
      <c r="K371" s="40"/>
    </row>
    <row r="372" spans="2:11" x14ac:dyDescent="0.25">
      <c r="B372" s="5"/>
      <c r="C372" s="40"/>
      <c r="D372" s="5"/>
      <c r="E372" s="5"/>
      <c r="F372" s="5"/>
      <c r="G372" s="5"/>
      <c r="H372" s="5"/>
      <c r="I372" s="5"/>
      <c r="J372" s="5"/>
      <c r="K372" s="5"/>
    </row>
    <row r="373" spans="2:11" x14ac:dyDescent="0.25">
      <c r="B373" s="38"/>
      <c r="C373" s="5"/>
      <c r="D373" s="5"/>
      <c r="E373" s="5"/>
      <c r="F373" s="5"/>
      <c r="G373" s="5"/>
      <c r="H373" s="5"/>
      <c r="I373" s="5"/>
      <c r="J373" s="5"/>
      <c r="K373" s="5"/>
    </row>
    <row r="374" spans="2:11" x14ac:dyDescent="0.25">
      <c r="B374" s="5"/>
      <c r="C374" s="40"/>
      <c r="D374" s="40"/>
      <c r="E374" s="40"/>
      <c r="F374" s="40"/>
      <c r="G374" s="40"/>
      <c r="H374" s="40"/>
      <c r="I374" s="40"/>
      <c r="J374" s="40"/>
      <c r="K374" s="40"/>
    </row>
    <row r="375" spans="2:11" x14ac:dyDescent="0.25">
      <c r="B375" s="5"/>
      <c r="C375" s="40"/>
      <c r="D375" s="40"/>
      <c r="E375" s="40"/>
      <c r="F375" s="40"/>
      <c r="G375" s="40"/>
      <c r="H375" s="40"/>
      <c r="I375" s="40"/>
      <c r="J375" s="40"/>
      <c r="K375" s="40"/>
    </row>
    <row r="376" spans="2:11" x14ac:dyDescent="0.25">
      <c r="B376" s="5"/>
      <c r="C376" s="40"/>
      <c r="D376" s="40"/>
      <c r="E376" s="40"/>
      <c r="F376" s="40"/>
      <c r="G376" s="40"/>
      <c r="H376" s="40"/>
      <c r="I376" s="40"/>
      <c r="J376" s="40"/>
      <c r="K376" s="40"/>
    </row>
    <row r="377" spans="2:11" x14ac:dyDescent="0.25">
      <c r="B377" s="5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2:11" x14ac:dyDescent="0.25">
      <c r="B378" s="5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2:11" x14ac:dyDescent="0.25">
      <c r="B379" s="5"/>
      <c r="C379" s="40"/>
      <c r="D379" s="40"/>
      <c r="E379" s="40"/>
      <c r="F379" s="40"/>
      <c r="G379" s="40"/>
      <c r="H379" s="40"/>
      <c r="I379" s="40"/>
      <c r="J379" s="40"/>
      <c r="K379" s="40"/>
    </row>
    <row r="380" spans="2:11" x14ac:dyDescent="0.25">
      <c r="B380" s="5"/>
      <c r="C380" s="40"/>
      <c r="D380" s="40"/>
      <c r="E380" s="40"/>
      <c r="F380" s="40"/>
      <c r="G380" s="40"/>
      <c r="H380" s="40"/>
      <c r="I380" s="40"/>
      <c r="J380" s="40"/>
      <c r="K380" s="40"/>
    </row>
    <row r="381" spans="2:11" x14ac:dyDescent="0.25">
      <c r="B381" s="5"/>
      <c r="C381" s="40"/>
      <c r="D381" s="40"/>
      <c r="E381" s="40"/>
      <c r="F381" s="40"/>
      <c r="G381" s="40"/>
      <c r="H381" s="40"/>
      <c r="I381" s="40"/>
      <c r="J381" s="40"/>
      <c r="K381" s="40"/>
    </row>
    <row r="383" spans="2:11" x14ac:dyDescent="0.25"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spans="2:11" x14ac:dyDescent="0.25">
      <c r="B384" s="5"/>
      <c r="C384" s="40"/>
      <c r="D384" s="40"/>
      <c r="E384" s="40"/>
      <c r="F384" s="40"/>
      <c r="G384" s="40"/>
      <c r="H384" s="40"/>
      <c r="I384" s="40"/>
      <c r="J384" s="40"/>
      <c r="K384" s="40"/>
    </row>
    <row r="385" spans="2:11" x14ac:dyDescent="0.25">
      <c r="B385" s="5"/>
      <c r="C385" s="40"/>
      <c r="D385" s="40"/>
      <c r="E385" s="40"/>
      <c r="F385" s="40"/>
      <c r="G385" s="40"/>
      <c r="H385" s="40"/>
      <c r="I385" s="40"/>
      <c r="J385" s="40"/>
      <c r="K385" s="40"/>
    </row>
    <row r="386" spans="2:11" x14ac:dyDescent="0.25">
      <c r="B386" s="5"/>
      <c r="C386" s="40"/>
      <c r="D386" s="40"/>
      <c r="E386" s="40"/>
      <c r="F386" s="40"/>
      <c r="G386" s="40"/>
      <c r="H386" s="40"/>
      <c r="I386" s="40"/>
      <c r="J386" s="40"/>
      <c r="K386" s="40"/>
    </row>
    <row r="387" spans="2:11" x14ac:dyDescent="0.25">
      <c r="B387" s="5"/>
      <c r="C387" s="40"/>
      <c r="D387" s="40"/>
      <c r="E387" s="40"/>
      <c r="F387" s="40"/>
      <c r="G387" s="40"/>
      <c r="H387" s="40"/>
      <c r="I387" s="40"/>
      <c r="J387" s="40"/>
      <c r="K387" s="40"/>
    </row>
    <row r="388" spans="2:11" x14ac:dyDescent="0.25">
      <c r="B388" s="5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2:11" x14ac:dyDescent="0.25">
      <c r="B389" s="5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2:11" x14ac:dyDescent="0.25">
      <c r="B390" s="5"/>
      <c r="C390" s="40"/>
      <c r="D390" s="40"/>
      <c r="E390" s="40"/>
      <c r="F390" s="40"/>
      <c r="G390" s="40"/>
      <c r="H390" s="40"/>
      <c r="I390" s="40"/>
      <c r="J390" s="40"/>
      <c r="K390" s="40"/>
    </row>
    <row r="391" spans="2:11" x14ac:dyDescent="0.25">
      <c r="B391" s="5"/>
      <c r="C391" s="40"/>
      <c r="D391" s="40"/>
      <c r="E391" s="40"/>
      <c r="F391" s="40"/>
      <c r="G391" s="40"/>
      <c r="H391" s="40"/>
      <c r="I391" s="40"/>
      <c r="J391" s="40"/>
      <c r="K391" s="40"/>
    </row>
    <row r="392" spans="2:11" x14ac:dyDescent="0.25">
      <c r="B392" s="5"/>
      <c r="C392" s="40"/>
      <c r="D392" s="40"/>
      <c r="E392" s="40"/>
      <c r="F392" s="40"/>
      <c r="G392" s="40"/>
      <c r="H392" s="40"/>
      <c r="I392" s="40"/>
      <c r="J392" s="40"/>
      <c r="K392" s="40"/>
    </row>
  </sheetData>
  <mergeCells count="1">
    <mergeCell ref="B330:K3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</dc:creator>
  <cp:lastModifiedBy>GC</cp:lastModifiedBy>
  <dcterms:created xsi:type="dcterms:W3CDTF">2011-01-23T01:29:48Z</dcterms:created>
  <dcterms:modified xsi:type="dcterms:W3CDTF">2011-01-23T01:30:41Z</dcterms:modified>
</cp:coreProperties>
</file>