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odeName="ThisWorkbook" autoCompressPictures="0"/>
  <bookViews>
    <workbookView xWindow="360" yWindow="20" windowWidth="11340" windowHeight="10300"/>
  </bookViews>
  <sheets>
    <sheet name="Liquid Nitrogen" sheetId="3" r:id="rId1"/>
    <sheet name="Sheet1" sheetId="4" r:id="rId2"/>
  </sheets>
  <definedNames>
    <definedName name="Safe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5" i="3" l="1"/>
  <c r="D8" i="3"/>
  <c r="D6" i="3"/>
  <c r="D15" i="3"/>
</calcChain>
</file>

<file path=xl/sharedStrings.xml><?xml version="1.0" encoding="utf-8"?>
<sst xmlns="http://schemas.openxmlformats.org/spreadsheetml/2006/main" count="8" uniqueCount="8">
  <si>
    <t>Oxygen % calculator for liquid nitrogen storage spaces</t>
  </si>
  <si>
    <t>Enter room volume in cubic metres</t>
  </si>
  <si>
    <r>
      <t xml:space="preserve">Enter total volume of all liquid nitrogen containers in </t>
    </r>
    <r>
      <rPr>
        <u/>
        <sz val="10"/>
        <rFont val="Arial"/>
        <family val="2"/>
      </rPr>
      <t>LITRES</t>
    </r>
  </si>
  <si>
    <t>This calculator assumes the worst case scenario that all liquid nitrogen has spillled/boiled off and displaced air.</t>
  </si>
  <si>
    <t>Normal oxygen level</t>
  </si>
  <si>
    <t>Conversion factor (L liquid to m^3 gas)</t>
  </si>
  <si>
    <t xml:space="preserve"> </t>
  </si>
  <si>
    <t>Oxygen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</si>
</sst>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</font>
    <font>
      <b/>
      <sz val="14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name val="Arial"/>
      <family val="2"/>
    </font>
    <font>
      <b/>
      <sz val="18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E112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2" borderId="6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7" xfId="0" applyFill="1" applyBorder="1"/>
    <xf numFmtId="0" fontId="3" fillId="3" borderId="3" xfId="0" applyFont="1" applyFill="1" applyBorder="1"/>
    <xf numFmtId="0" fontId="3" fillId="3" borderId="0" xfId="0" applyFont="1" applyFill="1" applyBorder="1"/>
    <xf numFmtId="2" fontId="0" fillId="3" borderId="0" xfId="0" applyNumberFormat="1" applyFill="1" applyBorder="1"/>
    <xf numFmtId="10" fontId="0" fillId="3" borderId="0" xfId="0" applyNumberFormat="1" applyFill="1" applyBorder="1"/>
    <xf numFmtId="0" fontId="3" fillId="3" borderId="3" xfId="0" applyFont="1" applyFill="1" applyBorder="1" applyAlignment="1">
      <alignment horizontal="right" vertical="center"/>
    </xf>
    <xf numFmtId="0" fontId="0" fillId="3" borderId="4" xfId="0" applyFill="1" applyBorder="1"/>
    <xf numFmtId="0" fontId="0" fillId="3" borderId="8" xfId="0" applyFill="1" applyBorder="1"/>
    <xf numFmtId="0" fontId="0" fillId="3" borderId="9" xfId="0" applyFill="1" applyBorder="1"/>
    <xf numFmtId="0" fontId="6" fillId="3" borderId="1" xfId="0" applyFont="1" applyFill="1" applyBorder="1" applyProtection="1">
      <protection locked="0"/>
    </xf>
    <xf numFmtId="10" fontId="6" fillId="3" borderId="1" xfId="1" applyNumberFormat="1" applyFont="1" applyFill="1" applyBorder="1"/>
    <xf numFmtId="0" fontId="6" fillId="3" borderId="1" xfId="0" applyFont="1" applyFill="1" applyBorder="1"/>
    <xf numFmtId="0" fontId="3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Medium4"/>
  <colors>
    <mruColors>
      <color rgb="FFCE112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1905000</xdr:colOff>
      <xdr:row>1</xdr:row>
      <xdr:rowOff>0</xdr:rowOff>
    </xdr:to>
    <xdr:pic>
      <xdr:nvPicPr>
        <xdr:cNvPr id="3" name="Picture 2" descr="http://sydney.edu.au/images/common/university_sydney_logo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0"/>
          <a:ext cx="1905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D18"/>
  <sheetViews>
    <sheetView tabSelected="1" workbookViewId="0">
      <selection activeCell="A14" sqref="A14"/>
    </sheetView>
  </sheetViews>
  <sheetFormatPr baseColWidth="10" defaultColWidth="8.83203125" defaultRowHeight="12" x14ac:dyDescent="0"/>
  <cols>
    <col min="1" max="1" width="34.5" customWidth="1"/>
    <col min="2" max="2" width="13" bestFit="1" customWidth="1"/>
    <col min="4" max="4" width="49.5" bestFit="1" customWidth="1"/>
  </cols>
  <sheetData>
    <row r="1" spans="1:4" ht="60" customHeight="1">
      <c r="A1" s="18" t="s">
        <v>0</v>
      </c>
      <c r="B1" s="19"/>
      <c r="C1" s="19"/>
      <c r="D1" s="1"/>
    </row>
    <row r="2" spans="1:4">
      <c r="A2" s="2"/>
      <c r="B2" s="3"/>
      <c r="C2" s="3"/>
      <c r="D2" s="4"/>
    </row>
    <row r="3" spans="1:4">
      <c r="A3" s="5" t="s">
        <v>3</v>
      </c>
      <c r="B3" s="3"/>
      <c r="C3" s="3"/>
      <c r="D3" s="4"/>
    </row>
    <row r="4" spans="1:4">
      <c r="A4" s="2"/>
      <c r="B4" s="3"/>
      <c r="C4" s="3"/>
      <c r="D4" s="4"/>
    </row>
    <row r="5" spans="1:4" ht="13" thickBot="1">
      <c r="A5" s="2"/>
      <c r="B5" s="3"/>
      <c r="C5" s="3"/>
      <c r="D5" s="4"/>
    </row>
    <row r="6" spans="1:4" ht="22" thickBot="1">
      <c r="A6" s="17" t="s">
        <v>1</v>
      </c>
      <c r="B6" s="13">
        <v>164</v>
      </c>
      <c r="C6" s="3"/>
      <c r="D6" s="4" t="str">
        <f>IF(B6&lt;0,"Please enter valid room area","")</f>
        <v/>
      </c>
    </row>
    <row r="7" spans="1:4" ht="13" thickBot="1">
      <c r="A7" s="2"/>
      <c r="B7" s="3"/>
      <c r="C7" s="3"/>
      <c r="D7" s="4"/>
    </row>
    <row r="8" spans="1:4" ht="25" thickBot="1">
      <c r="A8" s="16" t="s">
        <v>2</v>
      </c>
      <c r="B8" s="13">
        <v>10</v>
      </c>
      <c r="C8" s="3"/>
      <c r="D8" s="4" t="str">
        <f>IF(B8&lt;0,"Please enter valid volume","")</f>
        <v/>
      </c>
    </row>
    <row r="9" spans="1:4">
      <c r="A9" s="2"/>
      <c r="B9" s="6" t="s">
        <v>6</v>
      </c>
      <c r="C9" s="3"/>
      <c r="D9" s="4"/>
    </row>
    <row r="10" spans="1:4">
      <c r="A10" s="2"/>
      <c r="B10" s="3"/>
      <c r="C10" s="3"/>
      <c r="D10" s="4"/>
    </row>
    <row r="11" spans="1:4">
      <c r="A11" s="5" t="s">
        <v>5</v>
      </c>
      <c r="B11" s="7">
        <v>0.68230000000000002</v>
      </c>
      <c r="C11" s="3"/>
      <c r="D11" s="4"/>
    </row>
    <row r="12" spans="1:4">
      <c r="A12" s="5" t="s">
        <v>4</v>
      </c>
      <c r="B12" s="8">
        <v>0.20949999999999999</v>
      </c>
      <c r="C12" s="3"/>
      <c r="D12" s="4"/>
    </row>
    <row r="13" spans="1:4">
      <c r="A13" s="2"/>
      <c r="B13" s="3"/>
      <c r="C13" s="3"/>
      <c r="D13" s="4"/>
    </row>
    <row r="14" spans="1:4" ht="13" thickBot="1">
      <c r="A14" s="2"/>
      <c r="B14" s="3"/>
      <c r="C14" s="3"/>
      <c r="D14" s="4"/>
    </row>
    <row r="15" spans="1:4" ht="22" thickBot="1">
      <c r="A15" s="9" t="s">
        <v>7</v>
      </c>
      <c r="B15" s="14">
        <f>((B6-B8*B11)*B12)/B6</f>
        <v>0.20078403353658536</v>
      </c>
      <c r="C15" s="3"/>
      <c r="D15" s="15" t="str">
        <f>IF(B15&lt;0.13,"POTENTIALLY FATAL",IF(B15&lt;0.195,"POTENTIALLY DANGEROUS","SAFE"))</f>
        <v>SAFE</v>
      </c>
    </row>
    <row r="16" spans="1:4">
      <c r="A16" s="2"/>
      <c r="B16" s="3"/>
      <c r="C16" s="3"/>
      <c r="D16" s="4"/>
    </row>
    <row r="17" spans="1:4">
      <c r="A17" s="2"/>
      <c r="B17" s="3"/>
      <c r="C17" s="3"/>
      <c r="D17" s="4"/>
    </row>
    <row r="18" spans="1:4" ht="13" thickBot="1">
      <c r="A18" s="10"/>
      <c r="B18" s="11"/>
      <c r="C18" s="11"/>
      <c r="D18" s="12"/>
    </row>
  </sheetData>
  <mergeCells count="1">
    <mergeCell ref="A1:C1"/>
  </mergeCells>
  <phoneticPr fontId="1" type="noConversion"/>
  <conditionalFormatting sqref="B15">
    <cfRule type="colorScale" priority="4">
      <colorScale>
        <cfvo type="num" val="0.13"/>
        <cfvo type="num" val="0.19500000000000001"/>
        <cfvo type="num" val="0.21"/>
        <color rgb="FFFF0000"/>
        <color rgb="FFFFFF00"/>
        <color rgb="FF00B050"/>
      </colorScale>
    </cfRule>
  </conditionalFormatting>
  <conditionalFormatting sqref="D15">
    <cfRule type="containsText" dxfId="2" priority="1" operator="containsText" text="POTENTIALLY DANGEROUS">
      <formula>NOT(ISERROR(SEARCH("POTENTIALLY DANGEROUS",D15)))</formula>
    </cfRule>
    <cfRule type="containsText" dxfId="1" priority="2" operator="containsText" text="POTENTIALLY FATAL">
      <formula>NOT(ISERROR(SEARCH("POTENTIALLY FATAL",D15)))</formula>
    </cfRule>
    <cfRule type="cellIs" dxfId="0" priority="3" operator="equal">
      <formula>"SAFE"</formula>
    </cfRule>
  </conditionalFormatting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 Nitrogen</vt:lpstr>
      <vt:lpstr>Sheet1</vt:lpstr>
    </vt:vector>
  </TitlesOfParts>
  <Company>UNSW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s3006386</dc:creator>
  <cp:lastModifiedBy>Nathan Apps</cp:lastModifiedBy>
  <cp:lastPrinted>2007-06-13T07:36:29Z</cp:lastPrinted>
  <dcterms:created xsi:type="dcterms:W3CDTF">2006-11-06T04:04:13Z</dcterms:created>
  <dcterms:modified xsi:type="dcterms:W3CDTF">2012-07-12T23:14:58Z</dcterms:modified>
</cp:coreProperties>
</file>