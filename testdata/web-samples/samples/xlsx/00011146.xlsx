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heckCompatibility="1" defaultThemeVersion="124226"/>
  <bookViews>
    <workbookView xWindow="720" yWindow="645" windowWidth="24240" windowHeight="11700" activeTab="1"/>
  </bookViews>
  <sheets>
    <sheet name="Summary" sheetId="5" r:id="rId1"/>
    <sheet name="Definite Voters" sheetId="4" r:id="rId2"/>
    <sheet name="Potential Voters" sheetId="1" r:id="rId3"/>
    <sheet name="Sheet1" sheetId="6" r:id="rId4"/>
  </sheets>
  <calcPr calcId="145621"/>
</workbook>
</file>

<file path=xl/calcChain.xml><?xml version="1.0" encoding="utf-8"?>
<calcChain xmlns="http://schemas.openxmlformats.org/spreadsheetml/2006/main">
  <c r="D25" i="5" l="1"/>
  <c r="C25" i="5"/>
  <c r="C78" i="1"/>
  <c r="C77" i="1"/>
  <c r="C76" i="1"/>
  <c r="C75" i="1"/>
  <c r="C74" i="1"/>
  <c r="C73" i="1"/>
  <c r="C72" i="1"/>
  <c r="C70" i="1"/>
  <c r="C69" i="1"/>
  <c r="C68" i="1"/>
  <c r="J54" i="4"/>
  <c r="H54" i="4"/>
  <c r="F54" i="4"/>
  <c r="D54" i="4"/>
  <c r="C51" i="4"/>
  <c r="C50" i="4"/>
  <c r="C49" i="4"/>
  <c r="C48" i="4"/>
  <c r="C47" i="4"/>
  <c r="C46" i="4"/>
  <c r="C45" i="4"/>
  <c r="C44" i="4"/>
  <c r="C43" i="4"/>
  <c r="C42" i="4"/>
  <c r="O25" i="4"/>
  <c r="N25" i="4"/>
  <c r="M25" i="4"/>
  <c r="L25" i="4"/>
  <c r="K25" i="4"/>
  <c r="J25" i="4"/>
  <c r="I25" i="4"/>
  <c r="H25" i="4"/>
  <c r="G25" i="4"/>
  <c r="F25" i="4"/>
  <c r="E25" i="4"/>
  <c r="D25" i="4"/>
  <c r="C25" i="4"/>
  <c r="J81" i="1"/>
  <c r="H81" i="1"/>
  <c r="F81" i="1"/>
  <c r="D81" i="1"/>
  <c r="M56" i="1"/>
  <c r="O25" i="1"/>
  <c r="N25" i="1"/>
  <c r="M25" i="1"/>
  <c r="L25" i="1"/>
  <c r="K25" i="1"/>
  <c r="J25" i="1"/>
  <c r="I25" i="1"/>
  <c r="H25" i="1"/>
  <c r="G25" i="1"/>
  <c r="F25" i="1"/>
  <c r="E25" i="1"/>
  <c r="D25" i="1"/>
  <c r="C25" i="1"/>
  <c r="Q21" i="1"/>
  <c r="Q20" i="1"/>
  <c r="Q19" i="1"/>
  <c r="Q18" i="1"/>
  <c r="Q17" i="1"/>
  <c r="Q16" i="1"/>
  <c r="Q15" i="1"/>
  <c r="Q14" i="1"/>
  <c r="Q13" i="1"/>
  <c r="Q12" i="1"/>
</calcChain>
</file>

<file path=xl/sharedStrings.xml><?xml version="1.0" encoding="utf-8"?>
<sst xmlns="http://schemas.openxmlformats.org/spreadsheetml/2006/main" count="318" uniqueCount="87">
  <si>
    <r>
      <t xml:space="preserve">POTENTIAL VOTERS    </t>
    </r>
    <r>
      <rPr>
        <b/>
        <sz val="14"/>
        <color indexed="53"/>
        <rFont val="Wingdings"/>
        <charset val="2"/>
      </rPr>
      <t>ü</t>
    </r>
  </si>
  <si>
    <t>If a New Zealand general election were held tomorrow, which party would you vote for, or which do you have a preference towards at the moment?</t>
  </si>
  <si>
    <t>Combined Results</t>
  </si>
  <si>
    <t>Which party did you vote for at New Zealand’s last general election in 2008?</t>
  </si>
  <si>
    <t>Total</t>
  </si>
  <si>
    <t>ACT New Zealand</t>
  </si>
  <si>
    <t>Green Party</t>
  </si>
  <si>
    <t>Jim Anderton's Progressive Party</t>
  </si>
  <si>
    <t>Labour Party</t>
  </si>
  <si>
    <t>Maori Party</t>
  </si>
  <si>
    <t>National Party</t>
  </si>
  <si>
    <t>New Zealand First Party</t>
  </si>
  <si>
    <t>United Future</t>
  </si>
  <si>
    <t>Other Party</t>
  </si>
  <si>
    <t>Chose not to vote</t>
  </si>
  <si>
    <t>Not Eligible to Vote</t>
  </si>
  <si>
    <t>Don't know or can't remember</t>
  </si>
  <si>
    <t>Conservative Party of New Zealand</t>
  </si>
  <si>
    <t>Mana Party</t>
  </si>
  <si>
    <t>Other party</t>
  </si>
  <si>
    <t>Choose not to vote</t>
  </si>
  <si>
    <t>Don't Know</t>
  </si>
  <si>
    <t>*Totals may not sum exactly owing to rounding</t>
  </si>
  <si>
    <t>Base</t>
  </si>
  <si>
    <t>Margin of error</t>
  </si>
  <si>
    <t>Note: This result is based on respondents who did not rule out voting and who were eligible to vote.  It combines the results for those who have already decided how they will vote, with the results from those who are not sure, but have a preference for one party or another.</t>
  </si>
  <si>
    <t>Comparisons</t>
  </si>
  <si>
    <t>November 2010</t>
  </si>
  <si>
    <t>December 2010</t>
  </si>
  <si>
    <t>January 2011</t>
  </si>
  <si>
    <t>February 2011</t>
  </si>
  <si>
    <t>March 2011</t>
  </si>
  <si>
    <t>April  2011</t>
  </si>
  <si>
    <t>May    2011 Pre-budget</t>
  </si>
  <si>
    <t>May    2011 Post-budget</t>
  </si>
  <si>
    <t>July  2011</t>
  </si>
  <si>
    <t>22 September  2011</t>
  </si>
  <si>
    <t>18 October 2011</t>
  </si>
  <si>
    <t>21 October 2011</t>
  </si>
  <si>
    <t>22 October 2011</t>
  </si>
  <si>
    <t>29 October 2011</t>
  </si>
  <si>
    <t>01 November 2011</t>
  </si>
  <si>
    <t>13 November 2011</t>
  </si>
  <si>
    <t>Party would vote for or have preference towards</t>
  </si>
  <si>
    <t>N/M**</t>
  </si>
  <si>
    <t>New Citizens' Party</t>
  </si>
  <si>
    <t>Don't know</t>
  </si>
  <si>
    <t>Base - All Interviews</t>
  </si>
  <si>
    <t>** N/M = "Not Measured"</t>
  </si>
  <si>
    <t>Scenario 1</t>
  </si>
  <si>
    <t>Scenario 2</t>
  </si>
  <si>
    <t>Scenario 3</t>
  </si>
  <si>
    <t>Scenario 4</t>
  </si>
  <si>
    <t>% Excluding Don't Knows</t>
  </si>
  <si>
    <t>Seats in Parliament from www.elections.org.nz calculator</t>
  </si>
  <si>
    <t>Assumptions</t>
  </si>
  <si>
    <t>Wins 1 seat</t>
  </si>
  <si>
    <t>Wins 0 seats</t>
  </si>
  <si>
    <t>Wins 4 seats</t>
  </si>
  <si>
    <t>Total Seats</t>
  </si>
  <si>
    <t>Multichoice - Single Answer Only</t>
  </si>
  <si>
    <t>Party Vote for:</t>
  </si>
  <si>
    <r>
      <t xml:space="preserve">DEFINITELY WILL VOTE    </t>
    </r>
    <r>
      <rPr>
        <b/>
        <sz val="14"/>
        <color indexed="53"/>
        <rFont val="Wingdings"/>
        <charset val="2"/>
      </rPr>
      <t>ü</t>
    </r>
  </si>
  <si>
    <t>Note: This result is based on respondents who were registered to vote and who said that they would DEFINITELY vote on 26 November 2011.  It combines the results for those who have already decided how they will vote, with the results from those who are not sure, but have a preference for one party or another.</t>
  </si>
  <si>
    <t>Filter: Q15.5</t>
  </si>
  <si>
    <t>Filter: Q16</t>
  </si>
  <si>
    <t>23 November Total</t>
  </si>
  <si>
    <t>19 November Total</t>
  </si>
  <si>
    <t>ACT Party</t>
  </si>
  <si>
    <t>Conservative Party</t>
  </si>
  <si>
    <t>United Future Party</t>
  </si>
  <si>
    <t>Not eligible to vote</t>
  </si>
  <si>
    <t xml:space="preserve">Total </t>
  </si>
  <si>
    <t>Q16. If a New Zealand general election were held tomorrow, which party would you vote for with your party vote?</t>
  </si>
  <si>
    <t>In the November 26 general election which party's candidate will receive your candidate vote (not your party vote)?</t>
  </si>
  <si>
    <t>If a New Zealand general election were held tomorrow, which party would you vote for with your party vote?</t>
  </si>
  <si>
    <t>Candidate vote for:</t>
  </si>
  <si>
    <t>Q15.5  In the November 26 general election which party's candidate will receive your candidate vote (not your party vote)?</t>
  </si>
  <si>
    <t>19 November 2011</t>
  </si>
  <si>
    <t>23 November 2011</t>
  </si>
  <si>
    <r>
      <t xml:space="preserve">DEFINITE v POTENTIAL VOTERS    </t>
    </r>
    <r>
      <rPr>
        <b/>
        <sz val="14"/>
        <color theme="0"/>
        <rFont val="Wingdings"/>
        <charset val="2"/>
      </rPr>
      <t>ü</t>
    </r>
  </si>
  <si>
    <t>Definitely will vote</t>
  </si>
  <si>
    <t>"Potential Vote":  Definitely will vote, Probably will vote and May vote</t>
  </si>
  <si>
    <t>Read down the party column to fine the % of people who will cast their party vote for a party but give their candidate vote to another party (e.g. 38% who cast a party vote for Act will also vote for an Act candidate, 55% of people who party-vote Act will cast their candidate vote for National)</t>
  </si>
  <si>
    <t>21 - 23 November 2011</t>
  </si>
  <si>
    <t>Snapshot 21-23 November 2011</t>
  </si>
  <si>
    <t>Read down party column to find % of people who will vote for a party with a candidate vote and cast their party vote for another party (e.g. 60.7% of people who cast a party vote for Conservative will cast a candidate vote for Conservative, 19% a candidate vote for National)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</si>
</sst>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1409]d\ mmmm\ yyyy;@"/>
  </numFmts>
  <fonts count="16" x14ac:knownFonts="1">
    <font>
      <sz val="11"/>
      <color theme="1"/>
      <name val="Calibri"/>
      <family val="2"/>
      <scheme val="minor"/>
    </font>
    <font>
      <b/>
      <sz val="11"/>
      <color theme="1"/>
      <name val="Calibri"/>
      <family val="2"/>
      <scheme val="minor"/>
    </font>
    <font>
      <b/>
      <sz val="14"/>
      <name val="Calibri"/>
      <family val="2"/>
      <scheme val="minor"/>
    </font>
    <font>
      <b/>
      <sz val="14"/>
      <color indexed="53"/>
      <name val="Wingdings"/>
      <charset val="2"/>
    </font>
    <font>
      <b/>
      <u/>
      <sz val="11"/>
      <color theme="1"/>
      <name val="Calibri"/>
      <family val="2"/>
      <scheme val="minor"/>
    </font>
    <font>
      <sz val="10"/>
      <color theme="1"/>
      <name val="Calibri"/>
      <family val="2"/>
      <scheme val="minor"/>
    </font>
    <font>
      <sz val="8"/>
      <color theme="1"/>
      <name val="Calibri"/>
      <family val="2"/>
      <scheme val="minor"/>
    </font>
    <font>
      <i/>
      <sz val="8"/>
      <color theme="1"/>
      <name val="Calibri"/>
      <family val="2"/>
      <scheme val="minor"/>
    </font>
    <font>
      <i/>
      <sz val="10"/>
      <color theme="1"/>
      <name val="Calibri"/>
      <family val="2"/>
      <scheme val="minor"/>
    </font>
    <font>
      <b/>
      <sz val="16"/>
      <color theme="1"/>
      <name val="Calibri"/>
      <family val="2"/>
      <scheme val="minor"/>
    </font>
    <font>
      <sz val="8"/>
      <color rgb="FF000000"/>
      <name val="Verdana"/>
      <family val="2"/>
    </font>
    <font>
      <b/>
      <sz val="8"/>
      <color theme="1"/>
      <name val="Verdana"/>
      <family val="2"/>
    </font>
    <font>
      <sz val="8"/>
      <color theme="1"/>
      <name val="Verdana"/>
      <family val="2"/>
    </font>
    <font>
      <b/>
      <sz val="14"/>
      <color theme="0"/>
      <name val="Calibri"/>
      <family val="2"/>
      <scheme val="minor"/>
    </font>
    <font>
      <b/>
      <sz val="14"/>
      <color theme="0"/>
      <name val="Wingdings"/>
      <charset val="2"/>
    </font>
    <font>
      <sz val="9"/>
      <color theme="1"/>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DDDDDD"/>
        <bgColor indexed="64"/>
      </patternFill>
    </fill>
    <fill>
      <patternFill patternType="solid">
        <fgColor rgb="FFFFFF00"/>
        <bgColor indexed="64"/>
      </patternFill>
    </fill>
    <fill>
      <patternFill patternType="solid">
        <fgColor theme="9" tint="-0.249977111117893"/>
        <bgColor indexed="64"/>
      </patternFill>
    </fill>
  </fills>
  <borders count="5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indexed="64"/>
      </bottom>
      <diagonal/>
    </border>
    <border>
      <left style="thin">
        <color rgb="FF000000"/>
      </left>
      <right style="thin">
        <color indexed="64"/>
      </right>
      <top style="thin">
        <color rgb="FF000000"/>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s>
  <cellStyleXfs count="1">
    <xf numFmtId="0" fontId="0" fillId="0" borderId="0"/>
  </cellStyleXfs>
  <cellXfs count="175">
    <xf numFmtId="0" fontId="0" fillId="0" borderId="0" xfId="0"/>
    <xf numFmtId="0" fontId="2" fillId="2" borderId="1" xfId="0" applyFont="1" applyFill="1" applyBorder="1" applyAlignment="1">
      <alignment horizontal="center"/>
    </xf>
    <xf numFmtId="0" fontId="4" fillId="0" borderId="0" xfId="0" applyFont="1"/>
    <xf numFmtId="0" fontId="0" fillId="0" borderId="2" xfId="0" applyBorder="1"/>
    <xf numFmtId="0" fontId="5" fillId="0" borderId="6" xfId="0" applyFont="1" applyBorder="1" applyAlignment="1">
      <alignment vertical="center" wrapText="1"/>
    </xf>
    <xf numFmtId="0" fontId="5" fillId="0" borderId="7" xfId="0" applyFont="1" applyBorder="1" applyAlignment="1">
      <alignment horizontal="center" vertical="center"/>
    </xf>
    <xf numFmtId="0" fontId="6" fillId="0" borderId="7" xfId="0" applyFont="1" applyBorder="1" applyAlignment="1">
      <alignment horizontal="center" vertical="center" wrapText="1"/>
    </xf>
    <xf numFmtId="0" fontId="0" fillId="0" borderId="8" xfId="0" applyBorder="1"/>
    <xf numFmtId="0" fontId="0" fillId="0" borderId="9" xfId="0" applyBorder="1"/>
    <xf numFmtId="0" fontId="0" fillId="0" borderId="10" xfId="0" applyBorder="1"/>
    <xf numFmtId="164" fontId="0" fillId="0" borderId="0" xfId="0" applyNumberFormat="1"/>
    <xf numFmtId="0" fontId="5" fillId="0" borderId="11" xfId="0" applyFont="1" applyBorder="1"/>
    <xf numFmtId="164" fontId="5" fillId="0" borderId="7" xfId="0" applyNumberFormat="1" applyFont="1" applyBorder="1"/>
    <xf numFmtId="164" fontId="5" fillId="0" borderId="0" xfId="0" applyNumberFormat="1" applyFont="1" applyBorder="1"/>
    <xf numFmtId="164" fontId="5" fillId="0" borderId="12" xfId="0" applyNumberFormat="1" applyFont="1" applyBorder="1"/>
    <xf numFmtId="0" fontId="5" fillId="0" borderId="13" xfId="0" applyFont="1" applyBorder="1"/>
    <xf numFmtId="164" fontId="5" fillId="0" borderId="6" xfId="0" applyNumberFormat="1" applyFont="1" applyBorder="1"/>
    <xf numFmtId="164" fontId="5" fillId="0" borderId="14" xfId="0" applyNumberFormat="1" applyFont="1" applyBorder="1"/>
    <xf numFmtId="164" fontId="5" fillId="0" borderId="15" xfId="0" applyNumberFormat="1" applyFont="1" applyBorder="1"/>
    <xf numFmtId="0" fontId="5" fillId="0" borderId="0" xfId="0" applyFont="1" applyBorder="1"/>
    <xf numFmtId="0" fontId="5" fillId="0" borderId="3" xfId="0" applyFont="1" applyBorder="1"/>
    <xf numFmtId="164" fontId="5" fillId="0" borderId="16" xfId="0" applyNumberFormat="1" applyFont="1" applyBorder="1"/>
    <xf numFmtId="164" fontId="5" fillId="0" borderId="4" xfId="0" applyNumberFormat="1" applyFont="1" applyBorder="1"/>
    <xf numFmtId="164" fontId="5" fillId="0" borderId="5" xfId="0" applyNumberFormat="1" applyFont="1" applyBorder="1"/>
    <xf numFmtId="0" fontId="7" fillId="0" borderId="0" xfId="0" applyFont="1" applyBorder="1"/>
    <xf numFmtId="1" fontId="5" fillId="0" borderId="0" xfId="0" applyNumberFormat="1" applyFont="1" applyBorder="1"/>
    <xf numFmtId="0" fontId="0" fillId="0" borderId="3" xfId="0" applyBorder="1"/>
    <xf numFmtId="1" fontId="5" fillId="0" borderId="16" xfId="0" applyNumberFormat="1" applyFont="1" applyBorder="1"/>
    <xf numFmtId="1" fontId="5" fillId="0" borderId="4" xfId="0" applyNumberFormat="1" applyFont="1" applyBorder="1"/>
    <xf numFmtId="1" fontId="5" fillId="0" borderId="5" xfId="0" applyNumberFormat="1" applyFont="1" applyBorder="1"/>
    <xf numFmtId="0" fontId="8" fillId="0" borderId="0" xfId="0" applyFont="1" applyBorder="1"/>
    <xf numFmtId="164" fontId="8" fillId="0" borderId="0" xfId="0" applyNumberFormat="1" applyFont="1" applyBorder="1"/>
    <xf numFmtId="1" fontId="8" fillId="0" borderId="0" xfId="0" applyNumberFormat="1" applyFont="1" applyBorder="1"/>
    <xf numFmtId="0" fontId="0" fillId="0" borderId="0" xfId="0" applyBorder="1"/>
    <xf numFmtId="0" fontId="7" fillId="0" borderId="0" xfId="0" applyFont="1" applyFill="1" applyBorder="1"/>
    <xf numFmtId="164" fontId="7" fillId="0" borderId="0" xfId="0" applyNumberFormat="1" applyFont="1" applyBorder="1"/>
    <xf numFmtId="10" fontId="7" fillId="0" borderId="0" xfId="0" applyNumberFormat="1" applyFont="1" applyBorder="1"/>
    <xf numFmtId="0" fontId="9" fillId="0" borderId="0" xfId="0" applyFont="1" applyAlignment="1">
      <alignment horizontal="center" wrapText="1"/>
    </xf>
    <xf numFmtId="0" fontId="9" fillId="0" borderId="0" xfId="0" applyFont="1" applyBorder="1" applyAlignment="1">
      <alignment horizontal="center" vertical="center" wrapText="1"/>
    </xf>
    <xf numFmtId="0" fontId="5" fillId="0" borderId="7" xfId="0" applyFont="1" applyBorder="1"/>
    <xf numFmtId="164" fontId="5" fillId="0" borderId="11" xfId="0" applyNumberFormat="1" applyFont="1" applyBorder="1"/>
    <xf numFmtId="164" fontId="5" fillId="0" borderId="7" xfId="0" applyNumberFormat="1" applyFont="1" applyBorder="1" applyAlignment="1">
      <alignment horizontal="center"/>
    </xf>
    <xf numFmtId="0" fontId="5" fillId="0" borderId="7" xfId="0" applyFont="1" applyFill="1" applyBorder="1"/>
    <xf numFmtId="0" fontId="5" fillId="0" borderId="6" xfId="0" applyFont="1" applyBorder="1"/>
    <xf numFmtId="0" fontId="5" fillId="0" borderId="0" xfId="0" applyFont="1"/>
    <xf numFmtId="0" fontId="10" fillId="0" borderId="0" xfId="0" applyFont="1" applyAlignment="1">
      <alignment vertical="top" wrapText="1"/>
    </xf>
    <xf numFmtId="0" fontId="5" fillId="0" borderId="16" xfId="0" applyFont="1" applyBorder="1"/>
    <xf numFmtId="164" fontId="5" fillId="0" borderId="16" xfId="0" applyNumberFormat="1" applyFont="1" applyBorder="1" applyAlignment="1"/>
    <xf numFmtId="0" fontId="8" fillId="0" borderId="16" xfId="0" applyFont="1" applyBorder="1"/>
    <xf numFmtId="1" fontId="8" fillId="0" borderId="16" xfId="0" applyNumberFormat="1" applyFont="1" applyBorder="1"/>
    <xf numFmtId="1" fontId="8" fillId="0" borderId="16" xfId="0" applyNumberFormat="1" applyFont="1" applyFill="1" applyBorder="1"/>
    <xf numFmtId="164" fontId="7" fillId="0" borderId="0" xfId="0" applyNumberFormat="1" applyFont="1" applyFill="1" applyBorder="1"/>
    <xf numFmtId="0" fontId="7" fillId="0" borderId="0" xfId="0" applyFont="1"/>
    <xf numFmtId="0" fontId="5" fillId="0" borderId="16" xfId="0" applyFont="1" applyBorder="1" applyAlignment="1">
      <alignment vertical="center" wrapText="1"/>
    </xf>
    <xf numFmtId="0" fontId="6" fillId="0" borderId="3" xfId="0" applyFont="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vertical="center"/>
    </xf>
    <xf numFmtId="0" fontId="6" fillId="0" borderId="22" xfId="0" applyFont="1" applyBorder="1" applyAlignment="1">
      <alignment horizontal="center" vertical="center" wrapText="1"/>
    </xf>
    <xf numFmtId="0" fontId="6" fillId="0" borderId="23" xfId="0" applyFont="1" applyBorder="1" applyAlignment="1">
      <alignment vertical="center"/>
    </xf>
    <xf numFmtId="0" fontId="0" fillId="3" borderId="24" xfId="0" applyFill="1" applyBorder="1"/>
    <xf numFmtId="0" fontId="6" fillId="3" borderId="25" xfId="0" applyFont="1" applyFill="1" applyBorder="1"/>
    <xf numFmtId="0" fontId="0" fillId="0" borderId="24" xfId="0" applyBorder="1"/>
    <xf numFmtId="0" fontId="6" fillId="0" borderId="25" xfId="0" applyFont="1" applyBorder="1"/>
    <xf numFmtId="10" fontId="5" fillId="0" borderId="11" xfId="0" applyNumberFormat="1" applyFont="1" applyBorder="1"/>
    <xf numFmtId="0" fontId="5" fillId="3" borderId="26" xfId="0" applyFont="1" applyFill="1" applyBorder="1" applyAlignment="1">
      <alignment horizontal="right" indent="1"/>
    </xf>
    <xf numFmtId="0" fontId="6" fillId="3" borderId="27" xfId="0" applyFont="1" applyFill="1" applyBorder="1"/>
    <xf numFmtId="0" fontId="5" fillId="0" borderId="26" xfId="0" applyFont="1" applyBorder="1" applyAlignment="1">
      <alignment horizontal="right" indent="1"/>
    </xf>
    <xf numFmtId="0" fontId="6" fillId="0" borderId="27" xfId="0" applyFont="1" applyBorder="1"/>
    <xf numFmtId="0" fontId="0" fillId="0" borderId="6" xfId="0" applyBorder="1"/>
    <xf numFmtId="0" fontId="5" fillId="3" borderId="28" xfId="0" applyFont="1" applyFill="1" applyBorder="1"/>
    <xf numFmtId="0" fontId="6" fillId="3" borderId="29" xfId="0" applyFont="1" applyFill="1" applyBorder="1"/>
    <xf numFmtId="0" fontId="5" fillId="0" borderId="28" xfId="0" applyFont="1" applyBorder="1"/>
    <xf numFmtId="0" fontId="6" fillId="0" borderId="29" xfId="0" applyFont="1" applyBorder="1"/>
    <xf numFmtId="0" fontId="0" fillId="0" borderId="0" xfId="0" applyFill="1"/>
    <xf numFmtId="0" fontId="5" fillId="0" borderId="3" xfId="0" applyFont="1" applyFill="1" applyBorder="1"/>
    <xf numFmtId="0" fontId="0" fillId="0" borderId="5" xfId="0" applyBorder="1"/>
    <xf numFmtId="0" fontId="0" fillId="3" borderId="16" xfId="0" applyFill="1" applyBorder="1"/>
    <xf numFmtId="0" fontId="0" fillId="0" borderId="16" xfId="0" applyBorder="1"/>
    <xf numFmtId="0" fontId="12" fillId="0" borderId="37" xfId="0" applyFont="1" applyBorder="1" applyAlignment="1">
      <alignment horizontal="right" wrapText="1"/>
    </xf>
    <xf numFmtId="164" fontId="12" fillId="0" borderId="0" xfId="0" applyNumberFormat="1" applyFont="1" applyBorder="1" applyAlignment="1">
      <alignment horizontal="right" wrapText="1"/>
    </xf>
    <xf numFmtId="164" fontId="12" fillId="0" borderId="12" xfId="0" applyNumberFormat="1" applyFont="1" applyBorder="1" applyAlignment="1">
      <alignment horizontal="right" wrapText="1"/>
    </xf>
    <xf numFmtId="164" fontId="12" fillId="0" borderId="6" xfId="0" applyNumberFormat="1" applyFont="1" applyBorder="1" applyAlignment="1">
      <alignment wrapText="1"/>
    </xf>
    <xf numFmtId="164" fontId="12" fillId="0" borderId="14" xfId="0" applyNumberFormat="1" applyFont="1" applyBorder="1" applyAlignment="1">
      <alignment horizontal="right" wrapText="1"/>
    </xf>
    <xf numFmtId="164" fontId="12" fillId="0" borderId="15" xfId="0" applyNumberFormat="1" applyFont="1" applyBorder="1" applyAlignment="1">
      <alignment horizontal="right" wrapText="1"/>
    </xf>
    <xf numFmtId="0" fontId="0" fillId="0" borderId="4" xfId="0" applyBorder="1"/>
    <xf numFmtId="0" fontId="12" fillId="0" borderId="38" xfId="0" applyFont="1" applyBorder="1" applyAlignment="1">
      <alignment wrapText="1"/>
    </xf>
    <xf numFmtId="164" fontId="12" fillId="0" borderId="37" xfId="0" applyNumberFormat="1" applyFont="1" applyBorder="1" applyAlignment="1">
      <alignment horizontal="right" wrapText="1"/>
    </xf>
    <xf numFmtId="0" fontId="12" fillId="0" borderId="37" xfId="0" applyFont="1" applyBorder="1" applyAlignment="1">
      <alignment wrapText="1"/>
    </xf>
    <xf numFmtId="0" fontId="2" fillId="5" borderId="1" xfId="0" applyFont="1" applyFill="1" applyBorder="1" applyAlignment="1">
      <alignment horizontal="center"/>
    </xf>
    <xf numFmtId="1" fontId="0" fillId="0" borderId="0" xfId="0" applyNumberFormat="1"/>
    <xf numFmtId="9" fontId="12" fillId="0" borderId="37" xfId="0" applyNumberFormat="1" applyFont="1" applyBorder="1" applyAlignment="1">
      <alignment wrapText="1"/>
    </xf>
    <xf numFmtId="0" fontId="0" fillId="0" borderId="41" xfId="0" applyBorder="1"/>
    <xf numFmtId="0" fontId="6" fillId="0" borderId="16" xfId="0" applyFont="1" applyBorder="1" applyAlignment="1">
      <alignment horizontal="center" vertical="center" wrapText="1"/>
    </xf>
    <xf numFmtId="0" fontId="6" fillId="5" borderId="7" xfId="0" applyFont="1" applyFill="1" applyBorder="1" applyAlignment="1">
      <alignment horizontal="center" vertical="center" wrapText="1"/>
    </xf>
    <xf numFmtId="0" fontId="6" fillId="5" borderId="16" xfId="0" applyFont="1" applyFill="1" applyBorder="1" applyAlignment="1">
      <alignment horizontal="center" vertical="center" wrapText="1"/>
    </xf>
    <xf numFmtId="164" fontId="12" fillId="0" borderId="12" xfId="0" applyNumberFormat="1" applyFont="1" applyBorder="1" applyAlignment="1">
      <alignment wrapText="1"/>
    </xf>
    <xf numFmtId="0" fontId="12" fillId="0" borderId="6" xfId="0" applyFont="1" applyBorder="1" applyAlignment="1">
      <alignment vertical="top" wrapText="1"/>
    </xf>
    <xf numFmtId="0" fontId="5" fillId="0" borderId="39" xfId="0" applyFont="1" applyBorder="1" applyAlignment="1">
      <alignment horizontal="center" vertical="center" wrapText="1"/>
    </xf>
    <xf numFmtId="0" fontId="5" fillId="0" borderId="44" xfId="0" applyFont="1" applyBorder="1" applyAlignment="1">
      <alignment horizontal="center" vertical="center" wrapText="1"/>
    </xf>
    <xf numFmtId="0" fontId="0" fillId="0" borderId="7" xfId="0" applyBorder="1"/>
    <xf numFmtId="164" fontId="12" fillId="0" borderId="11" xfId="0" applyNumberFormat="1" applyFont="1" applyBorder="1" applyAlignment="1">
      <alignment horizontal="right" wrapText="1"/>
    </xf>
    <xf numFmtId="164" fontId="12" fillId="0" borderId="15" xfId="0" applyNumberFormat="1" applyFont="1" applyBorder="1" applyAlignment="1">
      <alignment wrapText="1"/>
    </xf>
    <xf numFmtId="164" fontId="12" fillId="0" borderId="13" xfId="0" applyNumberFormat="1" applyFont="1" applyBorder="1" applyAlignment="1">
      <alignment horizontal="right" wrapText="1"/>
    </xf>
    <xf numFmtId="0" fontId="12" fillId="0" borderId="7" xfId="0" applyFont="1" applyBorder="1" applyAlignment="1">
      <alignment wrapText="1"/>
    </xf>
    <xf numFmtId="0" fontId="5" fillId="0" borderId="51"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53" xfId="0" applyFont="1" applyBorder="1" applyAlignment="1">
      <alignment horizontal="center" vertical="center" wrapText="1"/>
    </xf>
    <xf numFmtId="0" fontId="12" fillId="0" borderId="0" xfId="0" applyFont="1" applyBorder="1" applyAlignment="1">
      <alignment vertical="top" wrapText="1"/>
    </xf>
    <xf numFmtId="0" fontId="11" fillId="0" borderId="0" xfId="0" applyFont="1" applyBorder="1" applyAlignment="1">
      <alignment horizontal="center" vertical="center" wrapText="1"/>
    </xf>
    <xf numFmtId="0" fontId="5" fillId="0" borderId="0" xfId="0" applyFont="1" applyBorder="1" applyAlignment="1">
      <alignment horizontal="center" vertical="center" wrapText="1"/>
    </xf>
    <xf numFmtId="164" fontId="12" fillId="0" borderId="7" xfId="0" applyNumberFormat="1" applyFont="1" applyBorder="1" applyAlignment="1">
      <alignment wrapText="1"/>
    </xf>
    <xf numFmtId="0" fontId="0" fillId="0" borderId="0" xfId="0" applyAlignment="1">
      <alignment horizontal="center"/>
    </xf>
    <xf numFmtId="0" fontId="13" fillId="6" borderId="1" xfId="0" applyFont="1" applyFill="1" applyBorder="1" applyAlignment="1">
      <alignment horizontal="center"/>
    </xf>
    <xf numFmtId="0" fontId="6" fillId="0" borderId="0" xfId="0" applyFont="1" applyBorder="1" applyAlignment="1">
      <alignment horizontal="center" vertical="center" wrapText="1"/>
    </xf>
    <xf numFmtId="164" fontId="5" fillId="0" borderId="0" xfId="0" applyNumberFormat="1" applyFont="1" applyBorder="1" applyAlignment="1">
      <alignment vertical="top"/>
    </xf>
    <xf numFmtId="0" fontId="5" fillId="0" borderId="0" xfId="0" applyFont="1" applyAlignment="1">
      <alignment wrapText="1"/>
    </xf>
    <xf numFmtId="0" fontId="15" fillId="0" borderId="0" xfId="0" applyFont="1" applyAlignment="1">
      <alignment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1" fillId="5"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0"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15" xfId="0" applyFont="1" applyFill="1" applyBorder="1" applyAlignment="1">
      <alignment horizontal="center" vertical="center" wrapText="1"/>
    </xf>
    <xf numFmtId="0" fontId="11" fillId="4" borderId="30" xfId="0" applyFont="1" applyFill="1" applyBorder="1" applyAlignment="1">
      <alignment horizontal="center" wrapText="1"/>
    </xf>
    <xf numFmtId="0" fontId="11" fillId="4" borderId="31" xfId="0" applyFont="1" applyFill="1" applyBorder="1" applyAlignment="1">
      <alignment horizontal="center" wrapText="1"/>
    </xf>
    <xf numFmtId="0" fontId="11" fillId="4" borderId="45" xfId="0" applyFont="1" applyFill="1" applyBorder="1" applyAlignment="1">
      <alignment horizontal="center" wrapText="1"/>
    </xf>
    <xf numFmtId="0" fontId="11" fillId="4" borderId="46" xfId="0" applyFont="1" applyFill="1" applyBorder="1" applyAlignment="1">
      <alignment horizontal="center" wrapText="1"/>
    </xf>
    <xf numFmtId="0" fontId="11" fillId="4" borderId="47" xfId="0" applyFont="1" applyFill="1" applyBorder="1" applyAlignment="1">
      <alignment horizontal="center" wrapText="1"/>
    </xf>
    <xf numFmtId="0" fontId="12" fillId="4" borderId="48" xfId="0" applyFont="1" applyFill="1" applyBorder="1" applyAlignment="1">
      <alignment horizontal="center" wrapText="1"/>
    </xf>
    <xf numFmtId="0" fontId="12" fillId="4" borderId="49" xfId="0" applyFont="1" applyFill="1" applyBorder="1" applyAlignment="1">
      <alignment horizontal="center" wrapText="1"/>
    </xf>
    <xf numFmtId="0" fontId="12" fillId="4" borderId="50" xfId="0" applyFont="1" applyFill="1" applyBorder="1" applyAlignment="1">
      <alignment horizontal="center" wrapText="1"/>
    </xf>
    <xf numFmtId="0" fontId="12" fillId="0" borderId="7" xfId="0" applyFont="1" applyBorder="1" applyAlignment="1">
      <alignment wrapText="1"/>
    </xf>
    <xf numFmtId="0" fontId="11" fillId="0" borderId="42" xfId="0" applyFont="1" applyBorder="1" applyAlignment="1">
      <alignment horizontal="center" vertical="center" wrapText="1"/>
    </xf>
    <xf numFmtId="0" fontId="11" fillId="0" borderId="43" xfId="0" applyFont="1" applyBorder="1" applyAlignment="1">
      <alignment horizontal="center" vertical="center" wrapText="1"/>
    </xf>
    <xf numFmtId="0" fontId="12" fillId="0" borderId="41" xfId="0" applyFont="1" applyBorder="1" applyAlignment="1">
      <alignment horizontal="center" wrapText="1"/>
    </xf>
    <xf numFmtId="0" fontId="12" fillId="0" borderId="0" xfId="0" applyFont="1" applyBorder="1" applyAlignment="1">
      <alignment horizontal="center" wrapText="1"/>
    </xf>
    <xf numFmtId="0" fontId="12" fillId="0" borderId="42" xfId="0" applyFont="1" applyBorder="1" applyAlignment="1">
      <alignment horizontal="center" wrapText="1"/>
    </xf>
    <xf numFmtId="0" fontId="12" fillId="0" borderId="40" xfId="0" applyFont="1" applyBorder="1" applyAlignment="1">
      <alignment horizontal="center" wrapText="1"/>
    </xf>
    <xf numFmtId="0" fontId="12" fillId="0" borderId="35" xfId="0" applyFont="1" applyBorder="1" applyAlignment="1">
      <alignment horizontal="center" wrapText="1"/>
    </xf>
    <xf numFmtId="0" fontId="12" fillId="0" borderId="36" xfId="0" applyFont="1" applyBorder="1" applyAlignment="1">
      <alignment horizontal="center" wrapText="1"/>
    </xf>
    <xf numFmtId="0" fontId="12" fillId="4" borderId="32" xfId="0" applyFont="1" applyFill="1" applyBorder="1" applyAlignment="1">
      <alignment horizontal="center" wrapText="1"/>
    </xf>
    <xf numFmtId="0" fontId="12" fillId="4" borderId="31" xfId="0" applyFont="1" applyFill="1" applyBorder="1" applyAlignment="1">
      <alignment horizontal="center" wrapText="1"/>
    </xf>
    <xf numFmtId="0" fontId="12" fillId="0" borderId="2" xfId="0" applyFont="1" applyBorder="1" applyAlignment="1">
      <alignment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2" fillId="0" borderId="32" xfId="0" applyFont="1" applyBorder="1" applyAlignment="1">
      <alignment horizontal="center" wrapText="1"/>
    </xf>
    <xf numFmtId="0" fontId="12" fillId="0" borderId="33" xfId="0" applyFont="1" applyBorder="1" applyAlignment="1">
      <alignment horizontal="center" wrapText="1"/>
    </xf>
    <xf numFmtId="0" fontId="12" fillId="0" borderId="34" xfId="0" applyFont="1" applyBorder="1" applyAlignment="1">
      <alignment horizontal="center" wrapText="1"/>
    </xf>
    <xf numFmtId="0" fontId="12" fillId="0" borderId="41" xfId="0" applyFont="1" applyBorder="1" applyAlignment="1">
      <alignment horizontal="center"/>
    </xf>
    <xf numFmtId="0" fontId="12" fillId="0" borderId="0" xfId="0" applyFont="1" applyBorder="1" applyAlignment="1">
      <alignment horizontal="center"/>
    </xf>
    <xf numFmtId="0" fontId="12" fillId="0" borderId="12" xfId="0" applyFont="1" applyBorder="1" applyAlignment="1">
      <alignment horizontal="center"/>
    </xf>
    <xf numFmtId="49" fontId="5" fillId="0" borderId="2" xfId="0" applyNumberFormat="1" applyFont="1" applyBorder="1" applyAlignment="1">
      <alignment horizontal="center" vertical="center" wrapText="1"/>
    </xf>
    <xf numFmtId="49" fontId="5" fillId="0" borderId="6" xfId="0" applyNumberFormat="1" applyFont="1" applyBorder="1" applyAlignment="1">
      <alignment horizontal="center" vertical="center" wrapText="1"/>
    </xf>
    <xf numFmtId="165" fontId="5" fillId="0" borderId="2" xfId="0" quotePrefix="1" applyNumberFormat="1" applyFont="1" applyBorder="1" applyAlignment="1">
      <alignment horizontal="center" vertical="center" wrapText="1"/>
    </xf>
    <xf numFmtId="165" fontId="5" fillId="0" borderId="6" xfId="0" applyNumberFormat="1"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9" fillId="2" borderId="17"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5</xdr:col>
      <xdr:colOff>0</xdr:colOff>
      <xdr:row>10</xdr:row>
      <xdr:rowOff>0</xdr:rowOff>
    </xdr:from>
    <xdr:to>
      <xdr:col>10</xdr:col>
      <xdr:colOff>123825</xdr:colOff>
      <xdr:row>22</xdr:row>
      <xdr:rowOff>180975</xdr:rowOff>
    </xdr:to>
    <xdr:sp macro="" textlink="">
      <xdr:nvSpPr>
        <xdr:cNvPr id="2" name="TextBox 1"/>
        <xdr:cNvSpPr txBox="1"/>
      </xdr:nvSpPr>
      <xdr:spPr>
        <a:xfrm>
          <a:off x="5181600" y="3028950"/>
          <a:ext cx="3171825" cy="2466975"/>
        </a:xfrm>
        <a:prstGeom prst="rect">
          <a:avLst/>
        </a:prstGeom>
        <a:solidFill>
          <a:schemeClr val="lt1"/>
        </a:solidFill>
        <a:ln w="254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NZ" sz="1100"/>
            <a:t>Notes:</a:t>
          </a:r>
        </a:p>
        <a:p>
          <a:endParaRPr lang="en-NZ" sz="1100"/>
        </a:p>
        <a:p>
          <a:r>
            <a:rPr lang="en-NZ" sz="1100"/>
            <a:t>Those</a:t>
          </a:r>
          <a:r>
            <a:rPr lang="en-NZ" sz="1100" baseline="0"/>
            <a:t> who say that they "Definitely will vote" are currently 82.1% of the population 18+.  The turnout in the 2008 general election was 75.1% of those who were age eligible, or 79.5% of those enrolled (source Electoral Commission).</a:t>
          </a:r>
        </a:p>
        <a:p>
          <a:endParaRPr lang="en-NZ" sz="1100" baseline="0"/>
        </a:p>
        <a:p>
          <a:r>
            <a:rPr lang="en-NZ" sz="1100" baseline="0"/>
            <a:t>The "Potential Vote" column shows  what could be the situation if all who have not excluded voting actually did vote.</a:t>
          </a:r>
        </a:p>
        <a:p>
          <a:endParaRPr lang="en-NZ" sz="1100" baseline="0"/>
        </a:p>
        <a:p>
          <a:r>
            <a:rPr lang="en-NZ" sz="1100" baseline="0"/>
            <a:t>Details are shown on following pages of this workbook.</a:t>
          </a:r>
          <a:endParaRPr lang="en-NZ" sz="1100"/>
        </a:p>
      </xdr:txBody>
    </xdr:sp>
    <xdr:clientData/>
  </xdr:twoCellAnchor>
  <xdr:twoCellAnchor editAs="oneCell">
    <xdr:from>
      <xdr:col>1</xdr:col>
      <xdr:colOff>1</xdr:colOff>
      <xdr:row>0</xdr:row>
      <xdr:rowOff>0</xdr:rowOff>
    </xdr:from>
    <xdr:to>
      <xdr:col>5</xdr:col>
      <xdr:colOff>559749</xdr:colOff>
      <xdr:row>0</xdr:row>
      <xdr:rowOff>628650</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1" y="0"/>
          <a:ext cx="5131748"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295275</xdr:colOff>
      <xdr:row>0</xdr:row>
      <xdr:rowOff>571670</xdr:rowOff>
    </xdr:to>
    <xdr:pic>
      <xdr:nvPicPr>
        <xdr:cNvPr id="2" name="Picture 2" descr="HorizonPoll.jpg"/>
        <xdr:cNvPicPr>
          <a:picLocks noChangeAspect="1"/>
        </xdr:cNvPicPr>
      </xdr:nvPicPr>
      <xdr:blipFill>
        <a:blip xmlns:r="http://schemas.openxmlformats.org/officeDocument/2006/relationships" r:embed="rId1"/>
        <a:srcRect/>
        <a:stretch>
          <a:fillRect/>
        </a:stretch>
      </xdr:blipFill>
      <xdr:spPr bwMode="auto">
        <a:xfrm>
          <a:off x="0" y="0"/>
          <a:ext cx="3362325" cy="57167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2200275</xdr:colOff>
      <xdr:row>0</xdr:row>
      <xdr:rowOff>477742</xdr:rowOff>
    </xdr:to>
    <xdr:pic>
      <xdr:nvPicPr>
        <xdr:cNvPr id="2" name="Picture 2" descr="HorizonPoll.jpg"/>
        <xdr:cNvPicPr>
          <a:picLocks noChangeAspect="1"/>
        </xdr:cNvPicPr>
      </xdr:nvPicPr>
      <xdr:blipFill>
        <a:blip xmlns:r="http://schemas.openxmlformats.org/officeDocument/2006/relationships" r:embed="rId1"/>
        <a:srcRect/>
        <a:stretch>
          <a:fillRect/>
        </a:stretch>
      </xdr:blipFill>
      <xdr:spPr bwMode="auto">
        <a:xfrm>
          <a:off x="0" y="0"/>
          <a:ext cx="2809875" cy="47774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35"/>
  <sheetViews>
    <sheetView topLeftCell="A25" workbookViewId="0">
      <selection activeCell="F3" sqref="F3"/>
    </sheetView>
  </sheetViews>
  <sheetFormatPr defaultRowHeight="15" x14ac:dyDescent="0.25"/>
  <cols>
    <col min="2" max="2" width="41.140625" customWidth="1"/>
  </cols>
  <sheetData>
    <row r="1" spans="2:12" ht="55.5" customHeight="1" x14ac:dyDescent="0.25"/>
    <row r="2" spans="2:12" x14ac:dyDescent="0.25">
      <c r="B2" s="111" t="s">
        <v>85</v>
      </c>
    </row>
    <row r="3" spans="2:12" ht="15.75" thickBot="1" x14ac:dyDescent="0.3"/>
    <row r="4" spans="2:12" ht="19.5" thickBot="1" x14ac:dyDescent="0.35">
      <c r="B4" s="112" t="s">
        <v>80</v>
      </c>
    </row>
    <row r="6" spans="2:12" x14ac:dyDescent="0.25">
      <c r="B6" s="2" t="s">
        <v>1</v>
      </c>
    </row>
    <row r="7" spans="2:12" x14ac:dyDescent="0.25">
      <c r="B7" t="s">
        <v>2</v>
      </c>
    </row>
    <row r="9" spans="2:12" x14ac:dyDescent="0.25">
      <c r="B9" s="53"/>
    </row>
    <row r="10" spans="2:12" ht="90" x14ac:dyDescent="0.25">
      <c r="B10" s="7"/>
      <c r="C10" s="92" t="s">
        <v>81</v>
      </c>
      <c r="D10" s="92" t="s">
        <v>82</v>
      </c>
      <c r="E10" s="113"/>
      <c r="F10" s="113"/>
      <c r="G10" s="113"/>
      <c r="H10" s="113"/>
      <c r="I10" s="113"/>
      <c r="J10" s="113"/>
      <c r="K10" s="113"/>
      <c r="L10" s="113"/>
    </row>
    <row r="11" spans="2:12" x14ac:dyDescent="0.25">
      <c r="B11" s="11" t="s">
        <v>5</v>
      </c>
      <c r="C11" s="3"/>
      <c r="D11" s="3"/>
      <c r="E11" s="33"/>
      <c r="F11" s="33"/>
      <c r="G11" s="114"/>
      <c r="H11" s="114"/>
      <c r="I11" s="114"/>
      <c r="J11" s="114"/>
      <c r="K11" s="114"/>
      <c r="L11" s="33"/>
    </row>
    <row r="12" spans="2:12" x14ac:dyDescent="0.25">
      <c r="B12" s="11" t="s">
        <v>17</v>
      </c>
      <c r="C12" s="12">
        <v>2.7436592195128649E-2</v>
      </c>
      <c r="D12" s="12">
        <v>2.5025549330767748E-2</v>
      </c>
      <c r="E12" s="13"/>
      <c r="F12" s="13"/>
      <c r="G12" s="114"/>
      <c r="H12" s="114"/>
      <c r="I12" s="114"/>
      <c r="J12" s="114"/>
      <c r="K12" s="114"/>
      <c r="L12" s="13"/>
    </row>
    <row r="13" spans="2:12" x14ac:dyDescent="0.25">
      <c r="B13" s="11" t="s">
        <v>6</v>
      </c>
      <c r="C13" s="12">
        <v>5.2197227005242687E-2</v>
      </c>
      <c r="D13" s="12">
        <v>5.1050158195735905E-2</v>
      </c>
      <c r="E13" s="13"/>
      <c r="F13" s="13"/>
      <c r="G13" s="114"/>
      <c r="H13" s="114"/>
      <c r="I13" s="114"/>
      <c r="J13" s="114"/>
      <c r="K13" s="114"/>
      <c r="L13" s="13"/>
    </row>
    <row r="14" spans="2:12" x14ac:dyDescent="0.25">
      <c r="B14" s="11" t="s">
        <v>8</v>
      </c>
      <c r="C14" s="12">
        <v>0.12366724437756171</v>
      </c>
      <c r="D14" s="12">
        <v>0.12449364933276982</v>
      </c>
      <c r="E14" s="13"/>
      <c r="F14" s="13"/>
      <c r="G14" s="114"/>
      <c r="H14" s="114"/>
      <c r="I14" s="114"/>
      <c r="J14" s="114"/>
      <c r="K14" s="114"/>
      <c r="L14" s="13"/>
    </row>
    <row r="15" spans="2:12" x14ac:dyDescent="0.25">
      <c r="B15" s="11" t="s">
        <v>18</v>
      </c>
      <c r="C15" s="12">
        <v>0.28645464845313762</v>
      </c>
      <c r="D15" s="12">
        <v>0.29598633209802849</v>
      </c>
      <c r="E15" s="13"/>
      <c r="F15" s="13"/>
      <c r="G15" s="114"/>
      <c r="H15" s="114"/>
      <c r="I15" s="114"/>
      <c r="J15" s="114"/>
      <c r="K15" s="114"/>
      <c r="L15" s="13"/>
    </row>
    <row r="16" spans="2:12" x14ac:dyDescent="0.25">
      <c r="B16" s="11" t="s">
        <v>9</v>
      </c>
      <c r="C16" s="12">
        <v>2.8096491843985178E-2</v>
      </c>
      <c r="D16" s="12">
        <v>2.4450193364704942E-2</v>
      </c>
      <c r="E16" s="13"/>
      <c r="F16" s="13"/>
      <c r="G16" s="114"/>
      <c r="H16" s="114"/>
      <c r="I16" s="114"/>
      <c r="J16" s="114"/>
      <c r="K16" s="114"/>
      <c r="L16" s="13"/>
    </row>
    <row r="17" spans="2:12" x14ac:dyDescent="0.25">
      <c r="B17" s="11" t="s">
        <v>10</v>
      </c>
      <c r="C17" s="12">
        <v>1.1178845236548097E-2</v>
      </c>
      <c r="D17" s="12">
        <v>1.1311435814284928E-2</v>
      </c>
      <c r="E17" s="13"/>
      <c r="F17" s="13"/>
      <c r="G17" s="114"/>
      <c r="H17" s="114"/>
      <c r="I17" s="114"/>
      <c r="J17" s="114"/>
      <c r="K17" s="114"/>
      <c r="L17" s="13"/>
    </row>
    <row r="18" spans="2:12" x14ac:dyDescent="0.25">
      <c r="B18" s="11" t="s">
        <v>11</v>
      </c>
      <c r="C18" s="12">
        <v>0.33377120263839083</v>
      </c>
      <c r="D18" s="12">
        <v>0.32353266991492291</v>
      </c>
      <c r="E18" s="13"/>
      <c r="F18" s="13"/>
      <c r="G18" s="114"/>
      <c r="H18" s="114"/>
      <c r="I18" s="114"/>
      <c r="J18" s="114"/>
      <c r="K18" s="114"/>
      <c r="L18" s="13"/>
    </row>
    <row r="19" spans="2:12" x14ac:dyDescent="0.25">
      <c r="B19" s="11" t="s">
        <v>12</v>
      </c>
      <c r="C19" s="12">
        <v>0.10820220934416545</v>
      </c>
      <c r="D19" s="12">
        <v>0.10307355677749154</v>
      </c>
      <c r="E19" s="13"/>
      <c r="F19" s="13"/>
      <c r="G19" s="114"/>
      <c r="H19" s="114"/>
      <c r="I19" s="114"/>
      <c r="J19" s="114"/>
      <c r="K19" s="114"/>
      <c r="L19" s="13"/>
    </row>
    <row r="20" spans="2:12" x14ac:dyDescent="0.25">
      <c r="B20" s="11" t="s">
        <v>19</v>
      </c>
      <c r="C20" s="12">
        <v>8.9632102084598406E-3</v>
      </c>
      <c r="D20" s="12">
        <v>8.7403245414855342E-3</v>
      </c>
      <c r="E20" s="13"/>
      <c r="F20" s="13"/>
      <c r="G20" s="114"/>
      <c r="H20" s="114"/>
      <c r="I20" s="114"/>
      <c r="J20" s="114"/>
      <c r="K20" s="114"/>
      <c r="L20" s="13"/>
    </row>
    <row r="21" spans="2:12" x14ac:dyDescent="0.25">
      <c r="B21" s="11" t="s">
        <v>20</v>
      </c>
      <c r="C21" s="12">
        <v>6.789153819590641E-3</v>
      </c>
      <c r="D21" s="12">
        <v>6.7375585680337869E-3</v>
      </c>
      <c r="E21" s="13"/>
      <c r="F21" s="13"/>
      <c r="G21" s="114"/>
      <c r="H21" s="114"/>
      <c r="I21" s="114"/>
      <c r="J21" s="114"/>
      <c r="K21" s="114"/>
      <c r="L21" s="13"/>
    </row>
    <row r="22" spans="2:12" x14ac:dyDescent="0.25">
      <c r="B22" s="15" t="s">
        <v>21</v>
      </c>
      <c r="C22" s="12">
        <v>0</v>
      </c>
      <c r="D22" s="12">
        <v>2.1572551537975371E-3</v>
      </c>
      <c r="E22" s="13"/>
      <c r="F22" s="13"/>
      <c r="G22" s="114"/>
      <c r="H22" s="114"/>
      <c r="I22" s="114"/>
      <c r="J22" s="114"/>
      <c r="K22" s="114"/>
      <c r="L22" s="13"/>
    </row>
    <row r="23" spans="2:12" x14ac:dyDescent="0.25">
      <c r="B23" s="19"/>
      <c r="C23" s="16">
        <v>1.3243174877793413E-2</v>
      </c>
      <c r="D23" s="16">
        <v>2.3441316907982387E-2</v>
      </c>
      <c r="E23" s="13"/>
      <c r="F23" s="13"/>
      <c r="G23" s="114"/>
      <c r="H23" s="114"/>
      <c r="I23" s="114"/>
      <c r="J23" s="114"/>
      <c r="K23" s="114"/>
      <c r="L23" s="13"/>
    </row>
    <row r="24" spans="2:12" x14ac:dyDescent="0.25">
      <c r="B24" s="20" t="s">
        <v>4</v>
      </c>
      <c r="C24" s="13"/>
      <c r="D24" s="13"/>
      <c r="E24" s="13"/>
      <c r="F24" s="13"/>
      <c r="G24" s="13"/>
      <c r="H24" s="13"/>
      <c r="I24" s="13"/>
      <c r="J24" s="13"/>
      <c r="K24" s="13"/>
      <c r="L24" s="13"/>
    </row>
    <row r="25" spans="2:12" x14ac:dyDescent="0.25">
      <c r="B25" s="24" t="s">
        <v>22</v>
      </c>
      <c r="C25" s="21">
        <f>SUM(C12:C23)</f>
        <v>1.000000000000004</v>
      </c>
      <c r="D25" s="21">
        <f>SUM(D12:D23)</f>
        <v>1.0000000000000056</v>
      </c>
      <c r="E25" s="13"/>
      <c r="F25" s="13"/>
      <c r="G25" s="13"/>
      <c r="H25" s="13"/>
      <c r="I25" s="13"/>
      <c r="J25" s="13"/>
      <c r="K25" s="13"/>
      <c r="L25" s="13"/>
    </row>
    <row r="26" spans="2:12" x14ac:dyDescent="0.25">
      <c r="B26" s="26" t="s">
        <v>23</v>
      </c>
      <c r="C26" s="25"/>
      <c r="D26" s="25"/>
      <c r="E26" s="25"/>
      <c r="F26" s="25"/>
      <c r="G26" s="25"/>
      <c r="H26" s="25"/>
      <c r="I26" s="25"/>
      <c r="J26" s="25"/>
      <c r="K26" s="25"/>
      <c r="L26" s="25"/>
    </row>
    <row r="27" spans="2:12" x14ac:dyDescent="0.25">
      <c r="B27" s="30" t="s">
        <v>24</v>
      </c>
      <c r="C27" s="27">
        <v>2807</v>
      </c>
      <c r="D27" s="27">
        <v>3037</v>
      </c>
      <c r="E27" s="25"/>
      <c r="F27" s="25"/>
      <c r="G27" s="25"/>
      <c r="H27" s="25"/>
      <c r="I27" s="25"/>
      <c r="J27" s="25"/>
      <c r="K27" s="25"/>
      <c r="L27" s="25"/>
    </row>
    <row r="28" spans="2:12" x14ac:dyDescent="0.25">
      <c r="B28" s="34"/>
      <c r="C28" s="31">
        <v>1.8496812280592401E-2</v>
      </c>
      <c r="D28" s="31">
        <v>1.7782618007065942E-2</v>
      </c>
      <c r="E28" s="32"/>
      <c r="F28" s="32"/>
      <c r="G28" s="32"/>
      <c r="H28" s="32"/>
      <c r="I28" s="32"/>
      <c r="J28" s="32"/>
      <c r="K28" s="32"/>
      <c r="L28" s="32"/>
    </row>
    <row r="29" spans="2:12" x14ac:dyDescent="0.25">
      <c r="C29" s="35"/>
      <c r="D29" s="33"/>
      <c r="E29" s="33"/>
      <c r="F29" s="33"/>
      <c r="G29" s="33"/>
      <c r="H29" s="33"/>
      <c r="I29" s="33"/>
      <c r="J29" s="33"/>
      <c r="K29" s="33"/>
      <c r="L29" s="33"/>
    </row>
    <row r="30" spans="2:12" x14ac:dyDescent="0.25">
      <c r="B30" s="34"/>
      <c r="C30" s="10"/>
    </row>
    <row r="31" spans="2:12" x14ac:dyDescent="0.25">
      <c r="C31" s="35"/>
      <c r="G31" s="10"/>
      <c r="H31" s="10"/>
      <c r="I31" s="10"/>
      <c r="J31" s="10"/>
      <c r="K31" s="10"/>
      <c r="L31" s="10"/>
    </row>
    <row r="34" spans="2:3" x14ac:dyDescent="0.25">
      <c r="B34" s="34"/>
    </row>
    <row r="35" spans="2:3" x14ac:dyDescent="0.25">
      <c r="C35" s="36"/>
    </row>
  </sheetData>
  <pageMargins left="0.7" right="0.7" top="0.75" bottom="0.75" header="0.3" footer="0.3"/>
  <pageSetup paperSize="9" scale="92"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B1:V111"/>
  <sheetViews>
    <sheetView tabSelected="1" topLeftCell="B70" workbookViewId="0">
      <selection activeCell="E86" sqref="E86"/>
    </sheetView>
  </sheetViews>
  <sheetFormatPr defaultRowHeight="15" x14ac:dyDescent="0.25"/>
  <cols>
    <col min="2" max="2" width="36.85546875" customWidth="1"/>
  </cols>
  <sheetData>
    <row r="1" spans="2:22" ht="55.5" customHeight="1" x14ac:dyDescent="0.25"/>
    <row r="2" spans="2:22" x14ac:dyDescent="0.25">
      <c r="B2" t="s">
        <v>84</v>
      </c>
    </row>
    <row r="3" spans="2:22" ht="15" customHeight="1" thickBot="1" x14ac:dyDescent="0.3"/>
    <row r="4" spans="2:22" ht="19.5" thickBot="1" x14ac:dyDescent="0.35">
      <c r="B4" s="88" t="s">
        <v>62</v>
      </c>
    </row>
    <row r="6" spans="2:22" x14ac:dyDescent="0.25">
      <c r="B6" s="2" t="s">
        <v>1</v>
      </c>
    </row>
    <row r="7" spans="2:22" x14ac:dyDescent="0.25">
      <c r="B7" t="s">
        <v>2</v>
      </c>
    </row>
    <row r="9" spans="2:22" x14ac:dyDescent="0.25">
      <c r="B9" s="3"/>
      <c r="C9" s="117" t="s">
        <v>3</v>
      </c>
      <c r="D9" s="118"/>
      <c r="E9" s="118"/>
      <c r="F9" s="118"/>
      <c r="G9" s="118"/>
      <c r="H9" s="118"/>
      <c r="I9" s="118"/>
      <c r="J9" s="118"/>
      <c r="K9" s="118"/>
      <c r="L9" s="118"/>
      <c r="M9" s="118"/>
      <c r="N9" s="118"/>
      <c r="O9" s="119"/>
    </row>
    <row r="10" spans="2:22" ht="45" x14ac:dyDescent="0.25">
      <c r="B10" s="4"/>
      <c r="C10" s="93" t="s">
        <v>66</v>
      </c>
      <c r="D10" s="6" t="s">
        <v>5</v>
      </c>
      <c r="E10" s="6" t="s">
        <v>6</v>
      </c>
      <c r="F10" s="6" t="s">
        <v>7</v>
      </c>
      <c r="G10" s="6" t="s">
        <v>8</v>
      </c>
      <c r="H10" s="6" t="s">
        <v>9</v>
      </c>
      <c r="I10" s="6" t="s">
        <v>10</v>
      </c>
      <c r="J10" s="6" t="s">
        <v>11</v>
      </c>
      <c r="K10" s="6" t="s">
        <v>12</v>
      </c>
      <c r="L10" s="6" t="s">
        <v>13</v>
      </c>
      <c r="M10" s="6" t="s">
        <v>14</v>
      </c>
      <c r="N10" s="6" t="s">
        <v>15</v>
      </c>
      <c r="O10" s="6" t="s">
        <v>16</v>
      </c>
      <c r="Q10" s="94" t="s">
        <v>67</v>
      </c>
    </row>
    <row r="11" spans="2:22" x14ac:dyDescent="0.25">
      <c r="B11" s="7"/>
      <c r="C11" s="3"/>
      <c r="D11" s="8"/>
      <c r="E11" s="8"/>
      <c r="F11" s="8"/>
      <c r="G11" s="8"/>
      <c r="H11" s="8"/>
      <c r="I11" s="8"/>
      <c r="J11" s="8"/>
      <c r="K11" s="8"/>
      <c r="L11" s="8"/>
      <c r="M11" s="8"/>
      <c r="N11" s="8"/>
      <c r="O11" s="9"/>
      <c r="Q11" s="3"/>
      <c r="R11" s="10"/>
    </row>
    <row r="12" spans="2:22" x14ac:dyDescent="0.25">
      <c r="B12" s="11" t="s">
        <v>5</v>
      </c>
      <c r="C12" s="12">
        <v>2.7436592195128649E-2</v>
      </c>
      <c r="D12" s="13">
        <v>0.47720441800294816</v>
      </c>
      <c r="E12" s="13">
        <v>1.7118553800047002E-3</v>
      </c>
      <c r="F12" s="13">
        <v>0</v>
      </c>
      <c r="G12" s="13">
        <v>1.3389378207277561E-3</v>
      </c>
      <c r="H12" s="13">
        <v>1.958453424853503E-2</v>
      </c>
      <c r="I12" s="13">
        <v>1.5132824285782713E-2</v>
      </c>
      <c r="J12" s="13">
        <v>3.2999275618745159E-3</v>
      </c>
      <c r="K12" s="13">
        <v>0</v>
      </c>
      <c r="L12" s="13">
        <v>7.2040530024588989E-2</v>
      </c>
      <c r="M12" s="13">
        <v>2.9736585767813403E-2</v>
      </c>
      <c r="N12" s="13">
        <v>0</v>
      </c>
      <c r="O12" s="14">
        <v>1.0607058065730125E-2</v>
      </c>
      <c r="Q12" s="12">
        <v>3.4471465117926724E-2</v>
      </c>
      <c r="R12" s="10"/>
      <c r="S12" s="89"/>
      <c r="T12" s="10"/>
      <c r="U12" s="10"/>
      <c r="V12" s="10"/>
    </row>
    <row r="13" spans="2:22" x14ac:dyDescent="0.25">
      <c r="B13" s="11" t="s">
        <v>17</v>
      </c>
      <c r="C13" s="12">
        <v>5.2197227005242687E-2</v>
      </c>
      <c r="D13" s="13">
        <v>0.18242087610781157</v>
      </c>
      <c r="E13" s="13">
        <v>7.2848873183316591E-3</v>
      </c>
      <c r="F13" s="13">
        <v>4.5806849871871738E-2</v>
      </c>
      <c r="G13" s="13">
        <v>1.7182386003463845E-2</v>
      </c>
      <c r="H13" s="13">
        <v>2.1118436717856097E-3</v>
      </c>
      <c r="I13" s="13">
        <v>5.8969616757452797E-2</v>
      </c>
      <c r="J13" s="13">
        <v>3.6718935211270322E-2</v>
      </c>
      <c r="K13" s="13">
        <v>0.16239114082540826</v>
      </c>
      <c r="L13" s="13">
        <v>0.2510968580758578</v>
      </c>
      <c r="M13" s="13">
        <v>4.6031976574106605E-2</v>
      </c>
      <c r="N13" s="13">
        <v>0</v>
      </c>
      <c r="O13" s="14">
        <v>0.10301052333960517</v>
      </c>
      <c r="Q13" s="12">
        <v>4.7388017638597929E-2</v>
      </c>
      <c r="R13" s="10"/>
      <c r="S13" s="89"/>
      <c r="T13" s="10"/>
      <c r="U13" s="10"/>
      <c r="V13" s="10"/>
    </row>
    <row r="14" spans="2:22" x14ac:dyDescent="0.25">
      <c r="B14" s="11" t="s">
        <v>6</v>
      </c>
      <c r="C14" s="12">
        <v>0.12366724437756171</v>
      </c>
      <c r="D14" s="13">
        <v>4.2869391520757985E-2</v>
      </c>
      <c r="E14" s="13">
        <v>0.65550847815941682</v>
      </c>
      <c r="F14" s="13">
        <v>0.20220883391685038</v>
      </c>
      <c r="G14" s="13">
        <v>0.1200893876103194</v>
      </c>
      <c r="H14" s="13">
        <v>0.10287915750219577</v>
      </c>
      <c r="I14" s="13">
        <v>5.6454520942760419E-2</v>
      </c>
      <c r="J14" s="13">
        <v>2.2366164739372869E-2</v>
      </c>
      <c r="K14" s="13">
        <v>9.3135174124074641E-2</v>
      </c>
      <c r="L14" s="13">
        <v>4.5507656029964781E-2</v>
      </c>
      <c r="M14" s="13">
        <v>0.18701163500510029</v>
      </c>
      <c r="N14" s="13">
        <v>0</v>
      </c>
      <c r="O14" s="14">
        <v>7.4715458673444091E-2</v>
      </c>
      <c r="Q14" s="12">
        <v>0.12099096748101708</v>
      </c>
      <c r="R14" s="10"/>
      <c r="S14" s="10"/>
      <c r="T14" s="10"/>
      <c r="U14" s="10"/>
      <c r="V14" s="10"/>
    </row>
    <row r="15" spans="2:22" x14ac:dyDescent="0.25">
      <c r="B15" s="11" t="s">
        <v>8</v>
      </c>
      <c r="C15" s="12">
        <v>0.28645464845313762</v>
      </c>
      <c r="D15" s="13">
        <v>3.1863781709916036E-2</v>
      </c>
      <c r="E15" s="13">
        <v>0.17566291239141871</v>
      </c>
      <c r="F15" s="13">
        <v>0.49457500052547143</v>
      </c>
      <c r="G15" s="13">
        <v>0.64703117345079653</v>
      </c>
      <c r="H15" s="13">
        <v>0.25125989183685499</v>
      </c>
      <c r="I15" s="13">
        <v>6.5633268409298437E-2</v>
      </c>
      <c r="J15" s="13">
        <v>5.9866175391917818E-2</v>
      </c>
      <c r="K15" s="13">
        <v>6.5871011483060932E-2</v>
      </c>
      <c r="L15" s="13">
        <v>9.1300474493030137E-2</v>
      </c>
      <c r="M15" s="13">
        <v>0.3844422018507922</v>
      </c>
      <c r="N15" s="13">
        <v>0</v>
      </c>
      <c r="O15" s="14">
        <v>0.24494417752257275</v>
      </c>
      <c r="Q15" s="12">
        <v>0.26761524023566552</v>
      </c>
      <c r="R15" s="10"/>
      <c r="S15" s="10"/>
      <c r="T15" s="10"/>
      <c r="U15" s="10"/>
      <c r="V15" s="10"/>
    </row>
    <row r="16" spans="2:22" x14ac:dyDescent="0.25">
      <c r="B16" s="11" t="s">
        <v>18</v>
      </c>
      <c r="C16" s="12">
        <v>2.8096491843985178E-2</v>
      </c>
      <c r="D16" s="13">
        <v>0</v>
      </c>
      <c r="E16" s="13">
        <v>7.0530231411208594E-2</v>
      </c>
      <c r="F16" s="13">
        <v>0</v>
      </c>
      <c r="G16" s="13">
        <v>1.1451933358449835E-2</v>
      </c>
      <c r="H16" s="13">
        <v>0.34703346895355963</v>
      </c>
      <c r="I16" s="13">
        <v>6.1486256966037803E-3</v>
      </c>
      <c r="J16" s="13">
        <v>1.3425297859682274E-3</v>
      </c>
      <c r="K16" s="13">
        <v>0.12507868176960987</v>
      </c>
      <c r="L16" s="13">
        <v>0.11541073247181807</v>
      </c>
      <c r="M16" s="13">
        <v>1.0366082348048323E-2</v>
      </c>
      <c r="N16" s="13">
        <v>0</v>
      </c>
      <c r="O16" s="14">
        <v>0.10493097817370391</v>
      </c>
      <c r="Q16" s="12">
        <v>2.363520201675182E-2</v>
      </c>
      <c r="R16" s="10"/>
      <c r="S16" s="10"/>
      <c r="T16" s="10"/>
      <c r="U16" s="10"/>
      <c r="V16" s="10"/>
    </row>
    <row r="17" spans="2:22" x14ac:dyDescent="0.25">
      <c r="B17" s="11" t="s">
        <v>9</v>
      </c>
      <c r="C17" s="12">
        <v>1.1178845236548097E-2</v>
      </c>
      <c r="D17" s="13">
        <v>0</v>
      </c>
      <c r="E17" s="13">
        <v>0</v>
      </c>
      <c r="F17" s="13">
        <v>0</v>
      </c>
      <c r="G17" s="13">
        <v>5.9067188763268948E-3</v>
      </c>
      <c r="H17" s="13">
        <v>0.15139311048118112</v>
      </c>
      <c r="I17" s="13">
        <v>8.2068921506187748E-3</v>
      </c>
      <c r="J17" s="13">
        <v>0</v>
      </c>
      <c r="K17" s="13">
        <v>0</v>
      </c>
      <c r="L17" s="13">
        <v>5.0430696644596642E-3</v>
      </c>
      <c r="M17" s="13">
        <v>0</v>
      </c>
      <c r="N17" s="13">
        <v>0</v>
      </c>
      <c r="O17" s="14">
        <v>4.7863108897728338E-2</v>
      </c>
      <c r="Q17" s="12">
        <v>1.2958815383722351E-2</v>
      </c>
      <c r="R17" s="10"/>
      <c r="S17" s="10"/>
      <c r="T17" s="10"/>
      <c r="U17" s="10"/>
      <c r="V17" s="10"/>
    </row>
    <row r="18" spans="2:22" x14ac:dyDescent="0.25">
      <c r="B18" s="11" t="s">
        <v>10</v>
      </c>
      <c r="C18" s="12">
        <v>0.33377120263839083</v>
      </c>
      <c r="D18" s="13">
        <v>0.21009690462039166</v>
      </c>
      <c r="E18" s="13">
        <v>1.8121533071754729E-2</v>
      </c>
      <c r="F18" s="13">
        <v>0.11458224315599128</v>
      </c>
      <c r="G18" s="13">
        <v>7.254355783558282E-2</v>
      </c>
      <c r="H18" s="13">
        <v>3.8012633429977648E-2</v>
      </c>
      <c r="I18" s="13">
        <v>0.71293157589662226</v>
      </c>
      <c r="J18" s="13">
        <v>2.0716714325225646E-2</v>
      </c>
      <c r="K18" s="13">
        <v>0.22815888884112367</v>
      </c>
      <c r="L18" s="13">
        <v>0.15203471850570727</v>
      </c>
      <c r="M18" s="13">
        <v>0.22940907888388362</v>
      </c>
      <c r="N18" s="13">
        <v>0</v>
      </c>
      <c r="O18" s="14">
        <v>0.18422370607817315</v>
      </c>
      <c r="Q18" s="12">
        <v>0.35372153280077961</v>
      </c>
      <c r="R18" s="10"/>
      <c r="S18" s="10"/>
      <c r="T18" s="10"/>
      <c r="U18" s="10"/>
      <c r="V18" s="10"/>
    </row>
    <row r="19" spans="2:22" x14ac:dyDescent="0.25">
      <c r="B19" s="11" t="s">
        <v>11</v>
      </c>
      <c r="C19" s="12">
        <v>0.10820220934416545</v>
      </c>
      <c r="D19" s="13">
        <v>3.8615334438107871E-2</v>
      </c>
      <c r="E19" s="13">
        <v>5.8358110204153726E-2</v>
      </c>
      <c r="F19" s="13">
        <v>0.10511476088262274</v>
      </c>
      <c r="G19" s="13">
        <v>0.11337414896963395</v>
      </c>
      <c r="H19" s="13">
        <v>6.5734291463239891E-2</v>
      </c>
      <c r="I19" s="13">
        <v>6.1742319502607196E-2</v>
      </c>
      <c r="J19" s="13">
        <v>0.84612162348985953</v>
      </c>
      <c r="K19" s="13">
        <v>5.1637500480415398E-2</v>
      </c>
      <c r="L19" s="13">
        <v>0.16734186493698872</v>
      </c>
      <c r="M19" s="13">
        <v>8.2830951584508178E-2</v>
      </c>
      <c r="N19" s="13">
        <v>0</v>
      </c>
      <c r="O19" s="14">
        <v>7.8478613357263582E-2</v>
      </c>
      <c r="Q19" s="12">
        <v>0.10533015879416574</v>
      </c>
      <c r="R19" s="10"/>
      <c r="S19" s="10"/>
      <c r="T19" s="10"/>
      <c r="U19" s="10"/>
      <c r="V19" s="10"/>
    </row>
    <row r="20" spans="2:22" x14ac:dyDescent="0.25">
      <c r="B20" s="11" t="s">
        <v>12</v>
      </c>
      <c r="C20" s="12">
        <v>8.9632102084598406E-3</v>
      </c>
      <c r="D20" s="13">
        <v>9.3903435305831371E-3</v>
      </c>
      <c r="E20" s="13">
        <v>0</v>
      </c>
      <c r="F20" s="13">
        <v>3.7712311647192277E-2</v>
      </c>
      <c r="G20" s="13">
        <v>1.0826771115631333E-3</v>
      </c>
      <c r="H20" s="13">
        <v>2.1991068412670189E-2</v>
      </c>
      <c r="I20" s="13">
        <v>6.161085186189315E-3</v>
      </c>
      <c r="J20" s="13">
        <v>2.1296703548598158E-3</v>
      </c>
      <c r="K20" s="13">
        <v>0.27372760247630734</v>
      </c>
      <c r="L20" s="13">
        <v>0</v>
      </c>
      <c r="M20" s="13">
        <v>0</v>
      </c>
      <c r="N20" s="13">
        <v>0</v>
      </c>
      <c r="O20" s="14">
        <v>3.097068518212703E-2</v>
      </c>
      <c r="Q20" s="12">
        <v>8.558705420357712E-3</v>
      </c>
      <c r="R20" s="10"/>
      <c r="S20" s="10"/>
      <c r="T20" s="10"/>
      <c r="U20" s="10"/>
      <c r="V20" s="10"/>
    </row>
    <row r="21" spans="2:22" x14ac:dyDescent="0.25">
      <c r="B21" s="11" t="s">
        <v>19</v>
      </c>
      <c r="C21" s="12">
        <v>6.789153819590641E-3</v>
      </c>
      <c r="D21" s="13">
        <v>7.5389500694836567E-3</v>
      </c>
      <c r="E21" s="13">
        <v>0</v>
      </c>
      <c r="F21" s="13">
        <v>0</v>
      </c>
      <c r="G21" s="13">
        <v>5.8250145510666479E-3</v>
      </c>
      <c r="H21" s="13">
        <v>0</v>
      </c>
      <c r="I21" s="13">
        <v>6.6725547900679002E-4</v>
      </c>
      <c r="J21" s="13">
        <v>7.4382591396511214E-3</v>
      </c>
      <c r="K21" s="13">
        <v>0</v>
      </c>
      <c r="L21" s="13">
        <v>0.10022409579758464</v>
      </c>
      <c r="M21" s="13">
        <v>3.0171487985747307E-2</v>
      </c>
      <c r="N21" s="13">
        <v>0</v>
      </c>
      <c r="O21" s="14">
        <v>0</v>
      </c>
      <c r="Q21" s="12">
        <v>4.7289486574194706E-3</v>
      </c>
      <c r="R21" s="10"/>
      <c r="S21" s="10"/>
      <c r="T21" s="10"/>
      <c r="U21" s="10"/>
      <c r="V21" s="10"/>
    </row>
    <row r="22" spans="2:22" x14ac:dyDescent="0.25">
      <c r="B22" s="11" t="s">
        <v>20</v>
      </c>
      <c r="C22" s="12">
        <v>0</v>
      </c>
      <c r="D22" s="13">
        <v>0</v>
      </c>
      <c r="E22" s="13">
        <v>0</v>
      </c>
      <c r="F22" s="13">
        <v>0</v>
      </c>
      <c r="G22" s="13">
        <v>0</v>
      </c>
      <c r="H22" s="13">
        <v>0</v>
      </c>
      <c r="I22" s="13">
        <v>0</v>
      </c>
      <c r="J22" s="13">
        <v>0</v>
      </c>
      <c r="K22" s="13">
        <v>0</v>
      </c>
      <c r="L22" s="13">
        <v>0</v>
      </c>
      <c r="M22" s="13">
        <v>0</v>
      </c>
      <c r="N22" s="13">
        <v>0</v>
      </c>
      <c r="O22" s="14">
        <v>0</v>
      </c>
      <c r="Q22" s="12">
        <v>0</v>
      </c>
      <c r="R22" s="10"/>
      <c r="S22" s="10"/>
      <c r="T22" s="10"/>
      <c r="U22" s="10"/>
      <c r="V22" s="10"/>
    </row>
    <row r="23" spans="2:22" x14ac:dyDescent="0.25">
      <c r="B23" s="15" t="s">
        <v>21</v>
      </c>
      <c r="C23" s="16">
        <v>1.3243174877793413E-2</v>
      </c>
      <c r="D23" s="17">
        <v>0</v>
      </c>
      <c r="E23" s="17">
        <v>1.2821992063710689E-2</v>
      </c>
      <c r="F23" s="17">
        <v>0</v>
      </c>
      <c r="G23" s="17">
        <v>4.1740644120676646E-3</v>
      </c>
      <c r="H23" s="17">
        <v>0</v>
      </c>
      <c r="I23" s="17">
        <v>7.9520156930568981E-3</v>
      </c>
      <c r="J23" s="17">
        <v>0</v>
      </c>
      <c r="K23" s="17">
        <v>0</v>
      </c>
      <c r="L23" s="17">
        <v>0</v>
      </c>
      <c r="M23" s="17">
        <v>0</v>
      </c>
      <c r="N23" s="17">
        <v>0</v>
      </c>
      <c r="O23" s="18">
        <v>0.12025569070965188</v>
      </c>
      <c r="Q23" s="16">
        <v>2.0600946453594449E-2</v>
      </c>
      <c r="R23" s="10"/>
      <c r="S23" s="10"/>
      <c r="T23" s="10"/>
      <c r="U23" s="10"/>
      <c r="V23" s="10"/>
    </row>
    <row r="24" spans="2:22" x14ac:dyDescent="0.25">
      <c r="B24" s="19"/>
      <c r="C24" s="13"/>
      <c r="D24" s="13"/>
      <c r="E24" s="13"/>
      <c r="F24" s="13"/>
      <c r="G24" s="13"/>
      <c r="H24" s="13"/>
      <c r="I24" s="13"/>
      <c r="J24" s="13"/>
      <c r="K24" s="13"/>
      <c r="L24" s="13"/>
      <c r="M24" s="13"/>
      <c r="N24" s="13"/>
      <c r="O24" s="13"/>
      <c r="Q24" s="13"/>
      <c r="R24" s="10"/>
      <c r="S24" s="10"/>
      <c r="T24" s="10"/>
      <c r="U24" s="10"/>
      <c r="V24" s="10"/>
    </row>
    <row r="25" spans="2:22" x14ac:dyDescent="0.25">
      <c r="B25" s="20" t="s">
        <v>4</v>
      </c>
      <c r="C25" s="21">
        <f t="shared" ref="C25:O25" si="0">SUM(C12:C23)</f>
        <v>1.000000000000004</v>
      </c>
      <c r="D25" s="22">
        <f t="shared" si="0"/>
        <v>1</v>
      </c>
      <c r="E25" s="22">
        <f t="shared" si="0"/>
        <v>0.99999999999999967</v>
      </c>
      <c r="F25" s="22">
        <f t="shared" si="0"/>
        <v>0.99999999999999989</v>
      </c>
      <c r="G25" s="22">
        <f t="shared" si="0"/>
        <v>0.99999999999999856</v>
      </c>
      <c r="H25" s="22">
        <f t="shared" si="0"/>
        <v>0.99999999999999989</v>
      </c>
      <c r="I25" s="22">
        <f t="shared" si="0"/>
        <v>0.99999999999999944</v>
      </c>
      <c r="J25" s="22">
        <f t="shared" si="0"/>
        <v>0.99999999999999989</v>
      </c>
      <c r="K25" s="22">
        <f t="shared" si="0"/>
        <v>1</v>
      </c>
      <c r="L25" s="22">
        <f t="shared" si="0"/>
        <v>1</v>
      </c>
      <c r="M25" s="22">
        <f t="shared" si="0"/>
        <v>1</v>
      </c>
      <c r="N25" s="22">
        <f t="shared" si="0"/>
        <v>0</v>
      </c>
      <c r="O25" s="23">
        <f t="shared" si="0"/>
        <v>1</v>
      </c>
      <c r="Q25" s="21">
        <v>0.99999999999999845</v>
      </c>
    </row>
    <row r="26" spans="2:22" x14ac:dyDescent="0.25">
      <c r="B26" s="24" t="s">
        <v>22</v>
      </c>
      <c r="C26" s="25"/>
      <c r="D26" s="25"/>
      <c r="E26" s="25"/>
      <c r="F26" s="25"/>
      <c r="G26" s="25"/>
      <c r="H26" s="25"/>
      <c r="I26" s="25"/>
      <c r="J26" s="25"/>
      <c r="K26" s="25"/>
      <c r="L26" s="25"/>
      <c r="M26" s="25"/>
      <c r="N26" s="25"/>
      <c r="O26" s="25"/>
      <c r="Q26" s="25"/>
    </row>
    <row r="27" spans="2:22" x14ac:dyDescent="0.25">
      <c r="B27" s="26" t="s">
        <v>23</v>
      </c>
      <c r="C27" s="27">
        <v>2807</v>
      </c>
      <c r="D27" s="28">
        <v>83</v>
      </c>
      <c r="E27" s="28">
        <v>304</v>
      </c>
      <c r="F27" s="28">
        <v>31</v>
      </c>
      <c r="G27" s="28">
        <v>860</v>
      </c>
      <c r="H27" s="28">
        <v>63</v>
      </c>
      <c r="I27" s="28">
        <v>1020</v>
      </c>
      <c r="J27" s="28">
        <v>194</v>
      </c>
      <c r="K27" s="28">
        <v>46</v>
      </c>
      <c r="L27" s="28">
        <v>45</v>
      </c>
      <c r="M27" s="28">
        <v>84</v>
      </c>
      <c r="N27" s="28"/>
      <c r="O27" s="29">
        <v>77</v>
      </c>
      <c r="Q27" s="27">
        <v>2580</v>
      </c>
    </row>
    <row r="28" spans="2:22" x14ac:dyDescent="0.25">
      <c r="B28" s="30" t="s">
        <v>24</v>
      </c>
      <c r="C28" s="31">
        <v>1.8496812280592401E-2</v>
      </c>
      <c r="D28" s="31"/>
      <c r="E28" s="32"/>
      <c r="F28" s="32"/>
      <c r="G28" s="32"/>
      <c r="H28" s="32"/>
      <c r="I28" s="32"/>
      <c r="J28" s="32"/>
      <c r="K28" s="32"/>
      <c r="L28" s="32"/>
      <c r="M28" s="32"/>
      <c r="N28" s="32"/>
      <c r="O28" s="32"/>
      <c r="P28" s="33"/>
      <c r="Q28" s="31">
        <v>1.929337663163724E-2</v>
      </c>
    </row>
    <row r="29" spans="2:22" x14ac:dyDescent="0.25">
      <c r="B29" s="34"/>
      <c r="C29" s="35"/>
      <c r="D29" s="33"/>
      <c r="E29" s="33"/>
      <c r="F29" s="33"/>
      <c r="G29" s="33"/>
      <c r="H29" s="33"/>
      <c r="I29" s="33"/>
      <c r="J29" s="33"/>
      <c r="K29" s="33"/>
      <c r="L29" s="33"/>
      <c r="M29" s="33"/>
      <c r="N29" s="33"/>
      <c r="O29" s="33"/>
      <c r="P29" s="33"/>
    </row>
    <row r="30" spans="2:22" x14ac:dyDescent="0.25">
      <c r="C30" s="10"/>
    </row>
    <row r="31" spans="2:22" x14ac:dyDescent="0.25">
      <c r="B31" s="34"/>
      <c r="C31" s="35"/>
      <c r="G31" s="10"/>
      <c r="H31" s="10"/>
      <c r="I31" s="10"/>
      <c r="J31" s="10"/>
      <c r="K31" s="10"/>
      <c r="L31" s="10"/>
      <c r="M31" s="10"/>
      <c r="N31" s="10"/>
      <c r="O31" s="10"/>
    </row>
    <row r="32" spans="2:22" ht="15" customHeight="1" x14ac:dyDescent="0.25">
      <c r="B32" s="122" t="s">
        <v>63</v>
      </c>
      <c r="C32" s="123"/>
      <c r="D32" s="123"/>
      <c r="E32" s="123"/>
      <c r="F32" s="123"/>
      <c r="G32" s="123"/>
      <c r="H32" s="123"/>
      <c r="I32" s="123"/>
      <c r="J32" s="123"/>
      <c r="K32" s="123"/>
      <c r="L32" s="123"/>
      <c r="M32" s="123"/>
      <c r="N32" s="123"/>
      <c r="O32" s="124"/>
    </row>
    <row r="33" spans="2:15" x14ac:dyDescent="0.25">
      <c r="B33" s="125"/>
      <c r="C33" s="126"/>
      <c r="D33" s="126"/>
      <c r="E33" s="126"/>
      <c r="F33" s="126"/>
      <c r="G33" s="126"/>
      <c r="H33" s="126"/>
      <c r="I33" s="126"/>
      <c r="J33" s="126"/>
      <c r="K33" s="126"/>
      <c r="L33" s="126"/>
      <c r="M33" s="126"/>
      <c r="N33" s="126"/>
      <c r="O33" s="127"/>
    </row>
    <row r="34" spans="2:15" x14ac:dyDescent="0.25">
      <c r="B34" s="128"/>
      <c r="C34" s="129"/>
      <c r="D34" s="129"/>
      <c r="E34" s="129"/>
      <c r="F34" s="129"/>
      <c r="G34" s="129"/>
      <c r="H34" s="129"/>
      <c r="I34" s="129"/>
      <c r="J34" s="129"/>
      <c r="K34" s="129"/>
      <c r="L34" s="129"/>
      <c r="M34" s="129"/>
      <c r="N34" s="129"/>
      <c r="O34" s="130"/>
    </row>
    <row r="35" spans="2:15" x14ac:dyDescent="0.25">
      <c r="B35" s="34"/>
      <c r="C35" s="36"/>
    </row>
    <row r="38" spans="2:15" ht="15.75" thickBot="1" x14ac:dyDescent="0.3"/>
    <row r="39" spans="2:15" x14ac:dyDescent="0.25">
      <c r="D39" s="120" t="s">
        <v>49</v>
      </c>
      <c r="E39" s="121"/>
      <c r="F39" s="120" t="s">
        <v>50</v>
      </c>
      <c r="G39" s="121"/>
      <c r="H39" s="120" t="s">
        <v>51</v>
      </c>
      <c r="I39" s="121"/>
      <c r="J39" s="120" t="s">
        <v>52</v>
      </c>
      <c r="K39" s="121"/>
    </row>
    <row r="40" spans="2:15" ht="67.5" x14ac:dyDescent="0.25">
      <c r="B40" s="53" t="s">
        <v>43</v>
      </c>
      <c r="C40" s="54" t="s">
        <v>53</v>
      </c>
      <c r="D40" s="55" t="s">
        <v>54</v>
      </c>
      <c r="E40" s="56" t="s">
        <v>55</v>
      </c>
      <c r="F40" s="57" t="s">
        <v>54</v>
      </c>
      <c r="G40" s="58" t="s">
        <v>55</v>
      </c>
      <c r="H40" s="55" t="s">
        <v>54</v>
      </c>
      <c r="I40" s="56" t="s">
        <v>55</v>
      </c>
      <c r="J40" s="57" t="s">
        <v>54</v>
      </c>
      <c r="K40" s="58" t="s">
        <v>55</v>
      </c>
    </row>
    <row r="41" spans="2:15" x14ac:dyDescent="0.25">
      <c r="B41" s="3"/>
      <c r="C41" s="7"/>
      <c r="D41" s="59"/>
      <c r="E41" s="60"/>
      <c r="F41" s="61"/>
      <c r="G41" s="62"/>
      <c r="H41" s="59"/>
      <c r="I41" s="60"/>
      <c r="J41" s="61"/>
      <c r="K41" s="62"/>
    </row>
    <row r="42" spans="2:15" x14ac:dyDescent="0.25">
      <c r="B42" s="39" t="s">
        <v>5</v>
      </c>
      <c r="C42" s="63">
        <f t="shared" ref="C42:C51" si="1">C12/SUM($C$12:$C$22)</f>
        <v>2.7804816239026878E-2</v>
      </c>
      <c r="D42" s="64">
        <v>3</v>
      </c>
      <c r="E42" s="65" t="s">
        <v>56</v>
      </c>
      <c r="F42" s="66">
        <v>0</v>
      </c>
      <c r="G42" s="67" t="s">
        <v>57</v>
      </c>
      <c r="H42" s="64">
        <v>0</v>
      </c>
      <c r="I42" s="65" t="s">
        <v>57</v>
      </c>
      <c r="J42" s="66">
        <v>3</v>
      </c>
      <c r="K42" s="67" t="s">
        <v>56</v>
      </c>
    </row>
    <row r="43" spans="2:15" x14ac:dyDescent="0.25">
      <c r="B43" s="39" t="s">
        <v>17</v>
      </c>
      <c r="C43" s="63">
        <f t="shared" si="1"/>
        <v>5.2897761308900011E-2</v>
      </c>
      <c r="D43" s="64">
        <v>6</v>
      </c>
      <c r="E43" s="65"/>
      <c r="F43" s="66">
        <v>7</v>
      </c>
      <c r="G43" s="67"/>
      <c r="H43" s="64">
        <v>7</v>
      </c>
      <c r="I43" s="65" t="s">
        <v>56</v>
      </c>
      <c r="J43" s="66">
        <v>6</v>
      </c>
      <c r="K43" s="67" t="s">
        <v>56</v>
      </c>
    </row>
    <row r="44" spans="2:15" x14ac:dyDescent="0.25">
      <c r="B44" s="39" t="s">
        <v>6</v>
      </c>
      <c r="C44" s="63">
        <f t="shared" si="1"/>
        <v>0.12532697137640311</v>
      </c>
      <c r="D44" s="64">
        <v>15</v>
      </c>
      <c r="E44" s="65"/>
      <c r="F44" s="66">
        <v>15</v>
      </c>
      <c r="G44" s="67"/>
      <c r="H44" s="64">
        <v>15</v>
      </c>
      <c r="I44" s="65"/>
      <c r="J44" s="66">
        <v>15</v>
      </c>
      <c r="K44" s="67"/>
    </row>
    <row r="45" spans="2:15" x14ac:dyDescent="0.25">
      <c r="B45" s="39" t="s">
        <v>8</v>
      </c>
      <c r="C45" s="63">
        <f t="shared" si="1"/>
        <v>0.29029913060663143</v>
      </c>
      <c r="D45" s="64">
        <v>36</v>
      </c>
      <c r="E45" s="65"/>
      <c r="F45" s="66">
        <v>36</v>
      </c>
      <c r="G45" s="67"/>
      <c r="H45" s="64">
        <v>36</v>
      </c>
      <c r="I45" s="65"/>
      <c r="J45" s="66">
        <v>36</v>
      </c>
      <c r="K45" s="67"/>
    </row>
    <row r="46" spans="2:15" x14ac:dyDescent="0.25">
      <c r="B46" s="39" t="s">
        <v>18</v>
      </c>
      <c r="C46" s="63">
        <f t="shared" si="1"/>
        <v>2.8473572341904403E-2</v>
      </c>
      <c r="D46" s="64">
        <v>3</v>
      </c>
      <c r="E46" s="65" t="s">
        <v>56</v>
      </c>
      <c r="F46" s="66">
        <v>4</v>
      </c>
      <c r="G46" s="67" t="s">
        <v>56</v>
      </c>
      <c r="H46" s="64">
        <v>4</v>
      </c>
      <c r="I46" s="65" t="s">
        <v>56</v>
      </c>
      <c r="J46" s="66">
        <v>3</v>
      </c>
      <c r="K46" s="67" t="s">
        <v>56</v>
      </c>
    </row>
    <row r="47" spans="2:15" x14ac:dyDescent="0.25">
      <c r="B47" s="39" t="s">
        <v>9</v>
      </c>
      <c r="C47" s="63">
        <f t="shared" si="1"/>
        <v>1.1328875516177542E-2</v>
      </c>
      <c r="D47" s="64">
        <v>4</v>
      </c>
      <c r="E47" s="65" t="s">
        <v>58</v>
      </c>
      <c r="F47" s="66">
        <v>4</v>
      </c>
      <c r="G47" s="67" t="s">
        <v>58</v>
      </c>
      <c r="H47" s="64">
        <v>4</v>
      </c>
      <c r="I47" s="65" t="s">
        <v>58</v>
      </c>
      <c r="J47" s="66">
        <v>4</v>
      </c>
      <c r="K47" s="67" t="s">
        <v>58</v>
      </c>
    </row>
    <row r="48" spans="2:15" x14ac:dyDescent="0.25">
      <c r="B48" s="39" t="s">
        <v>10</v>
      </c>
      <c r="C48" s="63">
        <f t="shared" si="1"/>
        <v>0.33825071602322387</v>
      </c>
      <c r="D48" s="64">
        <v>42</v>
      </c>
      <c r="E48" s="65"/>
      <c r="F48" s="66">
        <v>42</v>
      </c>
      <c r="G48" s="67"/>
      <c r="H48" s="64">
        <v>42</v>
      </c>
      <c r="I48" s="65"/>
      <c r="J48" s="66">
        <v>42</v>
      </c>
      <c r="K48" s="67"/>
    </row>
    <row r="49" spans="2:16" x14ac:dyDescent="0.25">
      <c r="B49" s="39" t="s">
        <v>11</v>
      </c>
      <c r="C49" s="63">
        <f t="shared" si="1"/>
        <v>0.10965438149441178</v>
      </c>
      <c r="D49" s="64">
        <v>13</v>
      </c>
      <c r="E49" s="65"/>
      <c r="F49" s="66">
        <v>14</v>
      </c>
      <c r="G49" s="67"/>
      <c r="H49" s="64">
        <v>14</v>
      </c>
      <c r="I49" s="65"/>
      <c r="J49" s="66">
        <v>13</v>
      </c>
      <c r="K49" s="67"/>
    </row>
    <row r="50" spans="2:16" x14ac:dyDescent="0.25">
      <c r="B50" s="39" t="s">
        <v>12</v>
      </c>
      <c r="C50" s="63">
        <f t="shared" si="1"/>
        <v>9.0835046490301604E-3</v>
      </c>
      <c r="D50" s="64">
        <v>1</v>
      </c>
      <c r="E50" s="65" t="s">
        <v>56</v>
      </c>
      <c r="F50" s="66">
        <v>1</v>
      </c>
      <c r="G50" s="67" t="s">
        <v>56</v>
      </c>
      <c r="H50" s="64">
        <v>1</v>
      </c>
      <c r="I50" s="65" t="s">
        <v>56</v>
      </c>
      <c r="J50" s="66">
        <v>1</v>
      </c>
      <c r="K50" s="67" t="s">
        <v>56</v>
      </c>
    </row>
    <row r="51" spans="2:16" x14ac:dyDescent="0.25">
      <c r="B51" s="39" t="s">
        <v>19</v>
      </c>
      <c r="C51" s="63">
        <f t="shared" si="1"/>
        <v>6.8802704442908705E-3</v>
      </c>
      <c r="D51" s="64">
        <v>0</v>
      </c>
      <c r="E51" s="65"/>
      <c r="F51" s="66">
        <v>0</v>
      </c>
      <c r="G51" s="67"/>
      <c r="H51" s="64">
        <v>0</v>
      </c>
      <c r="I51" s="65"/>
      <c r="J51" s="66">
        <v>0</v>
      </c>
      <c r="K51" s="67"/>
    </row>
    <row r="52" spans="2:16" ht="15.75" thickBot="1" x14ac:dyDescent="0.3">
      <c r="B52" s="68"/>
      <c r="C52" s="15"/>
      <c r="D52" s="69"/>
      <c r="E52" s="70"/>
      <c r="F52" s="71"/>
      <c r="G52" s="72"/>
      <c r="H52" s="69"/>
      <c r="I52" s="70"/>
      <c r="J52" s="71"/>
      <c r="K52" s="72"/>
    </row>
    <row r="53" spans="2:16" x14ac:dyDescent="0.25">
      <c r="D53" s="73"/>
      <c r="E53" s="73"/>
      <c r="H53" s="73"/>
      <c r="I53" s="73"/>
    </row>
    <row r="54" spans="2:16" x14ac:dyDescent="0.25">
      <c r="B54" s="74" t="s">
        <v>59</v>
      </c>
      <c r="C54" s="75"/>
      <c r="D54" s="76">
        <f>SUM(D42:D53)</f>
        <v>123</v>
      </c>
      <c r="E54" s="73"/>
      <c r="F54" s="77">
        <f>SUM(F42:F53)</f>
        <v>123</v>
      </c>
      <c r="H54" s="76">
        <f>SUM(H42:H53)</f>
        <v>123</v>
      </c>
      <c r="I54" s="73"/>
      <c r="J54" s="77">
        <f>SUM(J42:J53)</f>
        <v>123</v>
      </c>
    </row>
    <row r="58" spans="2:16" ht="90" x14ac:dyDescent="0.25">
      <c r="B58" s="115" t="s">
        <v>86</v>
      </c>
    </row>
    <row r="59" spans="2:16" x14ac:dyDescent="0.25">
      <c r="B59" s="133" t="s">
        <v>73</v>
      </c>
      <c r="C59" s="134"/>
      <c r="D59" s="134"/>
      <c r="E59" s="134"/>
      <c r="F59" s="134"/>
      <c r="G59" s="134"/>
      <c r="H59" s="134"/>
      <c r="I59" s="134"/>
      <c r="J59" s="134"/>
      <c r="K59" s="134"/>
      <c r="L59" s="134"/>
      <c r="M59" s="134"/>
      <c r="N59" s="134"/>
      <c r="O59" s="134"/>
      <c r="P59" s="135"/>
    </row>
    <row r="60" spans="2:16" x14ac:dyDescent="0.25">
      <c r="B60" s="136" t="s">
        <v>60</v>
      </c>
      <c r="C60" s="137"/>
      <c r="D60" s="137"/>
      <c r="E60" s="137"/>
      <c r="F60" s="137"/>
      <c r="G60" s="137"/>
      <c r="H60" s="137"/>
      <c r="I60" s="137"/>
      <c r="J60" s="137"/>
      <c r="K60" s="137"/>
      <c r="L60" s="137"/>
      <c r="M60" s="137"/>
      <c r="N60" s="137"/>
      <c r="O60" s="137"/>
      <c r="P60" s="138"/>
    </row>
    <row r="61" spans="2:16" x14ac:dyDescent="0.25">
      <c r="B61" s="139"/>
      <c r="C61" s="140" t="s">
        <v>4</v>
      </c>
      <c r="D61" s="142" t="s">
        <v>64</v>
      </c>
      <c r="E61" s="143"/>
      <c r="F61" s="143"/>
      <c r="G61" s="143"/>
      <c r="H61" s="143"/>
      <c r="I61" s="143"/>
      <c r="J61" s="143"/>
      <c r="K61" s="143"/>
      <c r="L61" s="143"/>
      <c r="M61" s="143"/>
      <c r="N61" s="143"/>
      <c r="O61" s="143"/>
      <c r="P61" s="144"/>
    </row>
    <row r="62" spans="2:16" x14ac:dyDescent="0.25">
      <c r="B62" s="139"/>
      <c r="C62" s="140"/>
      <c r="D62" s="145" t="s">
        <v>74</v>
      </c>
      <c r="E62" s="146"/>
      <c r="F62" s="146"/>
      <c r="G62" s="146"/>
      <c r="H62" s="146"/>
      <c r="I62" s="146"/>
      <c r="J62" s="146"/>
      <c r="K62" s="146"/>
      <c r="L62" s="146"/>
      <c r="M62" s="146"/>
      <c r="N62" s="146"/>
      <c r="O62" s="146"/>
      <c r="P62" s="147"/>
    </row>
    <row r="63" spans="2:16" ht="38.25" x14ac:dyDescent="0.25">
      <c r="B63" s="96" t="s">
        <v>61</v>
      </c>
      <c r="C63" s="141"/>
      <c r="D63" s="97" t="s">
        <v>68</v>
      </c>
      <c r="E63" s="97" t="s">
        <v>69</v>
      </c>
      <c r="F63" s="97" t="s">
        <v>6</v>
      </c>
      <c r="G63" s="97" t="s">
        <v>8</v>
      </c>
      <c r="H63" s="97" t="s">
        <v>18</v>
      </c>
      <c r="I63" s="97" t="s">
        <v>9</v>
      </c>
      <c r="J63" s="97" t="s">
        <v>10</v>
      </c>
      <c r="K63" s="97" t="s">
        <v>11</v>
      </c>
      <c r="L63" s="97" t="s">
        <v>70</v>
      </c>
      <c r="M63" s="97" t="s">
        <v>19</v>
      </c>
      <c r="N63" s="97" t="s">
        <v>20</v>
      </c>
      <c r="O63" s="97" t="s">
        <v>71</v>
      </c>
      <c r="P63" s="98" t="s">
        <v>46</v>
      </c>
    </row>
    <row r="64" spans="2:16" x14ac:dyDescent="0.25">
      <c r="B64" s="99"/>
      <c r="C64" s="9"/>
      <c r="D64" s="7"/>
      <c r="E64" s="8"/>
      <c r="F64" s="8"/>
      <c r="G64" s="8"/>
      <c r="H64" s="8"/>
      <c r="I64" s="8"/>
      <c r="J64" s="8"/>
      <c r="K64" s="8"/>
      <c r="L64" s="8"/>
      <c r="M64" s="8"/>
      <c r="N64" s="8"/>
      <c r="O64" s="8"/>
      <c r="P64" s="9"/>
    </row>
    <row r="65" spans="2:16" x14ac:dyDescent="0.25">
      <c r="B65" s="39" t="s">
        <v>5</v>
      </c>
      <c r="C65" s="95">
        <v>2.7426547041723828E-2</v>
      </c>
      <c r="D65" s="100">
        <v>0.57862500081646795</v>
      </c>
      <c r="E65" s="79">
        <v>0</v>
      </c>
      <c r="F65" s="79">
        <v>6.1345396975915449E-3</v>
      </c>
      <c r="G65" s="79">
        <v>0</v>
      </c>
      <c r="H65" s="79">
        <v>0</v>
      </c>
      <c r="I65" s="79">
        <v>0</v>
      </c>
      <c r="J65" s="79">
        <v>4.4544308091790275E-2</v>
      </c>
      <c r="K65" s="79">
        <v>0</v>
      </c>
      <c r="L65" s="79">
        <v>0</v>
      </c>
      <c r="M65" s="79">
        <v>0</v>
      </c>
      <c r="N65" s="79">
        <v>0</v>
      </c>
      <c r="O65" s="79">
        <v>0</v>
      </c>
      <c r="P65" s="80">
        <v>1.4946264521783695E-2</v>
      </c>
    </row>
    <row r="66" spans="2:16" x14ac:dyDescent="0.25">
      <c r="B66" s="39" t="s">
        <v>17</v>
      </c>
      <c r="C66" s="95">
        <v>5.2178116426609432E-2</v>
      </c>
      <c r="D66" s="100">
        <v>1.2513668309564399E-2</v>
      </c>
      <c r="E66" s="79">
        <v>0.60694376946591744</v>
      </c>
      <c r="F66" s="79">
        <v>9.225905632594315E-3</v>
      </c>
      <c r="G66" s="79">
        <v>1.4132057564720255E-2</v>
      </c>
      <c r="H66" s="79">
        <v>0</v>
      </c>
      <c r="I66" s="79">
        <v>0</v>
      </c>
      <c r="J66" s="79">
        <v>4.9528619375896726E-2</v>
      </c>
      <c r="K66" s="79">
        <v>1.1906686943971768E-2</v>
      </c>
      <c r="L66" s="79">
        <v>2.7219358623884839E-2</v>
      </c>
      <c r="M66" s="79">
        <v>0.10242717485626858</v>
      </c>
      <c r="N66" s="79">
        <v>0.40953090234163347</v>
      </c>
      <c r="O66" s="79">
        <v>0</v>
      </c>
      <c r="P66" s="80">
        <v>5.274167272684871E-2</v>
      </c>
    </row>
    <row r="67" spans="2:16" x14ac:dyDescent="0.25">
      <c r="B67" s="39" t="s">
        <v>6</v>
      </c>
      <c r="C67" s="95">
        <v>0.12362196701832946</v>
      </c>
      <c r="D67" s="100">
        <v>0</v>
      </c>
      <c r="E67" s="79">
        <v>2.8165536919966181E-2</v>
      </c>
      <c r="F67" s="79">
        <v>0.46669922284805515</v>
      </c>
      <c r="G67" s="79">
        <v>0.15167989113837693</v>
      </c>
      <c r="H67" s="79">
        <v>1.9138998061438758E-2</v>
      </c>
      <c r="I67" s="79">
        <v>0.11322621383324273</v>
      </c>
      <c r="J67" s="79">
        <v>3.9164390411359183E-2</v>
      </c>
      <c r="K67" s="79">
        <v>4.8132784400708124E-2</v>
      </c>
      <c r="L67" s="79">
        <v>6.4281111801474153E-2</v>
      </c>
      <c r="M67" s="79">
        <v>0.43151223370175656</v>
      </c>
      <c r="N67" s="79">
        <v>6.4804463656756128E-2</v>
      </c>
      <c r="O67" s="79">
        <v>0</v>
      </c>
      <c r="P67" s="80">
        <v>0.1682170515476144</v>
      </c>
    </row>
    <row r="68" spans="2:16" x14ac:dyDescent="0.25">
      <c r="B68" s="39" t="s">
        <v>8</v>
      </c>
      <c r="C68" s="95">
        <v>0.28634977096446207</v>
      </c>
      <c r="D68" s="100">
        <v>0</v>
      </c>
      <c r="E68" s="79">
        <v>7.0171196072710523E-2</v>
      </c>
      <c r="F68" s="79">
        <v>0.21086732767166327</v>
      </c>
      <c r="G68" s="79">
        <v>0.652752241480828</v>
      </c>
      <c r="H68" s="79">
        <v>0.28569101827942117</v>
      </c>
      <c r="I68" s="79">
        <v>0.27515027495300537</v>
      </c>
      <c r="J68" s="79">
        <v>4.114324636624267E-2</v>
      </c>
      <c r="K68" s="79">
        <v>0.21126034503991487</v>
      </c>
      <c r="L68" s="79">
        <v>3.291883844795896E-2</v>
      </c>
      <c r="M68" s="79">
        <v>0.11205821807129926</v>
      </c>
      <c r="N68" s="79">
        <v>0</v>
      </c>
      <c r="O68" s="79">
        <v>0</v>
      </c>
      <c r="P68" s="80">
        <v>0.12986998102392744</v>
      </c>
    </row>
    <row r="69" spans="2:16" x14ac:dyDescent="0.25">
      <c r="B69" s="39" t="s">
        <v>18</v>
      </c>
      <c r="C69" s="95">
        <v>2.8086205086478886E-2</v>
      </c>
      <c r="D69" s="100">
        <v>0</v>
      </c>
      <c r="E69" s="79">
        <v>0</v>
      </c>
      <c r="F69" s="79">
        <v>0.12446433336775746</v>
      </c>
      <c r="G69" s="79">
        <v>1.651418936461321E-2</v>
      </c>
      <c r="H69" s="79">
        <v>0.54587784056947231</v>
      </c>
      <c r="I69" s="79">
        <v>0</v>
      </c>
      <c r="J69" s="79">
        <v>0</v>
      </c>
      <c r="K69" s="79">
        <v>0</v>
      </c>
      <c r="L69" s="79">
        <v>0</v>
      </c>
      <c r="M69" s="79">
        <v>0</v>
      </c>
      <c r="N69" s="79">
        <v>0</v>
      </c>
      <c r="O69" s="79">
        <v>0</v>
      </c>
      <c r="P69" s="80">
        <v>1.628115729980726E-2</v>
      </c>
    </row>
    <row r="70" spans="2:16" x14ac:dyDescent="0.25">
      <c r="B70" s="39" t="s">
        <v>9</v>
      </c>
      <c r="C70" s="95">
        <v>1.1174752409913821E-2</v>
      </c>
      <c r="D70" s="100">
        <v>0</v>
      </c>
      <c r="E70" s="79">
        <v>0</v>
      </c>
      <c r="F70" s="79">
        <v>0</v>
      </c>
      <c r="G70" s="79">
        <v>5.6452475679032307E-4</v>
      </c>
      <c r="H70" s="79">
        <v>1.6796570229514422E-2</v>
      </c>
      <c r="I70" s="79">
        <v>0.29132777436730622</v>
      </c>
      <c r="J70" s="79">
        <v>9.0052352981067219E-3</v>
      </c>
      <c r="K70" s="79">
        <v>0</v>
      </c>
      <c r="L70" s="79">
        <v>0</v>
      </c>
      <c r="M70" s="79">
        <v>0</v>
      </c>
      <c r="N70" s="79">
        <v>0</v>
      </c>
      <c r="O70" s="79">
        <v>0</v>
      </c>
      <c r="P70" s="80">
        <v>2.961384778142527E-2</v>
      </c>
    </row>
    <row r="71" spans="2:16" x14ac:dyDescent="0.25">
      <c r="B71" s="39" t="s">
        <v>10</v>
      </c>
      <c r="C71" s="95">
        <v>0.33364900149515919</v>
      </c>
      <c r="D71" s="100">
        <v>0.34945476174888435</v>
      </c>
      <c r="E71" s="79">
        <v>0.18990290193180842</v>
      </c>
      <c r="F71" s="79">
        <v>0.13078647191400464</v>
      </c>
      <c r="G71" s="79">
        <v>3.3734656604882451E-2</v>
      </c>
      <c r="H71" s="79">
        <v>0</v>
      </c>
      <c r="I71" s="79">
        <v>0.18757046514087594</v>
      </c>
      <c r="J71" s="79">
        <v>0.78010361960554897</v>
      </c>
      <c r="K71" s="79">
        <v>1.5300143013912295E-2</v>
      </c>
      <c r="L71" s="79">
        <v>0.67084057983344225</v>
      </c>
      <c r="M71" s="79">
        <v>0</v>
      </c>
      <c r="N71" s="79">
        <v>0.29387483721596419</v>
      </c>
      <c r="O71" s="79">
        <v>0</v>
      </c>
      <c r="P71" s="80">
        <v>0.31216313559130821</v>
      </c>
    </row>
    <row r="72" spans="2:16" x14ac:dyDescent="0.25">
      <c r="B72" s="39" t="s">
        <v>11</v>
      </c>
      <c r="C72" s="95">
        <v>0.10816259408204133</v>
      </c>
      <c r="D72" s="100">
        <v>5.9406569125083353E-2</v>
      </c>
      <c r="E72" s="79">
        <v>8.5982310294703698E-2</v>
      </c>
      <c r="F72" s="79">
        <v>4.1482079000864633E-2</v>
      </c>
      <c r="G72" s="79">
        <v>0.12720811068462662</v>
      </c>
      <c r="H72" s="79">
        <v>0.13249557286015343</v>
      </c>
      <c r="I72" s="79">
        <v>0.13272527170556961</v>
      </c>
      <c r="J72" s="79">
        <v>2.2634869814308733E-2</v>
      </c>
      <c r="K72" s="79">
        <v>0.6608510308145612</v>
      </c>
      <c r="L72" s="79">
        <v>5.1554591362638673E-2</v>
      </c>
      <c r="M72" s="79">
        <v>9.3175047639587852E-2</v>
      </c>
      <c r="N72" s="79">
        <v>9.4985486807928288E-2</v>
      </c>
      <c r="O72" s="79">
        <v>0</v>
      </c>
      <c r="P72" s="80">
        <v>6.6075189106874002E-2</v>
      </c>
    </row>
    <row r="73" spans="2:16" x14ac:dyDescent="0.25">
      <c r="B73" s="39" t="s">
        <v>12</v>
      </c>
      <c r="C73" s="95">
        <v>8.9599285756352051E-3</v>
      </c>
      <c r="D73" s="100">
        <v>0</v>
      </c>
      <c r="E73" s="79">
        <v>1.8834285314893694E-2</v>
      </c>
      <c r="F73" s="79">
        <v>5.4910466541888631E-3</v>
      </c>
      <c r="G73" s="79">
        <v>3.1804796005761534E-3</v>
      </c>
      <c r="H73" s="79">
        <v>0</v>
      </c>
      <c r="I73" s="79">
        <v>0</v>
      </c>
      <c r="J73" s="79">
        <v>1.0989954473961384E-2</v>
      </c>
      <c r="K73" s="79">
        <v>0</v>
      </c>
      <c r="L73" s="79">
        <v>0.15318551993060125</v>
      </c>
      <c r="M73" s="79">
        <v>0</v>
      </c>
      <c r="N73" s="79">
        <v>7.588263854967256E-2</v>
      </c>
      <c r="O73" s="79">
        <v>0</v>
      </c>
      <c r="P73" s="80">
        <v>2.4830976127604563E-2</v>
      </c>
    </row>
    <row r="74" spans="2:16" x14ac:dyDescent="0.25">
      <c r="B74" s="39" t="s">
        <v>19</v>
      </c>
      <c r="C74" s="95">
        <v>6.7866681577007934E-3</v>
      </c>
      <c r="D74" s="100">
        <v>0</v>
      </c>
      <c r="E74" s="79">
        <v>0</v>
      </c>
      <c r="F74" s="79">
        <v>4.8490732132801173E-3</v>
      </c>
      <c r="G74" s="79">
        <v>2.3384880458608915E-4</v>
      </c>
      <c r="H74" s="79">
        <v>0</v>
      </c>
      <c r="I74" s="79">
        <v>0</v>
      </c>
      <c r="J74" s="79">
        <v>7.2326849125121516E-4</v>
      </c>
      <c r="K74" s="79">
        <v>5.2549009786931597E-2</v>
      </c>
      <c r="L74" s="79">
        <v>0</v>
      </c>
      <c r="M74" s="79">
        <v>0.26082732573108774</v>
      </c>
      <c r="N74" s="79">
        <v>6.0921671428045346E-2</v>
      </c>
      <c r="O74" s="79">
        <v>0</v>
      </c>
      <c r="P74" s="80">
        <v>2.0023163885969371E-2</v>
      </c>
    </row>
    <row r="75" spans="2:16" x14ac:dyDescent="0.25">
      <c r="B75" s="39" t="s">
        <v>20</v>
      </c>
      <c r="C75" s="95">
        <v>0</v>
      </c>
      <c r="D75" s="100">
        <v>0</v>
      </c>
      <c r="E75" s="79">
        <v>0</v>
      </c>
      <c r="F75" s="79">
        <v>0</v>
      </c>
      <c r="G75" s="79">
        <v>0</v>
      </c>
      <c r="H75" s="79">
        <v>0</v>
      </c>
      <c r="I75" s="79">
        <v>0</v>
      </c>
      <c r="J75" s="79">
        <v>0</v>
      </c>
      <c r="K75" s="79">
        <v>0</v>
      </c>
      <c r="L75" s="79">
        <v>0</v>
      </c>
      <c r="M75" s="79">
        <v>0</v>
      </c>
      <c r="N75" s="79">
        <v>0</v>
      </c>
      <c r="O75" s="79">
        <v>0</v>
      </c>
      <c r="P75" s="80">
        <v>0</v>
      </c>
    </row>
    <row r="76" spans="2:16" x14ac:dyDescent="0.25">
      <c r="B76" s="39" t="s">
        <v>21</v>
      </c>
      <c r="C76" s="95">
        <v>1.3238326253654221E-2</v>
      </c>
      <c r="D76" s="100">
        <v>0</v>
      </c>
      <c r="E76" s="79">
        <v>0</v>
      </c>
      <c r="F76" s="79">
        <v>0</v>
      </c>
      <c r="G76" s="79">
        <v>0</v>
      </c>
      <c r="H76" s="79">
        <v>0</v>
      </c>
      <c r="I76" s="79">
        <v>0</v>
      </c>
      <c r="J76" s="79">
        <v>2.162488071534162E-3</v>
      </c>
      <c r="K76" s="79">
        <v>0</v>
      </c>
      <c r="L76" s="79">
        <v>0</v>
      </c>
      <c r="M76" s="79">
        <v>0</v>
      </c>
      <c r="N76" s="79">
        <v>0</v>
      </c>
      <c r="O76" s="79">
        <v>0</v>
      </c>
      <c r="P76" s="80">
        <v>0.16523756038683707</v>
      </c>
    </row>
    <row r="77" spans="2:16" x14ac:dyDescent="0.25">
      <c r="B77" s="103"/>
      <c r="C77" s="101"/>
      <c r="D77" s="102"/>
      <c r="E77" s="82"/>
      <c r="F77" s="82"/>
      <c r="G77" s="82"/>
      <c r="H77" s="82"/>
      <c r="I77" s="82"/>
      <c r="J77" s="82"/>
      <c r="K77" s="82"/>
      <c r="L77" s="82"/>
      <c r="M77" s="82"/>
      <c r="N77" s="82"/>
      <c r="O77" s="82"/>
      <c r="P77" s="83"/>
    </row>
    <row r="78" spans="2:16" x14ac:dyDescent="0.25">
      <c r="B78" s="84"/>
    </row>
    <row r="79" spans="2:16" x14ac:dyDescent="0.25">
      <c r="B79" s="85" t="s">
        <v>72</v>
      </c>
      <c r="C79" s="90">
        <v>1</v>
      </c>
      <c r="D79" s="86">
        <v>1</v>
      </c>
      <c r="E79" s="86">
        <v>1</v>
      </c>
      <c r="F79" s="86">
        <v>0.99999999999999989</v>
      </c>
      <c r="G79" s="86">
        <v>1</v>
      </c>
      <c r="H79" s="86">
        <v>1</v>
      </c>
      <c r="I79" s="86">
        <v>0.99999999999999989</v>
      </c>
      <c r="J79" s="86">
        <v>1</v>
      </c>
      <c r="K79" s="86">
        <v>0.99999999999999989</v>
      </c>
      <c r="L79" s="86">
        <v>1</v>
      </c>
      <c r="M79" s="86">
        <v>1</v>
      </c>
      <c r="N79" s="86">
        <v>1</v>
      </c>
      <c r="O79" s="86">
        <v>0</v>
      </c>
      <c r="P79" s="86">
        <v>1</v>
      </c>
    </row>
    <row r="81" spans="2:16" x14ac:dyDescent="0.25">
      <c r="B81" s="87" t="s">
        <v>23</v>
      </c>
      <c r="C81" s="87">
        <v>2807</v>
      </c>
      <c r="D81" s="78">
        <v>41</v>
      </c>
      <c r="E81" s="78">
        <v>111</v>
      </c>
      <c r="F81" s="78">
        <v>238</v>
      </c>
      <c r="G81" s="78">
        <v>1048</v>
      </c>
      <c r="H81" s="78">
        <v>42</v>
      </c>
      <c r="I81" s="78">
        <v>33</v>
      </c>
      <c r="J81" s="78">
        <v>926</v>
      </c>
      <c r="K81" s="78">
        <v>154</v>
      </c>
      <c r="L81" s="78">
        <v>23</v>
      </c>
      <c r="M81" s="78">
        <v>18</v>
      </c>
      <c r="N81" s="78">
        <v>13</v>
      </c>
      <c r="O81" s="78"/>
      <c r="P81" s="78">
        <v>160</v>
      </c>
    </row>
    <row r="82" spans="2:16" x14ac:dyDescent="0.25">
      <c r="B82" s="30" t="s">
        <v>24</v>
      </c>
      <c r="C82" s="31">
        <v>1.8496812280592401E-2</v>
      </c>
    </row>
    <row r="86" spans="2:16" ht="84.75" x14ac:dyDescent="0.25">
      <c r="B86" s="116" t="s">
        <v>83</v>
      </c>
    </row>
    <row r="87" spans="2:16" x14ac:dyDescent="0.25">
      <c r="B87" s="131" t="s">
        <v>77</v>
      </c>
      <c r="C87" s="132"/>
      <c r="D87" s="132"/>
      <c r="E87" s="132"/>
      <c r="F87" s="132"/>
      <c r="G87" s="132"/>
      <c r="H87" s="132"/>
      <c r="I87" s="132"/>
      <c r="J87" s="132"/>
      <c r="K87" s="132"/>
      <c r="L87" s="132"/>
      <c r="M87" s="132"/>
      <c r="N87" s="132"/>
      <c r="O87" s="132"/>
      <c r="P87" s="132"/>
    </row>
    <row r="88" spans="2:16" x14ac:dyDescent="0.25">
      <c r="B88" s="148" t="s">
        <v>60</v>
      </c>
      <c r="C88" s="149"/>
      <c r="D88" s="149"/>
      <c r="E88" s="149"/>
      <c r="F88" s="149"/>
      <c r="G88" s="149"/>
      <c r="H88" s="149"/>
      <c r="I88" s="149"/>
      <c r="J88" s="149"/>
      <c r="K88" s="149"/>
      <c r="L88" s="149"/>
      <c r="M88" s="149"/>
      <c r="N88" s="149"/>
      <c r="O88" s="149"/>
      <c r="P88" s="149"/>
    </row>
    <row r="89" spans="2:16" x14ac:dyDescent="0.25">
      <c r="B89" s="150"/>
      <c r="C89" s="151" t="s">
        <v>4</v>
      </c>
      <c r="D89" s="153" t="s">
        <v>65</v>
      </c>
      <c r="E89" s="154"/>
      <c r="F89" s="154"/>
      <c r="G89" s="154"/>
      <c r="H89" s="154"/>
      <c r="I89" s="154"/>
      <c r="J89" s="154"/>
      <c r="K89" s="154"/>
      <c r="L89" s="154"/>
      <c r="M89" s="154"/>
      <c r="N89" s="154"/>
      <c r="O89" s="154"/>
      <c r="P89" s="155"/>
    </row>
    <row r="90" spans="2:16" x14ac:dyDescent="0.25">
      <c r="B90" s="139"/>
      <c r="C90" s="140"/>
      <c r="D90" s="156" t="s">
        <v>75</v>
      </c>
      <c r="E90" s="157"/>
      <c r="F90" s="157"/>
      <c r="G90" s="157"/>
      <c r="H90" s="157"/>
      <c r="I90" s="157"/>
      <c r="J90" s="157"/>
      <c r="K90" s="157"/>
      <c r="L90" s="157"/>
      <c r="M90" s="157"/>
      <c r="N90" s="157"/>
      <c r="O90" s="157"/>
      <c r="P90" s="158"/>
    </row>
    <row r="91" spans="2:16" ht="38.25" x14ac:dyDescent="0.25">
      <c r="B91" s="96" t="s">
        <v>76</v>
      </c>
      <c r="C91" s="152"/>
      <c r="D91" s="104" t="s">
        <v>68</v>
      </c>
      <c r="E91" s="105" t="s">
        <v>69</v>
      </c>
      <c r="F91" s="105" t="s">
        <v>6</v>
      </c>
      <c r="G91" s="105" t="s">
        <v>8</v>
      </c>
      <c r="H91" s="105" t="s">
        <v>18</v>
      </c>
      <c r="I91" s="105" t="s">
        <v>9</v>
      </c>
      <c r="J91" s="105" t="s">
        <v>10</v>
      </c>
      <c r="K91" s="105" t="s">
        <v>11</v>
      </c>
      <c r="L91" s="105" t="s">
        <v>70</v>
      </c>
      <c r="M91" s="105" t="s">
        <v>19</v>
      </c>
      <c r="N91" s="105" t="s">
        <v>20</v>
      </c>
      <c r="O91" s="105" t="s">
        <v>71</v>
      </c>
      <c r="P91" s="106" t="s">
        <v>46</v>
      </c>
    </row>
    <row r="92" spans="2:16" x14ac:dyDescent="0.25">
      <c r="B92" s="107"/>
      <c r="C92" s="108"/>
      <c r="D92" s="109"/>
      <c r="E92" s="109"/>
      <c r="F92" s="109"/>
      <c r="G92" s="109"/>
      <c r="H92" s="109"/>
      <c r="I92" s="109"/>
      <c r="J92" s="109"/>
      <c r="K92" s="109"/>
      <c r="L92" s="109"/>
      <c r="M92" s="109"/>
      <c r="N92" s="109"/>
      <c r="O92" s="109"/>
      <c r="P92" s="109"/>
    </row>
    <row r="93" spans="2:16" x14ac:dyDescent="0.25">
      <c r="B93" s="7"/>
      <c r="C93" s="3"/>
      <c r="D93" s="8"/>
      <c r="E93" s="8"/>
      <c r="F93" s="8"/>
      <c r="G93" s="8"/>
      <c r="H93" s="8"/>
      <c r="I93" s="8"/>
      <c r="J93" s="8"/>
      <c r="K93" s="8"/>
      <c r="L93" s="8"/>
      <c r="M93" s="8"/>
      <c r="N93" s="8"/>
      <c r="O93" s="8"/>
      <c r="P93" s="9"/>
    </row>
    <row r="94" spans="2:16" x14ac:dyDescent="0.25">
      <c r="B94" s="11" t="s">
        <v>5</v>
      </c>
      <c r="C94" s="110">
        <v>1.8383665660391593E-2</v>
      </c>
      <c r="D94" s="79">
        <v>0.38784497886559982</v>
      </c>
      <c r="E94" s="79">
        <v>4.4088807749823591E-3</v>
      </c>
      <c r="F94" s="79">
        <v>0</v>
      </c>
      <c r="G94" s="79">
        <v>0</v>
      </c>
      <c r="H94" s="79">
        <v>0</v>
      </c>
      <c r="I94" s="79">
        <v>0</v>
      </c>
      <c r="J94" s="79">
        <v>1.9254544370385287E-2</v>
      </c>
      <c r="K94" s="79">
        <v>1.0096933363100634E-2</v>
      </c>
      <c r="L94" s="79">
        <v>0</v>
      </c>
      <c r="M94" s="79">
        <v>0</v>
      </c>
      <c r="N94" s="79">
        <v>0</v>
      </c>
      <c r="O94" s="79">
        <v>0</v>
      </c>
      <c r="P94" s="80">
        <v>0</v>
      </c>
    </row>
    <row r="95" spans="2:16" x14ac:dyDescent="0.25">
      <c r="B95" s="11" t="s">
        <v>17</v>
      </c>
      <c r="C95" s="110">
        <v>3.7195156074360261E-2</v>
      </c>
      <c r="D95" s="79">
        <v>0</v>
      </c>
      <c r="E95" s="79">
        <v>0.43265970065052994</v>
      </c>
      <c r="F95" s="79">
        <v>8.4743963142162853E-3</v>
      </c>
      <c r="G95" s="79">
        <v>9.1148268813280326E-3</v>
      </c>
      <c r="H95" s="79">
        <v>0</v>
      </c>
      <c r="I95" s="79">
        <v>0</v>
      </c>
      <c r="J95" s="79">
        <v>2.117035580707418E-2</v>
      </c>
      <c r="K95" s="79">
        <v>2.9567758412116105E-2</v>
      </c>
      <c r="L95" s="79">
        <v>7.8186357840116835E-2</v>
      </c>
      <c r="M95" s="79">
        <v>0</v>
      </c>
      <c r="N95" s="79">
        <v>0</v>
      </c>
      <c r="O95" s="79">
        <v>0</v>
      </c>
      <c r="P95" s="80">
        <v>0</v>
      </c>
    </row>
    <row r="96" spans="2:16" x14ac:dyDescent="0.25">
      <c r="B96" s="11" t="s">
        <v>6</v>
      </c>
      <c r="C96" s="110">
        <v>8.0928770622456472E-2</v>
      </c>
      <c r="D96" s="79">
        <v>1.8101467724153431E-2</v>
      </c>
      <c r="E96" s="79">
        <v>1.4309470173666286E-2</v>
      </c>
      <c r="F96" s="79">
        <v>0.30552332458800691</v>
      </c>
      <c r="G96" s="79">
        <v>5.9595764771986907E-2</v>
      </c>
      <c r="H96" s="79">
        <v>0.35863675618623775</v>
      </c>
      <c r="I96" s="79">
        <v>0</v>
      </c>
      <c r="J96" s="79">
        <v>3.1723123218165519E-2</v>
      </c>
      <c r="K96" s="79">
        <v>3.1037473582200114E-2</v>
      </c>
      <c r="L96" s="79">
        <v>4.9596785443410021E-2</v>
      </c>
      <c r="M96" s="79">
        <v>5.7823592474277243E-2</v>
      </c>
      <c r="N96" s="79">
        <v>0</v>
      </c>
      <c r="O96" s="79">
        <v>0</v>
      </c>
      <c r="P96" s="80">
        <v>0</v>
      </c>
    </row>
    <row r="97" spans="2:16" x14ac:dyDescent="0.25">
      <c r="B97" s="11" t="s">
        <v>8</v>
      </c>
      <c r="C97" s="110">
        <v>0.33518038660144767</v>
      </c>
      <c r="D97" s="79">
        <v>0</v>
      </c>
      <c r="E97" s="79">
        <v>9.0781132827577757E-2</v>
      </c>
      <c r="F97" s="79">
        <v>0.41125477759052803</v>
      </c>
      <c r="G97" s="79">
        <v>0.76406468885096035</v>
      </c>
      <c r="H97" s="79">
        <v>0.19708010956258784</v>
      </c>
      <c r="I97" s="79">
        <v>1.6932601214430659E-2</v>
      </c>
      <c r="J97" s="79">
        <v>3.3889492226925284E-2</v>
      </c>
      <c r="K97" s="79">
        <v>0.39419971460533043</v>
      </c>
      <c r="L97" s="79">
        <v>0.11897800000303659</v>
      </c>
      <c r="M97" s="79">
        <v>1.1549339220087352E-2</v>
      </c>
      <c r="N97" s="79">
        <v>0</v>
      </c>
      <c r="O97" s="79">
        <v>0</v>
      </c>
      <c r="P97" s="80">
        <v>0</v>
      </c>
    </row>
    <row r="98" spans="2:16" x14ac:dyDescent="0.25">
      <c r="B98" s="11" t="s">
        <v>18</v>
      </c>
      <c r="C98" s="110">
        <v>2.0602332623921242E-2</v>
      </c>
      <c r="D98" s="79">
        <v>0</v>
      </c>
      <c r="E98" s="79">
        <v>0</v>
      </c>
      <c r="F98" s="79">
        <v>3.1896273264433736E-3</v>
      </c>
      <c r="G98" s="79">
        <v>2.055493659532167E-2</v>
      </c>
      <c r="H98" s="79">
        <v>0.40042279862345226</v>
      </c>
      <c r="I98" s="79">
        <v>3.0966997219778043E-2</v>
      </c>
      <c r="J98" s="79">
        <v>0</v>
      </c>
      <c r="K98" s="79">
        <v>2.5237170820731073E-2</v>
      </c>
      <c r="L98" s="79">
        <v>0</v>
      </c>
      <c r="M98" s="79">
        <v>0</v>
      </c>
      <c r="N98" s="79">
        <v>0</v>
      </c>
      <c r="O98" s="79">
        <v>0</v>
      </c>
      <c r="P98" s="80">
        <v>0</v>
      </c>
    </row>
    <row r="99" spans="2:16" x14ac:dyDescent="0.25">
      <c r="B99" s="11" t="s">
        <v>9</v>
      </c>
      <c r="C99" s="110">
        <v>1.8308024618620671E-2</v>
      </c>
      <c r="D99" s="79">
        <v>0</v>
      </c>
      <c r="E99" s="79">
        <v>0</v>
      </c>
      <c r="F99" s="79">
        <v>1.6768446258623757E-2</v>
      </c>
      <c r="G99" s="79">
        <v>1.7591974984624843E-2</v>
      </c>
      <c r="H99" s="79">
        <v>0</v>
      </c>
      <c r="I99" s="79">
        <v>0.47729344414582359</v>
      </c>
      <c r="J99" s="79">
        <v>1.0292387143784425E-2</v>
      </c>
      <c r="K99" s="79">
        <v>2.2465599706822655E-2</v>
      </c>
      <c r="L99" s="79">
        <v>0</v>
      </c>
      <c r="M99" s="79">
        <v>0</v>
      </c>
      <c r="N99" s="79">
        <v>0</v>
      </c>
      <c r="O99" s="79">
        <v>0</v>
      </c>
      <c r="P99" s="80">
        <v>0</v>
      </c>
    </row>
    <row r="100" spans="2:16" x14ac:dyDescent="0.25">
      <c r="B100" s="11" t="s">
        <v>10</v>
      </c>
      <c r="C100" s="110">
        <v>0.34037948058223194</v>
      </c>
      <c r="D100" s="79">
        <v>0.55282090115509919</v>
      </c>
      <c r="E100" s="79">
        <v>0.32309571313933833</v>
      </c>
      <c r="F100" s="79">
        <v>0.10783483863803614</v>
      </c>
      <c r="G100" s="79">
        <v>4.8906331513519925E-2</v>
      </c>
      <c r="H100" s="79">
        <v>0</v>
      </c>
      <c r="I100" s="79">
        <v>0.27429666455706159</v>
      </c>
      <c r="J100" s="79">
        <v>0.79584013035180112</v>
      </c>
      <c r="K100" s="79">
        <v>7.1230218689069397E-2</v>
      </c>
      <c r="L100" s="79">
        <v>0.41749830524783565</v>
      </c>
      <c r="M100" s="79">
        <v>3.6274906574625669E-2</v>
      </c>
      <c r="N100" s="79">
        <v>0</v>
      </c>
      <c r="O100" s="79">
        <v>0</v>
      </c>
      <c r="P100" s="80">
        <v>5.5601180424971884E-2</v>
      </c>
    </row>
    <row r="101" spans="2:16" x14ac:dyDescent="0.25">
      <c r="B101" s="11" t="s">
        <v>11</v>
      </c>
      <c r="C101" s="110">
        <v>5.8881226341327753E-2</v>
      </c>
      <c r="D101" s="79">
        <v>0</v>
      </c>
      <c r="E101" s="79">
        <v>1.3436290478393001E-2</v>
      </c>
      <c r="F101" s="79">
        <v>2.292567770189427E-2</v>
      </c>
      <c r="G101" s="79">
        <v>4.3440817680227943E-2</v>
      </c>
      <c r="H101" s="79">
        <v>0</v>
      </c>
      <c r="I101" s="79">
        <v>0</v>
      </c>
      <c r="J101" s="79">
        <v>2.7001165291061875E-3</v>
      </c>
      <c r="K101" s="79">
        <v>0.35975208854345153</v>
      </c>
      <c r="L101" s="79">
        <v>0</v>
      </c>
      <c r="M101" s="79">
        <v>0.45591593214500287</v>
      </c>
      <c r="N101" s="79">
        <v>0</v>
      </c>
      <c r="O101" s="79">
        <v>0</v>
      </c>
      <c r="P101" s="80">
        <v>0</v>
      </c>
    </row>
    <row r="102" spans="2:16" x14ac:dyDescent="0.25">
      <c r="B102" s="11" t="s">
        <v>12</v>
      </c>
      <c r="C102" s="110">
        <v>5.2899043909177745E-3</v>
      </c>
      <c r="D102" s="79">
        <v>0</v>
      </c>
      <c r="E102" s="79">
        <v>2.7595439345722357E-3</v>
      </c>
      <c r="F102" s="79">
        <v>2.7506513912796461E-3</v>
      </c>
      <c r="G102" s="79">
        <v>6.0812867935341433E-4</v>
      </c>
      <c r="H102" s="79">
        <v>0</v>
      </c>
      <c r="I102" s="79">
        <v>0</v>
      </c>
      <c r="J102" s="79">
        <v>1.0635975270311841E-2</v>
      </c>
      <c r="K102" s="79">
        <v>2.5213786848930103E-3</v>
      </c>
      <c r="L102" s="79">
        <v>9.0440090862941053E-2</v>
      </c>
      <c r="M102" s="79">
        <v>0</v>
      </c>
      <c r="N102" s="79">
        <v>0</v>
      </c>
      <c r="O102" s="79">
        <v>0</v>
      </c>
      <c r="P102" s="80">
        <v>0</v>
      </c>
    </row>
    <row r="103" spans="2:16" x14ac:dyDescent="0.25">
      <c r="B103" s="11" t="s">
        <v>19</v>
      </c>
      <c r="C103" s="110">
        <v>4.6173513404462315E-3</v>
      </c>
      <c r="D103" s="79">
        <v>0</v>
      </c>
      <c r="E103" s="79">
        <v>9.0639962787066909E-3</v>
      </c>
      <c r="F103" s="79">
        <v>1.6117229314158488E-2</v>
      </c>
      <c r="G103" s="79">
        <v>1.8069236153981213E-3</v>
      </c>
      <c r="H103" s="79">
        <v>0</v>
      </c>
      <c r="I103" s="79">
        <v>0</v>
      </c>
      <c r="J103" s="79">
        <v>0</v>
      </c>
      <c r="K103" s="79">
        <v>3.9775481973783758E-3</v>
      </c>
      <c r="L103" s="79">
        <v>0</v>
      </c>
      <c r="M103" s="79">
        <v>0.1774554721263181</v>
      </c>
      <c r="N103" s="79">
        <v>0</v>
      </c>
      <c r="O103" s="79">
        <v>0</v>
      </c>
      <c r="P103" s="80">
        <v>0</v>
      </c>
    </row>
    <row r="104" spans="2:16" x14ac:dyDescent="0.25">
      <c r="B104" s="11" t="s">
        <v>20</v>
      </c>
      <c r="C104" s="110">
        <v>4.2052434224159304E-3</v>
      </c>
      <c r="D104" s="79">
        <v>0</v>
      </c>
      <c r="E104" s="79">
        <v>3.3005735953894097E-2</v>
      </c>
      <c r="F104" s="79">
        <v>2.2044508035967388E-3</v>
      </c>
      <c r="G104" s="79">
        <v>0</v>
      </c>
      <c r="H104" s="79">
        <v>0</v>
      </c>
      <c r="I104" s="79">
        <v>0</v>
      </c>
      <c r="J104" s="79">
        <v>3.703938032717043E-3</v>
      </c>
      <c r="K104" s="79">
        <v>3.6929318958552576E-3</v>
      </c>
      <c r="L104" s="79">
        <v>3.5614677499139935E-2</v>
      </c>
      <c r="M104" s="79">
        <v>3.7749076881661639E-2</v>
      </c>
      <c r="N104" s="79">
        <v>0</v>
      </c>
      <c r="O104" s="79">
        <v>0</v>
      </c>
      <c r="P104" s="80">
        <v>0</v>
      </c>
    </row>
    <row r="105" spans="2:16" x14ac:dyDescent="0.25">
      <c r="B105" s="11" t="s">
        <v>21</v>
      </c>
      <c r="C105" s="110">
        <v>7.5662335233170688E-2</v>
      </c>
      <c r="D105" s="79">
        <v>4.1232652255147523E-2</v>
      </c>
      <c r="E105" s="79">
        <v>7.6479535788339159E-2</v>
      </c>
      <c r="F105" s="79">
        <v>0.10295658007321642</v>
      </c>
      <c r="G105" s="79">
        <v>3.4315606427278829E-2</v>
      </c>
      <c r="H105" s="79">
        <v>4.3860335627722152E-2</v>
      </c>
      <c r="I105" s="79">
        <v>0.20051029286290617</v>
      </c>
      <c r="J105" s="79">
        <v>7.0789937049729065E-2</v>
      </c>
      <c r="K105" s="79">
        <v>4.6221183499051452E-2</v>
      </c>
      <c r="L105" s="79">
        <v>0.2096857831035201</v>
      </c>
      <c r="M105" s="79">
        <v>0.22323168057802711</v>
      </c>
      <c r="N105" s="79">
        <v>0</v>
      </c>
      <c r="O105" s="79">
        <v>0</v>
      </c>
      <c r="P105" s="80">
        <v>0.94439881957502814</v>
      </c>
    </row>
    <row r="106" spans="2:16" x14ac:dyDescent="0.25">
      <c r="B106" s="15"/>
      <c r="C106" s="81"/>
      <c r="D106" s="82"/>
      <c r="E106" s="82"/>
      <c r="F106" s="82"/>
      <c r="G106" s="82"/>
      <c r="H106" s="82"/>
      <c r="I106" s="82"/>
      <c r="J106" s="82"/>
      <c r="K106" s="82"/>
      <c r="L106" s="82"/>
      <c r="M106" s="82"/>
      <c r="N106" s="82"/>
      <c r="O106" s="82"/>
      <c r="P106" s="83"/>
    </row>
    <row r="107" spans="2:16" x14ac:dyDescent="0.25">
      <c r="B107" s="91"/>
    </row>
    <row r="108" spans="2:16" x14ac:dyDescent="0.25">
      <c r="B108" s="87" t="s">
        <v>72</v>
      </c>
      <c r="C108" s="90">
        <v>1</v>
      </c>
      <c r="D108" s="86">
        <v>0.99999999999999989</v>
      </c>
      <c r="E108" s="86">
        <v>1</v>
      </c>
      <c r="F108" s="86">
        <v>0.99999999999999989</v>
      </c>
      <c r="G108" s="86">
        <v>1.0000000000000002</v>
      </c>
      <c r="H108" s="86">
        <v>1</v>
      </c>
      <c r="I108" s="86">
        <v>1</v>
      </c>
      <c r="J108" s="86">
        <v>0.99999999999999989</v>
      </c>
      <c r="K108" s="86">
        <v>1</v>
      </c>
      <c r="L108" s="86">
        <v>1.0000000000000002</v>
      </c>
      <c r="M108" s="86">
        <v>0.99999999999999989</v>
      </c>
      <c r="N108" s="86">
        <v>0</v>
      </c>
      <c r="O108" s="86">
        <v>0</v>
      </c>
      <c r="P108" s="86">
        <v>1</v>
      </c>
    </row>
    <row r="110" spans="2:16" x14ac:dyDescent="0.25">
      <c r="B110" s="87" t="s">
        <v>23</v>
      </c>
      <c r="C110" s="87">
        <v>2807</v>
      </c>
      <c r="D110" s="78">
        <v>65</v>
      </c>
      <c r="E110" s="78">
        <v>153</v>
      </c>
      <c r="F110" s="78">
        <v>457</v>
      </c>
      <c r="G110" s="78">
        <v>753</v>
      </c>
      <c r="H110" s="78">
        <v>60</v>
      </c>
      <c r="I110" s="78">
        <v>22</v>
      </c>
      <c r="J110" s="78">
        <v>874</v>
      </c>
      <c r="K110" s="78">
        <v>361</v>
      </c>
      <c r="L110" s="78">
        <v>30</v>
      </c>
      <c r="M110" s="78">
        <v>15</v>
      </c>
      <c r="N110" s="78">
        <v>0</v>
      </c>
      <c r="O110" s="78">
        <v>0</v>
      </c>
      <c r="P110" s="78">
        <v>17</v>
      </c>
    </row>
    <row r="111" spans="2:16" x14ac:dyDescent="0.25">
      <c r="B111" s="30" t="s">
        <v>24</v>
      </c>
      <c r="C111" s="31">
        <v>1.8496812280592401E-2</v>
      </c>
    </row>
  </sheetData>
  <mergeCells count="18">
    <mergeCell ref="B88:P88"/>
    <mergeCell ref="B89:B90"/>
    <mergeCell ref="C89:C91"/>
    <mergeCell ref="D89:P89"/>
    <mergeCell ref="D90:P90"/>
    <mergeCell ref="B87:P87"/>
    <mergeCell ref="B59:P59"/>
    <mergeCell ref="B60:P60"/>
    <mergeCell ref="B61:B62"/>
    <mergeCell ref="C61:C63"/>
    <mergeCell ref="D61:P61"/>
    <mergeCell ref="D62:P62"/>
    <mergeCell ref="C9:O9"/>
    <mergeCell ref="D39:E39"/>
    <mergeCell ref="F39:G39"/>
    <mergeCell ref="H39:I39"/>
    <mergeCell ref="J39:K39"/>
    <mergeCell ref="B32:O34"/>
  </mergeCells>
  <pageMargins left="0.7" right="0.7" top="0.75" bottom="0.75" header="0.3" footer="0.3"/>
  <pageSetup paperSize="9" scale="53" fitToHeight="0" orientation="landscape" horizontalDpi="0" verticalDpi="0" r:id="rId1"/>
  <rowBreaks count="1" manualBreakCount="1">
    <brk id="83"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B1:V81"/>
  <sheetViews>
    <sheetView topLeftCell="A25" workbookViewId="0">
      <selection activeCell="A61" sqref="A61:XFD61"/>
    </sheetView>
  </sheetViews>
  <sheetFormatPr defaultRowHeight="15" x14ac:dyDescent="0.25"/>
  <cols>
    <col min="2" max="2" width="36.85546875" customWidth="1"/>
  </cols>
  <sheetData>
    <row r="1" spans="2:22" ht="55.5" customHeight="1" x14ac:dyDescent="0.25"/>
    <row r="2" spans="2:22" x14ac:dyDescent="0.25">
      <c r="B2" t="s">
        <v>84</v>
      </c>
    </row>
    <row r="3" spans="2:22" ht="15.75" thickBot="1" x14ac:dyDescent="0.3"/>
    <row r="4" spans="2:22" ht="19.5" thickBot="1" x14ac:dyDescent="0.35">
      <c r="B4" s="1" t="s">
        <v>0</v>
      </c>
    </row>
    <row r="6" spans="2:22" x14ac:dyDescent="0.25">
      <c r="B6" s="2" t="s">
        <v>1</v>
      </c>
    </row>
    <row r="7" spans="2:22" x14ac:dyDescent="0.25">
      <c r="B7" t="s">
        <v>2</v>
      </c>
    </row>
    <row r="9" spans="2:22" x14ac:dyDescent="0.25">
      <c r="B9" s="3"/>
      <c r="C9" s="117" t="s">
        <v>3</v>
      </c>
      <c r="D9" s="118"/>
      <c r="E9" s="118"/>
      <c r="F9" s="118"/>
      <c r="G9" s="118"/>
      <c r="H9" s="118"/>
      <c r="I9" s="118"/>
      <c r="J9" s="118"/>
      <c r="K9" s="118"/>
      <c r="L9" s="118"/>
      <c r="M9" s="118"/>
      <c r="N9" s="118"/>
      <c r="O9" s="119"/>
    </row>
    <row r="10" spans="2:22" ht="45" x14ac:dyDescent="0.25">
      <c r="B10" s="4"/>
      <c r="C10" s="5" t="s">
        <v>4</v>
      </c>
      <c r="D10" s="6" t="s">
        <v>5</v>
      </c>
      <c r="E10" s="6" t="s">
        <v>6</v>
      </c>
      <c r="F10" s="6" t="s">
        <v>7</v>
      </c>
      <c r="G10" s="6" t="s">
        <v>8</v>
      </c>
      <c r="H10" s="6" t="s">
        <v>9</v>
      </c>
      <c r="I10" s="6" t="s">
        <v>10</v>
      </c>
      <c r="J10" s="6" t="s">
        <v>11</v>
      </c>
      <c r="K10" s="6" t="s">
        <v>12</v>
      </c>
      <c r="L10" s="6" t="s">
        <v>13</v>
      </c>
      <c r="M10" s="6" t="s">
        <v>14</v>
      </c>
      <c r="N10" s="6" t="s">
        <v>15</v>
      </c>
      <c r="O10" s="6" t="s">
        <v>16</v>
      </c>
    </row>
    <row r="11" spans="2:22" x14ac:dyDescent="0.25">
      <c r="B11" s="7"/>
      <c r="C11" s="3"/>
      <c r="D11" s="8"/>
      <c r="E11" s="8"/>
      <c r="F11" s="8"/>
      <c r="G11" s="8"/>
      <c r="H11" s="8"/>
      <c r="I11" s="8"/>
      <c r="J11" s="8"/>
      <c r="K11" s="8"/>
      <c r="L11" s="8"/>
      <c r="M11" s="8"/>
      <c r="N11" s="8"/>
      <c r="O11" s="9"/>
      <c r="Q11" s="10"/>
      <c r="R11" s="10"/>
    </row>
    <row r="12" spans="2:22" x14ac:dyDescent="0.25">
      <c r="B12" s="11" t="s">
        <v>5</v>
      </c>
      <c r="C12" s="12">
        <v>2.5025549330767748E-2</v>
      </c>
      <c r="D12" s="13">
        <v>0.48466806874620072</v>
      </c>
      <c r="E12" s="13">
        <v>1.5936150829517618E-3</v>
      </c>
      <c r="F12" s="13">
        <v>0</v>
      </c>
      <c r="G12" s="13">
        <v>1.818264054021864E-3</v>
      </c>
      <c r="H12" s="13">
        <v>1.8929371558953748E-2</v>
      </c>
      <c r="I12" s="13">
        <v>1.5125014387343058E-2</v>
      </c>
      <c r="J12" s="13">
        <v>6.2724689558682871E-3</v>
      </c>
      <c r="K12" s="13">
        <v>0</v>
      </c>
      <c r="L12" s="13">
        <v>6.7747535572264164E-2</v>
      </c>
      <c r="M12" s="13">
        <v>2.0764046997616189E-2</v>
      </c>
      <c r="N12" s="13">
        <v>0</v>
      </c>
      <c r="O12" s="14">
        <v>6.4443278040307922E-3</v>
      </c>
      <c r="Q12" s="10">
        <f>C12/SUM(C$12:C$21)</f>
        <v>2.5682997390223752E-2</v>
      </c>
      <c r="R12" s="10"/>
      <c r="S12" s="10"/>
      <c r="T12" s="10"/>
      <c r="U12" s="10"/>
      <c r="V12" s="10"/>
    </row>
    <row r="13" spans="2:22" x14ac:dyDescent="0.25">
      <c r="B13" s="11" t="s">
        <v>17</v>
      </c>
      <c r="C13" s="12">
        <v>5.1050158195735905E-2</v>
      </c>
      <c r="D13" s="13">
        <v>0.17850393753845578</v>
      </c>
      <c r="E13" s="13">
        <v>6.7817097423647256E-3</v>
      </c>
      <c r="F13" s="13">
        <v>4.4581024733095331E-2</v>
      </c>
      <c r="G13" s="13">
        <v>1.6915135177599589E-2</v>
      </c>
      <c r="H13" s="13">
        <v>2.041196028986253E-3</v>
      </c>
      <c r="I13" s="13">
        <v>6.2423016805161186E-2</v>
      </c>
      <c r="J13" s="13">
        <v>3.6662171854613491E-2</v>
      </c>
      <c r="K13" s="13">
        <v>0.1540964695176163</v>
      </c>
      <c r="L13" s="13">
        <v>0.23613365030451128</v>
      </c>
      <c r="M13" s="13">
        <v>4.8645026348589311E-2</v>
      </c>
      <c r="N13" s="13">
        <v>0</v>
      </c>
      <c r="O13" s="14">
        <v>6.87803573381673E-2</v>
      </c>
      <c r="Q13" s="10">
        <f t="shared" ref="Q13:Q21" si="0">C13/SUM(C$12:C$21)</f>
        <v>5.2391300681645082E-2</v>
      </c>
      <c r="R13" s="10"/>
      <c r="S13" s="10"/>
      <c r="T13" s="10"/>
      <c r="U13" s="10"/>
      <c r="V13" s="10"/>
    </row>
    <row r="14" spans="2:22" x14ac:dyDescent="0.25">
      <c r="B14" s="11" t="s">
        <v>6</v>
      </c>
      <c r="C14" s="12">
        <v>0.12449364933276982</v>
      </c>
      <c r="D14" s="13">
        <v>4.1948900529402193E-2</v>
      </c>
      <c r="E14" s="13">
        <v>0.67188028926155441</v>
      </c>
      <c r="F14" s="13">
        <v>0.19679757615537422</v>
      </c>
      <c r="G14" s="13">
        <v>0.11783909954033725</v>
      </c>
      <c r="H14" s="13">
        <v>9.9437534399208952E-2</v>
      </c>
      <c r="I14" s="13">
        <v>5.9019205104977164E-2</v>
      </c>
      <c r="J14" s="13">
        <v>2.1256689936226997E-2</v>
      </c>
      <c r="K14" s="13">
        <v>8.8377983229136994E-2</v>
      </c>
      <c r="L14" s="13">
        <v>4.279579209992064E-2</v>
      </c>
      <c r="M14" s="13">
        <v>0.17614496069113525</v>
      </c>
      <c r="N14" s="13">
        <v>0</v>
      </c>
      <c r="O14" s="14">
        <v>8.5919079939873313E-2</v>
      </c>
      <c r="Q14" s="10">
        <f t="shared" si="0"/>
        <v>0.12776423121237704</v>
      </c>
      <c r="R14" s="10"/>
      <c r="S14" s="10"/>
      <c r="T14" s="10"/>
      <c r="U14" s="10"/>
      <c r="V14" s="10"/>
    </row>
    <row r="15" spans="2:22" x14ac:dyDescent="0.25">
      <c r="B15" s="11" t="s">
        <v>8</v>
      </c>
      <c r="C15" s="12">
        <v>0.29598633209802849</v>
      </c>
      <c r="D15" s="13">
        <v>3.1179603022651416E-2</v>
      </c>
      <c r="E15" s="13">
        <v>0.16648008334221956</v>
      </c>
      <c r="F15" s="13">
        <v>0.50810054685434869</v>
      </c>
      <c r="G15" s="13">
        <v>0.64366310193952891</v>
      </c>
      <c r="H15" s="13">
        <v>0.24285447844122882</v>
      </c>
      <c r="I15" s="13">
        <v>6.7897244197506021E-2</v>
      </c>
      <c r="J15" s="13">
        <v>8.1335732325404614E-2</v>
      </c>
      <c r="K15" s="13">
        <v>6.2506428992990193E-2</v>
      </c>
      <c r="L15" s="13">
        <v>8.5859753410614165E-2</v>
      </c>
      <c r="M15" s="13">
        <v>0.39207181880309538</v>
      </c>
      <c r="N15" s="13">
        <v>0</v>
      </c>
      <c r="O15" s="14">
        <v>0.30901841088052701</v>
      </c>
      <c r="Q15" s="10">
        <f t="shared" si="0"/>
        <v>0.30376221094453609</v>
      </c>
      <c r="R15" s="10"/>
      <c r="S15" s="10"/>
      <c r="T15" s="10"/>
      <c r="U15" s="10"/>
      <c r="V15" s="10"/>
    </row>
    <row r="16" spans="2:22" x14ac:dyDescent="0.25">
      <c r="B16" s="11" t="s">
        <v>18</v>
      </c>
      <c r="C16" s="12">
        <v>2.4450193364704942E-2</v>
      </c>
      <c r="D16" s="13">
        <v>0</v>
      </c>
      <c r="E16" s="13">
        <v>6.5658607551691381E-2</v>
      </c>
      <c r="F16" s="13">
        <v>0</v>
      </c>
      <c r="G16" s="13">
        <v>1.0523327076284743E-2</v>
      </c>
      <c r="H16" s="13">
        <v>0.33883065060744189</v>
      </c>
      <c r="I16" s="13">
        <v>5.6581917951557884E-3</v>
      </c>
      <c r="J16" s="13">
        <v>1.2759335238302454E-3</v>
      </c>
      <c r="K16" s="13">
        <v>0.11868986925423838</v>
      </c>
      <c r="L16" s="13">
        <v>0.10853324789374585</v>
      </c>
      <c r="M16" s="13">
        <v>7.2382829265157491E-3</v>
      </c>
      <c r="N16" s="13">
        <v>0</v>
      </c>
      <c r="O16" s="14">
        <v>6.3750911511805911E-2</v>
      </c>
      <c r="Q16" s="10">
        <f t="shared" si="0"/>
        <v>2.5092526204974954E-2</v>
      </c>
      <c r="R16" s="10"/>
      <c r="S16" s="10"/>
      <c r="T16" s="10"/>
      <c r="U16" s="10"/>
      <c r="V16" s="10"/>
    </row>
    <row r="17" spans="2:22" x14ac:dyDescent="0.25">
      <c r="B17" s="11" t="s">
        <v>9</v>
      </c>
      <c r="C17" s="12">
        <v>1.1311435814284928E-2</v>
      </c>
      <c r="D17" s="13">
        <v>0</v>
      </c>
      <c r="E17" s="13">
        <v>0</v>
      </c>
      <c r="F17" s="13">
        <v>0</v>
      </c>
      <c r="G17" s="13">
        <v>7.782864800113338E-3</v>
      </c>
      <c r="H17" s="13">
        <v>0.14632854697468128</v>
      </c>
      <c r="I17" s="13">
        <v>7.552284383810972E-3</v>
      </c>
      <c r="J17" s="13">
        <v>0</v>
      </c>
      <c r="K17" s="13">
        <v>0</v>
      </c>
      <c r="L17" s="13">
        <v>4.7425461940628841E-3</v>
      </c>
      <c r="M17" s="13">
        <v>4.972943703327729E-3</v>
      </c>
      <c r="N17" s="13">
        <v>0</v>
      </c>
      <c r="O17" s="14">
        <v>3.3058353378113262E-2</v>
      </c>
      <c r="Q17" s="10">
        <f t="shared" si="0"/>
        <v>1.1608599382103985E-2</v>
      </c>
      <c r="R17" s="10"/>
      <c r="S17" s="10"/>
      <c r="T17" s="10"/>
      <c r="U17" s="10"/>
      <c r="V17" s="10"/>
    </row>
    <row r="18" spans="2:22" x14ac:dyDescent="0.25">
      <c r="B18" s="11" t="s">
        <v>10</v>
      </c>
      <c r="C18" s="12">
        <v>0.32353266991492291</v>
      </c>
      <c r="D18" s="13">
        <v>0.20558570674343637</v>
      </c>
      <c r="E18" s="13">
        <v>1.6869852889838284E-2</v>
      </c>
      <c r="F18" s="13">
        <v>0.11151593769052298</v>
      </c>
      <c r="G18" s="13">
        <v>7.5333849155209728E-2</v>
      </c>
      <c r="H18" s="13">
        <v>3.6740994347832283E-2</v>
      </c>
      <c r="I18" s="13">
        <v>0.70440367803299331</v>
      </c>
      <c r="J18" s="13">
        <v>2.0875419392772827E-2</v>
      </c>
      <c r="K18" s="13">
        <v>0.2357960961071825</v>
      </c>
      <c r="L18" s="13">
        <v>0.14297476013389918</v>
      </c>
      <c r="M18" s="13">
        <v>0.22533729271878136</v>
      </c>
      <c r="N18" s="13">
        <v>0</v>
      </c>
      <c r="O18" s="14">
        <v>0.18042881441188494</v>
      </c>
      <c r="Q18" s="10">
        <f t="shared" si="0"/>
        <v>0.33203222064185434</v>
      </c>
      <c r="R18" s="10"/>
      <c r="S18" s="10"/>
      <c r="T18" s="10"/>
      <c r="U18" s="10"/>
      <c r="V18" s="10"/>
    </row>
    <row r="19" spans="2:22" x14ac:dyDescent="0.25">
      <c r="B19" s="11" t="s">
        <v>11</v>
      </c>
      <c r="C19" s="12">
        <v>0.10307355677749154</v>
      </c>
      <c r="D19" s="13">
        <v>3.7786186502540418E-2</v>
      </c>
      <c r="E19" s="13">
        <v>5.4327232148340211E-2</v>
      </c>
      <c r="F19" s="13">
        <v>0.10230181223614719</v>
      </c>
      <c r="G19" s="13">
        <v>0.11416354588277131</v>
      </c>
      <c r="H19" s="13">
        <v>9.35818278614578E-2</v>
      </c>
      <c r="I19" s="13">
        <v>5.7769001325332602E-2</v>
      </c>
      <c r="J19" s="13">
        <v>0.81753530624882931</v>
      </c>
      <c r="K19" s="13">
        <v>4.8999942227767296E-2</v>
      </c>
      <c r="L19" s="13">
        <v>0.15736973261687701</v>
      </c>
      <c r="M19" s="13">
        <v>8.6777695626492665E-2</v>
      </c>
      <c r="N19" s="13">
        <v>0</v>
      </c>
      <c r="O19" s="14">
        <v>6.5662127336606757E-2</v>
      </c>
      <c r="Q19" s="10">
        <f t="shared" si="0"/>
        <v>0.10578140981955346</v>
      </c>
      <c r="R19" s="10"/>
      <c r="S19" s="10"/>
      <c r="T19" s="10"/>
      <c r="U19" s="10"/>
      <c r="V19" s="10"/>
    </row>
    <row r="20" spans="2:22" x14ac:dyDescent="0.25">
      <c r="B20" s="11" t="s">
        <v>12</v>
      </c>
      <c r="C20" s="12">
        <v>8.7403245414855342E-3</v>
      </c>
      <c r="D20" s="13">
        <v>1.295052308112947E-2</v>
      </c>
      <c r="E20" s="13">
        <v>0</v>
      </c>
      <c r="F20" s="13">
        <v>3.6703102330511328E-2</v>
      </c>
      <c r="G20" s="13">
        <v>9.9488575477776941E-4</v>
      </c>
      <c r="H20" s="13">
        <v>2.1255399780208902E-2</v>
      </c>
      <c r="I20" s="13">
        <v>7.1832213905941552E-3</v>
      </c>
      <c r="J20" s="13">
        <v>2.0240279425259634E-3</v>
      </c>
      <c r="K20" s="13">
        <v>0.29153321067106852</v>
      </c>
      <c r="L20" s="13">
        <v>0</v>
      </c>
      <c r="M20" s="13">
        <v>0</v>
      </c>
      <c r="N20" s="13">
        <v>0</v>
      </c>
      <c r="O20" s="14">
        <v>1.8816268035139437E-2</v>
      </c>
      <c r="Q20" s="10">
        <f t="shared" si="0"/>
        <v>8.9699422546819646E-3</v>
      </c>
      <c r="R20" s="10"/>
      <c r="S20" s="10"/>
      <c r="T20" s="10"/>
      <c r="U20" s="10"/>
      <c r="V20" s="10"/>
    </row>
    <row r="21" spans="2:22" x14ac:dyDescent="0.25">
      <c r="B21" s="11" t="s">
        <v>19</v>
      </c>
      <c r="C21" s="12">
        <v>6.7375585680337869E-3</v>
      </c>
      <c r="D21" s="13">
        <v>7.3770738361837139E-3</v>
      </c>
      <c r="E21" s="13">
        <v>0</v>
      </c>
      <c r="F21" s="13">
        <v>0</v>
      </c>
      <c r="G21" s="13">
        <v>5.3526798861227238E-3</v>
      </c>
      <c r="H21" s="13">
        <v>0</v>
      </c>
      <c r="I21" s="13">
        <v>6.1403306411615774E-4</v>
      </c>
      <c r="J21" s="13">
        <v>7.0692838955322768E-3</v>
      </c>
      <c r="K21" s="13">
        <v>0</v>
      </c>
      <c r="L21" s="13">
        <v>0.15384298177410496</v>
      </c>
      <c r="M21" s="13">
        <v>2.1067724432647129E-2</v>
      </c>
      <c r="N21" s="13">
        <v>0</v>
      </c>
      <c r="O21" s="14">
        <v>0</v>
      </c>
      <c r="Q21" s="10">
        <f t="shared" si="0"/>
        <v>6.9145614680492127E-3</v>
      </c>
      <c r="R21" s="10"/>
      <c r="S21" s="10"/>
      <c r="T21" s="10"/>
      <c r="U21" s="10"/>
      <c r="V21" s="10"/>
    </row>
    <row r="22" spans="2:22" x14ac:dyDescent="0.25">
      <c r="B22" s="11" t="s">
        <v>20</v>
      </c>
      <c r="C22" s="12">
        <v>2.1572551537975371E-3</v>
      </c>
      <c r="D22" s="13">
        <v>0</v>
      </c>
      <c r="E22" s="13">
        <v>0</v>
      </c>
      <c r="F22" s="13">
        <v>0</v>
      </c>
      <c r="G22" s="13">
        <v>1.4070395666195643E-3</v>
      </c>
      <c r="H22" s="13">
        <v>0</v>
      </c>
      <c r="I22" s="13">
        <v>0</v>
      </c>
      <c r="J22" s="13">
        <v>0</v>
      </c>
      <c r="K22" s="13">
        <v>0</v>
      </c>
      <c r="L22" s="13">
        <v>0</v>
      </c>
      <c r="M22" s="13">
        <v>1.5249298307181544E-2</v>
      </c>
      <c r="N22" s="13">
        <v>0</v>
      </c>
      <c r="O22" s="14">
        <v>0</v>
      </c>
      <c r="Q22" s="10"/>
      <c r="R22" s="10"/>
      <c r="S22" s="10"/>
      <c r="T22" s="10"/>
      <c r="U22" s="10"/>
      <c r="V22" s="10"/>
    </row>
    <row r="23" spans="2:22" x14ac:dyDescent="0.25">
      <c r="B23" s="15" t="s">
        <v>21</v>
      </c>
      <c r="C23" s="16">
        <v>2.3441316907982387E-2</v>
      </c>
      <c r="D23" s="17">
        <v>0</v>
      </c>
      <c r="E23" s="17">
        <v>1.6408609981039449E-2</v>
      </c>
      <c r="F23" s="17">
        <v>0</v>
      </c>
      <c r="G23" s="17">
        <v>4.206207166612165E-3</v>
      </c>
      <c r="H23" s="17">
        <v>0</v>
      </c>
      <c r="I23" s="17">
        <v>1.2355109513007978E-2</v>
      </c>
      <c r="J23" s="17">
        <v>5.6929659243955466E-3</v>
      </c>
      <c r="K23" s="17">
        <v>0</v>
      </c>
      <c r="L23" s="17">
        <v>0</v>
      </c>
      <c r="M23" s="17">
        <v>1.7309094446174445E-3</v>
      </c>
      <c r="N23" s="17">
        <v>0</v>
      </c>
      <c r="O23" s="18">
        <v>0.16812134936385151</v>
      </c>
      <c r="Q23" s="10"/>
      <c r="R23" s="10"/>
      <c r="S23" s="10"/>
      <c r="T23" s="10"/>
      <c r="U23" s="10"/>
      <c r="V23" s="10"/>
    </row>
    <row r="24" spans="2:22" x14ac:dyDescent="0.25">
      <c r="B24" s="19"/>
      <c r="C24" s="13"/>
      <c r="D24" s="13"/>
      <c r="E24" s="13"/>
      <c r="F24" s="13"/>
      <c r="G24" s="13"/>
      <c r="H24" s="13"/>
      <c r="I24" s="13"/>
      <c r="J24" s="13"/>
      <c r="K24" s="13"/>
      <c r="L24" s="13"/>
      <c r="M24" s="13"/>
      <c r="N24" s="13"/>
      <c r="O24" s="13"/>
      <c r="Q24" s="10"/>
      <c r="R24" s="10"/>
      <c r="S24" s="10"/>
      <c r="T24" s="10"/>
      <c r="U24" s="10"/>
      <c r="V24" s="10"/>
    </row>
    <row r="25" spans="2:22" x14ac:dyDescent="0.25">
      <c r="B25" s="20" t="s">
        <v>4</v>
      </c>
      <c r="C25" s="21">
        <f t="shared" ref="C25:O25" si="1">SUM(C12:C23)</f>
        <v>1.0000000000000056</v>
      </c>
      <c r="D25" s="22">
        <f t="shared" si="1"/>
        <v>0.99999999999999989</v>
      </c>
      <c r="E25" s="22">
        <f t="shared" si="1"/>
        <v>0.99999999999999978</v>
      </c>
      <c r="F25" s="22">
        <f t="shared" si="1"/>
        <v>0.99999999999999978</v>
      </c>
      <c r="G25" s="22">
        <f t="shared" si="1"/>
        <v>0.99999999999999911</v>
      </c>
      <c r="H25" s="22">
        <f t="shared" si="1"/>
        <v>0.99999999999999989</v>
      </c>
      <c r="I25" s="22">
        <f t="shared" si="1"/>
        <v>0.99999999999999833</v>
      </c>
      <c r="J25" s="22">
        <f t="shared" si="1"/>
        <v>0.99999999999999956</v>
      </c>
      <c r="K25" s="22">
        <f t="shared" si="1"/>
        <v>1.0000000000000002</v>
      </c>
      <c r="L25" s="22">
        <f t="shared" si="1"/>
        <v>1.0000000000000002</v>
      </c>
      <c r="M25" s="22">
        <f t="shared" si="1"/>
        <v>0.99999999999999967</v>
      </c>
      <c r="N25" s="22">
        <f t="shared" si="1"/>
        <v>0</v>
      </c>
      <c r="O25" s="23">
        <f t="shared" si="1"/>
        <v>1.0000000000000002</v>
      </c>
    </row>
    <row r="26" spans="2:22" x14ac:dyDescent="0.25">
      <c r="B26" s="24" t="s">
        <v>22</v>
      </c>
      <c r="C26" s="25"/>
      <c r="D26" s="25"/>
      <c r="E26" s="25"/>
      <c r="F26" s="25"/>
      <c r="G26" s="25"/>
      <c r="H26" s="25"/>
      <c r="I26" s="25"/>
      <c r="J26" s="25"/>
      <c r="K26" s="25"/>
      <c r="L26" s="25"/>
      <c r="M26" s="25"/>
      <c r="N26" s="25"/>
      <c r="O26" s="25"/>
    </row>
    <row r="27" spans="2:22" x14ac:dyDescent="0.25">
      <c r="B27" s="26" t="s">
        <v>23</v>
      </c>
      <c r="C27" s="27">
        <v>3037</v>
      </c>
      <c r="D27" s="28">
        <v>85</v>
      </c>
      <c r="E27" s="28">
        <v>317</v>
      </c>
      <c r="F27" s="28">
        <v>33</v>
      </c>
      <c r="G27" s="28">
        <v>919</v>
      </c>
      <c r="H27" s="28">
        <v>65</v>
      </c>
      <c r="I27" s="28">
        <v>1089</v>
      </c>
      <c r="J27" s="28">
        <v>204</v>
      </c>
      <c r="K27" s="28">
        <v>50</v>
      </c>
      <c r="L27" s="28">
        <v>46</v>
      </c>
      <c r="M27" s="28">
        <v>119</v>
      </c>
      <c r="N27" s="28"/>
      <c r="O27" s="29">
        <v>110</v>
      </c>
    </row>
    <row r="28" spans="2:22" x14ac:dyDescent="0.25">
      <c r="B28" s="30" t="s">
        <v>24</v>
      </c>
      <c r="C28" s="31">
        <v>1.7782618007065942E-2</v>
      </c>
      <c r="D28" s="31"/>
      <c r="E28" s="32"/>
      <c r="F28" s="32"/>
      <c r="G28" s="32"/>
      <c r="H28" s="32"/>
      <c r="I28" s="32"/>
      <c r="J28" s="32"/>
      <c r="K28" s="32"/>
      <c r="L28" s="32"/>
      <c r="M28" s="32"/>
      <c r="N28" s="32"/>
      <c r="O28" s="32"/>
      <c r="P28" s="33"/>
    </row>
    <row r="29" spans="2:22" x14ac:dyDescent="0.25">
      <c r="B29" s="34"/>
      <c r="C29" s="35"/>
      <c r="D29" s="33"/>
      <c r="E29" s="33"/>
      <c r="F29" s="33"/>
      <c r="G29" s="33"/>
      <c r="H29" s="33"/>
      <c r="I29" s="33"/>
      <c r="J29" s="33"/>
      <c r="K29" s="33"/>
      <c r="L29" s="33"/>
      <c r="M29" s="33"/>
      <c r="N29" s="33"/>
      <c r="O29" s="33"/>
      <c r="P29" s="33"/>
    </row>
    <row r="30" spans="2:22" x14ac:dyDescent="0.25">
      <c r="B30" s="163" t="s">
        <v>25</v>
      </c>
      <c r="C30" s="164"/>
      <c r="D30" s="164"/>
      <c r="E30" s="164"/>
      <c r="F30" s="164"/>
      <c r="G30" s="164"/>
      <c r="H30" s="164"/>
      <c r="I30" s="164"/>
      <c r="J30" s="164"/>
      <c r="K30" s="164"/>
      <c r="L30" s="164"/>
      <c r="M30" s="165"/>
    </row>
    <row r="31" spans="2:22" x14ac:dyDescent="0.25">
      <c r="B31" s="166"/>
      <c r="C31" s="167"/>
      <c r="D31" s="167"/>
      <c r="E31" s="167"/>
      <c r="F31" s="167"/>
      <c r="G31" s="167"/>
      <c r="H31" s="167"/>
      <c r="I31" s="167"/>
      <c r="J31" s="167"/>
      <c r="K31" s="167"/>
      <c r="L31" s="167"/>
      <c r="M31" s="168"/>
    </row>
    <row r="32" spans="2:22" x14ac:dyDescent="0.25">
      <c r="B32" s="169"/>
      <c r="C32" s="170"/>
      <c r="D32" s="170"/>
      <c r="E32" s="170"/>
      <c r="F32" s="170"/>
      <c r="G32" s="170"/>
      <c r="H32" s="170"/>
      <c r="I32" s="170"/>
      <c r="J32" s="170"/>
      <c r="K32" s="170"/>
      <c r="L32" s="170"/>
      <c r="M32" s="171"/>
    </row>
    <row r="33" spans="2:20" ht="15.75" thickBot="1" x14ac:dyDescent="0.3">
      <c r="B33" s="34"/>
      <c r="C33" s="36"/>
    </row>
    <row r="34" spans="2:20" ht="21.75" thickBot="1" x14ac:dyDescent="0.4">
      <c r="B34" s="172" t="s">
        <v>26</v>
      </c>
      <c r="C34" s="173"/>
      <c r="D34" s="173"/>
      <c r="E34" s="173"/>
      <c r="F34" s="174"/>
      <c r="G34" s="37"/>
      <c r="H34" s="37"/>
      <c r="I34" s="37"/>
      <c r="J34" s="37"/>
      <c r="K34" s="37"/>
      <c r="L34" s="37"/>
      <c r="M34" s="37"/>
      <c r="N34" s="37"/>
    </row>
    <row r="35" spans="2:20" ht="21" x14ac:dyDescent="0.35">
      <c r="B35" s="38"/>
      <c r="C35" s="38"/>
      <c r="D35" s="38"/>
      <c r="E35" s="38"/>
      <c r="F35" s="38"/>
      <c r="G35" s="37"/>
      <c r="H35" s="37"/>
      <c r="I35" s="37"/>
      <c r="J35" s="37"/>
      <c r="K35" s="37"/>
      <c r="L35" s="37"/>
      <c r="M35" s="37"/>
      <c r="N35" s="37"/>
    </row>
    <row r="36" spans="2:20" x14ac:dyDescent="0.25">
      <c r="B36" s="2" t="s">
        <v>1</v>
      </c>
    </row>
    <row r="37" spans="2:20" x14ac:dyDescent="0.25">
      <c r="B37" t="s">
        <v>2</v>
      </c>
    </row>
    <row r="39" spans="2:20" x14ac:dyDescent="0.25">
      <c r="B39" s="3"/>
      <c r="C39" s="159" t="s">
        <v>27</v>
      </c>
      <c r="D39" s="159" t="s">
        <v>28</v>
      </c>
      <c r="E39" s="159" t="s">
        <v>29</v>
      </c>
      <c r="F39" s="159" t="s">
        <v>30</v>
      </c>
      <c r="G39" s="159" t="s">
        <v>31</v>
      </c>
      <c r="H39" s="159" t="s">
        <v>32</v>
      </c>
      <c r="I39" s="159" t="s">
        <v>33</v>
      </c>
      <c r="J39" s="159" t="s">
        <v>34</v>
      </c>
      <c r="K39" s="159" t="s">
        <v>35</v>
      </c>
      <c r="L39" s="159" t="s">
        <v>36</v>
      </c>
      <c r="M39" s="161" t="s">
        <v>37</v>
      </c>
      <c r="N39" s="161" t="s">
        <v>38</v>
      </c>
      <c r="O39" s="161" t="s">
        <v>39</v>
      </c>
      <c r="P39" s="161" t="s">
        <v>40</v>
      </c>
      <c r="Q39" s="161" t="s">
        <v>41</v>
      </c>
      <c r="R39" s="161" t="s">
        <v>42</v>
      </c>
      <c r="S39" s="161" t="s">
        <v>78</v>
      </c>
      <c r="T39" s="161" t="s">
        <v>79</v>
      </c>
    </row>
    <row r="40" spans="2:20" ht="25.5" x14ac:dyDescent="0.25">
      <c r="B40" s="4" t="s">
        <v>43</v>
      </c>
      <c r="C40" s="160"/>
      <c r="D40" s="160"/>
      <c r="E40" s="160"/>
      <c r="F40" s="160"/>
      <c r="G40" s="160"/>
      <c r="H40" s="160"/>
      <c r="I40" s="160"/>
      <c r="J40" s="160"/>
      <c r="K40" s="160"/>
      <c r="L40" s="160"/>
      <c r="M40" s="162"/>
      <c r="N40" s="162"/>
      <c r="O40" s="162"/>
      <c r="P40" s="162"/>
      <c r="Q40" s="162"/>
      <c r="R40" s="162"/>
      <c r="S40" s="162"/>
      <c r="T40" s="162"/>
    </row>
    <row r="41" spans="2:20" x14ac:dyDescent="0.25">
      <c r="B41" s="3"/>
      <c r="C41" s="3"/>
      <c r="D41" s="3"/>
      <c r="E41" s="3"/>
      <c r="F41" s="3"/>
      <c r="G41" s="3"/>
      <c r="H41" s="3"/>
      <c r="I41" s="7"/>
      <c r="J41" s="3"/>
      <c r="K41" s="3"/>
      <c r="L41" s="3"/>
      <c r="M41" s="3"/>
      <c r="N41" s="3"/>
      <c r="O41" s="3"/>
      <c r="P41" s="3"/>
      <c r="Q41" s="3"/>
      <c r="R41" s="3"/>
      <c r="S41" s="3"/>
      <c r="T41" s="3"/>
    </row>
    <row r="42" spans="2:20" x14ac:dyDescent="0.25">
      <c r="B42" s="39" t="s">
        <v>5</v>
      </c>
      <c r="C42" s="12">
        <v>2.6334517632238381E-2</v>
      </c>
      <c r="D42" s="12">
        <v>2.0138863888340634E-2</v>
      </c>
      <c r="E42" s="12">
        <v>1.8860895469938826E-2</v>
      </c>
      <c r="F42" s="12">
        <v>1.6087909861181773E-2</v>
      </c>
      <c r="G42" s="12">
        <v>3.1412616629137052E-2</v>
      </c>
      <c r="H42" s="12">
        <v>3.7395515392355569E-2</v>
      </c>
      <c r="I42" s="40">
        <v>5.2765450761847951E-2</v>
      </c>
      <c r="J42" s="12">
        <v>5.0868107290489413E-2</v>
      </c>
      <c r="K42" s="12">
        <v>4.784048927045443E-2</v>
      </c>
      <c r="L42" s="12">
        <v>4.8187978811891741E-2</v>
      </c>
      <c r="M42" s="12">
        <v>3.5694449927149367E-2</v>
      </c>
      <c r="N42" s="12">
        <v>3.4395540604005882E-2</v>
      </c>
      <c r="O42" s="12">
        <v>3.402924916613994E-2</v>
      </c>
      <c r="P42" s="12">
        <v>1.9206251898130029E-2</v>
      </c>
      <c r="Q42" s="12">
        <v>2.6753040820249544E-2</v>
      </c>
      <c r="R42" s="12">
        <v>2.580091920066669E-2</v>
      </c>
      <c r="S42" s="12">
        <v>3.1885393430564339E-2</v>
      </c>
      <c r="T42" s="12">
        <v>2.5025549330767748E-2</v>
      </c>
    </row>
    <row r="43" spans="2:20" x14ac:dyDescent="0.25">
      <c r="B43" s="11" t="s">
        <v>17</v>
      </c>
      <c r="C43" s="41" t="s">
        <v>44</v>
      </c>
      <c r="D43" s="41" t="s">
        <v>44</v>
      </c>
      <c r="E43" s="41" t="s">
        <v>44</v>
      </c>
      <c r="F43" s="41" t="s">
        <v>44</v>
      </c>
      <c r="G43" s="41" t="s">
        <v>44</v>
      </c>
      <c r="H43" s="41" t="s">
        <v>44</v>
      </c>
      <c r="I43" s="41" t="s">
        <v>44</v>
      </c>
      <c r="J43" s="41" t="s">
        <v>44</v>
      </c>
      <c r="K43" s="41" t="s">
        <v>44</v>
      </c>
      <c r="L43" s="41" t="s">
        <v>44</v>
      </c>
      <c r="M43" s="12">
        <v>2.1011969732399435E-2</v>
      </c>
      <c r="N43" s="12">
        <v>2.0803677885908266E-2</v>
      </c>
      <c r="O43" s="12">
        <v>2.0514648044686699E-2</v>
      </c>
      <c r="P43" s="12">
        <v>3.3687589935205015E-2</v>
      </c>
      <c r="Q43" s="12">
        <v>4.110975356524886E-2</v>
      </c>
      <c r="R43" s="12">
        <v>4.8370985344931956E-2</v>
      </c>
      <c r="S43" s="12">
        <v>4.8273365381843153E-2</v>
      </c>
      <c r="T43" s="12">
        <v>5.1050158195735905E-2</v>
      </c>
    </row>
    <row r="44" spans="2:20" x14ac:dyDescent="0.25">
      <c r="B44" s="39" t="s">
        <v>6</v>
      </c>
      <c r="C44" s="12">
        <v>7.8752696029644742E-2</v>
      </c>
      <c r="D44" s="12">
        <v>8.8748728564228621E-2</v>
      </c>
      <c r="E44" s="12">
        <v>9.5037674579133619E-2</v>
      </c>
      <c r="F44" s="12">
        <v>8.3075280937732601E-2</v>
      </c>
      <c r="G44" s="12">
        <v>7.18367978577438E-2</v>
      </c>
      <c r="H44" s="12">
        <v>9.9050117462831738E-2</v>
      </c>
      <c r="I44" s="40">
        <v>9.8129913882002831E-2</v>
      </c>
      <c r="J44" s="12">
        <v>9.1357465322524894E-2</v>
      </c>
      <c r="K44" s="12">
        <v>0.10239065982359134</v>
      </c>
      <c r="L44" s="12">
        <v>0.10719787455133659</v>
      </c>
      <c r="M44" s="12">
        <v>0.11734605721114015</v>
      </c>
      <c r="N44" s="12">
        <v>0.11629445743454569</v>
      </c>
      <c r="O44" s="12">
        <v>0.1168352191262792</v>
      </c>
      <c r="P44" s="12">
        <v>0.10798982363425912</v>
      </c>
      <c r="Q44" s="12">
        <v>0.13706658924982543</v>
      </c>
      <c r="R44" s="12">
        <v>0.15369079092593557</v>
      </c>
      <c r="S44" s="12">
        <v>0.12420132977189603</v>
      </c>
      <c r="T44" s="12">
        <v>0.12449364933276982</v>
      </c>
    </row>
    <row r="45" spans="2:20" x14ac:dyDescent="0.25">
      <c r="B45" s="39" t="s">
        <v>7</v>
      </c>
      <c r="C45" s="12">
        <v>1.1583043166468071E-2</v>
      </c>
      <c r="D45" s="12">
        <v>1.273166389391496E-2</v>
      </c>
      <c r="E45" s="12">
        <v>1.04039061160587E-2</v>
      </c>
      <c r="F45" s="12">
        <v>9.1838700579534478E-3</v>
      </c>
      <c r="G45" s="12">
        <v>7.7457919857290003E-3</v>
      </c>
      <c r="H45" s="12">
        <v>9.7449021860802707E-3</v>
      </c>
      <c r="I45" s="40">
        <v>6.2545158848108517E-3</v>
      </c>
      <c r="J45" s="12">
        <v>7.8534016895744005E-3</v>
      </c>
      <c r="K45" s="12">
        <v>5.8425278353103583E-3</v>
      </c>
      <c r="L45" s="12">
        <v>6.146514162832557E-3</v>
      </c>
      <c r="M45" s="12">
        <v>4.6157983867026568E-3</v>
      </c>
      <c r="N45" s="12">
        <v>5.0387742963934317E-3</v>
      </c>
      <c r="O45" s="12">
        <v>4.7549053280827964E-3</v>
      </c>
      <c r="P45" s="41" t="s">
        <v>44</v>
      </c>
      <c r="Q45" s="41" t="s">
        <v>44</v>
      </c>
      <c r="R45" s="41" t="s">
        <v>44</v>
      </c>
      <c r="S45" s="41" t="s">
        <v>44</v>
      </c>
      <c r="T45" s="41" t="s">
        <v>44</v>
      </c>
    </row>
    <row r="46" spans="2:20" x14ac:dyDescent="0.25">
      <c r="B46" s="39" t="s">
        <v>8</v>
      </c>
      <c r="C46" s="12">
        <v>0.28337718783998606</v>
      </c>
      <c r="D46" s="12">
        <v>0.28308312641317801</v>
      </c>
      <c r="E46" s="12">
        <v>0.25709156222798252</v>
      </c>
      <c r="F46" s="12">
        <v>0.27853373834978135</v>
      </c>
      <c r="G46" s="12">
        <v>0.26975138769422075</v>
      </c>
      <c r="H46" s="12">
        <v>0.23909021886086276</v>
      </c>
      <c r="I46" s="40">
        <v>0.26942775453653794</v>
      </c>
      <c r="J46" s="12">
        <v>0.26636782030201001</v>
      </c>
      <c r="K46" s="12">
        <v>0.27537038986412243</v>
      </c>
      <c r="L46" s="12">
        <v>0.2704020038048297</v>
      </c>
      <c r="M46" s="12">
        <v>0.25930211317270868</v>
      </c>
      <c r="N46" s="12">
        <v>0.25669200046861873</v>
      </c>
      <c r="O46" s="12">
        <v>0.25567288231934998</v>
      </c>
      <c r="P46" s="12">
        <v>0.26269866715840856</v>
      </c>
      <c r="Q46" s="12">
        <v>0.30384187344168168</v>
      </c>
      <c r="R46" s="12">
        <v>0.27788491808725824</v>
      </c>
      <c r="S46" s="12">
        <v>0.27581360143806016</v>
      </c>
      <c r="T46" s="12">
        <v>0.29598633209802849</v>
      </c>
    </row>
    <row r="47" spans="2:20" x14ac:dyDescent="0.25">
      <c r="B47" s="39" t="s">
        <v>18</v>
      </c>
      <c r="C47" s="12">
        <v>0</v>
      </c>
      <c r="D47" s="12">
        <v>0</v>
      </c>
      <c r="E47" s="12">
        <v>0</v>
      </c>
      <c r="F47" s="12">
        <v>0</v>
      </c>
      <c r="G47" s="12">
        <v>0</v>
      </c>
      <c r="H47" s="12">
        <v>0</v>
      </c>
      <c r="I47" s="40">
        <v>2.3394883143095051E-2</v>
      </c>
      <c r="J47" s="12">
        <v>2.8750128568695441E-2</v>
      </c>
      <c r="K47" s="12">
        <v>1.9278486711027377E-2</v>
      </c>
      <c r="L47" s="12">
        <v>2.1592008009798352E-2</v>
      </c>
      <c r="M47" s="12">
        <v>1.9781860943503315E-2</v>
      </c>
      <c r="N47" s="12">
        <v>2.3405770845734176E-2</v>
      </c>
      <c r="O47" s="12">
        <v>2.2796193817771E-2</v>
      </c>
      <c r="P47" s="12">
        <v>1.3011779140789896E-2</v>
      </c>
      <c r="Q47" s="12">
        <v>1.8299495306776815E-2</v>
      </c>
      <c r="R47" s="12">
        <v>1.400806929058766E-2</v>
      </c>
      <c r="S47" s="12">
        <v>2.1450809150140172E-2</v>
      </c>
      <c r="T47" s="12">
        <v>2.4450193364704942E-2</v>
      </c>
    </row>
    <row r="48" spans="2:20" x14ac:dyDescent="0.25">
      <c r="B48" s="39" t="s">
        <v>9</v>
      </c>
      <c r="C48" s="12">
        <v>1.235742740829409E-2</v>
      </c>
      <c r="D48" s="12">
        <v>1.7408063876796467E-2</v>
      </c>
      <c r="E48" s="12">
        <v>2.4285627358907314E-2</v>
      </c>
      <c r="F48" s="12">
        <v>1.1647500534216858E-2</v>
      </c>
      <c r="G48" s="12">
        <v>1.0919716829310012E-2</v>
      </c>
      <c r="H48" s="12">
        <v>2.4309885134516637E-2</v>
      </c>
      <c r="I48" s="40">
        <v>2.0878058456255091E-2</v>
      </c>
      <c r="J48" s="12">
        <v>1.2007493385260392E-2</v>
      </c>
      <c r="K48" s="12">
        <v>7.4539117134517687E-3</v>
      </c>
      <c r="L48" s="12">
        <v>1.136584956660118E-2</v>
      </c>
      <c r="M48" s="12">
        <v>1.7371341873124752E-2</v>
      </c>
      <c r="N48" s="12">
        <v>1.6748664468844432E-2</v>
      </c>
      <c r="O48" s="12">
        <v>1.7022054407974382E-2</v>
      </c>
      <c r="P48" s="12">
        <v>1.8561928182301339E-2</v>
      </c>
      <c r="Q48" s="12">
        <v>1.2325932384110849E-2</v>
      </c>
      <c r="R48" s="12">
        <v>5.8966216997840956E-3</v>
      </c>
      <c r="S48" s="12">
        <v>1.2363333390937504E-2</v>
      </c>
      <c r="T48" s="12">
        <v>1.1311435814284928E-2</v>
      </c>
    </row>
    <row r="49" spans="2:21" x14ac:dyDescent="0.25">
      <c r="B49" s="39" t="s">
        <v>10</v>
      </c>
      <c r="C49" s="12">
        <v>0.34663020153077229</v>
      </c>
      <c r="D49" s="12">
        <v>0.40448691112016544</v>
      </c>
      <c r="E49" s="12">
        <v>0.38836129472437725</v>
      </c>
      <c r="F49" s="12">
        <v>0.38582311151183146</v>
      </c>
      <c r="G49" s="12">
        <v>0.41215982781083244</v>
      </c>
      <c r="H49" s="12">
        <v>0.37688360958808648</v>
      </c>
      <c r="I49" s="40">
        <v>0.36641224247858861</v>
      </c>
      <c r="J49" s="12">
        <v>0.35453507765831571</v>
      </c>
      <c r="K49" s="12">
        <v>0.37687953153982218</v>
      </c>
      <c r="L49" s="12">
        <v>0.39548562205974386</v>
      </c>
      <c r="M49" s="12">
        <v>0.36842548949747522</v>
      </c>
      <c r="N49" s="12">
        <v>0.36839301587046441</v>
      </c>
      <c r="O49" s="12">
        <v>0.36960384180863931</v>
      </c>
      <c r="P49" s="12">
        <v>0.39312598530428267</v>
      </c>
      <c r="Q49" s="12">
        <v>0.35741886921507598</v>
      </c>
      <c r="R49" s="12">
        <v>0.35522586605821904</v>
      </c>
      <c r="S49" s="12">
        <v>0.32590715715200658</v>
      </c>
      <c r="T49" s="12">
        <v>0.32353266991492291</v>
      </c>
    </row>
    <row r="50" spans="2:21" x14ac:dyDescent="0.25">
      <c r="B50" s="42" t="s">
        <v>45</v>
      </c>
      <c r="C50" s="41" t="s">
        <v>44</v>
      </c>
      <c r="D50" s="41" t="s">
        <v>44</v>
      </c>
      <c r="E50" s="41" t="s">
        <v>44</v>
      </c>
      <c r="F50" s="41" t="s">
        <v>44</v>
      </c>
      <c r="G50" s="41" t="s">
        <v>44</v>
      </c>
      <c r="H50" s="41" t="s">
        <v>44</v>
      </c>
      <c r="I50" s="41" t="s">
        <v>44</v>
      </c>
      <c r="J50" s="41" t="s">
        <v>44</v>
      </c>
      <c r="K50" s="41" t="s">
        <v>44</v>
      </c>
      <c r="L50" s="12">
        <v>3.1658171375449533E-3</v>
      </c>
      <c r="M50" s="12">
        <v>3.801254212337801E-4</v>
      </c>
      <c r="N50" s="12">
        <v>3.5811967389412692E-4</v>
      </c>
      <c r="O50" s="12">
        <v>3.5238084544544798E-4</v>
      </c>
      <c r="P50" s="12">
        <v>4.2794596442371066E-3</v>
      </c>
      <c r="Q50" s="41" t="s">
        <v>44</v>
      </c>
      <c r="R50" s="41" t="s">
        <v>44</v>
      </c>
      <c r="S50" s="41" t="s">
        <v>44</v>
      </c>
      <c r="T50" s="41" t="s">
        <v>44</v>
      </c>
    </row>
    <row r="51" spans="2:21" x14ac:dyDescent="0.25">
      <c r="B51" s="39" t="s">
        <v>11</v>
      </c>
      <c r="C51" s="12">
        <v>6.0467411784274012E-2</v>
      </c>
      <c r="D51" s="12">
        <v>8.9370460163810644E-2</v>
      </c>
      <c r="E51" s="12">
        <v>7.6400172904387095E-2</v>
      </c>
      <c r="F51" s="12">
        <v>6.732343106427173E-2</v>
      </c>
      <c r="G51" s="12">
        <v>6.4279159629495694E-2</v>
      </c>
      <c r="H51" s="12">
        <v>7.4368172589533113E-2</v>
      </c>
      <c r="I51" s="40">
        <v>6.825055550414548E-2</v>
      </c>
      <c r="J51" s="12">
        <v>7.1458728233576352E-2</v>
      </c>
      <c r="K51" s="12">
        <v>6.0394665300623838E-2</v>
      </c>
      <c r="L51" s="12">
        <v>7.2558187618977296E-2</v>
      </c>
      <c r="M51" s="12">
        <v>6.0065135060378159E-2</v>
      </c>
      <c r="N51" s="12">
        <v>6.2317538538613174E-2</v>
      </c>
      <c r="O51" s="12">
        <v>6.2602942065268827E-2</v>
      </c>
      <c r="P51" s="12">
        <v>7.8481895533724436E-2</v>
      </c>
      <c r="Q51" s="12">
        <v>6.5387858190847262E-2</v>
      </c>
      <c r="R51" s="12">
        <v>5.6554608237432642E-2</v>
      </c>
      <c r="S51" s="12">
        <v>0.10067219183505352</v>
      </c>
      <c r="T51" s="12">
        <v>0.10307355677749154</v>
      </c>
    </row>
    <row r="52" spans="2:21" x14ac:dyDescent="0.25">
      <c r="B52" s="39" t="s">
        <v>12</v>
      </c>
      <c r="C52" s="12">
        <v>1.7832651202613274E-3</v>
      </c>
      <c r="D52" s="12">
        <v>1.1788519922310871E-2</v>
      </c>
      <c r="E52" s="12">
        <v>9.2783120730910752E-3</v>
      </c>
      <c r="F52" s="12">
        <v>1.0241124412014357E-2</v>
      </c>
      <c r="G52" s="12">
        <v>7.5665720025051061E-3</v>
      </c>
      <c r="H52" s="12">
        <v>1.1214239348564921E-2</v>
      </c>
      <c r="I52" s="40">
        <v>9.0040905188366101E-3</v>
      </c>
      <c r="J52" s="12">
        <v>8.8277906736957644E-3</v>
      </c>
      <c r="K52" s="12">
        <v>1.1408579814828864E-2</v>
      </c>
      <c r="L52" s="12">
        <v>7.8916562140877913E-3</v>
      </c>
      <c r="M52" s="12">
        <v>5.8023881089374696E-3</v>
      </c>
      <c r="N52" s="12">
        <v>5.5228425822912994E-3</v>
      </c>
      <c r="O52" s="12">
        <v>5.789192773908775E-3</v>
      </c>
      <c r="P52" s="12">
        <v>8.1800413516248498E-3</v>
      </c>
      <c r="Q52" s="12">
        <v>6.2485862131461027E-3</v>
      </c>
      <c r="R52" s="12">
        <v>7.8018679216021406E-3</v>
      </c>
      <c r="S52" s="12">
        <v>8.5088214210925165E-3</v>
      </c>
      <c r="T52" s="12">
        <v>8.7403245414855342E-3</v>
      </c>
    </row>
    <row r="53" spans="2:21" x14ac:dyDescent="0.25">
      <c r="B53" s="39" t="s">
        <v>19</v>
      </c>
      <c r="C53" s="12">
        <v>1.5607659859901892E-2</v>
      </c>
      <c r="D53" s="12">
        <v>1.9131528768260433E-2</v>
      </c>
      <c r="E53" s="12">
        <v>1.5520234633881819E-2</v>
      </c>
      <c r="F53" s="12">
        <v>2.13386085584964E-2</v>
      </c>
      <c r="G53" s="12">
        <v>2.8299495439576744E-2</v>
      </c>
      <c r="H53" s="12">
        <v>3.0776570391821564E-2</v>
      </c>
      <c r="I53" s="40">
        <v>1.9093559705934231E-2</v>
      </c>
      <c r="J53" s="12">
        <v>1.1987692186508149E-2</v>
      </c>
      <c r="K53" s="12">
        <v>1.0035906526627173E-2</v>
      </c>
      <c r="L53" s="12">
        <v>1.940433837409896E-2</v>
      </c>
      <c r="M53" s="12">
        <v>1.0280789890053798E-2</v>
      </c>
      <c r="N53" s="12">
        <v>1.153465978924929E-2</v>
      </c>
      <c r="O53" s="12">
        <v>1.1356504552891732E-2</v>
      </c>
      <c r="P53" s="12">
        <v>2.7051487752228409E-3</v>
      </c>
      <c r="Q53" s="12">
        <v>7.9606857225159502E-3</v>
      </c>
      <c r="R53" s="12">
        <v>8.6481711363447719E-3</v>
      </c>
      <c r="S53" s="12">
        <v>8.4031521946304217E-3</v>
      </c>
      <c r="T53" s="12">
        <v>6.7375585680337869E-3</v>
      </c>
    </row>
    <row r="54" spans="2:21" x14ac:dyDescent="0.25">
      <c r="B54" s="43" t="s">
        <v>46</v>
      </c>
      <c r="C54" s="16">
        <v>8.0724649141224236E-2</v>
      </c>
      <c r="D54" s="16">
        <v>5.2698202727117123E-2</v>
      </c>
      <c r="E54" s="16">
        <v>9.0809892199315886E-2</v>
      </c>
      <c r="F54" s="16">
        <v>9.7686955691033292E-2</v>
      </c>
      <c r="G54" s="16">
        <v>8.2332408344428912E-2</v>
      </c>
      <c r="H54" s="16">
        <v>8.3809608062945365E-2</v>
      </c>
      <c r="I54" s="16">
        <v>1.7154268995915489E-2</v>
      </c>
      <c r="J54" s="16">
        <v>7.5999999999999998E-2</v>
      </c>
      <c r="K54" s="16">
        <v>7.5842984683654649E-2</v>
      </c>
      <c r="L54" s="16">
        <v>3.4000000000000002E-2</v>
      </c>
      <c r="M54" s="16">
        <v>7.0000000000000007E-2</v>
      </c>
      <c r="N54" s="16">
        <v>6.9453113766765745E-2</v>
      </c>
      <c r="O54" s="16">
        <v>6.8480890108722839E-2</v>
      </c>
      <c r="P54" s="16">
        <v>5.2545125332933512E-2</v>
      </c>
      <c r="Q54" s="16">
        <v>2.0939245382406116E-2</v>
      </c>
      <c r="R54" s="16">
        <v>0.04</v>
      </c>
      <c r="S54" s="16">
        <v>4.0236776861613692E-2</v>
      </c>
      <c r="T54" s="16">
        <v>2.3441316907982387E-2</v>
      </c>
    </row>
    <row r="55" spans="2:21" x14ac:dyDescent="0.25">
      <c r="B55" s="44"/>
      <c r="C55" s="44"/>
      <c r="D55" s="44"/>
      <c r="E55" s="44"/>
      <c r="F55" s="44"/>
      <c r="G55" s="44"/>
      <c r="H55" s="44"/>
      <c r="I55" s="45"/>
    </row>
    <row r="56" spans="2:21" x14ac:dyDescent="0.25">
      <c r="B56" s="46" t="s">
        <v>4</v>
      </c>
      <c r="C56" s="47">
        <v>1</v>
      </c>
      <c r="D56" s="47">
        <v>1</v>
      </c>
      <c r="E56" s="47">
        <v>1</v>
      </c>
      <c r="F56" s="47">
        <v>1</v>
      </c>
      <c r="G56" s="47">
        <v>1</v>
      </c>
      <c r="H56" s="47">
        <v>1</v>
      </c>
      <c r="I56" s="47">
        <v>1</v>
      </c>
      <c r="J56" s="47">
        <v>0.997</v>
      </c>
      <c r="K56" s="47">
        <v>0.99999999999999911</v>
      </c>
      <c r="L56" s="47">
        <v>0.99999999999999911</v>
      </c>
      <c r="M56" s="21">
        <f>SUM(M41:M54)</f>
        <v>0.9900775192248068</v>
      </c>
      <c r="N56" s="21">
        <v>0.999</v>
      </c>
      <c r="O56" s="21">
        <v>0.99848890970174065</v>
      </c>
      <c r="P56" s="21">
        <v>1</v>
      </c>
      <c r="Q56" s="21">
        <v>1</v>
      </c>
      <c r="R56" s="21">
        <v>1</v>
      </c>
      <c r="S56" s="21">
        <v>1</v>
      </c>
      <c r="T56" s="21">
        <v>1</v>
      </c>
    </row>
    <row r="57" spans="2:21" x14ac:dyDescent="0.25">
      <c r="B57" s="34" t="s">
        <v>22</v>
      </c>
      <c r="M57" s="10"/>
    </row>
    <row r="58" spans="2:21" x14ac:dyDescent="0.25">
      <c r="B58" s="48" t="s">
        <v>47</v>
      </c>
      <c r="C58" s="48">
        <v>1833</v>
      </c>
      <c r="D58" s="48">
        <v>1718</v>
      </c>
      <c r="E58" s="48">
        <v>1955</v>
      </c>
      <c r="F58" s="48">
        <v>1498</v>
      </c>
      <c r="G58" s="48">
        <v>1685</v>
      </c>
      <c r="H58" s="48">
        <v>1831</v>
      </c>
      <c r="I58" s="48">
        <v>1744</v>
      </c>
      <c r="J58" s="48">
        <v>1758</v>
      </c>
      <c r="K58" s="48">
        <v>1111</v>
      </c>
      <c r="L58" s="48">
        <v>2295</v>
      </c>
      <c r="M58" s="49">
        <v>1961</v>
      </c>
      <c r="N58" s="49">
        <v>2055</v>
      </c>
      <c r="O58" s="49">
        <v>2115</v>
      </c>
      <c r="P58" s="49">
        <v>933</v>
      </c>
      <c r="Q58" s="49">
        <v>1147</v>
      </c>
      <c r="R58" s="50">
        <v>1013</v>
      </c>
      <c r="S58" s="27">
        <v>2842</v>
      </c>
      <c r="T58" s="27">
        <v>3037</v>
      </c>
    </row>
    <row r="59" spans="2:21" x14ac:dyDescent="0.25">
      <c r="B59" s="34" t="s">
        <v>24</v>
      </c>
      <c r="C59" s="35">
        <v>2.3E-2</v>
      </c>
      <c r="D59" s="35">
        <v>2.4E-2</v>
      </c>
      <c r="E59" s="35">
        <v>2.1999999999999999E-2</v>
      </c>
      <c r="F59" s="35">
        <v>2.5000000000000001E-2</v>
      </c>
      <c r="G59" s="35">
        <v>2.3873612628275271E-2</v>
      </c>
      <c r="H59" s="35">
        <v>2.2902027045737159E-2</v>
      </c>
      <c r="I59" s="35">
        <v>2.3466312780990577E-2</v>
      </c>
      <c r="J59" s="51">
        <v>2.3E-2</v>
      </c>
      <c r="K59" s="51">
        <v>2.9400929851346375E-2</v>
      </c>
      <c r="L59" s="51">
        <v>0.02</v>
      </c>
      <c r="M59" s="35">
        <v>2.1999999999999999E-2</v>
      </c>
      <c r="N59" s="35">
        <v>2.1999999999999999E-2</v>
      </c>
      <c r="O59" s="35">
        <v>2.1000000000000001E-2</v>
      </c>
      <c r="P59" s="35">
        <v>3.2000000000000001E-2</v>
      </c>
      <c r="Q59" s="35">
        <v>2.9000000000000001E-2</v>
      </c>
      <c r="R59" s="35">
        <v>3.1E-2</v>
      </c>
      <c r="S59" s="31">
        <v>1.8382562810248779E-2</v>
      </c>
      <c r="T59" s="31">
        <v>1.7782618007065942E-2</v>
      </c>
      <c r="U59" s="52" t="s">
        <v>48</v>
      </c>
    </row>
    <row r="60" spans="2:21" x14ac:dyDescent="0.25">
      <c r="C60" s="10"/>
      <c r="D60" s="10"/>
    </row>
    <row r="61" spans="2:21" x14ac:dyDescent="0.25">
      <c r="J61" s="10"/>
    </row>
    <row r="62" spans="2:21" x14ac:dyDescent="0.25">
      <c r="C62" s="10"/>
      <c r="D62" s="10"/>
      <c r="J62" s="10"/>
    </row>
    <row r="64" spans="2:21" ht="15.75" thickBot="1" x14ac:dyDescent="0.3"/>
    <row r="65" spans="2:11" x14ac:dyDescent="0.25">
      <c r="D65" s="120" t="s">
        <v>49</v>
      </c>
      <c r="E65" s="121"/>
      <c r="F65" s="120" t="s">
        <v>50</v>
      </c>
      <c r="G65" s="121"/>
      <c r="H65" s="120" t="s">
        <v>51</v>
      </c>
      <c r="I65" s="121"/>
      <c r="J65" s="120" t="s">
        <v>52</v>
      </c>
      <c r="K65" s="121"/>
    </row>
    <row r="66" spans="2:11" ht="67.5" x14ac:dyDescent="0.25">
      <c r="B66" s="53" t="s">
        <v>43</v>
      </c>
      <c r="C66" s="54" t="s">
        <v>53</v>
      </c>
      <c r="D66" s="55" t="s">
        <v>54</v>
      </c>
      <c r="E66" s="56" t="s">
        <v>55</v>
      </c>
      <c r="F66" s="57" t="s">
        <v>54</v>
      </c>
      <c r="G66" s="58" t="s">
        <v>55</v>
      </c>
      <c r="H66" s="55" t="s">
        <v>54</v>
      </c>
      <c r="I66" s="56" t="s">
        <v>55</v>
      </c>
      <c r="J66" s="57" t="s">
        <v>54</v>
      </c>
      <c r="K66" s="58" t="s">
        <v>55</v>
      </c>
    </row>
    <row r="67" spans="2:11" x14ac:dyDescent="0.25">
      <c r="B67" s="3"/>
      <c r="C67" s="7"/>
      <c r="D67" s="59"/>
      <c r="E67" s="60"/>
      <c r="F67" s="61"/>
      <c r="G67" s="62"/>
      <c r="H67" s="59"/>
      <c r="I67" s="60"/>
      <c r="J67" s="61"/>
      <c r="K67" s="62"/>
    </row>
    <row r="68" spans="2:11" x14ac:dyDescent="0.25">
      <c r="B68" s="39" t="s">
        <v>5</v>
      </c>
      <c r="C68" s="63">
        <f>T42/SUM($T$42:$T$53)</f>
        <v>2.5682997390223752E-2</v>
      </c>
      <c r="D68" s="64">
        <v>3</v>
      </c>
      <c r="E68" s="65" t="s">
        <v>56</v>
      </c>
      <c r="F68" s="66">
        <v>0</v>
      </c>
      <c r="G68" s="67" t="s">
        <v>57</v>
      </c>
      <c r="H68" s="64">
        <v>0</v>
      </c>
      <c r="I68" s="65" t="s">
        <v>57</v>
      </c>
      <c r="J68" s="66">
        <v>3</v>
      </c>
      <c r="K68" s="67" t="s">
        <v>56</v>
      </c>
    </row>
    <row r="69" spans="2:11" x14ac:dyDescent="0.25">
      <c r="B69" s="39" t="s">
        <v>17</v>
      </c>
      <c r="C69" s="63">
        <f>T43/SUM($T$42:$T$53)</f>
        <v>5.2391300681645082E-2</v>
      </c>
      <c r="D69" s="64">
        <v>6</v>
      </c>
      <c r="E69" s="65"/>
      <c r="F69" s="66">
        <v>7</v>
      </c>
      <c r="G69" s="67"/>
      <c r="H69" s="64">
        <v>7</v>
      </c>
      <c r="I69" s="65" t="s">
        <v>56</v>
      </c>
      <c r="J69" s="66">
        <v>6</v>
      </c>
      <c r="K69" s="67" t="s">
        <v>56</v>
      </c>
    </row>
    <row r="70" spans="2:11" x14ac:dyDescent="0.25">
      <c r="B70" s="39" t="s">
        <v>6</v>
      </c>
      <c r="C70" s="63">
        <f>T44/SUM($T$42:$T$53)</f>
        <v>0.12776423121237704</v>
      </c>
      <c r="D70" s="64">
        <v>16</v>
      </c>
      <c r="E70" s="65"/>
      <c r="F70" s="66">
        <v>16</v>
      </c>
      <c r="G70" s="67"/>
      <c r="H70" s="64">
        <v>16</v>
      </c>
      <c r="I70" s="65"/>
      <c r="J70" s="66">
        <v>16</v>
      </c>
      <c r="K70" s="67"/>
    </row>
    <row r="71" spans="2:11" x14ac:dyDescent="0.25">
      <c r="B71" s="39" t="s">
        <v>7</v>
      </c>
      <c r="C71" s="63">
        <v>0</v>
      </c>
      <c r="D71" s="64"/>
      <c r="E71" s="65"/>
      <c r="F71" s="66"/>
      <c r="G71" s="67"/>
      <c r="H71" s="64"/>
      <c r="I71" s="65"/>
      <c r="J71" s="66"/>
      <c r="K71" s="67"/>
    </row>
    <row r="72" spans="2:11" x14ac:dyDescent="0.25">
      <c r="B72" s="39" t="s">
        <v>8</v>
      </c>
      <c r="C72" s="63">
        <f>T46/SUM($T$42:$T$53)</f>
        <v>0.30376221094453609</v>
      </c>
      <c r="D72" s="64">
        <v>37</v>
      </c>
      <c r="E72" s="65"/>
      <c r="F72" s="66">
        <v>38</v>
      </c>
      <c r="G72" s="67"/>
      <c r="H72" s="64">
        <v>38</v>
      </c>
      <c r="I72" s="65"/>
      <c r="J72" s="66">
        <v>37</v>
      </c>
      <c r="K72" s="67"/>
    </row>
    <row r="73" spans="2:11" x14ac:dyDescent="0.25">
      <c r="B73" s="39" t="s">
        <v>18</v>
      </c>
      <c r="C73" s="63">
        <f>T47/SUM($T$42:$T$53)</f>
        <v>2.5092526204974954E-2</v>
      </c>
      <c r="D73" s="64">
        <v>3</v>
      </c>
      <c r="E73" s="65" t="s">
        <v>56</v>
      </c>
      <c r="F73" s="66">
        <v>3</v>
      </c>
      <c r="G73" s="67" t="s">
        <v>56</v>
      </c>
      <c r="H73" s="64">
        <v>3</v>
      </c>
      <c r="I73" s="65" t="s">
        <v>56</v>
      </c>
      <c r="J73" s="66">
        <v>3</v>
      </c>
      <c r="K73" s="67" t="s">
        <v>56</v>
      </c>
    </row>
    <row r="74" spans="2:11" x14ac:dyDescent="0.25">
      <c r="B74" s="39" t="s">
        <v>9</v>
      </c>
      <c r="C74" s="63">
        <f>T48/SUM($T$42:$T$53)</f>
        <v>1.1608599382103985E-2</v>
      </c>
      <c r="D74" s="64">
        <v>4</v>
      </c>
      <c r="E74" s="65" t="s">
        <v>58</v>
      </c>
      <c r="F74" s="66">
        <v>4</v>
      </c>
      <c r="G74" s="67" t="s">
        <v>58</v>
      </c>
      <c r="H74" s="64">
        <v>4</v>
      </c>
      <c r="I74" s="65" t="s">
        <v>58</v>
      </c>
      <c r="J74" s="66">
        <v>4</v>
      </c>
      <c r="K74" s="67" t="s">
        <v>58</v>
      </c>
    </row>
    <row r="75" spans="2:11" x14ac:dyDescent="0.25">
      <c r="B75" s="39" t="s">
        <v>10</v>
      </c>
      <c r="C75" s="63">
        <f>T49/SUM($T$42:$T$53)</f>
        <v>0.33203222064185434</v>
      </c>
      <c r="D75" s="64">
        <v>40</v>
      </c>
      <c r="E75" s="65"/>
      <c r="F75" s="66">
        <v>41</v>
      </c>
      <c r="G75" s="67"/>
      <c r="H75" s="64">
        <v>41</v>
      </c>
      <c r="I75" s="65"/>
      <c r="J75" s="66">
        <v>40</v>
      </c>
      <c r="K75" s="67"/>
    </row>
    <row r="76" spans="2:11" x14ac:dyDescent="0.25">
      <c r="B76" s="39" t="s">
        <v>11</v>
      </c>
      <c r="C76" s="63">
        <f>T51/SUM($T$42:$T$53)</f>
        <v>0.10578140981955346</v>
      </c>
      <c r="D76" s="64">
        <v>13</v>
      </c>
      <c r="E76" s="65"/>
      <c r="F76" s="66">
        <v>13</v>
      </c>
      <c r="G76" s="67"/>
      <c r="H76" s="64">
        <v>13</v>
      </c>
      <c r="I76" s="65"/>
      <c r="J76" s="66">
        <v>13</v>
      </c>
      <c r="K76" s="67"/>
    </row>
    <row r="77" spans="2:11" x14ac:dyDescent="0.25">
      <c r="B77" s="39" t="s">
        <v>12</v>
      </c>
      <c r="C77" s="63">
        <f>T52/SUM($T$42:$T$53)</f>
        <v>8.9699422546819646E-3</v>
      </c>
      <c r="D77" s="64">
        <v>1</v>
      </c>
      <c r="E77" s="65" t="s">
        <v>56</v>
      </c>
      <c r="F77" s="66">
        <v>1</v>
      </c>
      <c r="G77" s="67" t="s">
        <v>56</v>
      </c>
      <c r="H77" s="64">
        <v>1</v>
      </c>
      <c r="I77" s="65" t="s">
        <v>56</v>
      </c>
      <c r="J77" s="66">
        <v>1</v>
      </c>
      <c r="K77" s="67" t="s">
        <v>56</v>
      </c>
    </row>
    <row r="78" spans="2:11" x14ac:dyDescent="0.25">
      <c r="B78" s="39" t="s">
        <v>19</v>
      </c>
      <c r="C78" s="63">
        <f>T53/SUM($T$42:$T$53)</f>
        <v>6.9145614680492127E-3</v>
      </c>
      <c r="D78" s="64">
        <v>0</v>
      </c>
      <c r="E78" s="65"/>
      <c r="F78" s="66"/>
      <c r="G78" s="67"/>
      <c r="H78" s="64"/>
      <c r="I78" s="65"/>
      <c r="J78" s="66"/>
      <c r="K78" s="67"/>
    </row>
    <row r="79" spans="2:11" ht="15.75" thickBot="1" x14ac:dyDescent="0.3">
      <c r="B79" s="68"/>
      <c r="C79" s="15"/>
      <c r="D79" s="69"/>
      <c r="E79" s="70"/>
      <c r="F79" s="71"/>
      <c r="G79" s="72"/>
      <c r="H79" s="69"/>
      <c r="I79" s="70"/>
      <c r="J79" s="71"/>
      <c r="K79" s="72"/>
    </row>
    <row r="80" spans="2:11" x14ac:dyDescent="0.25">
      <c r="D80" s="73"/>
      <c r="E80" s="73"/>
      <c r="H80" s="73"/>
      <c r="I80" s="73"/>
    </row>
    <row r="81" spans="2:10" x14ac:dyDescent="0.25">
      <c r="B81" s="74" t="s">
        <v>59</v>
      </c>
      <c r="C81" s="75"/>
      <c r="D81" s="76">
        <f>SUM(D68:D80)</f>
        <v>123</v>
      </c>
      <c r="E81" s="73"/>
      <c r="F81" s="77">
        <f>SUM(F68:F80)</f>
        <v>123</v>
      </c>
      <c r="H81" s="76">
        <f>SUM(H68:H80)</f>
        <v>123</v>
      </c>
      <c r="I81" s="73"/>
      <c r="J81" s="77">
        <f>SUM(J68:J80)</f>
        <v>123</v>
      </c>
    </row>
  </sheetData>
  <mergeCells count="25">
    <mergeCell ref="S39:S40"/>
    <mergeCell ref="T39:T40"/>
    <mergeCell ref="P39:P40"/>
    <mergeCell ref="Q39:Q40"/>
    <mergeCell ref="R39:R40"/>
    <mergeCell ref="D65:E65"/>
    <mergeCell ref="F65:G65"/>
    <mergeCell ref="H65:I65"/>
    <mergeCell ref="J65:K65"/>
    <mergeCell ref="J39:J40"/>
    <mergeCell ref="K39:K40"/>
    <mergeCell ref="L39:L40"/>
    <mergeCell ref="M39:M40"/>
    <mergeCell ref="N39:N40"/>
    <mergeCell ref="O39:O40"/>
    <mergeCell ref="C9:O9"/>
    <mergeCell ref="B30:M32"/>
    <mergeCell ref="B34:F34"/>
    <mergeCell ref="C39:C40"/>
    <mergeCell ref="D39:D40"/>
    <mergeCell ref="E39:E40"/>
    <mergeCell ref="F39:F40"/>
    <mergeCell ref="G39:G40"/>
    <mergeCell ref="H39:H40"/>
    <mergeCell ref="I39:I40"/>
  </mergeCells>
  <pageMargins left="0.7" right="0.7" top="0.75" bottom="0.75" header="0.3" footer="0.3"/>
  <pageSetup paperSize="9" scale="57" fitToHeight="0" orientation="landscape" horizontalDpi="0" verticalDpi="0" r:id="rId1"/>
  <rowBreaks count="2" manualBreakCount="2">
    <brk id="32" max="16383" man="1"/>
    <brk id="6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Definite Voters</vt:lpstr>
      <vt:lpstr>Potential Voters</vt:lpstr>
      <vt:lpstr>Sheet1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McInman</dc:creator>
  <cp:lastModifiedBy>GC</cp:lastModifiedBy>
  <cp:lastPrinted>2011-11-23T20:13:19Z</cp:lastPrinted>
  <dcterms:created xsi:type="dcterms:W3CDTF">2011-11-23T07:22:52Z</dcterms:created>
  <dcterms:modified xsi:type="dcterms:W3CDTF">2011-11-23T20:46:24Z</dcterms:modified>
</cp:coreProperties>
</file>