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45" windowWidth="12930" windowHeight="10035"/>
  </bookViews>
  <sheets>
    <sheet name="Instructions" sheetId="7" r:id="rId1"/>
    <sheet name="Materials" sheetId="1" r:id="rId2"/>
    <sheet name="Adrenals &amp; Stims" sheetId="3" r:id="rId3"/>
    <sheet name="Implants by stat" sheetId="8" r:id="rId4"/>
    <sheet name="Implants by bonus" sheetId="4" r:id="rId5"/>
  </sheets>
  <calcPr calcId="125725"/>
</workbook>
</file>

<file path=xl/calcChain.xml><?xml version="1.0" encoding="utf-8"?>
<calcChain xmlns="http://schemas.openxmlformats.org/spreadsheetml/2006/main">
  <c r="S24" i="8"/>
  <c r="T24" s="1"/>
  <c r="S23"/>
  <c r="S22"/>
  <c r="T22" s="1"/>
  <c r="S21"/>
  <c r="T21" s="1"/>
  <c r="S20"/>
  <c r="T20" s="1"/>
  <c r="U20" s="1"/>
  <c r="S19"/>
  <c r="T19" s="1"/>
  <c r="S18"/>
  <c r="T18" s="1"/>
  <c r="U18" s="1"/>
  <c r="S17"/>
  <c r="T17" s="1"/>
  <c r="U17" s="1"/>
  <c r="S16"/>
  <c r="T16" s="1"/>
  <c r="S15"/>
  <c r="T15" s="1"/>
  <c r="U15" s="1"/>
  <c r="S14"/>
  <c r="S13"/>
  <c r="T13" s="1"/>
  <c r="S12"/>
  <c r="T12" s="1"/>
  <c r="U12" s="1"/>
  <c r="S11"/>
  <c r="T11" s="1"/>
  <c r="U11" s="1"/>
  <c r="S10"/>
  <c r="T10" s="1"/>
  <c r="U10" s="1"/>
  <c r="S9"/>
  <c r="T9" s="1"/>
  <c r="U9" s="1"/>
  <c r="S8"/>
  <c r="T8" s="1"/>
  <c r="S7"/>
  <c r="T7" s="1"/>
  <c r="U7" s="1"/>
  <c r="T14"/>
  <c r="T49"/>
  <c r="S49"/>
  <c r="S48"/>
  <c r="T48" s="1"/>
  <c r="U48" s="1"/>
  <c r="S47"/>
  <c r="T47" s="1"/>
  <c r="S46"/>
  <c r="T46" s="1"/>
  <c r="S45"/>
  <c r="T45" s="1"/>
  <c r="U45" s="1"/>
  <c r="S44"/>
  <c r="T44" s="1"/>
  <c r="U44" s="1"/>
  <c r="S43"/>
  <c r="T43" s="1"/>
  <c r="U43" s="1"/>
  <c r="S42"/>
  <c r="T42" s="1"/>
  <c r="S41"/>
  <c r="T41" s="1"/>
  <c r="S40"/>
  <c r="T40" s="1"/>
  <c r="U40" s="1"/>
  <c r="S39"/>
  <c r="T39" s="1"/>
  <c r="S38"/>
  <c r="T38" s="1"/>
  <c r="S37"/>
  <c r="T37" s="1"/>
  <c r="U37" s="1"/>
  <c r="S36"/>
  <c r="T36" s="1"/>
  <c r="U36" s="1"/>
  <c r="S35"/>
  <c r="T35" s="1"/>
  <c r="U35" s="1"/>
  <c r="S34"/>
  <c r="T34" s="1"/>
  <c r="S33"/>
  <c r="T33" s="1"/>
  <c r="T32"/>
  <c r="U32" s="1"/>
  <c r="S32"/>
  <c r="L74"/>
  <c r="L73"/>
  <c r="M73" s="1"/>
  <c r="L72"/>
  <c r="M72" s="1"/>
  <c r="L71"/>
  <c r="M71" s="1"/>
  <c r="L70"/>
  <c r="M70" s="1"/>
  <c r="N70" s="1"/>
  <c r="L69"/>
  <c r="L68"/>
  <c r="M68" s="1"/>
  <c r="L67"/>
  <c r="M67" s="1"/>
  <c r="N66"/>
  <c r="M66"/>
  <c r="L66"/>
  <c r="L65"/>
  <c r="M65" s="1"/>
  <c r="L64"/>
  <c r="M64" s="1"/>
  <c r="L63"/>
  <c r="M63" s="1"/>
  <c r="L62"/>
  <c r="M62" s="1"/>
  <c r="N62" s="1"/>
  <c r="L61"/>
  <c r="M61" s="1"/>
  <c r="L60"/>
  <c r="L59"/>
  <c r="M59" s="1"/>
  <c r="L58"/>
  <c r="M58" s="1"/>
  <c r="N58" s="1"/>
  <c r="L57"/>
  <c r="L49"/>
  <c r="M49" s="1"/>
  <c r="N49" s="1"/>
  <c r="L48"/>
  <c r="M48" s="1"/>
  <c r="N48" s="1"/>
  <c r="L47"/>
  <c r="M47" s="1"/>
  <c r="L46"/>
  <c r="M46" s="1"/>
  <c r="L45"/>
  <c r="M45" s="1"/>
  <c r="N45" s="1"/>
  <c r="L44"/>
  <c r="M44" s="1"/>
  <c r="L43"/>
  <c r="M43" s="1"/>
  <c r="N43" s="1"/>
  <c r="L42"/>
  <c r="M42" s="1"/>
  <c r="L41"/>
  <c r="M41" s="1"/>
  <c r="N41" s="1"/>
  <c r="M40"/>
  <c r="L40"/>
  <c r="L39"/>
  <c r="M39" s="1"/>
  <c r="M38"/>
  <c r="L38"/>
  <c r="L37"/>
  <c r="M37" s="1"/>
  <c r="N37" s="1"/>
  <c r="L36"/>
  <c r="M36" s="1"/>
  <c r="L35"/>
  <c r="M35" s="1"/>
  <c r="N35" s="1"/>
  <c r="L34"/>
  <c r="M34" s="1"/>
  <c r="L33"/>
  <c r="M33" s="1"/>
  <c r="N33" s="1"/>
  <c r="L32"/>
  <c r="M32" s="1"/>
  <c r="L24"/>
  <c r="M24" s="1"/>
  <c r="L23"/>
  <c r="M23" s="1"/>
  <c r="L22"/>
  <c r="M22" s="1"/>
  <c r="L21"/>
  <c r="M21" s="1"/>
  <c r="L20"/>
  <c r="M20" s="1"/>
  <c r="N20" s="1"/>
  <c r="L19"/>
  <c r="M19" s="1"/>
  <c r="L18"/>
  <c r="L17"/>
  <c r="M17" s="1"/>
  <c r="L16"/>
  <c r="M16" s="1"/>
  <c r="N16" s="1"/>
  <c r="L15"/>
  <c r="M15" s="1"/>
  <c r="L14"/>
  <c r="M14" s="1"/>
  <c r="L13"/>
  <c r="M13" s="1"/>
  <c r="L12"/>
  <c r="L11"/>
  <c r="L10"/>
  <c r="L9"/>
  <c r="L8"/>
  <c r="M8" s="1"/>
  <c r="L7"/>
  <c r="M7" s="1"/>
  <c r="M99"/>
  <c r="L99"/>
  <c r="L98"/>
  <c r="M98" s="1"/>
  <c r="M97"/>
  <c r="N97" s="1"/>
  <c r="L97"/>
  <c r="L96"/>
  <c r="M96" s="1"/>
  <c r="L95"/>
  <c r="M95" s="1"/>
  <c r="N94"/>
  <c r="M94"/>
  <c r="L94"/>
  <c r="M93"/>
  <c r="N93" s="1"/>
  <c r="L93"/>
  <c r="L92"/>
  <c r="M92" s="1"/>
  <c r="L91"/>
  <c r="M91" s="1"/>
  <c r="L90"/>
  <c r="M90" s="1"/>
  <c r="N90" s="1"/>
  <c r="L89"/>
  <c r="M89" s="1"/>
  <c r="N89" s="1"/>
  <c r="L88"/>
  <c r="M88" s="1"/>
  <c r="N88" s="1"/>
  <c r="L87"/>
  <c r="M87" s="1"/>
  <c r="N87" s="1"/>
  <c r="L86"/>
  <c r="M86" s="1"/>
  <c r="L85"/>
  <c r="M85" s="1"/>
  <c r="N85" s="1"/>
  <c r="L84"/>
  <c r="L83"/>
  <c r="M83" s="1"/>
  <c r="L82"/>
  <c r="M82" s="1"/>
  <c r="E74"/>
  <c r="F74" s="1"/>
  <c r="G74" s="1"/>
  <c r="E73"/>
  <c r="F73" s="1"/>
  <c r="G73" s="1"/>
  <c r="E72"/>
  <c r="F72" s="1"/>
  <c r="E71"/>
  <c r="F71" s="1"/>
  <c r="E70"/>
  <c r="F70" s="1"/>
  <c r="F69"/>
  <c r="E69"/>
  <c r="E68"/>
  <c r="F68" s="1"/>
  <c r="G68" s="1"/>
  <c r="E67"/>
  <c r="F66"/>
  <c r="G66" s="1"/>
  <c r="E66"/>
  <c r="E65"/>
  <c r="F65" s="1"/>
  <c r="G65" s="1"/>
  <c r="E64"/>
  <c r="F64" s="1"/>
  <c r="E63"/>
  <c r="F63" s="1"/>
  <c r="F62"/>
  <c r="E62"/>
  <c r="F61"/>
  <c r="E61"/>
  <c r="E60"/>
  <c r="F60" s="1"/>
  <c r="E59"/>
  <c r="F59" s="1"/>
  <c r="G59" s="1"/>
  <c r="E58"/>
  <c r="F58" s="1"/>
  <c r="E57"/>
  <c r="F57" s="1"/>
  <c r="G57" s="1"/>
  <c r="E49"/>
  <c r="F49" s="1"/>
  <c r="E48"/>
  <c r="F48" s="1"/>
  <c r="E47"/>
  <c r="F47" s="1"/>
  <c r="E46"/>
  <c r="F46" s="1"/>
  <c r="E45"/>
  <c r="F45" s="1"/>
  <c r="E44"/>
  <c r="F44" s="1"/>
  <c r="G44" s="1"/>
  <c r="E43"/>
  <c r="F43" s="1"/>
  <c r="G43" s="1"/>
  <c r="E42"/>
  <c r="F42" s="1"/>
  <c r="G42" s="1"/>
  <c r="E41"/>
  <c r="F41" s="1"/>
  <c r="E40"/>
  <c r="E39"/>
  <c r="F39" s="1"/>
  <c r="E38"/>
  <c r="F38" s="1"/>
  <c r="E37"/>
  <c r="F37" s="1"/>
  <c r="E36"/>
  <c r="F36" s="1"/>
  <c r="G36" s="1"/>
  <c r="E35"/>
  <c r="F35" s="1"/>
  <c r="E34"/>
  <c r="F34" s="1"/>
  <c r="G34" s="1"/>
  <c r="E33"/>
  <c r="F33" s="1"/>
  <c r="E32"/>
  <c r="F32" s="1"/>
  <c r="F99"/>
  <c r="E99"/>
  <c r="E98"/>
  <c r="F98" s="1"/>
  <c r="E97"/>
  <c r="F97" s="1"/>
  <c r="E96"/>
  <c r="F96" s="1"/>
  <c r="G96" s="1"/>
  <c r="E95"/>
  <c r="F95" s="1"/>
  <c r="G95" s="1"/>
  <c r="E94"/>
  <c r="F94" s="1"/>
  <c r="G94" s="1"/>
  <c r="E93"/>
  <c r="F93" s="1"/>
  <c r="E92"/>
  <c r="E91"/>
  <c r="F91" s="1"/>
  <c r="E90"/>
  <c r="F90" s="1"/>
  <c r="E89"/>
  <c r="F89" s="1"/>
  <c r="E88"/>
  <c r="F88" s="1"/>
  <c r="E87"/>
  <c r="F87" s="1"/>
  <c r="E86"/>
  <c r="F86" s="1"/>
  <c r="G86" s="1"/>
  <c r="E85"/>
  <c r="F85" s="1"/>
  <c r="E84"/>
  <c r="F84" s="1"/>
  <c r="F83"/>
  <c r="E83"/>
  <c r="E82"/>
  <c r="F82" s="1"/>
  <c r="E24"/>
  <c r="F24" s="1"/>
  <c r="E23"/>
  <c r="F23" s="1"/>
  <c r="G23" s="1"/>
  <c r="E22"/>
  <c r="F22" s="1"/>
  <c r="E21"/>
  <c r="F21" s="1"/>
  <c r="G21" s="1"/>
  <c r="E20"/>
  <c r="F20" s="1"/>
  <c r="E19"/>
  <c r="E18"/>
  <c r="F18" s="1"/>
  <c r="E17"/>
  <c r="F17" s="1"/>
  <c r="E16"/>
  <c r="F16" s="1"/>
  <c r="E15"/>
  <c r="F15" s="1"/>
  <c r="G15" s="1"/>
  <c r="E14"/>
  <c r="F14" s="1"/>
  <c r="E13"/>
  <c r="F13" s="1"/>
  <c r="G13" s="1"/>
  <c r="E12"/>
  <c r="F12" s="1"/>
  <c r="E11"/>
  <c r="F11" s="1"/>
  <c r="E10"/>
  <c r="F10" s="1"/>
  <c r="E9"/>
  <c r="F9" s="1"/>
  <c r="E8"/>
  <c r="F8" s="1"/>
  <c r="E7"/>
  <c r="F7" s="1"/>
  <c r="G7" s="1"/>
  <c r="M18"/>
  <c r="N18" s="1"/>
  <c r="M12"/>
  <c r="N12" s="1"/>
  <c r="M10"/>
  <c r="N10" s="1"/>
  <c r="U45" i="4"/>
  <c r="U44"/>
  <c r="V44" s="1"/>
  <c r="U43"/>
  <c r="V43" s="1"/>
  <c r="U42"/>
  <c r="V42" s="1"/>
  <c r="U41"/>
  <c r="V41" s="1"/>
  <c r="U40"/>
  <c r="V40" s="1"/>
  <c r="U39"/>
  <c r="V39" s="1"/>
  <c r="W39" s="1"/>
  <c r="U38"/>
  <c r="V38" s="1"/>
  <c r="U37"/>
  <c r="V37" s="1"/>
  <c r="W37" s="1"/>
  <c r="U36"/>
  <c r="V36" s="1"/>
  <c r="U35"/>
  <c r="V35" s="1"/>
  <c r="U34"/>
  <c r="V34" s="1"/>
  <c r="U33"/>
  <c r="V33" s="1"/>
  <c r="U32"/>
  <c r="V32" s="1"/>
  <c r="U31"/>
  <c r="V31" s="1"/>
  <c r="U30"/>
  <c r="V30" s="1"/>
  <c r="W30" s="1"/>
  <c r="U29"/>
  <c r="V29" s="1"/>
  <c r="U28"/>
  <c r="V28" s="1"/>
  <c r="U27"/>
  <c r="V27" s="1"/>
  <c r="U26"/>
  <c r="V26" s="1"/>
  <c r="W26" s="1"/>
  <c r="U25"/>
  <c r="V25" s="1"/>
  <c r="U24"/>
  <c r="V24" s="1"/>
  <c r="U23"/>
  <c r="V23" s="1"/>
  <c r="U22"/>
  <c r="V22" s="1"/>
  <c r="W22" s="1"/>
  <c r="U21"/>
  <c r="V21" s="1"/>
  <c r="U20"/>
  <c r="V20" s="1"/>
  <c r="U19"/>
  <c r="V19" s="1"/>
  <c r="U18"/>
  <c r="V18" s="1"/>
  <c r="W18" s="1"/>
  <c r="U17"/>
  <c r="V17" s="1"/>
  <c r="U16"/>
  <c r="V16" s="1"/>
  <c r="U15"/>
  <c r="V15" s="1"/>
  <c r="W15" s="1"/>
  <c r="U14"/>
  <c r="V14" s="1"/>
  <c r="U13"/>
  <c r="V13" s="1"/>
  <c r="U12"/>
  <c r="V12" s="1"/>
  <c r="U11"/>
  <c r="V11" s="1"/>
  <c r="U10"/>
  <c r="V10" s="1"/>
  <c r="U9"/>
  <c r="V9" s="1"/>
  <c r="U8"/>
  <c r="V8" s="1"/>
  <c r="U7"/>
  <c r="V7" s="1"/>
  <c r="U6"/>
  <c r="V6" s="1"/>
  <c r="M55"/>
  <c r="N55" s="1"/>
  <c r="O55" s="1"/>
  <c r="M54"/>
  <c r="N54" s="1"/>
  <c r="M53"/>
  <c r="N53" s="1"/>
  <c r="M52"/>
  <c r="N52" s="1"/>
  <c r="M51"/>
  <c r="N51" s="1"/>
  <c r="O51" s="1"/>
  <c r="M50"/>
  <c r="M49"/>
  <c r="N49" s="1"/>
  <c r="O49" s="1"/>
  <c r="M48"/>
  <c r="N48" s="1"/>
  <c r="M47"/>
  <c r="M46"/>
  <c r="M45"/>
  <c r="N45" s="1"/>
  <c r="M44"/>
  <c r="N44" s="1"/>
  <c r="M43"/>
  <c r="N43" s="1"/>
  <c r="M42"/>
  <c r="N42" s="1"/>
  <c r="M41"/>
  <c r="N41" s="1"/>
  <c r="M40"/>
  <c r="N40" s="1"/>
  <c r="M39"/>
  <c r="N39" s="1"/>
  <c r="O39" s="1"/>
  <c r="M38"/>
  <c r="N38" s="1"/>
  <c r="M37"/>
  <c r="N37" s="1"/>
  <c r="M36"/>
  <c r="N36" s="1"/>
  <c r="O36" s="1"/>
  <c r="M35"/>
  <c r="N35" s="1"/>
  <c r="M34"/>
  <c r="N34" s="1"/>
  <c r="M33"/>
  <c r="N33" s="1"/>
  <c r="O33" s="1"/>
  <c r="M32"/>
  <c r="N32" s="1"/>
  <c r="O32" s="1"/>
  <c r="M31"/>
  <c r="N31" s="1"/>
  <c r="M30"/>
  <c r="N30" s="1"/>
  <c r="M29"/>
  <c r="N29" s="1"/>
  <c r="M28"/>
  <c r="N28" s="1"/>
  <c r="M27"/>
  <c r="N27" s="1"/>
  <c r="M26"/>
  <c r="N26" s="1"/>
  <c r="M25"/>
  <c r="N25" s="1"/>
  <c r="M24"/>
  <c r="N24" s="1"/>
  <c r="O24" s="1"/>
  <c r="M23"/>
  <c r="N23" s="1"/>
  <c r="M22"/>
  <c r="N22" s="1"/>
  <c r="O22" s="1"/>
  <c r="M21"/>
  <c r="N21" s="1"/>
  <c r="M20"/>
  <c r="N20" s="1"/>
  <c r="M19"/>
  <c r="N19" s="1"/>
  <c r="O19" s="1"/>
  <c r="M18"/>
  <c r="M17"/>
  <c r="N17" s="1"/>
  <c r="M16"/>
  <c r="N16" s="1"/>
  <c r="O16" s="1"/>
  <c r="M15"/>
  <c r="N15" s="1"/>
  <c r="O15" s="1"/>
  <c r="M14"/>
  <c r="N14" s="1"/>
  <c r="M13"/>
  <c r="N13" s="1"/>
  <c r="M12"/>
  <c r="N12" s="1"/>
  <c r="M11"/>
  <c r="N11" s="1"/>
  <c r="M10"/>
  <c r="N10" s="1"/>
  <c r="M9"/>
  <c r="N9" s="1"/>
  <c r="O9" s="1"/>
  <c r="M8"/>
  <c r="N8" s="1"/>
  <c r="O8" s="1"/>
  <c r="M7"/>
  <c r="N7" s="1"/>
  <c r="M6"/>
  <c r="N6" s="1"/>
  <c r="O6" s="1"/>
  <c r="E55"/>
  <c r="F55" s="1"/>
  <c r="G55" s="1"/>
  <c r="E54"/>
  <c r="F54" s="1"/>
  <c r="G54" s="1"/>
  <c r="E53"/>
  <c r="F53" s="1"/>
  <c r="E52"/>
  <c r="F52" s="1"/>
  <c r="E51"/>
  <c r="F51" s="1"/>
  <c r="E50"/>
  <c r="F50" s="1"/>
  <c r="E49"/>
  <c r="F49" s="1"/>
  <c r="E48"/>
  <c r="F48" s="1"/>
  <c r="E47"/>
  <c r="F47" s="1"/>
  <c r="E46"/>
  <c r="F46" s="1"/>
  <c r="G46" s="1"/>
  <c r="E45"/>
  <c r="F45" s="1"/>
  <c r="E44"/>
  <c r="F44" s="1"/>
  <c r="G44" s="1"/>
  <c r="E43"/>
  <c r="F43" s="1"/>
  <c r="E42"/>
  <c r="F42" s="1"/>
  <c r="E41"/>
  <c r="F41" s="1"/>
  <c r="E40"/>
  <c r="F40" s="1"/>
  <c r="E39"/>
  <c r="E38"/>
  <c r="E37"/>
  <c r="F37" s="1"/>
  <c r="E36"/>
  <c r="F36" s="1"/>
  <c r="G36" s="1"/>
  <c r="E35"/>
  <c r="F35" s="1"/>
  <c r="E34"/>
  <c r="F34" s="1"/>
  <c r="E33"/>
  <c r="F33" s="1"/>
  <c r="E32"/>
  <c r="F32" s="1"/>
  <c r="E31"/>
  <c r="F31" s="1"/>
  <c r="G31" s="1"/>
  <c r="E30"/>
  <c r="F30" s="1"/>
  <c r="E29"/>
  <c r="F29" s="1"/>
  <c r="E28"/>
  <c r="F28" s="1"/>
  <c r="G28" s="1"/>
  <c r="E27"/>
  <c r="F27" s="1"/>
  <c r="E26"/>
  <c r="F26" s="1"/>
  <c r="E25"/>
  <c r="F25" s="1"/>
  <c r="E24"/>
  <c r="F24" s="1"/>
  <c r="E23"/>
  <c r="F23" s="1"/>
  <c r="E22"/>
  <c r="F22" s="1"/>
  <c r="E21"/>
  <c r="F21" s="1"/>
  <c r="E20"/>
  <c r="F20" s="1"/>
  <c r="E19"/>
  <c r="F19" s="1"/>
  <c r="G19" s="1"/>
  <c r="E18"/>
  <c r="E17"/>
  <c r="F17" s="1"/>
  <c r="E16"/>
  <c r="F16" s="1"/>
  <c r="G16" s="1"/>
  <c r="E14"/>
  <c r="E12"/>
  <c r="F12" s="1"/>
  <c r="E11"/>
  <c r="F11" s="1"/>
  <c r="E9"/>
  <c r="F9" s="1"/>
  <c r="E15"/>
  <c r="F15" s="1"/>
  <c r="E13"/>
  <c r="F13" s="1"/>
  <c r="E10"/>
  <c r="E8"/>
  <c r="F8" s="1"/>
  <c r="E7"/>
  <c r="F7" s="1"/>
  <c r="E6"/>
  <c r="F6" s="1"/>
  <c r="E45" i="3"/>
  <c r="G45" s="1"/>
  <c r="E44"/>
  <c r="F44" s="1"/>
  <c r="E43"/>
  <c r="F43" s="1"/>
  <c r="E42"/>
  <c r="F42" s="1"/>
  <c r="E41"/>
  <c r="G41" s="1"/>
  <c r="E40"/>
  <c r="G40" s="1"/>
  <c r="E39"/>
  <c r="F39" s="1"/>
  <c r="E38"/>
  <c r="G38" s="1"/>
  <c r="E37"/>
  <c r="G37" s="1"/>
  <c r="E36"/>
  <c r="F36" s="1"/>
  <c r="E35"/>
  <c r="F35" s="1"/>
  <c r="E34"/>
  <c r="G34" s="1"/>
  <c r="E33"/>
  <c r="G33" s="1"/>
  <c r="E32"/>
  <c r="G32" s="1"/>
  <c r="E31"/>
  <c r="F31" s="1"/>
  <c r="E30"/>
  <c r="F30" s="1"/>
  <c r="E53"/>
  <c r="G53" s="1"/>
  <c r="E52"/>
  <c r="F52" s="1"/>
  <c r="E51"/>
  <c r="F51" s="1"/>
  <c r="E50"/>
  <c r="F50" s="1"/>
  <c r="E49"/>
  <c r="G49" s="1"/>
  <c r="E48"/>
  <c r="G48" s="1"/>
  <c r="E47"/>
  <c r="F47" s="1"/>
  <c r="E46"/>
  <c r="F46" s="1"/>
  <c r="E57"/>
  <c r="G57" s="1"/>
  <c r="E56"/>
  <c r="F56" s="1"/>
  <c r="E55"/>
  <c r="F55" s="1"/>
  <c r="E54"/>
  <c r="F54" s="1"/>
  <c r="E62"/>
  <c r="G62" s="1"/>
  <c r="E61"/>
  <c r="G61" s="1"/>
  <c r="E60"/>
  <c r="G60" s="1"/>
  <c r="E59"/>
  <c r="G59" s="1"/>
  <c r="E58"/>
  <c r="G58" s="1"/>
  <c r="E29"/>
  <c r="F29" s="1"/>
  <c r="E16"/>
  <c r="E17"/>
  <c r="F17" s="1"/>
  <c r="E18"/>
  <c r="F18" s="1"/>
  <c r="E19"/>
  <c r="F19" s="1"/>
  <c r="E20"/>
  <c r="F20" s="1"/>
  <c r="E21"/>
  <c r="F21" s="1"/>
  <c r="E22"/>
  <c r="F22" s="1"/>
  <c r="E23"/>
  <c r="F23" s="1"/>
  <c r="E24"/>
  <c r="F24" s="1"/>
  <c r="G24" s="1"/>
  <c r="E25"/>
  <c r="F25" s="1"/>
  <c r="E26"/>
  <c r="F26" s="1"/>
  <c r="E27"/>
  <c r="F27" s="1"/>
  <c r="E28"/>
  <c r="F28" s="1"/>
  <c r="N57" i="8" l="1"/>
  <c r="N99"/>
  <c r="N91"/>
  <c r="N96"/>
  <c r="M57"/>
  <c r="M9"/>
  <c r="N9" s="1"/>
  <c r="M84"/>
  <c r="N84" s="1"/>
  <c r="M74"/>
  <c r="N74" s="1"/>
  <c r="N65"/>
  <c r="U49"/>
  <c r="G22"/>
  <c r="N82"/>
  <c r="N92"/>
  <c r="N95"/>
  <c r="N98"/>
  <c r="N32"/>
  <c r="N73"/>
  <c r="U33"/>
  <c r="N40"/>
  <c r="U41"/>
  <c r="G84"/>
  <c r="G32"/>
  <c r="N38"/>
  <c r="U39"/>
  <c r="U47"/>
  <c r="G11"/>
  <c r="G48"/>
  <c r="U21"/>
  <c r="G14"/>
  <c r="G87"/>
  <c r="G35"/>
  <c r="G58"/>
  <c r="N83"/>
  <c r="N86"/>
  <c r="N46"/>
  <c r="N61"/>
  <c r="U38"/>
  <c r="U46"/>
  <c r="U19"/>
  <c r="G92"/>
  <c r="N60"/>
  <c r="N44"/>
  <c r="U8"/>
  <c r="N68"/>
  <c r="T23"/>
  <c r="U23" s="1"/>
  <c r="F19"/>
  <c r="G19" s="1"/>
  <c r="F92"/>
  <c r="F40"/>
  <c r="G40" s="1"/>
  <c r="G63"/>
  <c r="F67"/>
  <c r="G67" s="1"/>
  <c r="N36"/>
  <c r="M60"/>
  <c r="M69"/>
  <c r="N69" s="1"/>
  <c r="U16"/>
  <c r="U24"/>
  <c r="U13"/>
  <c r="U14"/>
  <c r="U22"/>
  <c r="U34"/>
  <c r="U42"/>
  <c r="N63"/>
  <c r="N71"/>
  <c r="N59"/>
  <c r="N67"/>
  <c r="N64"/>
  <c r="N72"/>
  <c r="N34"/>
  <c r="N42"/>
  <c r="N39"/>
  <c r="N47"/>
  <c r="N24"/>
  <c r="N13"/>
  <c r="G10"/>
  <c r="G83"/>
  <c r="G99"/>
  <c r="G47"/>
  <c r="G62"/>
  <c r="G39"/>
  <c r="G17"/>
  <c r="G82"/>
  <c r="G90"/>
  <c r="G98"/>
  <c r="G38"/>
  <c r="G46"/>
  <c r="G61"/>
  <c r="G71"/>
  <c r="N21"/>
  <c r="G18"/>
  <c r="G91"/>
  <c r="N17"/>
  <c r="G8"/>
  <c r="G16"/>
  <c r="G24"/>
  <c r="G89"/>
  <c r="G97"/>
  <c r="G37"/>
  <c r="G45"/>
  <c r="G60"/>
  <c r="G70"/>
  <c r="G69"/>
  <c r="G9"/>
  <c r="G88"/>
  <c r="G12"/>
  <c r="G20"/>
  <c r="G85"/>
  <c r="G93"/>
  <c r="G33"/>
  <c r="G41"/>
  <c r="G49"/>
  <c r="G64"/>
  <c r="G72"/>
  <c r="N7"/>
  <c r="N8"/>
  <c r="N23"/>
  <c r="N19"/>
  <c r="M11"/>
  <c r="N11" s="1"/>
  <c r="N15"/>
  <c r="N14"/>
  <c r="N22"/>
  <c r="F49" i="3"/>
  <c r="F53"/>
  <c r="G46"/>
  <c r="F34"/>
  <c r="G39"/>
  <c r="F45"/>
  <c r="G42"/>
  <c r="F32"/>
  <c r="F38"/>
  <c r="V45" i="4"/>
  <c r="W45" s="1"/>
  <c r="O40"/>
  <c r="N46"/>
  <c r="O46" s="1"/>
  <c r="O30"/>
  <c r="O20"/>
  <c r="O27"/>
  <c r="O48"/>
  <c r="O52"/>
  <c r="W7"/>
  <c r="W29"/>
  <c r="W23"/>
  <c r="O12"/>
  <c r="O7"/>
  <c r="O17"/>
  <c r="O38"/>
  <c r="W6"/>
  <c r="W38"/>
  <c r="O31"/>
  <c r="W34"/>
  <c r="O11"/>
  <c r="O14"/>
  <c r="O23"/>
  <c r="O43"/>
  <c r="W13"/>
  <c r="N47"/>
  <c r="O47" s="1"/>
  <c r="O10"/>
  <c r="W40"/>
  <c r="W9"/>
  <c r="W8"/>
  <c r="O26"/>
  <c r="O42"/>
  <c r="O54"/>
  <c r="W10"/>
  <c r="W14"/>
  <c r="W25"/>
  <c r="W32"/>
  <c r="W42"/>
  <c r="O25"/>
  <c r="O28"/>
  <c r="O35"/>
  <c r="O41"/>
  <c r="O44"/>
  <c r="W21"/>
  <c r="W31"/>
  <c r="W16"/>
  <c r="W41"/>
  <c r="O34"/>
  <c r="W33"/>
  <c r="N18"/>
  <c r="O18" s="1"/>
  <c r="N50"/>
  <c r="O50" s="1"/>
  <c r="W17"/>
  <c r="W24"/>
  <c r="W12"/>
  <c r="W20"/>
  <c r="W28"/>
  <c r="W36"/>
  <c r="W44"/>
  <c r="W11"/>
  <c r="W19"/>
  <c r="W27"/>
  <c r="W35"/>
  <c r="W43"/>
  <c r="O13"/>
  <c r="O21"/>
  <c r="O29"/>
  <c r="O37"/>
  <c r="O45"/>
  <c r="O53"/>
  <c r="F57" i="3"/>
  <c r="F37"/>
  <c r="F41"/>
  <c r="G30"/>
  <c r="F33"/>
  <c r="F40"/>
  <c r="G31"/>
  <c r="G52"/>
  <c r="G36"/>
  <c r="G44"/>
  <c r="F48"/>
  <c r="G47"/>
  <c r="G50"/>
  <c r="G35"/>
  <c r="G43"/>
  <c r="G56"/>
  <c r="G54"/>
  <c r="G51"/>
  <c r="F58"/>
  <c r="G55"/>
  <c r="G29"/>
  <c r="F60"/>
  <c r="F16"/>
  <c r="G16" s="1"/>
  <c r="F39" i="4"/>
  <c r="G39" s="1"/>
  <c r="G48"/>
  <c r="G49"/>
  <c r="G52"/>
  <c r="G51"/>
  <c r="G47"/>
  <c r="F38"/>
  <c r="G38" s="1"/>
  <c r="G50"/>
  <c r="G40"/>
  <c r="G29"/>
  <c r="G41"/>
  <c r="G26"/>
  <c r="G34"/>
  <c r="G53"/>
  <c r="G42"/>
  <c r="G37"/>
  <c r="G45"/>
  <c r="G30"/>
  <c r="G32"/>
  <c r="G43"/>
  <c r="G27"/>
  <c r="G35"/>
  <c r="G17"/>
  <c r="G33"/>
  <c r="G9"/>
  <c r="G25"/>
  <c r="G20"/>
  <c r="F18"/>
  <c r="G18" s="1"/>
  <c r="G22"/>
  <c r="G21"/>
  <c r="F10"/>
  <c r="G10" s="1"/>
  <c r="G24"/>
  <c r="G23"/>
  <c r="G11"/>
  <c r="G13"/>
  <c r="G8"/>
  <c r="F14"/>
  <c r="G14" s="1"/>
  <c r="G12"/>
  <c r="G15"/>
  <c r="G6"/>
  <c r="G7"/>
  <c r="G27" i="3"/>
  <c r="G22"/>
  <c r="G19"/>
  <c r="F59"/>
  <c r="F62"/>
  <c r="F61"/>
  <c r="G21"/>
  <c r="G20"/>
  <c r="G28"/>
  <c r="G25"/>
  <c r="G23"/>
  <c r="G26"/>
  <c r="G18"/>
  <c r="G17"/>
</calcChain>
</file>

<file path=xl/comments1.xml><?xml version="1.0" encoding="utf-8"?>
<comments xmlns="http://schemas.openxmlformats.org/spreadsheetml/2006/main">
  <authors>
    <author>Mads</author>
  </authors>
  <commentList>
    <comment ref="C7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+59 Endurance
+50 Willpower
+29 Accuracy Rating
+29 Critical Rating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+62 Willpower
+50 Endurance
+29 Alacrity Rating
+25 Critical Rating</t>
        </r>
      </text>
    </comment>
    <comment ref="Q7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+72 Endurance
+45 Willpower
+27 Accuracy Rating
+20 Defense Rating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P8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P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P1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P1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P14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P1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P1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P1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P1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P1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I2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P2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I2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P2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P2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C32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+50 Aim
+59 Endurance
+29 Accuracy Rating
+29 Critical Rating</t>
        </r>
      </text>
    </comment>
    <comment ref="J32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+72 Endurance
+45 Aim
+27 Accuracy Rating
+20 Defense Rating</t>
        </r>
      </text>
    </comment>
    <comment ref="Q32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+59 Endurance
+50 Aim
+29 Alacrity Rating
+29 Critical Rating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P33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B3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I3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P3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I3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P3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I3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P3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I3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P3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I3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P3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I39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P39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B4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I4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P4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I4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P4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I4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P4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B4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I4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P4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B4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I4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P4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I45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P45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B4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I4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P4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B4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I4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P4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B4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I4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P4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B4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I4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P4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C57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+62 Cunning
+50 Endurance
+29 Accuracy Rating
+25 Critical Rating</t>
        </r>
      </text>
    </comment>
    <comment ref="J57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+59 Endurance
+50 Cunning
+29 Alacrity Rating
+29 Critical Rating</t>
        </r>
      </text>
    </comment>
    <comment ref="B58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I58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B5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I5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B6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I6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B6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I6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B6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I6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B6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I6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B64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I64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B6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I6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B6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I6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B6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I6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B6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I6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B6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I6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B70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I70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B7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I7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B7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I7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B7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I7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B7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I7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C82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+62 Strength
+50 Endurance
+29 Accuracy Rating
+25 Critical Rating</t>
        </r>
      </text>
    </comment>
    <comment ref="J82" authorId="0">
      <text>
        <r>
          <rPr>
            <b/>
            <sz val="9"/>
            <color indexed="81"/>
            <rFont val="Tahoma"/>
            <family val="2"/>
          </rPr>
          <t>Total Stats:</t>
        </r>
        <r>
          <rPr>
            <sz val="9"/>
            <color indexed="81"/>
            <rFont val="Tahoma"/>
            <family val="2"/>
          </rPr>
          <t xml:space="preserve">
+72 Endurance
+45 Strength
+27 Accuracy Rating
+20 Defense Rating</t>
        </r>
      </text>
    </comment>
    <comment ref="B83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I83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Critical</t>
        </r>
      </text>
    </comment>
    <comment ref="B8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I8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Critical
+40 Accuracy
</t>
        </r>
      </text>
    </comment>
    <comment ref="B8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I85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Alacrity</t>
        </r>
      </text>
    </comment>
    <comment ref="B8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I8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Presence</t>
        </r>
      </text>
    </comment>
    <comment ref="B8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I8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Surge</t>
        </r>
      </text>
    </comment>
    <comment ref="B8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I8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Critical
+40 Shield Rating</t>
        </r>
      </text>
    </comment>
    <comment ref="B89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I89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Power</t>
        </r>
      </text>
    </comment>
    <comment ref="B9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I90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Power
+40 Accuracy
</t>
        </r>
      </text>
    </comment>
    <comment ref="B9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I91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Alacrity</t>
        </r>
      </text>
    </comment>
    <comment ref="B9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I92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Presence</t>
        </r>
      </text>
    </comment>
    <comment ref="B9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I93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+40Power
+40 Surge</t>
        </r>
      </text>
    </comment>
    <comment ref="B9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I94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Power
+40 Shield Rating</t>
        </r>
      </text>
    </comment>
    <comment ref="B95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I95" authorId="0">
      <text>
        <r>
          <rPr>
            <b/>
            <sz val="9"/>
            <color indexed="81"/>
            <rFont val="Tahoma"/>
            <family val="2"/>
          </rPr>
          <t>Added Stat:</t>
        </r>
        <r>
          <rPr>
            <sz val="9"/>
            <color indexed="81"/>
            <rFont val="Tahoma"/>
            <family val="2"/>
          </rPr>
          <t xml:space="preserve">
+35 Defense Rating</t>
        </r>
      </text>
    </comment>
    <comment ref="B9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I96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 xml:space="preserve">+40 Defense Rating
+40 Accuracy
</t>
        </r>
      </text>
    </comment>
    <comment ref="B9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I97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Presence</t>
        </r>
      </text>
    </comment>
    <comment ref="B9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I98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Surge</t>
        </r>
      </text>
    </comment>
    <comment ref="B9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  <comment ref="I99" authorId="0">
      <text>
        <r>
          <rPr>
            <b/>
            <sz val="9"/>
            <color indexed="81"/>
            <rFont val="Tahoma"/>
            <family val="2"/>
          </rPr>
          <t xml:space="preserve">Added Stat:
</t>
        </r>
        <r>
          <rPr>
            <sz val="9"/>
            <color indexed="81"/>
            <rFont val="Tahoma"/>
            <family val="2"/>
          </rPr>
          <t>+40 Defense Rating
+40 Shield Rating</t>
        </r>
      </text>
    </comment>
  </commentList>
</comments>
</file>

<file path=xl/sharedStrings.xml><?xml version="1.0" encoding="utf-8"?>
<sst xmlns="http://schemas.openxmlformats.org/spreadsheetml/2006/main" count="751" uniqueCount="151">
  <si>
    <t>Dielectric Cell Fiber</t>
  </si>
  <si>
    <t>Green Goo</t>
  </si>
  <si>
    <t>Biochemical Bonding Agent</t>
  </si>
  <si>
    <t>Alien Blood Sample</t>
  </si>
  <si>
    <t>Bacterial Strain</t>
  </si>
  <si>
    <t>Toxic Extract</t>
  </si>
  <si>
    <t>Microscopic Symbiote</t>
  </si>
  <si>
    <t>Genetic Anomaly</t>
  </si>
  <si>
    <t>Luminescent Cell Culture</t>
  </si>
  <si>
    <t>Unknown Microorganism</t>
  </si>
  <si>
    <t>Bio-Energy Cell Sample</t>
  </si>
  <si>
    <t>Blue Goo</t>
  </si>
  <si>
    <t>Medicinal Fluid</t>
  </si>
  <si>
    <t>Hallucinogenic Compound</t>
  </si>
  <si>
    <t>Alien Bacteria</t>
  </si>
  <si>
    <t>Inert Virus</t>
  </si>
  <si>
    <t>Nerve-Damaging Chemical</t>
  </si>
  <si>
    <t>Cosmic Trace Particle</t>
  </si>
  <si>
    <t>Parasitic Microorganism</t>
  </si>
  <si>
    <t>Quick-Growth Agent</t>
  </si>
  <si>
    <t>Red Goo</t>
  </si>
  <si>
    <t>Psychoactive Compound</t>
  </si>
  <si>
    <t>Nutrient Gel</t>
  </si>
  <si>
    <t>Mutagenic Paste</t>
  </si>
  <si>
    <t>Neurochemical Extract</t>
  </si>
  <si>
    <t>Immunity Cell Culture</t>
  </si>
  <si>
    <t>Hypo-syringe</t>
  </si>
  <si>
    <t>First Aid Kit</t>
  </si>
  <si>
    <t>Single-Pulse Implant Processor</t>
  </si>
  <si>
    <t>Double-Pulse Implant Processor</t>
  </si>
  <si>
    <t>D-Package Implant Processor</t>
  </si>
  <si>
    <t>Advanced Power Implant Processor</t>
  </si>
  <si>
    <t>Grade 1</t>
  </si>
  <si>
    <t>Grade 2</t>
  </si>
  <si>
    <t>Grade 6</t>
  </si>
  <si>
    <t>Grade 5</t>
  </si>
  <si>
    <t>Grade 4</t>
  </si>
  <si>
    <t>Grade 3</t>
  </si>
  <si>
    <t>Molecular Programmer</t>
  </si>
  <si>
    <t>Mechanical Symbiote</t>
  </si>
  <si>
    <t>Neuro-Stimulator</t>
  </si>
  <si>
    <t>Bioelectric Toxin</t>
  </si>
  <si>
    <t>Synthetic Blood</t>
  </si>
  <si>
    <t>Miracle Fluid</t>
  </si>
  <si>
    <t>Experimental Serum</t>
  </si>
  <si>
    <t>Iridescent Goo</t>
  </si>
  <si>
    <t>Smart Cells</t>
  </si>
  <si>
    <t>Radioactive Paste</t>
  </si>
  <si>
    <t>Value</t>
  </si>
  <si>
    <t>Material</t>
  </si>
  <si>
    <t>Vendor Mats</t>
  </si>
  <si>
    <t>Price</t>
  </si>
  <si>
    <t>Profit</t>
  </si>
  <si>
    <t>ROI</t>
  </si>
  <si>
    <t>Hyper-Battle Absorb Adrenal</t>
  </si>
  <si>
    <t>Hyper-Battle Attack Adrenal</t>
  </si>
  <si>
    <t>Hyper-Battle Critical Adrenal</t>
  </si>
  <si>
    <t>Hyper-Battle Efficacy Adrenal</t>
  </si>
  <si>
    <t>Hyper-Battle Force Adrenal</t>
  </si>
  <si>
    <t>Hyper-Battle Tech Adrenal</t>
  </si>
  <si>
    <t>Hyper-Battle Triage Adrenal</t>
  </si>
  <si>
    <t>Prototype Hyper-Battle Command Stim</t>
  </si>
  <si>
    <t>Prototype Hyper-Battle Fortitude Stim</t>
  </si>
  <si>
    <t>Prototype Hyper-Battle Might Stim</t>
  </si>
  <si>
    <t>Prototype Hyper-Battle Reflex Stim</t>
  </si>
  <si>
    <t>Prototype Hyper-Battle Resolve Stim</t>
  </si>
  <si>
    <t>Prototype Hyper-Battle Skill Stim</t>
  </si>
  <si>
    <t>Stims</t>
  </si>
  <si>
    <t>Adrenals</t>
  </si>
  <si>
    <t>Fervor</t>
  </si>
  <si>
    <t>Supremacy</t>
  </si>
  <si>
    <t>Leadership</t>
  </si>
  <si>
    <t>Tempest</t>
  </si>
  <si>
    <t>Nano-Optic Awareness System</t>
  </si>
  <si>
    <t>Nano-Optic Cardio System</t>
  </si>
  <si>
    <t>Nano-Optic Might Package</t>
  </si>
  <si>
    <t>Nano-Optic Reaction Implant</t>
  </si>
  <si>
    <t>Nano-Optic Reflex Enxhancer</t>
  </si>
  <si>
    <t>Nano-Optic Rejuvenation System</t>
  </si>
  <si>
    <t>Nano-Optic Resistance Implant</t>
  </si>
  <si>
    <t>Nano-Optic Resolve System</t>
  </si>
  <si>
    <t>Nano-Optic Response System</t>
  </si>
  <si>
    <t>Nano-Optic Skill Package</t>
  </si>
  <si>
    <t>Hawkeye</t>
  </si>
  <si>
    <t>Vehemance</t>
  </si>
  <si>
    <t>Commander</t>
  </si>
  <si>
    <t>Expert</t>
  </si>
  <si>
    <t>Rampart</t>
  </si>
  <si>
    <t>Exactitude</t>
  </si>
  <si>
    <t>General</t>
  </si>
  <si>
    <t>Anti-Armor</t>
  </si>
  <si>
    <t>Veracity</t>
  </si>
  <si>
    <t>Custom</t>
  </si>
  <si>
    <t>Critical</t>
  </si>
  <si>
    <t>Overkill</t>
  </si>
  <si>
    <t>Redoubt</t>
  </si>
  <si>
    <t>Version 1</t>
  </si>
  <si>
    <t>Version 1.1</t>
  </si>
  <si>
    <t>Removed Exotect schematics</t>
  </si>
  <si>
    <t>Added more space for custom schematics</t>
  </si>
  <si>
    <t>Added Implants sheet</t>
  </si>
  <si>
    <t>Moved Grade 1 to 4 materials to apear inactive</t>
  </si>
  <si>
    <t>Corrected GTN successful sale cut % in profit calculation</t>
  </si>
  <si>
    <t>Mads Onsberg</t>
  </si>
  <si>
    <t>Email:</t>
  </si>
  <si>
    <t>onsberg@gmail.com</t>
  </si>
  <si>
    <t>Info</t>
  </si>
  <si>
    <t>Instructions</t>
  </si>
  <si>
    <r>
      <t xml:space="preserve">Fill in </t>
    </r>
    <r>
      <rPr>
        <b/>
        <sz val="10"/>
        <color theme="7"/>
        <rFont val="Arial"/>
        <family val="2"/>
      </rPr>
      <t>Purple</t>
    </r>
    <r>
      <rPr>
        <sz val="10"/>
        <rFont val="Arial"/>
        <family val="2"/>
      </rPr>
      <t xml:space="preserve"> fields with market values based off the GTN</t>
    </r>
  </si>
  <si>
    <t>Minor changes to framing layout</t>
  </si>
  <si>
    <t>Author:</t>
  </si>
  <si>
    <t>Version history</t>
  </si>
  <si>
    <t>Added instructions sheet</t>
  </si>
  <si>
    <t>Current version:</t>
  </si>
  <si>
    <t>Released:</t>
  </si>
  <si>
    <t>Released: 11/01/2012</t>
  </si>
  <si>
    <t>Released: 15/01/2012</t>
  </si>
  <si>
    <t>Endowment</t>
  </si>
  <si>
    <t>Prefix</t>
  </si>
  <si>
    <t>Nano-Optic Awareness Motivator</t>
  </si>
  <si>
    <t>Schematic</t>
  </si>
  <si>
    <t>Secondary:</t>
  </si>
  <si>
    <t>Awareness</t>
  </si>
  <si>
    <t>Willpower, Endurance</t>
  </si>
  <si>
    <t>Accuracy, Critical</t>
  </si>
  <si>
    <t>Cardio</t>
  </si>
  <si>
    <t>Cunning, Endurance</t>
  </si>
  <si>
    <t>Alacrity, Critical</t>
  </si>
  <si>
    <t>Strength, Endurance</t>
  </si>
  <si>
    <t>Might</t>
  </si>
  <si>
    <t>Reflex</t>
  </si>
  <si>
    <t>Nano-Optic Reflex Enhancer</t>
  </si>
  <si>
    <t>Skill</t>
  </si>
  <si>
    <t>Endurance, Willpower</t>
  </si>
  <si>
    <t>Endurance, Aim</t>
  </si>
  <si>
    <t>Resolve</t>
  </si>
  <si>
    <t>Endurance, Cunning</t>
  </si>
  <si>
    <t>Response</t>
  </si>
  <si>
    <t>Accuracy, Defense</t>
  </si>
  <si>
    <t>Nano-Optic Response Implant</t>
  </si>
  <si>
    <t>Reaction</t>
  </si>
  <si>
    <t>Endurance, Strength</t>
  </si>
  <si>
    <t>Primary:</t>
  </si>
  <si>
    <t>Rejuvenation</t>
  </si>
  <si>
    <t>Resistance</t>
  </si>
  <si>
    <t>Nano-Optic Resistance System</t>
  </si>
  <si>
    <t>Version 1.2</t>
  </si>
  <si>
    <t>Corrected mislabled fields</t>
  </si>
  <si>
    <t>Added Implants by stat sheet</t>
  </si>
  <si>
    <t>Renamed Impants sheet to Implants by bonus</t>
  </si>
  <si>
    <t>Released: 16/01/2012</t>
  </si>
</sst>
</file>

<file path=xl/styles.xml><?xml version="1.0" encoding="utf-8"?>
<styleSheet xmlns="http://schemas.openxmlformats.org/spreadsheetml/2006/main">
  <numFmts count="1">
    <numFmt numFmtId="44" formatCode="_-&quot;€&quot;* #,##0.00_-;\-&quot;€&quot;* #,##0.00_-;_-&quot;€&quot;* &quot;-&quot;??_-;_-@_-"/>
  </numFmts>
  <fonts count="22">
    <font>
      <sz val="10"/>
      <name val="Arial"/>
    </font>
    <font>
      <sz val="10"/>
      <name val="Arial"/>
    </font>
    <font>
      <sz val="8"/>
      <name val="Arial"/>
    </font>
    <font>
      <sz val="10"/>
      <name val="Verdana"/>
      <family val="2"/>
    </font>
    <font>
      <sz val="10"/>
      <color indexed="17"/>
      <name val="Verdana"/>
      <family val="2"/>
    </font>
    <font>
      <sz val="10"/>
      <color indexed="48"/>
      <name val="Verdana"/>
      <family val="2"/>
    </font>
    <font>
      <sz val="10"/>
      <color indexed="61"/>
      <name val="Verdana"/>
      <family val="2"/>
    </font>
    <font>
      <b/>
      <sz val="10"/>
      <name val="Verdana"/>
      <family val="2"/>
    </font>
    <font>
      <sz val="10"/>
      <color indexed="12"/>
      <name val="Verdana"/>
      <family val="2"/>
    </font>
    <font>
      <sz val="20"/>
      <name val="Verdana"/>
      <family val="2"/>
    </font>
    <font>
      <sz val="10"/>
      <color theme="1"/>
      <name val="Verdan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0"/>
      <color theme="7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2060"/>
      <name val="Verdana"/>
      <family val="2"/>
    </font>
    <font>
      <sz val="10"/>
      <color rgb="FF2E8230"/>
      <name val="Verdana"/>
      <family val="2"/>
    </font>
    <font>
      <sz val="10"/>
      <color rgb="FF7030A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/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2" borderId="11" xfId="0" applyFont="1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0" xfId="0" applyFont="1" applyFill="1" applyBorder="1"/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textRotation="90"/>
    </xf>
    <xf numFmtId="0" fontId="3" fillId="2" borderId="22" xfId="0" applyFont="1" applyFill="1" applyBorder="1"/>
    <xf numFmtId="0" fontId="3" fillId="2" borderId="23" xfId="0" applyFont="1" applyFill="1" applyBorder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/>
    <xf numFmtId="9" fontId="3" fillId="0" borderId="17" xfId="2" applyFont="1" applyBorder="1" applyAlignment="1">
      <alignment horizontal="center"/>
    </xf>
    <xf numFmtId="9" fontId="3" fillId="0" borderId="19" xfId="2" applyFont="1" applyBorder="1" applyAlignment="1">
      <alignment horizontal="center"/>
    </xf>
    <xf numFmtId="9" fontId="3" fillId="0" borderId="21" xfId="2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2" borderId="41" xfId="0" applyFont="1" applyFill="1" applyBorder="1"/>
    <xf numFmtId="0" fontId="3" fillId="2" borderId="42" xfId="0" applyFont="1" applyFill="1" applyBorder="1"/>
    <xf numFmtId="0" fontId="3" fillId="2" borderId="43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41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4" fillId="2" borderId="5" xfId="0" applyFont="1" applyFill="1" applyBorder="1"/>
    <xf numFmtId="0" fontId="4" fillId="2" borderId="6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3" fillId="4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4" borderId="47" xfId="0" applyFont="1" applyFill="1" applyBorder="1" applyAlignment="1">
      <alignment horizontal="center"/>
    </xf>
    <xf numFmtId="0" fontId="3" fillId="5" borderId="41" xfId="0" applyFont="1" applyFill="1" applyBorder="1" applyAlignment="1">
      <alignment horizontal="left"/>
    </xf>
    <xf numFmtId="0" fontId="4" fillId="5" borderId="5" xfId="0" applyFont="1" applyFill="1" applyBorder="1"/>
    <xf numFmtId="0" fontId="3" fillId="5" borderId="38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left"/>
    </xf>
    <xf numFmtId="0" fontId="4" fillId="5" borderId="6" xfId="0" applyFont="1" applyFill="1" applyBorder="1"/>
    <xf numFmtId="0" fontId="3" fillId="5" borderId="39" xfId="0" applyFont="1" applyFill="1" applyBorder="1" applyAlignment="1">
      <alignment horizontal="center"/>
    </xf>
    <xf numFmtId="0" fontId="3" fillId="5" borderId="42" xfId="0" applyFont="1" applyFill="1" applyBorder="1"/>
    <xf numFmtId="0" fontId="5" fillId="5" borderId="6" xfId="0" applyFont="1" applyFill="1" applyBorder="1"/>
    <xf numFmtId="0" fontId="3" fillId="5" borderId="43" xfId="0" applyFont="1" applyFill="1" applyBorder="1"/>
    <xf numFmtId="0" fontId="6" fillId="5" borderId="37" xfId="0" applyFont="1" applyFill="1" applyBorder="1"/>
    <xf numFmtId="0" fontId="3" fillId="5" borderId="40" xfId="0" applyFont="1" applyFill="1" applyBorder="1" applyAlignment="1">
      <alignment horizontal="center"/>
    </xf>
    <xf numFmtId="0" fontId="6" fillId="5" borderId="7" xfId="0" applyFont="1" applyFill="1" applyBorder="1"/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3" fillId="6" borderId="0" xfId="0" applyFont="1" applyFill="1"/>
    <xf numFmtId="0" fontId="10" fillId="3" borderId="36" xfId="0" applyFont="1" applyFill="1" applyBorder="1"/>
    <xf numFmtId="0" fontId="10" fillId="3" borderId="6" xfId="0" applyFont="1" applyFill="1" applyBorder="1"/>
    <xf numFmtId="0" fontId="10" fillId="3" borderId="7" xfId="0" applyFont="1" applyFill="1" applyBorder="1"/>
    <xf numFmtId="0" fontId="10" fillId="3" borderId="37" xfId="0" applyFont="1" applyFill="1" applyBorder="1"/>
    <xf numFmtId="0" fontId="3" fillId="6" borderId="0" xfId="0" applyFont="1" applyFill="1" applyBorder="1"/>
    <xf numFmtId="0" fontId="3" fillId="0" borderId="0" xfId="0" applyFont="1" applyBorder="1"/>
    <xf numFmtId="0" fontId="9" fillId="7" borderId="13" xfId="0" applyFont="1" applyFill="1" applyBorder="1" applyAlignment="1"/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9" fillId="7" borderId="0" xfId="0" applyFont="1" applyFill="1" applyBorder="1" applyAlignment="1"/>
    <xf numFmtId="0" fontId="3" fillId="7" borderId="0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22" xfId="0" applyFont="1" applyFill="1" applyBorder="1"/>
    <xf numFmtId="0" fontId="3" fillId="7" borderId="23" xfId="0" applyFont="1" applyFill="1" applyBorder="1"/>
    <xf numFmtId="0" fontId="7" fillId="7" borderId="12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0" fillId="6" borderId="0" xfId="0" applyFill="1"/>
    <xf numFmtId="0" fontId="11" fillId="6" borderId="48" xfId="0" applyFont="1" applyFill="1" applyBorder="1"/>
    <xf numFmtId="0" fontId="11" fillId="6" borderId="49" xfId="0" applyFont="1" applyFill="1" applyBorder="1"/>
    <xf numFmtId="0" fontId="0" fillId="6" borderId="49" xfId="0" applyFill="1" applyBorder="1"/>
    <xf numFmtId="0" fontId="0" fillId="6" borderId="34" xfId="0" applyFill="1" applyBorder="1"/>
    <xf numFmtId="0" fontId="11" fillId="6" borderId="50" xfId="0" applyFont="1" applyFill="1" applyBorder="1"/>
    <xf numFmtId="0" fontId="0" fillId="6" borderId="51" xfId="0" applyFill="1" applyBorder="1"/>
    <xf numFmtId="0" fontId="0" fillId="6" borderId="33" xfId="0" applyFill="1" applyBorder="1"/>
    <xf numFmtId="0" fontId="0" fillId="6" borderId="52" xfId="0" applyFill="1" applyBorder="1"/>
    <xf numFmtId="0" fontId="11" fillId="6" borderId="0" xfId="0" applyFont="1" applyFill="1" applyBorder="1"/>
    <xf numFmtId="0" fontId="0" fillId="6" borderId="0" xfId="0" applyFill="1" applyBorder="1"/>
    <xf numFmtId="0" fontId="0" fillId="6" borderId="44" xfId="0" applyFill="1" applyBorder="1"/>
    <xf numFmtId="0" fontId="13" fillId="6" borderId="1" xfId="0" applyFont="1" applyFill="1" applyBorder="1"/>
    <xf numFmtId="0" fontId="11" fillId="6" borderId="53" xfId="0" applyFont="1" applyFill="1" applyBorder="1"/>
    <xf numFmtId="0" fontId="0" fillId="6" borderId="53" xfId="0" applyFill="1" applyBorder="1"/>
    <xf numFmtId="0" fontId="0" fillId="6" borderId="31" xfId="0" applyFill="1" applyBorder="1"/>
    <xf numFmtId="0" fontId="11" fillId="6" borderId="42" xfId="0" applyFont="1" applyFill="1" applyBorder="1"/>
    <xf numFmtId="0" fontId="15" fillId="6" borderId="0" xfId="0" applyFont="1" applyFill="1"/>
    <xf numFmtId="0" fontId="15" fillId="6" borderId="48" xfId="0" applyFont="1" applyFill="1" applyBorder="1"/>
    <xf numFmtId="0" fontId="15" fillId="6" borderId="49" xfId="0" applyFont="1" applyFill="1" applyBorder="1"/>
    <xf numFmtId="0" fontId="15" fillId="6" borderId="34" xfId="0" applyFont="1" applyFill="1" applyBorder="1"/>
    <xf numFmtId="0" fontId="15" fillId="6" borderId="50" xfId="0" applyFont="1" applyFill="1" applyBorder="1"/>
    <xf numFmtId="0" fontId="15" fillId="6" borderId="51" xfId="0" applyFont="1" applyFill="1" applyBorder="1"/>
    <xf numFmtId="0" fontId="15" fillId="6" borderId="33" xfId="0" applyFont="1" applyFill="1" applyBorder="1"/>
    <xf numFmtId="0" fontId="15" fillId="6" borderId="52" xfId="0" applyFont="1" applyFill="1" applyBorder="1"/>
    <xf numFmtId="0" fontId="15" fillId="6" borderId="0" xfId="0" applyFont="1" applyFill="1" applyBorder="1"/>
    <xf numFmtId="0" fontId="15" fillId="6" borderId="44" xfId="0" applyFont="1" applyFill="1" applyBorder="1"/>
    <xf numFmtId="0" fontId="16" fillId="6" borderId="1" xfId="0" applyFont="1" applyFill="1" applyBorder="1"/>
    <xf numFmtId="0" fontId="3" fillId="2" borderId="0" xfId="0" applyFont="1" applyFill="1" applyBorder="1" applyAlignment="1">
      <alignment textRotation="90"/>
    </xf>
    <xf numFmtId="0" fontId="12" fillId="6" borderId="0" xfId="3" applyFill="1" applyBorder="1" applyAlignment="1" applyProtection="1"/>
    <xf numFmtId="0" fontId="13" fillId="6" borderId="25" xfId="0" applyFont="1" applyFill="1" applyBorder="1"/>
    <xf numFmtId="0" fontId="11" fillId="6" borderId="52" xfId="0" applyFont="1" applyFill="1" applyBorder="1"/>
    <xf numFmtId="0" fontId="11" fillId="6" borderId="49" xfId="0" applyFont="1" applyFill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14" fontId="0" fillId="6" borderId="51" xfId="0" applyNumberFormat="1" applyFill="1" applyBorder="1" applyAlignment="1">
      <alignment horizontal="left"/>
    </xf>
    <xf numFmtId="14" fontId="0" fillId="6" borderId="0" xfId="0" applyNumberFormat="1" applyFill="1" applyBorder="1" applyAlignment="1">
      <alignment horizontal="left"/>
    </xf>
    <xf numFmtId="0" fontId="7" fillId="5" borderId="16" xfId="0" applyFont="1" applyFill="1" applyBorder="1" applyAlignment="1">
      <alignment horizontal="center" vertical="center" textRotation="90"/>
    </xf>
    <xf numFmtId="0" fontId="7" fillId="5" borderId="18" xfId="0" applyFont="1" applyFill="1" applyBorder="1" applyAlignment="1">
      <alignment horizontal="center" vertical="center" textRotation="90"/>
    </xf>
    <xf numFmtId="0" fontId="7" fillId="5" borderId="20" xfId="0" applyFont="1" applyFill="1" applyBorder="1" applyAlignment="1">
      <alignment horizontal="center" vertical="center" textRotation="90"/>
    </xf>
    <xf numFmtId="0" fontId="7" fillId="2" borderId="16" xfId="0" applyFont="1" applyFill="1" applyBorder="1" applyAlignment="1">
      <alignment horizontal="center" vertical="center" textRotation="90"/>
    </xf>
    <xf numFmtId="0" fontId="7" fillId="2" borderId="18" xfId="0" applyFont="1" applyFill="1" applyBorder="1" applyAlignment="1">
      <alignment horizontal="center" vertical="center" textRotation="90"/>
    </xf>
    <xf numFmtId="0" fontId="7" fillId="2" borderId="20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/>
    </xf>
    <xf numFmtId="0" fontId="4" fillId="2" borderId="3" xfId="0" applyFont="1" applyFill="1" applyBorder="1" applyAlignment="1">
      <alignment horizontal="center" textRotation="90"/>
    </xf>
    <xf numFmtId="0" fontId="5" fillId="2" borderId="2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textRotation="90"/>
    </xf>
    <xf numFmtId="0" fontId="5" fillId="2" borderId="3" xfId="0" applyFont="1" applyFill="1" applyBorder="1" applyAlignment="1">
      <alignment horizontal="center" textRotation="90"/>
    </xf>
    <xf numFmtId="0" fontId="7" fillId="2" borderId="27" xfId="0" applyFont="1" applyFill="1" applyBorder="1" applyAlignment="1">
      <alignment horizontal="center" vertical="center" textRotation="90"/>
    </xf>
    <xf numFmtId="0" fontId="7" fillId="2" borderId="28" xfId="0" applyFont="1" applyFill="1" applyBorder="1" applyAlignment="1">
      <alignment horizontal="center" vertical="center" textRotation="90"/>
    </xf>
    <xf numFmtId="0" fontId="7" fillId="3" borderId="22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 vertical="center" textRotation="90"/>
    </xf>
    <xf numFmtId="0" fontId="6" fillId="2" borderId="17" xfId="0" applyFont="1" applyFill="1" applyBorder="1" applyAlignment="1">
      <alignment horizontal="center" textRotation="90"/>
    </xf>
    <xf numFmtId="0" fontId="6" fillId="2" borderId="19" xfId="0" applyFont="1" applyFill="1" applyBorder="1" applyAlignment="1">
      <alignment horizontal="center" textRotation="90"/>
    </xf>
    <xf numFmtId="0" fontId="6" fillId="2" borderId="21" xfId="0" applyFont="1" applyFill="1" applyBorder="1" applyAlignment="1">
      <alignment horizontal="center" textRotation="90"/>
    </xf>
    <xf numFmtId="0" fontId="4" fillId="2" borderId="16" xfId="0" applyFont="1" applyFill="1" applyBorder="1" applyAlignment="1">
      <alignment horizontal="center" textRotation="90"/>
    </xf>
    <xf numFmtId="0" fontId="4" fillId="2" borderId="18" xfId="0" applyFont="1" applyFill="1" applyBorder="1" applyAlignment="1">
      <alignment horizontal="center" textRotation="90"/>
    </xf>
    <xf numFmtId="0" fontId="4" fillId="2" borderId="20" xfId="0" applyFont="1" applyFill="1" applyBorder="1" applyAlignment="1">
      <alignment horizontal="center" textRotation="90"/>
    </xf>
    <xf numFmtId="0" fontId="3" fillId="2" borderId="16" xfId="0" applyFont="1" applyFill="1" applyBorder="1" applyAlignment="1">
      <alignment horizontal="center" textRotation="90"/>
    </xf>
    <xf numFmtId="0" fontId="3" fillId="2" borderId="18" xfId="0" applyFont="1" applyFill="1" applyBorder="1" applyAlignment="1">
      <alignment horizontal="center" textRotation="90"/>
    </xf>
    <xf numFmtId="0" fontId="3" fillId="2" borderId="20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3" fillId="2" borderId="1" xfId="0" applyFont="1" applyFill="1" applyBorder="1" applyAlignment="1">
      <alignment horizontal="center" textRotation="90"/>
    </xf>
    <xf numFmtId="0" fontId="3" fillId="2" borderId="3" xfId="0" applyFont="1" applyFill="1" applyBorder="1" applyAlignment="1">
      <alignment horizontal="center" textRotation="90"/>
    </xf>
    <xf numFmtId="0" fontId="3" fillId="2" borderId="17" xfId="0" applyFont="1" applyFill="1" applyBorder="1" applyAlignment="1">
      <alignment horizontal="center" textRotation="90"/>
    </xf>
    <xf numFmtId="0" fontId="3" fillId="2" borderId="19" xfId="0" applyFont="1" applyFill="1" applyBorder="1" applyAlignment="1">
      <alignment horizontal="center" textRotation="90"/>
    </xf>
    <xf numFmtId="0" fontId="3" fillId="2" borderId="21" xfId="0" applyFont="1" applyFill="1" applyBorder="1" applyAlignment="1">
      <alignment horizontal="center" textRotation="90"/>
    </xf>
    <xf numFmtId="44" fontId="4" fillId="2" borderId="2" xfId="1" applyFont="1" applyFill="1" applyBorder="1" applyAlignment="1">
      <alignment horizontal="center" textRotation="90"/>
    </xf>
    <xf numFmtId="44" fontId="4" fillId="2" borderId="1" xfId="1" applyFont="1" applyFill="1" applyBorder="1" applyAlignment="1">
      <alignment horizontal="center" textRotation="90"/>
    </xf>
    <xf numFmtId="44" fontId="4" fillId="2" borderId="3" xfId="1" applyFont="1" applyFill="1" applyBorder="1" applyAlignment="1">
      <alignment horizontal="center" textRotation="90"/>
    </xf>
    <xf numFmtId="0" fontId="9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0" xfId="0" applyFont="1" applyFill="1" applyAlignment="1"/>
    <xf numFmtId="0" fontId="3" fillId="3" borderId="54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9" fontId="3" fillId="0" borderId="59" xfId="2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9" fontId="3" fillId="0" borderId="58" xfId="2" applyFont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9" fontId="3" fillId="0" borderId="56" xfId="2" applyFont="1" applyBorder="1" applyAlignment="1">
      <alignment horizontal="center"/>
    </xf>
    <xf numFmtId="0" fontId="7" fillId="7" borderId="26" xfId="0" applyFont="1" applyFill="1" applyBorder="1" applyAlignment="1">
      <alignment horizontal="center"/>
    </xf>
    <xf numFmtId="0" fontId="3" fillId="7" borderId="61" xfId="0" applyFont="1" applyFill="1" applyBorder="1" applyAlignment="1">
      <alignment vertical="center"/>
    </xf>
    <xf numFmtId="0" fontId="3" fillId="4" borderId="62" xfId="0" applyFont="1" applyFill="1" applyBorder="1" applyAlignment="1">
      <alignment horizontal="center"/>
    </xf>
    <xf numFmtId="0" fontId="21" fillId="7" borderId="15" xfId="0" applyFont="1" applyFill="1" applyBorder="1" applyAlignment="1">
      <alignment horizontal="right" vertical="center"/>
    </xf>
    <xf numFmtId="0" fontId="21" fillId="3" borderId="39" xfId="0" applyFont="1" applyFill="1" applyBorder="1"/>
    <xf numFmtId="0" fontId="21" fillId="7" borderId="46" xfId="0" applyFont="1" applyFill="1" applyBorder="1" applyAlignment="1">
      <alignment horizontal="right" vertical="center"/>
    </xf>
    <xf numFmtId="0" fontId="21" fillId="7" borderId="22" xfId="0" applyFont="1" applyFill="1" applyBorder="1" applyAlignment="1">
      <alignment horizontal="right" vertical="center"/>
    </xf>
    <xf numFmtId="0" fontId="21" fillId="3" borderId="40" xfId="0" applyFont="1" applyFill="1" applyBorder="1"/>
    <xf numFmtId="0" fontId="20" fillId="3" borderId="62" xfId="0" applyFont="1" applyFill="1" applyBorder="1"/>
    <xf numFmtId="0" fontId="3" fillId="4" borderId="63" xfId="0" applyFont="1" applyFill="1" applyBorder="1" applyAlignment="1">
      <alignment horizontal="center"/>
    </xf>
    <xf numFmtId="0" fontId="3" fillId="4" borderId="64" xfId="0" applyFont="1" applyFill="1" applyBorder="1" applyAlignment="1">
      <alignment horizontal="center"/>
    </xf>
    <xf numFmtId="0" fontId="21" fillId="3" borderId="4" xfId="0" applyFont="1" applyFill="1" applyBorder="1"/>
    <xf numFmtId="0" fontId="21" fillId="3" borderId="24" xfId="0" applyFont="1" applyFill="1" applyBorder="1"/>
    <xf numFmtId="0" fontId="3" fillId="6" borderId="0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right"/>
    </xf>
    <xf numFmtId="0" fontId="3" fillId="7" borderId="0" xfId="0" applyFont="1" applyFill="1" applyBorder="1" applyAlignment="1">
      <alignment horizontal="right"/>
    </xf>
    <xf numFmtId="0" fontId="9" fillId="7" borderId="11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right"/>
    </xf>
    <xf numFmtId="0" fontId="21" fillId="3" borderId="63" xfId="0" applyFont="1" applyFill="1" applyBorder="1"/>
    <xf numFmtId="0" fontId="19" fillId="7" borderId="61" xfId="0" applyFont="1" applyFill="1" applyBorder="1" applyAlignment="1">
      <alignment horizontal="right" vertical="center"/>
    </xf>
    <xf numFmtId="0" fontId="19" fillId="3" borderId="62" xfId="0" applyFont="1" applyFill="1" applyBorder="1"/>
    <xf numFmtId="0" fontId="3" fillId="4" borderId="12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3" fillId="0" borderId="29" xfId="2" applyFont="1" applyBorder="1" applyAlignment="1">
      <alignment horizontal="center"/>
    </xf>
    <xf numFmtId="0" fontId="21" fillId="7" borderId="60" xfId="0" applyFont="1" applyFill="1" applyBorder="1" applyAlignment="1">
      <alignment horizontal="right" vertical="center"/>
    </xf>
    <xf numFmtId="0" fontId="3" fillId="6" borderId="0" xfId="0" applyFont="1" applyFill="1" applyAlignment="1"/>
    <xf numFmtId="0" fontId="3" fillId="6" borderId="0" xfId="0" applyFont="1" applyFill="1" applyAlignment="1">
      <alignment horizontal="center"/>
    </xf>
    <xf numFmtId="0" fontId="3" fillId="6" borderId="0" xfId="0" applyFont="1" applyFill="1" applyBorder="1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2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7"/>
        </patternFill>
      </fill>
    </dxf>
  </dxfs>
  <tableStyles count="0" defaultTableStyle="TableStyleMedium9" defaultPivotStyle="PivotStyleLight16"/>
  <colors>
    <mruColors>
      <color rgb="FF2E8230"/>
      <color rgb="FF66FF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9525</xdr:colOff>
      <xdr:row>3</xdr:row>
      <xdr:rowOff>0</xdr:rowOff>
    </xdr:to>
    <xdr:pic>
      <xdr:nvPicPr>
        <xdr:cNvPr id="1025" name="Picture 1" descr="tissuesample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5048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9525</xdr:colOff>
      <xdr:row>4</xdr:row>
      <xdr:rowOff>0</xdr:rowOff>
    </xdr:to>
    <xdr:pic>
      <xdr:nvPicPr>
        <xdr:cNvPr id="1026" name="Picture 2" descr="bacteriasampl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" y="7143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9525</xdr:colOff>
      <xdr:row>8</xdr:row>
      <xdr:rowOff>0</xdr:rowOff>
    </xdr:to>
    <xdr:pic>
      <xdr:nvPicPr>
        <xdr:cNvPr id="1027" name="Picture 3" descr="toxinsampl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8675" y="15525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9525</xdr:colOff>
      <xdr:row>9</xdr:row>
      <xdr:rowOff>0</xdr:rowOff>
    </xdr:to>
    <xdr:pic>
      <xdr:nvPicPr>
        <xdr:cNvPr id="1028" name="Picture 4" descr="dnasample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28675" y="17621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9525</xdr:colOff>
      <xdr:row>14</xdr:row>
      <xdr:rowOff>0</xdr:rowOff>
    </xdr:to>
    <xdr:pic>
      <xdr:nvPicPr>
        <xdr:cNvPr id="1029" name="Picture 5" descr="unknownspic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28675" y="28098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9525</xdr:colOff>
      <xdr:row>15</xdr:row>
      <xdr:rowOff>0</xdr:rowOff>
    </xdr:to>
    <xdr:pic>
      <xdr:nvPicPr>
        <xdr:cNvPr id="1030" name="Picture 6" descr="luminescentcells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28675" y="30194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9525</xdr:colOff>
      <xdr:row>3</xdr:row>
      <xdr:rowOff>0</xdr:rowOff>
    </xdr:to>
    <xdr:pic>
      <xdr:nvPicPr>
        <xdr:cNvPr id="1032" name="Picture 8" descr="parasitic_microorganism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8675" y="55340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9525</xdr:colOff>
      <xdr:row>21</xdr:row>
      <xdr:rowOff>0</xdr:rowOff>
    </xdr:to>
    <xdr:pic>
      <xdr:nvPicPr>
        <xdr:cNvPr id="1033" name="Picture 9" descr="dnasample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8675" y="42767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9525</xdr:colOff>
      <xdr:row>22</xdr:row>
      <xdr:rowOff>0</xdr:rowOff>
    </xdr:to>
    <xdr:pic>
      <xdr:nvPicPr>
        <xdr:cNvPr id="1034" name="Picture 10" descr="irradiatedradioactivesample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28675" y="44862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9525</xdr:colOff>
      <xdr:row>4</xdr:row>
      <xdr:rowOff>0</xdr:rowOff>
    </xdr:to>
    <xdr:pic>
      <xdr:nvPicPr>
        <xdr:cNvPr id="1035" name="Picture 11" descr="fungalsample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28675" y="57435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9525</xdr:colOff>
      <xdr:row>10</xdr:row>
      <xdr:rowOff>0</xdr:rowOff>
    </xdr:to>
    <xdr:pic>
      <xdr:nvPicPr>
        <xdr:cNvPr id="1036" name="Picture 12" descr="mutagenicpaste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28675" y="70008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9525</xdr:colOff>
      <xdr:row>11</xdr:row>
      <xdr:rowOff>0</xdr:rowOff>
    </xdr:to>
    <xdr:pic>
      <xdr:nvPicPr>
        <xdr:cNvPr id="1037" name="Picture 13" descr="neurochemical_extract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8675" y="72104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9525</xdr:colOff>
      <xdr:row>5</xdr:row>
      <xdr:rowOff>0</xdr:rowOff>
    </xdr:to>
    <xdr:pic>
      <xdr:nvPicPr>
        <xdr:cNvPr id="1038" name="Picture 14" descr="gooeyblob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28675" y="9239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9525</xdr:colOff>
      <xdr:row>10</xdr:row>
      <xdr:rowOff>0</xdr:rowOff>
    </xdr:to>
    <xdr:pic>
      <xdr:nvPicPr>
        <xdr:cNvPr id="1039" name="Picture 15" descr="mutagensample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828675" y="19716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9525</xdr:colOff>
      <xdr:row>11</xdr:row>
      <xdr:rowOff>0</xdr:rowOff>
    </xdr:to>
    <xdr:pic>
      <xdr:nvPicPr>
        <xdr:cNvPr id="1040" name="Picture 16" descr="luminescentcells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28675" y="21812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9525</xdr:colOff>
      <xdr:row>16</xdr:row>
      <xdr:rowOff>0</xdr:rowOff>
    </xdr:to>
    <xdr:pic>
      <xdr:nvPicPr>
        <xdr:cNvPr id="1041" name="Picture 17" descr="blue_goo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28675" y="32289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9525</xdr:colOff>
      <xdr:row>17</xdr:row>
      <xdr:rowOff>0</xdr:rowOff>
    </xdr:to>
    <xdr:pic>
      <xdr:nvPicPr>
        <xdr:cNvPr id="1042" name="Picture 18" descr="dnasample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28675" y="34385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9525</xdr:colOff>
      <xdr:row>18</xdr:row>
      <xdr:rowOff>0</xdr:rowOff>
    </xdr:to>
    <xdr:pic>
      <xdr:nvPicPr>
        <xdr:cNvPr id="1043" name="Picture 19" descr="fungalsample1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8675" y="36480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9525</xdr:colOff>
      <xdr:row>23</xdr:row>
      <xdr:rowOff>0</xdr:rowOff>
    </xdr:to>
    <xdr:pic>
      <xdr:nvPicPr>
        <xdr:cNvPr id="1044" name="Picture 20" descr="tissuesample1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28675" y="46958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9525</xdr:colOff>
      <xdr:row>24</xdr:row>
      <xdr:rowOff>0</xdr:rowOff>
    </xdr:to>
    <xdr:pic>
      <xdr:nvPicPr>
        <xdr:cNvPr id="1045" name="Picture 21" descr="viralsample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828675" y="49053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9525</xdr:colOff>
      <xdr:row>5</xdr:row>
      <xdr:rowOff>0</xdr:rowOff>
    </xdr:to>
    <xdr:pic>
      <xdr:nvPicPr>
        <xdr:cNvPr id="1046" name="Picture 22" descr="red_goo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828675" y="59531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9525</xdr:colOff>
      <xdr:row>6</xdr:row>
      <xdr:rowOff>0</xdr:rowOff>
    </xdr:to>
    <xdr:pic>
      <xdr:nvPicPr>
        <xdr:cNvPr id="1047" name="Picture 23" descr="psychoactive_compound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828675" y="61626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9525</xdr:colOff>
      <xdr:row>7</xdr:row>
      <xdr:rowOff>0</xdr:rowOff>
    </xdr:to>
    <xdr:pic>
      <xdr:nvPicPr>
        <xdr:cNvPr id="1048" name="Picture 24" descr="nutrientsample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828675" y="63722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9525</xdr:colOff>
      <xdr:row>12</xdr:row>
      <xdr:rowOff>0</xdr:rowOff>
    </xdr:to>
    <xdr:pic>
      <xdr:nvPicPr>
        <xdr:cNvPr id="1049" name="Picture 25" descr="immunity_cell_culture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828675" y="74199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9525</xdr:colOff>
      <xdr:row>3</xdr:row>
      <xdr:rowOff>0</xdr:rowOff>
    </xdr:to>
    <xdr:pic>
      <xdr:nvPicPr>
        <xdr:cNvPr id="1050" name="Picture 26" descr="hypo4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5143500" y="5048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9525</xdr:colOff>
      <xdr:row>4</xdr:row>
      <xdr:rowOff>0</xdr:rowOff>
    </xdr:to>
    <xdr:pic>
      <xdr:nvPicPr>
        <xdr:cNvPr id="1051" name="Picture 27" descr="medkit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5143500" y="7143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9525</xdr:colOff>
      <xdr:row>5</xdr:row>
      <xdr:rowOff>0</xdr:rowOff>
    </xdr:to>
    <xdr:pic>
      <xdr:nvPicPr>
        <xdr:cNvPr id="1052" name="Picture 28" descr="implant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5143500" y="9239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9525</xdr:colOff>
      <xdr:row>7</xdr:row>
      <xdr:rowOff>0</xdr:rowOff>
    </xdr:to>
    <xdr:pic>
      <xdr:nvPicPr>
        <xdr:cNvPr id="1053" name="Picture 29" descr="implant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5143500" y="13430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9525</xdr:colOff>
      <xdr:row>6</xdr:row>
      <xdr:rowOff>0</xdr:rowOff>
    </xdr:to>
    <xdr:pic>
      <xdr:nvPicPr>
        <xdr:cNvPr id="1054" name="Picture 30" descr="implant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143500" y="11334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9525</xdr:colOff>
      <xdr:row>8</xdr:row>
      <xdr:rowOff>0</xdr:rowOff>
    </xdr:to>
    <xdr:pic>
      <xdr:nvPicPr>
        <xdr:cNvPr id="1055" name="Picture 31" descr="implant5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5143500" y="15525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9525</xdr:colOff>
      <xdr:row>6</xdr:row>
      <xdr:rowOff>0</xdr:rowOff>
    </xdr:to>
    <xdr:pic>
      <xdr:nvPicPr>
        <xdr:cNvPr id="1056" name="Picture 32" descr="ryll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828675" y="11334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9525</xdr:colOff>
      <xdr:row>7</xdr:row>
      <xdr:rowOff>0</xdr:rowOff>
    </xdr:to>
    <xdr:pic>
      <xdr:nvPicPr>
        <xdr:cNvPr id="1057" name="Picture 33" descr="ryll_kor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828675" y="13430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9525</xdr:colOff>
      <xdr:row>12</xdr:row>
      <xdr:rowOff>0</xdr:rowOff>
    </xdr:to>
    <xdr:pic>
      <xdr:nvPicPr>
        <xdr:cNvPr id="1058" name="Picture 34" descr="gylan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828675" y="23907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9525</xdr:colOff>
      <xdr:row>13</xdr:row>
      <xdr:rowOff>0</xdr:rowOff>
    </xdr:to>
    <xdr:pic>
      <xdr:nvPicPr>
        <xdr:cNvPr id="1059" name="Picture 35" descr="kasotti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828675" y="26003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9525</xdr:colOff>
      <xdr:row>19</xdr:row>
      <xdr:rowOff>0</xdr:rowOff>
    </xdr:to>
    <xdr:pic>
      <xdr:nvPicPr>
        <xdr:cNvPr id="1060" name="Picture 36" descr="carsunum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828675" y="38576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9525</xdr:colOff>
      <xdr:row>20</xdr:row>
      <xdr:rowOff>0</xdr:rowOff>
    </xdr:to>
    <xdr:pic>
      <xdr:nvPicPr>
        <xdr:cNvPr id="1061" name="Picture 37" descr="millaflower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828675" y="40671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9525</xdr:colOff>
      <xdr:row>25</xdr:row>
      <xdr:rowOff>0</xdr:rowOff>
    </xdr:to>
    <xdr:pic>
      <xdr:nvPicPr>
        <xdr:cNvPr id="1062" name="Picture 38" descr="redrage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828675" y="51149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9525</xdr:colOff>
      <xdr:row>26</xdr:row>
      <xdr:rowOff>0</xdr:rowOff>
    </xdr:to>
    <xdr:pic>
      <xdr:nvPicPr>
        <xdr:cNvPr id="1063" name="Picture 39" descr="tempest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828675" y="53244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9525</xdr:colOff>
      <xdr:row>8</xdr:row>
      <xdr:rowOff>0</xdr:rowOff>
    </xdr:to>
    <xdr:pic>
      <xdr:nvPicPr>
        <xdr:cNvPr id="1064" name="Picture 40" descr="tirefin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828675" y="658177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9525</xdr:colOff>
      <xdr:row>9</xdr:row>
      <xdr:rowOff>0</xdr:rowOff>
    </xdr:to>
    <xdr:pic>
      <xdr:nvPicPr>
        <xdr:cNvPr id="1065" name="Picture 41" descr="avabushspice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828675" y="67913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9525</xdr:colOff>
      <xdr:row>13</xdr:row>
      <xdr:rowOff>0</xdr:rowOff>
    </xdr:to>
    <xdr:pic>
      <xdr:nvPicPr>
        <xdr:cNvPr id="1066" name="Picture 42" descr="glitterstim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828675" y="7629525"/>
          <a:ext cx="209550" cy="209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9525</xdr:colOff>
      <xdr:row>14</xdr:row>
      <xdr:rowOff>0</xdr:rowOff>
    </xdr:to>
    <xdr:pic>
      <xdr:nvPicPr>
        <xdr:cNvPr id="1067" name="Picture 43" descr="lumnispice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828675" y="7839075"/>
          <a:ext cx="209550" cy="2095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</xdr:row>
      <xdr:rowOff>142875</xdr:rowOff>
    </xdr:from>
    <xdr:to>
      <xdr:col>6</xdr:col>
      <xdr:colOff>457200</xdr:colOff>
      <xdr:row>10</xdr:row>
      <xdr:rowOff>142875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8225" y="838200"/>
          <a:ext cx="5153025" cy="1295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3:H27"/>
  <sheetViews>
    <sheetView tabSelected="1" workbookViewId="0"/>
  </sheetViews>
  <sheetFormatPr defaultRowHeight="12.75"/>
  <cols>
    <col min="1" max="1" width="2.5703125" style="107" customWidth="1"/>
    <col min="2" max="2" width="15.28515625" style="107" customWidth="1"/>
    <col min="3" max="3" width="10.140625" style="107" bestFit="1" customWidth="1"/>
    <col min="4" max="16384" width="9.140625" style="107"/>
  </cols>
  <sheetData>
    <row r="3" spans="2:8">
      <c r="B3" s="119" t="s">
        <v>107</v>
      </c>
    </row>
    <row r="4" spans="2:8">
      <c r="B4" s="123" t="s">
        <v>108</v>
      </c>
      <c r="C4" s="120"/>
      <c r="D4" s="121"/>
      <c r="E4" s="121"/>
      <c r="F4" s="121"/>
      <c r="G4" s="121"/>
      <c r="H4" s="122"/>
    </row>
    <row r="5" spans="2:8">
      <c r="B5" s="116"/>
      <c r="C5" s="116"/>
      <c r="D5" s="117"/>
      <c r="E5" s="117"/>
      <c r="F5" s="117"/>
      <c r="G5" s="117"/>
      <c r="H5" s="117"/>
    </row>
    <row r="7" spans="2:8">
      <c r="B7" s="137" t="s">
        <v>106</v>
      </c>
    </row>
    <row r="8" spans="2:8">
      <c r="B8" s="108" t="s">
        <v>110</v>
      </c>
      <c r="C8" s="139" t="s">
        <v>103</v>
      </c>
      <c r="D8" s="109"/>
      <c r="E8" s="110"/>
      <c r="F8" s="110"/>
      <c r="G8" s="110"/>
      <c r="H8" s="111"/>
    </row>
    <row r="9" spans="2:8">
      <c r="B9" s="115" t="s">
        <v>104</v>
      </c>
      <c r="C9" s="140" t="s">
        <v>105</v>
      </c>
      <c r="D9" s="136"/>
      <c r="E9" s="117"/>
      <c r="F9" s="117"/>
      <c r="G9" s="117"/>
      <c r="H9" s="118"/>
    </row>
    <row r="10" spans="2:8">
      <c r="B10" s="138" t="s">
        <v>113</v>
      </c>
      <c r="C10" s="140">
        <v>1.2</v>
      </c>
      <c r="D10" s="136"/>
      <c r="E10" s="117"/>
      <c r="F10" s="117"/>
      <c r="G10" s="117"/>
      <c r="H10" s="118"/>
    </row>
    <row r="11" spans="2:8">
      <c r="B11" s="112" t="s">
        <v>114</v>
      </c>
      <c r="C11" s="141">
        <v>40924</v>
      </c>
      <c r="D11" s="113"/>
      <c r="E11" s="113"/>
      <c r="F11" s="113"/>
      <c r="G11" s="113"/>
      <c r="H11" s="114"/>
    </row>
    <row r="12" spans="2:8">
      <c r="B12" s="116"/>
      <c r="C12" s="142"/>
      <c r="D12" s="117"/>
      <c r="E12" s="117"/>
      <c r="F12" s="117"/>
      <c r="G12" s="117"/>
      <c r="H12" s="117"/>
    </row>
    <row r="14" spans="2:8">
      <c r="B14" s="134" t="s">
        <v>111</v>
      </c>
      <c r="C14" s="124"/>
      <c r="D14" s="124"/>
      <c r="E14" s="124"/>
      <c r="F14" s="124"/>
      <c r="G14" s="124"/>
      <c r="H14" s="124"/>
    </row>
    <row r="15" spans="2:8">
      <c r="B15" s="125" t="s">
        <v>96</v>
      </c>
      <c r="C15" s="126" t="s">
        <v>102</v>
      </c>
      <c r="D15" s="126"/>
      <c r="E15" s="126"/>
      <c r="F15" s="126"/>
      <c r="G15" s="126"/>
      <c r="H15" s="127"/>
    </row>
    <row r="16" spans="2:8">
      <c r="B16" s="128"/>
      <c r="C16" s="129" t="s">
        <v>115</v>
      </c>
      <c r="D16" s="129"/>
      <c r="E16" s="129"/>
      <c r="F16" s="129"/>
      <c r="G16" s="129"/>
      <c r="H16" s="130"/>
    </row>
    <row r="17" spans="2:8">
      <c r="B17" s="125" t="s">
        <v>97</v>
      </c>
      <c r="C17" s="126" t="s">
        <v>98</v>
      </c>
      <c r="D17" s="126"/>
      <c r="E17" s="126"/>
      <c r="F17" s="126"/>
      <c r="G17" s="126"/>
      <c r="H17" s="127"/>
    </row>
    <row r="18" spans="2:8">
      <c r="B18" s="131"/>
      <c r="C18" s="132" t="s">
        <v>99</v>
      </c>
      <c r="D18" s="132"/>
      <c r="E18" s="132"/>
      <c r="F18" s="132"/>
      <c r="G18" s="132"/>
      <c r="H18" s="133"/>
    </row>
    <row r="19" spans="2:8">
      <c r="B19" s="131"/>
      <c r="C19" s="132" t="s">
        <v>100</v>
      </c>
      <c r="D19" s="132"/>
      <c r="E19" s="132"/>
      <c r="F19" s="132"/>
      <c r="G19" s="132"/>
      <c r="H19" s="133"/>
    </row>
    <row r="20" spans="2:8">
      <c r="B20" s="131"/>
      <c r="C20" s="132" t="s">
        <v>112</v>
      </c>
      <c r="D20" s="132"/>
      <c r="E20" s="132"/>
      <c r="F20" s="132"/>
      <c r="G20" s="132"/>
      <c r="H20" s="133"/>
    </row>
    <row r="21" spans="2:8">
      <c r="B21" s="131"/>
      <c r="C21" s="132" t="s">
        <v>101</v>
      </c>
      <c r="D21" s="132"/>
      <c r="E21" s="132"/>
      <c r="F21" s="132"/>
      <c r="G21" s="132"/>
      <c r="H21" s="133"/>
    </row>
    <row r="22" spans="2:8">
      <c r="B22" s="131"/>
      <c r="C22" s="132" t="s">
        <v>109</v>
      </c>
      <c r="D22" s="132"/>
      <c r="E22" s="132"/>
      <c r="F22" s="132"/>
      <c r="G22" s="132"/>
      <c r="H22" s="133"/>
    </row>
    <row r="23" spans="2:8">
      <c r="B23" s="128"/>
      <c r="C23" s="129" t="s">
        <v>116</v>
      </c>
      <c r="D23" s="129"/>
      <c r="E23" s="129"/>
      <c r="F23" s="129"/>
      <c r="G23" s="129"/>
      <c r="H23" s="130"/>
    </row>
    <row r="24" spans="2:8">
      <c r="B24" s="125" t="s">
        <v>146</v>
      </c>
      <c r="C24" s="126" t="s">
        <v>147</v>
      </c>
      <c r="D24" s="126"/>
      <c r="E24" s="126"/>
      <c r="F24" s="126"/>
      <c r="G24" s="126"/>
      <c r="H24" s="127"/>
    </row>
    <row r="25" spans="2:8">
      <c r="B25" s="131"/>
      <c r="C25" s="132" t="s">
        <v>148</v>
      </c>
      <c r="D25" s="132"/>
      <c r="E25" s="132"/>
      <c r="F25" s="132"/>
      <c r="G25" s="132"/>
      <c r="H25" s="133"/>
    </row>
    <row r="26" spans="2:8">
      <c r="B26" s="131"/>
      <c r="C26" s="132" t="s">
        <v>149</v>
      </c>
      <c r="D26" s="132"/>
      <c r="E26" s="132"/>
      <c r="F26" s="132"/>
      <c r="G26" s="132"/>
      <c r="H26" s="133"/>
    </row>
    <row r="27" spans="2:8">
      <c r="B27" s="128"/>
      <c r="C27" s="129" t="s">
        <v>150</v>
      </c>
      <c r="D27" s="129"/>
      <c r="E27" s="129"/>
      <c r="F27" s="129"/>
      <c r="G27" s="129"/>
      <c r="H27" s="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1:O38"/>
  <sheetViews>
    <sheetView zoomScale="75" workbookViewId="0"/>
  </sheetViews>
  <sheetFormatPr defaultRowHeight="12.75"/>
  <cols>
    <col min="1" max="1" width="3.85546875" style="8" customWidth="1"/>
    <col min="2" max="2" width="3.28515625" style="8" bestFit="1" customWidth="1"/>
    <col min="3" max="3" width="3" style="31" customWidth="1"/>
    <col min="4" max="4" width="33.85546875" style="8" bestFit="1" customWidth="1"/>
    <col min="5" max="6" width="12.28515625" style="14" customWidth="1"/>
    <col min="7" max="7" width="3.28515625" style="8" bestFit="1" customWidth="1"/>
    <col min="8" max="8" width="3" style="8" customWidth="1"/>
    <col min="9" max="9" width="37.5703125" style="8" bestFit="1" customWidth="1"/>
    <col min="10" max="10" width="11.5703125" style="14" customWidth="1"/>
    <col min="11" max="11" width="9.140625" style="8"/>
    <col min="12" max="12" width="3.28515625" style="8" customWidth="1"/>
    <col min="13" max="13" width="3" style="8" customWidth="1"/>
    <col min="14" max="14" width="33.85546875" style="8" customWidth="1"/>
    <col min="15" max="15" width="12.42578125" style="8" customWidth="1"/>
    <col min="16" max="16384" width="9.140625" style="8"/>
  </cols>
  <sheetData>
    <row r="1" spans="2:15" ht="13.5" thickBot="1"/>
    <row r="2" spans="2:15" ht="13.5" thickBot="1">
      <c r="D2" s="11" t="s">
        <v>49</v>
      </c>
      <c r="E2" s="12" t="s">
        <v>48</v>
      </c>
      <c r="F2" s="13"/>
      <c r="G2" s="32"/>
      <c r="H2" s="32"/>
      <c r="I2" s="11" t="s">
        <v>49</v>
      </c>
      <c r="J2" s="12" t="s">
        <v>48</v>
      </c>
      <c r="M2" s="31"/>
      <c r="N2" s="86" t="s">
        <v>49</v>
      </c>
      <c r="O2" s="87" t="s">
        <v>48</v>
      </c>
    </row>
    <row r="3" spans="2:15" ht="16.5" customHeight="1">
      <c r="B3" s="146" t="s">
        <v>35</v>
      </c>
      <c r="C3" s="65"/>
      <c r="D3" s="67" t="s">
        <v>18</v>
      </c>
      <c r="E3" s="53"/>
      <c r="F3" s="7"/>
      <c r="G3" s="146" t="s">
        <v>50</v>
      </c>
      <c r="H3" s="59"/>
      <c r="I3" s="62" t="s">
        <v>26</v>
      </c>
      <c r="J3" s="56">
        <v>10</v>
      </c>
      <c r="L3" s="143" t="s">
        <v>32</v>
      </c>
      <c r="M3" s="74"/>
      <c r="N3" s="75" t="s">
        <v>0</v>
      </c>
      <c r="O3" s="76"/>
    </row>
    <row r="4" spans="2:15" ht="16.5" customHeight="1">
      <c r="B4" s="147"/>
      <c r="C4" s="66"/>
      <c r="D4" s="68" t="s">
        <v>19</v>
      </c>
      <c r="E4" s="54"/>
      <c r="F4" s="7"/>
      <c r="G4" s="147"/>
      <c r="H4" s="60"/>
      <c r="I4" s="63" t="s">
        <v>27</v>
      </c>
      <c r="J4" s="57">
        <v>10</v>
      </c>
      <c r="L4" s="144"/>
      <c r="M4" s="77"/>
      <c r="N4" s="78" t="s">
        <v>4</v>
      </c>
      <c r="O4" s="79"/>
    </row>
    <row r="5" spans="2:15" ht="16.5" customHeight="1">
      <c r="B5" s="147"/>
      <c r="C5" s="60"/>
      <c r="D5" s="68" t="s">
        <v>20</v>
      </c>
      <c r="E5" s="54"/>
      <c r="F5" s="7"/>
      <c r="G5" s="147"/>
      <c r="H5" s="60"/>
      <c r="I5" s="63" t="s">
        <v>28</v>
      </c>
      <c r="J5" s="57">
        <v>10</v>
      </c>
      <c r="L5" s="144"/>
      <c r="M5" s="77"/>
      <c r="N5" s="78" t="s">
        <v>1</v>
      </c>
      <c r="O5" s="79"/>
    </row>
    <row r="6" spans="2:15" ht="16.5" customHeight="1">
      <c r="B6" s="147"/>
      <c r="C6" s="60"/>
      <c r="D6" s="68" t="s">
        <v>21</v>
      </c>
      <c r="E6" s="54"/>
      <c r="F6" s="7"/>
      <c r="G6" s="147"/>
      <c r="H6" s="60"/>
      <c r="I6" s="63" t="s">
        <v>29</v>
      </c>
      <c r="J6" s="57">
        <v>200</v>
      </c>
      <c r="L6" s="144"/>
      <c r="M6" s="80"/>
      <c r="N6" s="81" t="s">
        <v>2</v>
      </c>
      <c r="O6" s="79"/>
    </row>
    <row r="7" spans="2:15" ht="16.5" customHeight="1" thickBot="1">
      <c r="B7" s="147"/>
      <c r="C7" s="60"/>
      <c r="D7" s="68" t="s">
        <v>22</v>
      </c>
      <c r="E7" s="54"/>
      <c r="F7" s="7"/>
      <c r="G7" s="147"/>
      <c r="H7" s="60"/>
      <c r="I7" s="63" t="s">
        <v>30</v>
      </c>
      <c r="J7" s="57">
        <v>50</v>
      </c>
      <c r="L7" s="145"/>
      <c r="M7" s="82"/>
      <c r="N7" s="83" t="s">
        <v>3</v>
      </c>
      <c r="O7" s="84"/>
    </row>
    <row r="8" spans="2:15" ht="16.5" customHeight="1" thickBot="1">
      <c r="B8" s="147"/>
      <c r="C8" s="60"/>
      <c r="D8" s="69" t="s">
        <v>44</v>
      </c>
      <c r="E8" s="54"/>
      <c r="F8" s="7"/>
      <c r="G8" s="148"/>
      <c r="H8" s="61"/>
      <c r="I8" s="64" t="s">
        <v>31</v>
      </c>
      <c r="J8" s="58">
        <v>400</v>
      </c>
      <c r="L8" s="143" t="s">
        <v>33</v>
      </c>
      <c r="M8" s="74"/>
      <c r="N8" s="75" t="s">
        <v>5</v>
      </c>
      <c r="O8" s="76"/>
    </row>
    <row r="9" spans="2:15" ht="16.5" customHeight="1" thickBot="1">
      <c r="B9" s="148"/>
      <c r="C9" s="61"/>
      <c r="D9" s="70" t="s">
        <v>45</v>
      </c>
      <c r="E9" s="55"/>
      <c r="F9" s="7"/>
      <c r="L9" s="144"/>
      <c r="M9" s="77"/>
      <c r="N9" s="78" t="s">
        <v>6</v>
      </c>
      <c r="O9" s="79"/>
    </row>
    <row r="10" spans="2:15" ht="16.5" customHeight="1">
      <c r="B10" s="146" t="s">
        <v>34</v>
      </c>
      <c r="C10" s="65"/>
      <c r="D10" s="67" t="s">
        <v>23</v>
      </c>
      <c r="E10" s="53"/>
      <c r="F10" s="7"/>
      <c r="L10" s="144"/>
      <c r="M10" s="77"/>
      <c r="N10" s="78" t="s">
        <v>7</v>
      </c>
      <c r="O10" s="79"/>
    </row>
    <row r="11" spans="2:15" ht="16.5" customHeight="1">
      <c r="B11" s="147"/>
      <c r="C11" s="66"/>
      <c r="D11" s="68" t="s">
        <v>24</v>
      </c>
      <c r="E11" s="54"/>
      <c r="F11" s="7"/>
      <c r="L11" s="144"/>
      <c r="M11" s="77"/>
      <c r="N11" s="78" t="s">
        <v>8</v>
      </c>
      <c r="O11" s="79"/>
    </row>
    <row r="12" spans="2:15" ht="16.5" customHeight="1">
      <c r="B12" s="147"/>
      <c r="C12" s="60"/>
      <c r="D12" s="68" t="s">
        <v>25</v>
      </c>
      <c r="E12" s="54"/>
      <c r="F12" s="7"/>
      <c r="L12" s="144"/>
      <c r="M12" s="80"/>
      <c r="N12" s="81" t="s">
        <v>38</v>
      </c>
      <c r="O12" s="79"/>
    </row>
    <row r="13" spans="2:15" ht="16.5" customHeight="1" thickBot="1">
      <c r="B13" s="147"/>
      <c r="C13" s="60"/>
      <c r="D13" s="69" t="s">
        <v>46</v>
      </c>
      <c r="E13" s="54"/>
      <c r="F13" s="7"/>
      <c r="L13" s="145"/>
      <c r="M13" s="82"/>
      <c r="N13" s="85" t="s">
        <v>39</v>
      </c>
      <c r="O13" s="84"/>
    </row>
    <row r="14" spans="2:15" ht="16.5" customHeight="1" thickBot="1">
      <c r="B14" s="148"/>
      <c r="C14" s="61"/>
      <c r="D14" s="70" t="s">
        <v>47</v>
      </c>
      <c r="E14" s="55"/>
      <c r="F14" s="7"/>
      <c r="L14" s="143" t="s">
        <v>37</v>
      </c>
      <c r="M14" s="74"/>
      <c r="N14" s="75" t="s">
        <v>9</v>
      </c>
      <c r="O14" s="76"/>
    </row>
    <row r="15" spans="2:15" ht="16.5" customHeight="1">
      <c r="F15" s="7"/>
      <c r="L15" s="144"/>
      <c r="M15" s="77"/>
      <c r="N15" s="78" t="s">
        <v>10</v>
      </c>
      <c r="O15" s="79"/>
    </row>
    <row r="16" spans="2:15" ht="16.5" customHeight="1">
      <c r="F16" s="7"/>
      <c r="L16" s="144"/>
      <c r="M16" s="77"/>
      <c r="N16" s="78" t="s">
        <v>11</v>
      </c>
      <c r="O16" s="79"/>
    </row>
    <row r="17" spans="6:15" ht="16.5" customHeight="1">
      <c r="F17" s="7"/>
      <c r="L17" s="144"/>
      <c r="M17" s="77"/>
      <c r="N17" s="78" t="s">
        <v>12</v>
      </c>
      <c r="O17" s="79"/>
    </row>
    <row r="18" spans="6:15" ht="16.5" customHeight="1">
      <c r="F18" s="7"/>
      <c r="L18" s="144"/>
      <c r="M18" s="77"/>
      <c r="N18" s="78" t="s">
        <v>13</v>
      </c>
      <c r="O18" s="79"/>
    </row>
    <row r="19" spans="6:15" ht="16.5" customHeight="1">
      <c r="F19" s="7"/>
      <c r="L19" s="144"/>
      <c r="M19" s="80"/>
      <c r="N19" s="81" t="s">
        <v>40</v>
      </c>
      <c r="O19" s="79"/>
    </row>
    <row r="20" spans="6:15" ht="16.5" customHeight="1" thickBot="1">
      <c r="F20" s="7"/>
      <c r="L20" s="145"/>
      <c r="M20" s="82"/>
      <c r="N20" s="85" t="s">
        <v>41</v>
      </c>
      <c r="O20" s="84"/>
    </row>
    <row r="21" spans="6:15" ht="16.5" customHeight="1">
      <c r="F21" s="7"/>
      <c r="L21" s="143" t="s">
        <v>36</v>
      </c>
      <c r="M21" s="74"/>
      <c r="N21" s="75" t="s">
        <v>14</v>
      </c>
      <c r="O21" s="76"/>
    </row>
    <row r="22" spans="6:15" ht="16.5" customHeight="1">
      <c r="F22" s="7"/>
      <c r="L22" s="144"/>
      <c r="M22" s="77"/>
      <c r="N22" s="78" t="s">
        <v>15</v>
      </c>
      <c r="O22" s="79"/>
    </row>
    <row r="23" spans="6:15" ht="16.5" customHeight="1">
      <c r="F23" s="7"/>
      <c r="L23" s="144"/>
      <c r="M23" s="80"/>
      <c r="N23" s="78" t="s">
        <v>16</v>
      </c>
      <c r="O23" s="79"/>
    </row>
    <row r="24" spans="6:15" ht="16.5" customHeight="1">
      <c r="F24" s="7"/>
      <c r="L24" s="144"/>
      <c r="M24" s="80"/>
      <c r="N24" s="78" t="s">
        <v>17</v>
      </c>
      <c r="O24" s="79"/>
    </row>
    <row r="25" spans="6:15" ht="16.5" customHeight="1">
      <c r="F25" s="7"/>
      <c r="L25" s="144"/>
      <c r="M25" s="80"/>
      <c r="N25" s="81" t="s">
        <v>42</v>
      </c>
      <c r="O25" s="79"/>
    </row>
    <row r="26" spans="6:15" ht="16.5" customHeight="1" thickBot="1">
      <c r="F26" s="7"/>
      <c r="L26" s="145"/>
      <c r="M26" s="82"/>
      <c r="N26" s="85" t="s">
        <v>43</v>
      </c>
      <c r="O26" s="84"/>
    </row>
    <row r="27" spans="6:15" ht="16.5" customHeight="1">
      <c r="F27" s="7"/>
    </row>
    <row r="28" spans="6:15" ht="16.5" customHeight="1">
      <c r="F28" s="7"/>
    </row>
    <row r="29" spans="6:15" ht="16.5" customHeight="1">
      <c r="F29" s="7"/>
    </row>
    <row r="30" spans="6:15" ht="16.5" customHeight="1">
      <c r="F30" s="7"/>
    </row>
    <row r="31" spans="6:15" ht="16.5" customHeight="1">
      <c r="F31" s="7"/>
    </row>
    <row r="32" spans="6:15" ht="16.5" customHeight="1">
      <c r="F32" s="7"/>
    </row>
    <row r="33" spans="6:6" ht="16.5" customHeight="1">
      <c r="F33" s="7"/>
    </row>
    <row r="34" spans="6:6" ht="16.5" customHeight="1">
      <c r="F34" s="7"/>
    </row>
    <row r="35" spans="6:6" ht="16.5" customHeight="1">
      <c r="F35" s="7"/>
    </row>
    <row r="36" spans="6:6" ht="16.5" customHeight="1">
      <c r="F36" s="7"/>
    </row>
    <row r="37" spans="6:6" ht="16.5" customHeight="1">
      <c r="F37" s="7"/>
    </row>
    <row r="38" spans="6:6" ht="16.5" customHeight="1">
      <c r="F38" s="7"/>
    </row>
  </sheetData>
  <mergeCells count="7">
    <mergeCell ref="L21:L26"/>
    <mergeCell ref="B3:B9"/>
    <mergeCell ref="B10:B14"/>
    <mergeCell ref="G3:G8"/>
    <mergeCell ref="L3:L7"/>
    <mergeCell ref="L8:L13"/>
    <mergeCell ref="L14:L20"/>
  </mergeCells>
  <phoneticPr fontId="2" type="noConversion"/>
  <pageMargins left="0.75" right="0.75" top="1" bottom="1" header="0.5" footer="0.5"/>
  <pageSetup paperSize="9" orientation="portrait" verticalDpi="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Q117"/>
  <sheetViews>
    <sheetView zoomScale="75" workbookViewId="0"/>
  </sheetViews>
  <sheetFormatPr defaultRowHeight="12.75"/>
  <cols>
    <col min="1" max="1" width="3.5703125" style="20" customWidth="1"/>
    <col min="2" max="2" width="3.42578125" style="15" customWidth="1"/>
    <col min="3" max="3" width="39" style="15" bestFit="1" customWidth="1"/>
    <col min="4" max="7" width="11.5703125" style="30" customWidth="1"/>
    <col min="8" max="25" width="3.28515625" style="30" bestFit="1" customWidth="1"/>
    <col min="26" max="26" width="6" style="15" customWidth="1"/>
    <col min="27" max="27" width="9.140625" style="20"/>
    <col min="28" max="43" width="9.140625" style="8"/>
    <col min="44" max="16384" width="9.140625" style="15"/>
  </cols>
  <sheetData>
    <row r="1" spans="1:43" s="94" customFormat="1" ht="13.5" thickBot="1">
      <c r="A1" s="20"/>
      <c r="B1" s="20"/>
      <c r="C1" s="2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pans="1:43" ht="12.75" customHeight="1">
      <c r="B2" s="16"/>
      <c r="C2" s="17"/>
      <c r="D2" s="18"/>
      <c r="E2" s="18"/>
      <c r="F2" s="18"/>
      <c r="G2" s="18"/>
      <c r="H2" s="167" t="s">
        <v>26</v>
      </c>
      <c r="I2" s="170" t="s">
        <v>27</v>
      </c>
      <c r="J2" s="170" t="s">
        <v>28</v>
      </c>
      <c r="K2" s="170" t="s">
        <v>29</v>
      </c>
      <c r="L2" s="170" t="s">
        <v>30</v>
      </c>
      <c r="M2" s="173" t="s">
        <v>31</v>
      </c>
      <c r="N2" s="164" t="s">
        <v>23</v>
      </c>
      <c r="O2" s="176" t="s">
        <v>24</v>
      </c>
      <c r="P2" s="149" t="s">
        <v>25</v>
      </c>
      <c r="Q2" s="152" t="s">
        <v>46</v>
      </c>
      <c r="R2" s="161" t="s">
        <v>47</v>
      </c>
      <c r="S2" s="164" t="s">
        <v>18</v>
      </c>
      <c r="T2" s="149" t="s">
        <v>19</v>
      </c>
      <c r="U2" s="149" t="s">
        <v>20</v>
      </c>
      <c r="V2" s="149" t="s">
        <v>21</v>
      </c>
      <c r="W2" s="149" t="s">
        <v>22</v>
      </c>
      <c r="X2" s="152" t="s">
        <v>44</v>
      </c>
      <c r="Y2" s="161" t="s">
        <v>45</v>
      </c>
      <c r="Z2" s="20"/>
    </row>
    <row r="3" spans="1:43" ht="12.75" customHeight="1">
      <c r="B3" s="19"/>
      <c r="C3" s="20"/>
      <c r="D3" s="7"/>
      <c r="E3" s="7"/>
      <c r="F3" s="7"/>
      <c r="G3" s="7"/>
      <c r="H3" s="168"/>
      <c r="I3" s="171"/>
      <c r="J3" s="171"/>
      <c r="K3" s="171"/>
      <c r="L3" s="171"/>
      <c r="M3" s="174"/>
      <c r="N3" s="165"/>
      <c r="O3" s="177"/>
      <c r="P3" s="150"/>
      <c r="Q3" s="153"/>
      <c r="R3" s="162"/>
      <c r="S3" s="165"/>
      <c r="T3" s="150"/>
      <c r="U3" s="150"/>
      <c r="V3" s="150"/>
      <c r="W3" s="150"/>
      <c r="X3" s="153"/>
      <c r="Y3" s="162"/>
      <c r="Z3" s="20"/>
    </row>
    <row r="4" spans="1:43" ht="12.75" customHeight="1">
      <c r="B4" s="19"/>
      <c r="C4" s="20"/>
      <c r="D4" s="7"/>
      <c r="E4" s="7"/>
      <c r="F4" s="7"/>
      <c r="G4" s="7"/>
      <c r="H4" s="168"/>
      <c r="I4" s="171"/>
      <c r="J4" s="171"/>
      <c r="K4" s="171"/>
      <c r="L4" s="171"/>
      <c r="M4" s="174"/>
      <c r="N4" s="165"/>
      <c r="O4" s="177"/>
      <c r="P4" s="150"/>
      <c r="Q4" s="153"/>
      <c r="R4" s="162"/>
      <c r="S4" s="165"/>
      <c r="T4" s="150"/>
      <c r="U4" s="150"/>
      <c r="V4" s="150"/>
      <c r="W4" s="150"/>
      <c r="X4" s="153"/>
      <c r="Y4" s="162"/>
      <c r="Z4" s="20"/>
    </row>
    <row r="5" spans="1:43" ht="12.75" customHeight="1">
      <c r="B5" s="19"/>
      <c r="C5" s="20"/>
      <c r="D5" s="7"/>
      <c r="E5" s="7"/>
      <c r="F5" s="7"/>
      <c r="G5" s="7"/>
      <c r="H5" s="168"/>
      <c r="I5" s="171"/>
      <c r="J5" s="171"/>
      <c r="K5" s="171"/>
      <c r="L5" s="171"/>
      <c r="M5" s="174"/>
      <c r="N5" s="165"/>
      <c r="O5" s="177"/>
      <c r="P5" s="150"/>
      <c r="Q5" s="153"/>
      <c r="R5" s="162"/>
      <c r="S5" s="165"/>
      <c r="T5" s="150"/>
      <c r="U5" s="150"/>
      <c r="V5" s="150"/>
      <c r="W5" s="150"/>
      <c r="X5" s="153"/>
      <c r="Y5" s="162"/>
      <c r="Z5" s="20"/>
    </row>
    <row r="6" spans="1:43" ht="12.75" customHeight="1">
      <c r="B6" s="19"/>
      <c r="C6" s="20"/>
      <c r="D6" s="7"/>
      <c r="E6" s="7"/>
      <c r="F6" s="7"/>
      <c r="G6" s="7"/>
      <c r="H6" s="168"/>
      <c r="I6" s="171"/>
      <c r="J6" s="171"/>
      <c r="K6" s="171"/>
      <c r="L6" s="171"/>
      <c r="M6" s="174"/>
      <c r="N6" s="165"/>
      <c r="O6" s="177"/>
      <c r="P6" s="150"/>
      <c r="Q6" s="153"/>
      <c r="R6" s="162"/>
      <c r="S6" s="165"/>
      <c r="T6" s="150"/>
      <c r="U6" s="150"/>
      <c r="V6" s="150"/>
      <c r="W6" s="150"/>
      <c r="X6" s="153"/>
      <c r="Y6" s="162"/>
      <c r="Z6" s="20"/>
    </row>
    <row r="7" spans="1:43" ht="12.75" customHeight="1">
      <c r="B7" s="19"/>
      <c r="C7" s="20"/>
      <c r="D7" s="7"/>
      <c r="E7" s="7"/>
      <c r="F7" s="7"/>
      <c r="G7" s="7"/>
      <c r="H7" s="168"/>
      <c r="I7" s="171"/>
      <c r="J7" s="171"/>
      <c r="K7" s="171"/>
      <c r="L7" s="171"/>
      <c r="M7" s="174"/>
      <c r="N7" s="165"/>
      <c r="O7" s="177"/>
      <c r="P7" s="150"/>
      <c r="Q7" s="153"/>
      <c r="R7" s="162"/>
      <c r="S7" s="165"/>
      <c r="T7" s="150"/>
      <c r="U7" s="150"/>
      <c r="V7" s="150"/>
      <c r="W7" s="150"/>
      <c r="X7" s="153"/>
      <c r="Y7" s="162"/>
      <c r="Z7" s="20"/>
    </row>
    <row r="8" spans="1:43" ht="12.75" customHeight="1">
      <c r="B8" s="19"/>
      <c r="C8" s="20"/>
      <c r="D8" s="7"/>
      <c r="E8" s="7"/>
      <c r="F8" s="7"/>
      <c r="G8" s="7"/>
      <c r="H8" s="168"/>
      <c r="I8" s="171"/>
      <c r="J8" s="171"/>
      <c r="K8" s="171"/>
      <c r="L8" s="171"/>
      <c r="M8" s="174"/>
      <c r="N8" s="165"/>
      <c r="O8" s="177"/>
      <c r="P8" s="150"/>
      <c r="Q8" s="153"/>
      <c r="R8" s="162"/>
      <c r="S8" s="165"/>
      <c r="T8" s="150"/>
      <c r="U8" s="150"/>
      <c r="V8" s="150"/>
      <c r="W8" s="150"/>
      <c r="X8" s="153"/>
      <c r="Y8" s="162"/>
      <c r="Z8" s="20"/>
    </row>
    <row r="9" spans="1:43" ht="12.75" customHeight="1">
      <c r="B9" s="19"/>
      <c r="C9" s="20"/>
      <c r="D9" s="7"/>
      <c r="E9" s="7"/>
      <c r="F9" s="7"/>
      <c r="G9" s="7"/>
      <c r="H9" s="168"/>
      <c r="I9" s="171"/>
      <c r="J9" s="171"/>
      <c r="K9" s="171"/>
      <c r="L9" s="171"/>
      <c r="M9" s="174"/>
      <c r="N9" s="165"/>
      <c r="O9" s="177"/>
      <c r="P9" s="150"/>
      <c r="Q9" s="153"/>
      <c r="R9" s="162"/>
      <c r="S9" s="165"/>
      <c r="T9" s="150"/>
      <c r="U9" s="150"/>
      <c r="V9" s="150"/>
      <c r="W9" s="150"/>
      <c r="X9" s="153"/>
      <c r="Y9" s="162"/>
      <c r="Z9" s="20"/>
    </row>
    <row r="10" spans="1:43" ht="12.75" customHeight="1">
      <c r="B10" s="19"/>
      <c r="C10" s="20"/>
      <c r="D10" s="7"/>
      <c r="E10" s="7"/>
      <c r="F10" s="7"/>
      <c r="G10" s="7"/>
      <c r="H10" s="168"/>
      <c r="I10" s="171"/>
      <c r="J10" s="171"/>
      <c r="K10" s="171"/>
      <c r="L10" s="171"/>
      <c r="M10" s="174"/>
      <c r="N10" s="165"/>
      <c r="O10" s="177"/>
      <c r="P10" s="150"/>
      <c r="Q10" s="153"/>
      <c r="R10" s="162"/>
      <c r="S10" s="165"/>
      <c r="T10" s="150"/>
      <c r="U10" s="150"/>
      <c r="V10" s="150"/>
      <c r="W10" s="150"/>
      <c r="X10" s="153"/>
      <c r="Y10" s="162"/>
      <c r="Z10" s="20"/>
    </row>
    <row r="11" spans="1:43" ht="12.75" customHeight="1">
      <c r="B11" s="19"/>
      <c r="C11" s="20"/>
      <c r="D11" s="7"/>
      <c r="E11" s="7"/>
      <c r="F11" s="7"/>
      <c r="G11" s="7"/>
      <c r="H11" s="168"/>
      <c r="I11" s="171"/>
      <c r="J11" s="171"/>
      <c r="K11" s="171"/>
      <c r="L11" s="171"/>
      <c r="M11" s="174"/>
      <c r="N11" s="165"/>
      <c r="O11" s="177"/>
      <c r="P11" s="150"/>
      <c r="Q11" s="153"/>
      <c r="R11" s="162"/>
      <c r="S11" s="165"/>
      <c r="T11" s="150"/>
      <c r="U11" s="150"/>
      <c r="V11" s="150"/>
      <c r="W11" s="150"/>
      <c r="X11" s="153"/>
      <c r="Y11" s="162"/>
      <c r="Z11" s="20"/>
    </row>
    <row r="12" spans="1:43" ht="12.75" customHeight="1">
      <c r="B12" s="19"/>
      <c r="C12" s="20"/>
      <c r="D12" s="7"/>
      <c r="E12" s="7"/>
      <c r="F12" s="7"/>
      <c r="G12" s="7"/>
      <c r="H12" s="168"/>
      <c r="I12" s="171"/>
      <c r="J12" s="171"/>
      <c r="K12" s="171"/>
      <c r="L12" s="171"/>
      <c r="M12" s="174"/>
      <c r="N12" s="165"/>
      <c r="O12" s="177"/>
      <c r="P12" s="150"/>
      <c r="Q12" s="153"/>
      <c r="R12" s="162"/>
      <c r="S12" s="165"/>
      <c r="T12" s="150"/>
      <c r="U12" s="150"/>
      <c r="V12" s="150"/>
      <c r="W12" s="150"/>
      <c r="X12" s="153"/>
      <c r="Y12" s="162"/>
      <c r="Z12" s="20"/>
    </row>
    <row r="13" spans="1:43" ht="12.75" customHeight="1">
      <c r="B13" s="19"/>
      <c r="C13" s="20"/>
      <c r="D13" s="7"/>
      <c r="E13" s="7"/>
      <c r="F13" s="7"/>
      <c r="G13" s="7"/>
      <c r="H13" s="168"/>
      <c r="I13" s="171"/>
      <c r="J13" s="171"/>
      <c r="K13" s="171"/>
      <c r="L13" s="171"/>
      <c r="M13" s="174"/>
      <c r="N13" s="165"/>
      <c r="O13" s="177"/>
      <c r="P13" s="150"/>
      <c r="Q13" s="153"/>
      <c r="R13" s="162"/>
      <c r="S13" s="165"/>
      <c r="T13" s="150"/>
      <c r="U13" s="150"/>
      <c r="V13" s="150"/>
      <c r="W13" s="150"/>
      <c r="X13" s="153"/>
      <c r="Y13" s="162"/>
      <c r="Z13" s="20"/>
    </row>
    <row r="14" spans="1:43" ht="12.75" customHeight="1" thickBot="1">
      <c r="B14" s="19"/>
      <c r="C14" s="20"/>
      <c r="D14" s="7"/>
      <c r="E14" s="7"/>
      <c r="F14" s="7"/>
      <c r="G14" s="7"/>
      <c r="H14" s="169"/>
      <c r="I14" s="172"/>
      <c r="J14" s="172"/>
      <c r="K14" s="172"/>
      <c r="L14" s="172"/>
      <c r="M14" s="175"/>
      <c r="N14" s="166"/>
      <c r="O14" s="178"/>
      <c r="P14" s="151"/>
      <c r="Q14" s="154"/>
      <c r="R14" s="163"/>
      <c r="S14" s="166"/>
      <c r="T14" s="151"/>
      <c r="U14" s="151"/>
      <c r="V14" s="151"/>
      <c r="W14" s="151"/>
      <c r="X14" s="154"/>
      <c r="Y14" s="163"/>
      <c r="Z14" s="20"/>
    </row>
    <row r="15" spans="1:43" ht="12.75" customHeight="1" thickBot="1">
      <c r="B15" s="28"/>
      <c r="C15" s="29"/>
      <c r="D15" s="12" t="s">
        <v>51</v>
      </c>
      <c r="E15" s="49" t="s">
        <v>48</v>
      </c>
      <c r="F15" s="9" t="s">
        <v>52</v>
      </c>
      <c r="G15" s="10" t="s">
        <v>53</v>
      </c>
      <c r="H15" s="157" t="s">
        <v>50</v>
      </c>
      <c r="I15" s="158"/>
      <c r="J15" s="158"/>
      <c r="K15" s="158"/>
      <c r="L15" s="158"/>
      <c r="M15" s="159"/>
      <c r="N15" s="157" t="s">
        <v>34</v>
      </c>
      <c r="O15" s="158"/>
      <c r="P15" s="158"/>
      <c r="Q15" s="158"/>
      <c r="R15" s="159"/>
      <c r="S15" s="157" t="s">
        <v>35</v>
      </c>
      <c r="T15" s="158"/>
      <c r="U15" s="158"/>
      <c r="V15" s="158"/>
      <c r="W15" s="158"/>
      <c r="X15" s="158"/>
      <c r="Y15" s="159"/>
      <c r="Z15" s="20"/>
    </row>
    <row r="16" spans="1:43" ht="12.75" customHeight="1">
      <c r="B16" s="160" t="s">
        <v>68</v>
      </c>
      <c r="C16" s="42" t="s">
        <v>54</v>
      </c>
      <c r="D16" s="36"/>
      <c r="E16" s="45">
        <f>$S16*Materials!$E$3+$T16*Materials!$E$4+$U16*Materials!$E$5+$V16*Materials!$E$6+$W16*Materials!$E$7+$X16*Materials!$E$8+$Y16*Materials!$E$9+$N16*Materials!$E$10+$O16*Materials!$E$11+$P16*Materials!$E$12+$Q16*Materials!$E$13+$R16*Materials!$E$14+$H16*Materials!$J$3+$I16*Materials!$J$4+$J16*Materials!$J$5+$K16*Materials!$J$6+$L16*Materials!$J$7+$M16*Materials!$J$8</f>
        <v>10</v>
      </c>
      <c r="F16" s="4">
        <f t="shared" ref="F16:F62" si="0">(D16-E16)-(D16)*0.03</f>
        <v>-10</v>
      </c>
      <c r="G16" s="33">
        <f t="shared" ref="G16:G28" si="1">IF(E16&gt;0,F16/E16,"N/A")</f>
        <v>-1</v>
      </c>
      <c r="H16" s="21">
        <v>1</v>
      </c>
      <c r="I16" s="3"/>
      <c r="J16" s="3"/>
      <c r="K16" s="3"/>
      <c r="L16" s="3"/>
      <c r="M16" s="22"/>
      <c r="N16" s="21">
        <v>4</v>
      </c>
      <c r="O16" s="3">
        <v>4</v>
      </c>
      <c r="P16" s="3"/>
      <c r="Q16" s="3">
        <v>4</v>
      </c>
      <c r="R16" s="22"/>
      <c r="S16" s="21"/>
      <c r="T16" s="3"/>
      <c r="U16" s="3">
        <v>4</v>
      </c>
      <c r="V16" s="3"/>
      <c r="W16" s="3"/>
      <c r="X16" s="3"/>
      <c r="Y16" s="22"/>
      <c r="Z16" s="20"/>
    </row>
    <row r="17" spans="2:28">
      <c r="B17" s="155"/>
      <c r="C17" s="43" t="s">
        <v>55</v>
      </c>
      <c r="D17" s="37"/>
      <c r="E17" s="46">
        <f>$S17*Materials!$E$3+$T17*Materials!$E$4+$U17*Materials!$E$5+$V17*Materials!$E$6+$W17*Materials!$E$7+$X17*Materials!$E$8+$Y17*Materials!$E$9+$N17*Materials!$E$10+$O17*Materials!$E$11+$P17*Materials!$E$12+$Q17*Materials!$E$13+$R17*Materials!$E$14+$H17*Materials!$J$3+$I17*Materials!$J$4+$J17*Materials!$J$5+$K17*Materials!$J$6+$L17*Materials!$J$7+$M17*Materials!$J$8</f>
        <v>10</v>
      </c>
      <c r="F17" s="1">
        <f t="shared" si="0"/>
        <v>-10</v>
      </c>
      <c r="G17" s="34">
        <f t="shared" si="1"/>
        <v>-1</v>
      </c>
      <c r="H17" s="23">
        <v>1</v>
      </c>
      <c r="I17" s="2"/>
      <c r="J17" s="2"/>
      <c r="K17" s="2"/>
      <c r="L17" s="2"/>
      <c r="M17" s="24"/>
      <c r="N17" s="23"/>
      <c r="O17" s="2"/>
      <c r="P17" s="2">
        <v>4</v>
      </c>
      <c r="Q17" s="2"/>
      <c r="R17" s="24"/>
      <c r="S17" s="23"/>
      <c r="T17" s="2">
        <v>4</v>
      </c>
      <c r="U17" s="2"/>
      <c r="V17" s="2">
        <v>4</v>
      </c>
      <c r="W17" s="2"/>
      <c r="X17" s="2">
        <v>4</v>
      </c>
      <c r="Y17" s="24"/>
      <c r="Z17" s="20"/>
    </row>
    <row r="18" spans="2:28">
      <c r="B18" s="155"/>
      <c r="C18" s="43" t="s">
        <v>56</v>
      </c>
      <c r="D18" s="37"/>
      <c r="E18" s="46">
        <f>$S18*Materials!$E$3+$T18*Materials!$E$4+$U18*Materials!$E$5+$V18*Materials!$E$6+$W18*Materials!$E$7+$X18*Materials!$E$8+$Y18*Materials!$E$9+$N18*Materials!$E$10+$O18*Materials!$E$11+$P18*Materials!$E$12+$Q18*Materials!$E$13+$R18*Materials!$E$14+$H18*Materials!$J$3+$I18*Materials!$J$4+$J18*Materials!$J$5+$K18*Materials!$J$6+$L18*Materials!$J$7+$M18*Materials!$J$8</f>
        <v>10</v>
      </c>
      <c r="F18" s="1">
        <f t="shared" si="0"/>
        <v>-10</v>
      </c>
      <c r="G18" s="34">
        <f t="shared" si="1"/>
        <v>-1</v>
      </c>
      <c r="H18" s="23">
        <v>1</v>
      </c>
      <c r="I18" s="2"/>
      <c r="J18" s="2"/>
      <c r="K18" s="2"/>
      <c r="L18" s="2"/>
      <c r="M18" s="24"/>
      <c r="N18" s="23"/>
      <c r="O18" s="2"/>
      <c r="P18" s="2">
        <v>4</v>
      </c>
      <c r="Q18" s="2"/>
      <c r="R18" s="24"/>
      <c r="S18" s="23"/>
      <c r="T18" s="2">
        <v>4</v>
      </c>
      <c r="U18" s="2"/>
      <c r="V18" s="2">
        <v>4</v>
      </c>
      <c r="W18" s="2"/>
      <c r="X18" s="2">
        <v>4</v>
      </c>
      <c r="Y18" s="24"/>
      <c r="Z18" s="135"/>
      <c r="AA18" s="135"/>
      <c r="AB18" s="27"/>
    </row>
    <row r="19" spans="2:28">
      <c r="B19" s="155"/>
      <c r="C19" s="43" t="s">
        <v>57</v>
      </c>
      <c r="D19" s="37"/>
      <c r="E19" s="46">
        <f>$S19*Materials!$E$3+$T19*Materials!$E$4+$U19*Materials!$E$5+$V19*Materials!$E$6+$W19*Materials!$E$7+$X19*Materials!$E$8+$Y19*Materials!$E$9+$N19*Materials!$E$10+$O19*Materials!$E$11+$P19*Materials!$E$12+$Q19*Materials!$E$13+$R19*Materials!$E$14+$H19*Materials!$J$3+$I19*Materials!$J$4+$J19*Materials!$J$5+$K19*Materials!$J$6+$L19*Materials!$J$7+$M19*Materials!$J$8</f>
        <v>10</v>
      </c>
      <c r="F19" s="1">
        <f t="shared" si="0"/>
        <v>-10</v>
      </c>
      <c r="G19" s="34">
        <f t="shared" si="1"/>
        <v>-1</v>
      </c>
      <c r="H19" s="23">
        <v>1</v>
      </c>
      <c r="I19" s="2"/>
      <c r="J19" s="2"/>
      <c r="K19" s="2"/>
      <c r="L19" s="2"/>
      <c r="M19" s="24"/>
      <c r="N19" s="23">
        <v>4</v>
      </c>
      <c r="O19" s="2">
        <v>4</v>
      </c>
      <c r="P19" s="2"/>
      <c r="Q19" s="2">
        <v>4</v>
      </c>
      <c r="R19" s="24"/>
      <c r="S19" s="23"/>
      <c r="T19" s="2"/>
      <c r="U19" s="2">
        <v>4</v>
      </c>
      <c r="V19" s="2"/>
      <c r="W19" s="2"/>
      <c r="X19" s="2"/>
      <c r="Y19" s="24"/>
      <c r="Z19" s="20"/>
    </row>
    <row r="20" spans="2:28">
      <c r="B20" s="155"/>
      <c r="C20" s="43" t="s">
        <v>58</v>
      </c>
      <c r="D20" s="37"/>
      <c r="E20" s="46">
        <f>$S20*Materials!$E$3+$T20*Materials!$E$4+$U20*Materials!$E$5+$V20*Materials!$E$6+$W20*Materials!$E$7+$X20*Materials!$E$8+$Y20*Materials!$E$9+$N20*Materials!$E$10+$O20*Materials!$E$11+$P20*Materials!$E$12+$Q20*Materials!$E$13+$R20*Materials!$E$14+$H20*Materials!$J$3+$I20*Materials!$J$4+$J20*Materials!$J$5+$K20*Materials!$J$6+$L20*Materials!$J$7+$M20*Materials!$J$8</f>
        <v>10</v>
      </c>
      <c r="F20" s="1">
        <f t="shared" si="0"/>
        <v>-10</v>
      </c>
      <c r="G20" s="34">
        <f t="shared" si="1"/>
        <v>-1</v>
      </c>
      <c r="H20" s="23">
        <v>1</v>
      </c>
      <c r="I20" s="2"/>
      <c r="J20" s="2"/>
      <c r="K20" s="2"/>
      <c r="L20" s="2"/>
      <c r="M20" s="24"/>
      <c r="N20" s="23"/>
      <c r="O20" s="2"/>
      <c r="P20" s="2">
        <v>4</v>
      </c>
      <c r="Q20" s="2"/>
      <c r="R20" s="24"/>
      <c r="S20" s="23"/>
      <c r="T20" s="2">
        <v>4</v>
      </c>
      <c r="U20" s="2"/>
      <c r="V20" s="2">
        <v>4</v>
      </c>
      <c r="W20" s="2"/>
      <c r="X20" s="2">
        <v>4</v>
      </c>
      <c r="Y20" s="24"/>
      <c r="Z20" s="20"/>
    </row>
    <row r="21" spans="2:28">
      <c r="B21" s="155"/>
      <c r="C21" s="43" t="s">
        <v>59</v>
      </c>
      <c r="D21" s="37"/>
      <c r="E21" s="46">
        <f>$S21*Materials!$E$3+$T21*Materials!$E$4+$U21*Materials!$E$5+$V21*Materials!$E$6+$W21*Materials!$E$7+$X21*Materials!$E$8+$Y21*Materials!$E$9+$N21*Materials!$E$10+$O21*Materials!$E$11+$P21*Materials!$E$12+$Q21*Materials!$E$13+$R21*Materials!$E$14+$H21*Materials!$J$3+$I21*Materials!$J$4+$J21*Materials!$J$5+$K21*Materials!$J$6+$L21*Materials!$J$7+$M21*Materials!$J$8</f>
        <v>10</v>
      </c>
      <c r="F21" s="1">
        <f t="shared" si="0"/>
        <v>-10</v>
      </c>
      <c r="G21" s="34">
        <f t="shared" si="1"/>
        <v>-1</v>
      </c>
      <c r="H21" s="23">
        <v>1</v>
      </c>
      <c r="I21" s="2"/>
      <c r="J21" s="2"/>
      <c r="K21" s="2"/>
      <c r="L21" s="2"/>
      <c r="M21" s="24"/>
      <c r="N21" s="23"/>
      <c r="O21" s="2"/>
      <c r="P21" s="2">
        <v>4</v>
      </c>
      <c r="Q21" s="2"/>
      <c r="R21" s="24"/>
      <c r="S21" s="23"/>
      <c r="T21" s="2">
        <v>4</v>
      </c>
      <c r="U21" s="2"/>
      <c r="V21" s="2">
        <v>4</v>
      </c>
      <c r="W21" s="2"/>
      <c r="X21" s="2">
        <v>4</v>
      </c>
      <c r="Y21" s="24"/>
      <c r="Z21" s="20"/>
    </row>
    <row r="22" spans="2:28" ht="13.5" thickBot="1">
      <c r="B22" s="156"/>
      <c r="C22" s="44" t="s">
        <v>60</v>
      </c>
      <c r="D22" s="38"/>
      <c r="E22" s="47">
        <f>$S22*Materials!$E$3+$T22*Materials!$E$4+$U22*Materials!$E$5+$V22*Materials!$E$6+$W22*Materials!$E$7+$X22*Materials!$E$8+$Y22*Materials!$E$9+$N22*Materials!$E$10+$O22*Materials!$E$11+$P22*Materials!$E$12+$Q22*Materials!$E$13+$R22*Materials!$E$14+$H22*Materials!$J$3+$I22*Materials!$J$4+$J22*Materials!$J$5+$K22*Materials!$J$6+$L22*Materials!$J$7+$M22*Materials!$J$8</f>
        <v>10</v>
      </c>
      <c r="F22" s="6">
        <f t="shared" si="0"/>
        <v>-10</v>
      </c>
      <c r="G22" s="35">
        <f t="shared" si="1"/>
        <v>-1</v>
      </c>
      <c r="H22" s="25">
        <v>1</v>
      </c>
      <c r="I22" s="5"/>
      <c r="J22" s="5"/>
      <c r="K22" s="5"/>
      <c r="L22" s="5"/>
      <c r="M22" s="26"/>
      <c r="N22" s="25">
        <v>4</v>
      </c>
      <c r="O22" s="5">
        <v>4</v>
      </c>
      <c r="P22" s="5"/>
      <c r="Q22" s="5">
        <v>4</v>
      </c>
      <c r="R22" s="26"/>
      <c r="S22" s="25"/>
      <c r="T22" s="5"/>
      <c r="U22" s="5">
        <v>4</v>
      </c>
      <c r="V22" s="5"/>
      <c r="W22" s="5"/>
      <c r="X22" s="5"/>
      <c r="Y22" s="26"/>
      <c r="Z22" s="20"/>
    </row>
    <row r="23" spans="2:28">
      <c r="B23" s="155" t="s">
        <v>67</v>
      </c>
      <c r="C23" s="42" t="s">
        <v>61</v>
      </c>
      <c r="D23" s="36"/>
      <c r="E23" s="45">
        <f>$S23*Materials!$E$3+$T23*Materials!$E$4+$U23*Materials!$E$5+$V23*Materials!$E$6+$W23*Materials!$E$7+$X23*Materials!$E$8+$Y23*Materials!$E$9+$N23*Materials!$E$10+$O23*Materials!$E$11+$P23*Materials!$E$12+$Q23*Materials!$E$13+$R23*Materials!$E$14+$H23*Materials!$J$3+$I23*Materials!$J$4+$J23*Materials!$J$5+$K23*Materials!$J$6+$L23*Materials!$J$7+$M23*Materials!$J$8</f>
        <v>10</v>
      </c>
      <c r="F23" s="4">
        <f t="shared" si="0"/>
        <v>-10</v>
      </c>
      <c r="G23" s="33">
        <f t="shared" si="1"/>
        <v>-1</v>
      </c>
      <c r="H23" s="21">
        <v>1</v>
      </c>
      <c r="I23" s="3"/>
      <c r="J23" s="3"/>
      <c r="K23" s="3"/>
      <c r="L23" s="3"/>
      <c r="M23" s="22"/>
      <c r="N23" s="21">
        <v>4</v>
      </c>
      <c r="O23" s="3">
        <v>6</v>
      </c>
      <c r="P23" s="3">
        <v>4</v>
      </c>
      <c r="Q23" s="3">
        <v>4</v>
      </c>
      <c r="R23" s="22"/>
      <c r="S23" s="21"/>
      <c r="T23" s="3"/>
      <c r="U23" s="3"/>
      <c r="V23" s="3"/>
      <c r="W23" s="3"/>
      <c r="X23" s="3"/>
      <c r="Y23" s="22"/>
      <c r="Z23" s="20"/>
    </row>
    <row r="24" spans="2:28">
      <c r="B24" s="155"/>
      <c r="C24" s="43" t="s">
        <v>62</v>
      </c>
      <c r="D24" s="37"/>
      <c r="E24" s="46">
        <f>$S24*Materials!$E$3+$T24*Materials!$E$4+$U24*Materials!$E$5+$V24*Materials!$E$6+$W24*Materials!$E$7+$X24*Materials!$E$8+$Y24*Materials!$E$9+$N24*Materials!$E$10+$O24*Materials!$E$11+$P24*Materials!$E$12+$Q24*Materials!$E$13+$R24*Materials!$E$14+$H24*Materials!$J$3+$I24*Materials!$J$4+$J24*Materials!$J$5+$K24*Materials!$J$6+$L24*Materials!$J$7+$M24*Materials!$J$8</f>
        <v>10</v>
      </c>
      <c r="F24" s="1">
        <f t="shared" si="0"/>
        <v>-10</v>
      </c>
      <c r="G24" s="34">
        <f t="shared" si="1"/>
        <v>-1</v>
      </c>
      <c r="H24" s="23">
        <v>1</v>
      </c>
      <c r="I24" s="2"/>
      <c r="J24" s="2"/>
      <c r="K24" s="2"/>
      <c r="L24" s="2"/>
      <c r="M24" s="24"/>
      <c r="N24" s="23">
        <v>4</v>
      </c>
      <c r="O24" s="2">
        <v>6</v>
      </c>
      <c r="P24" s="2">
        <v>4</v>
      </c>
      <c r="Q24" s="2">
        <v>4</v>
      </c>
      <c r="R24" s="24"/>
      <c r="S24" s="23"/>
      <c r="T24" s="2"/>
      <c r="U24" s="2"/>
      <c r="V24" s="2"/>
      <c r="W24" s="2"/>
      <c r="X24" s="2"/>
      <c r="Y24" s="24"/>
      <c r="Z24" s="20"/>
    </row>
    <row r="25" spans="2:28">
      <c r="B25" s="155"/>
      <c r="C25" s="43" t="s">
        <v>63</v>
      </c>
      <c r="D25" s="37"/>
      <c r="E25" s="46">
        <f>$S25*Materials!$E$3+$T25*Materials!$E$4+$U25*Materials!$E$5+$V25*Materials!$E$6+$W25*Materials!$E$7+$X25*Materials!$E$8+$Y25*Materials!$E$9+$N25*Materials!$E$10+$O25*Materials!$E$11+$P25*Materials!$E$12+$Q25*Materials!$E$13+$R25*Materials!$E$14+$H25*Materials!$J$3+$I25*Materials!$J$4+$J25*Materials!$J$5+$K25*Materials!$J$6+$L25*Materials!$J$7+$M25*Materials!$J$8</f>
        <v>10</v>
      </c>
      <c r="F25" s="1">
        <f t="shared" si="0"/>
        <v>-10</v>
      </c>
      <c r="G25" s="34">
        <f t="shared" si="1"/>
        <v>-1</v>
      </c>
      <c r="H25" s="23">
        <v>1</v>
      </c>
      <c r="I25" s="2"/>
      <c r="J25" s="2"/>
      <c r="K25" s="2"/>
      <c r="L25" s="2"/>
      <c r="M25" s="24"/>
      <c r="N25" s="23"/>
      <c r="O25" s="2"/>
      <c r="P25" s="2"/>
      <c r="Q25" s="2"/>
      <c r="R25" s="24"/>
      <c r="S25" s="23"/>
      <c r="T25" s="2">
        <v>6</v>
      </c>
      <c r="U25" s="2">
        <v>4</v>
      </c>
      <c r="V25" s="2">
        <v>4</v>
      </c>
      <c r="W25" s="2"/>
      <c r="X25" s="2">
        <v>4</v>
      </c>
      <c r="Y25" s="24"/>
      <c r="Z25" s="20"/>
    </row>
    <row r="26" spans="2:28">
      <c r="B26" s="155"/>
      <c r="C26" s="43" t="s">
        <v>64</v>
      </c>
      <c r="D26" s="37"/>
      <c r="E26" s="46">
        <f>$S26*Materials!$E$3+$T26*Materials!$E$4+$U26*Materials!$E$5+$V26*Materials!$E$6+$W26*Materials!$E$7+$X26*Materials!$E$8+$Y26*Materials!$E$9+$N26*Materials!$E$10+$O26*Materials!$E$11+$P26*Materials!$E$12+$Q26*Materials!$E$13+$R26*Materials!$E$14+$H26*Materials!$J$3+$I26*Materials!$J$4+$J26*Materials!$J$5+$K26*Materials!$J$6+$L26*Materials!$J$7+$M26*Materials!$J$8</f>
        <v>10</v>
      </c>
      <c r="F26" s="1">
        <f t="shared" si="0"/>
        <v>-10</v>
      </c>
      <c r="G26" s="34">
        <f t="shared" si="1"/>
        <v>-1</v>
      </c>
      <c r="H26" s="23">
        <v>1</v>
      </c>
      <c r="I26" s="2"/>
      <c r="J26" s="2"/>
      <c r="K26" s="2"/>
      <c r="L26" s="2"/>
      <c r="M26" s="24"/>
      <c r="N26" s="23"/>
      <c r="O26" s="2"/>
      <c r="P26" s="2"/>
      <c r="Q26" s="2"/>
      <c r="R26" s="24"/>
      <c r="S26" s="23"/>
      <c r="T26" s="2">
        <v>6</v>
      </c>
      <c r="U26" s="2">
        <v>4</v>
      </c>
      <c r="V26" s="2">
        <v>4</v>
      </c>
      <c r="W26" s="2"/>
      <c r="X26" s="2">
        <v>4</v>
      </c>
      <c r="Y26" s="24"/>
      <c r="Z26" s="20"/>
    </row>
    <row r="27" spans="2:28">
      <c r="B27" s="155"/>
      <c r="C27" s="43" t="s">
        <v>65</v>
      </c>
      <c r="D27" s="37"/>
      <c r="E27" s="46">
        <f>$S27*Materials!$E$3+$T27*Materials!$E$4+$U27*Materials!$E$5+$V27*Materials!$E$6+$W27*Materials!$E$7+$X27*Materials!$E$8+$Y27*Materials!$E$9+$N27*Materials!$E$10+$O27*Materials!$E$11+$P27*Materials!$E$12+$Q27*Materials!$E$13+$R27*Materials!$E$14+$H27*Materials!$J$3+$I27*Materials!$J$4+$J27*Materials!$J$5+$K27*Materials!$J$6+$L27*Materials!$J$7+$M27*Materials!$J$8</f>
        <v>10</v>
      </c>
      <c r="F27" s="1">
        <f t="shared" si="0"/>
        <v>-10</v>
      </c>
      <c r="G27" s="34">
        <f t="shared" si="1"/>
        <v>-1</v>
      </c>
      <c r="H27" s="23">
        <v>1</v>
      </c>
      <c r="I27" s="2"/>
      <c r="J27" s="2"/>
      <c r="K27" s="2"/>
      <c r="L27" s="2"/>
      <c r="M27" s="24"/>
      <c r="N27" s="23"/>
      <c r="O27" s="2"/>
      <c r="P27" s="2"/>
      <c r="Q27" s="2"/>
      <c r="R27" s="24"/>
      <c r="S27" s="23"/>
      <c r="T27" s="2">
        <v>6</v>
      </c>
      <c r="U27" s="2">
        <v>4</v>
      </c>
      <c r="V27" s="2">
        <v>4</v>
      </c>
      <c r="W27" s="2"/>
      <c r="X27" s="2">
        <v>4</v>
      </c>
      <c r="Y27" s="24"/>
      <c r="Z27" s="20"/>
    </row>
    <row r="28" spans="2:28" ht="13.5" thickBot="1">
      <c r="B28" s="156"/>
      <c r="C28" s="44" t="s">
        <v>66</v>
      </c>
      <c r="D28" s="38"/>
      <c r="E28" s="47">
        <f>$S28*Materials!$E$3+$T28*Materials!$E$4+$U28*Materials!$E$5+$V28*Materials!$E$6+$W28*Materials!$E$7+$X28*Materials!$E$8+$Y28*Materials!$E$9+$N28*Materials!$E$10+$O28*Materials!$E$11+$P28*Materials!$E$12+$Q28*Materials!$E$13+$R28*Materials!$E$14+$H28*Materials!$J$3+$I28*Materials!$J$4+$J28*Materials!$J$5+$K28*Materials!$J$6+$L28*Materials!$J$7+$M28*Materials!$J$8</f>
        <v>10</v>
      </c>
      <c r="F28" s="6">
        <f t="shared" si="0"/>
        <v>-10</v>
      </c>
      <c r="G28" s="35">
        <f t="shared" si="1"/>
        <v>-1</v>
      </c>
      <c r="H28" s="25">
        <v>1</v>
      </c>
      <c r="I28" s="5"/>
      <c r="J28" s="5"/>
      <c r="K28" s="5"/>
      <c r="L28" s="5"/>
      <c r="M28" s="26"/>
      <c r="N28" s="25"/>
      <c r="O28" s="5"/>
      <c r="P28" s="5"/>
      <c r="Q28" s="5"/>
      <c r="R28" s="26"/>
      <c r="S28" s="25"/>
      <c r="T28" s="5">
        <v>6</v>
      </c>
      <c r="U28" s="5">
        <v>4</v>
      </c>
      <c r="V28" s="5">
        <v>4</v>
      </c>
      <c r="W28" s="5"/>
      <c r="X28" s="5">
        <v>4</v>
      </c>
      <c r="Y28" s="26"/>
      <c r="Z28" s="20"/>
    </row>
    <row r="29" spans="2:28">
      <c r="B29" s="155" t="s">
        <v>92</v>
      </c>
      <c r="C29" s="89"/>
      <c r="D29" s="48"/>
      <c r="E29" s="50">
        <f>$S29*Materials!$E$3+$T29*Materials!$E$4+$U29*Materials!$E$5+$V29*Materials!$E$6+$W29*Materials!$E$7+$X29*Materials!$E$8+$Y29*Materials!$E$9+$N29*Materials!$E$10+$O29*Materials!$E$11+$P29*Materials!$E$12+$Q29*Materials!$E$13+$R29*Materials!$E$14+$H29*Materials!$J$3+$I29*Materials!$J$4+$J29*Materials!$J$5+$K29*Materials!$J$6+$L29*Materials!$J$7+$M29*Materials!$J$8</f>
        <v>0</v>
      </c>
      <c r="F29" s="4">
        <f t="shared" si="0"/>
        <v>0</v>
      </c>
      <c r="G29" s="33" t="str">
        <f t="shared" ref="G29:G62" si="2">IF(E29&gt;0,F29/E29,"N/A")</f>
        <v>N/A</v>
      </c>
      <c r="H29" s="21"/>
      <c r="I29" s="3"/>
      <c r="J29" s="3"/>
      <c r="K29" s="3"/>
      <c r="L29" s="3"/>
      <c r="M29" s="22"/>
      <c r="N29" s="21"/>
      <c r="O29" s="3"/>
      <c r="P29" s="3"/>
      <c r="Q29" s="3"/>
      <c r="R29" s="22"/>
      <c r="S29" s="21"/>
      <c r="T29" s="3"/>
      <c r="U29" s="3"/>
      <c r="V29" s="3"/>
      <c r="W29" s="3"/>
      <c r="X29" s="3"/>
      <c r="Y29" s="22"/>
      <c r="Z29" s="20"/>
    </row>
    <row r="30" spans="2:28">
      <c r="B30" s="155"/>
      <c r="C30" s="90"/>
      <c r="D30" s="37"/>
      <c r="E30" s="51">
        <f>$S30*Materials!$E$3+$T30*Materials!$E$4+$U30*Materials!$E$5+$V30*Materials!$E$6+$W30*Materials!$E$7+$X30*Materials!$E$8+$Y30*Materials!$E$9+$N30*Materials!$E$10+$O30*Materials!$E$11+$P30*Materials!$E$12+$Q30*Materials!$E$13+$R30*Materials!$E$14+$H30*Materials!$J$3+$I30*Materials!$J$4+$J30*Materials!$J$5+$K30*Materials!$J$6+$L30*Materials!$J$7+$M30*Materials!$J$8</f>
        <v>0</v>
      </c>
      <c r="F30" s="1">
        <f t="shared" ref="F30:F45" si="3">(D30-E30)-(D30)*0.03</f>
        <v>0</v>
      </c>
      <c r="G30" s="34" t="str">
        <f t="shared" ref="G30:G45" si="4">IF(E30&gt;0,F30/E30,"N/A")</f>
        <v>N/A</v>
      </c>
      <c r="H30" s="23"/>
      <c r="I30" s="2"/>
      <c r="J30" s="2"/>
      <c r="K30" s="2"/>
      <c r="L30" s="2"/>
      <c r="M30" s="24"/>
      <c r="N30" s="23"/>
      <c r="O30" s="2"/>
      <c r="P30" s="2"/>
      <c r="Q30" s="2"/>
      <c r="R30" s="24"/>
      <c r="S30" s="23"/>
      <c r="T30" s="2"/>
      <c r="U30" s="2"/>
      <c r="V30" s="2"/>
      <c r="W30" s="2"/>
      <c r="X30" s="2"/>
      <c r="Y30" s="24"/>
      <c r="Z30" s="20"/>
    </row>
    <row r="31" spans="2:28">
      <c r="B31" s="155"/>
      <c r="C31" s="90"/>
      <c r="D31" s="37"/>
      <c r="E31" s="51">
        <f>$S31*Materials!$E$3+$T31*Materials!$E$4+$U31*Materials!$E$5+$V31*Materials!$E$6+$W31*Materials!$E$7+$X31*Materials!$E$8+$Y31*Materials!$E$9+$N31*Materials!$E$10+$O31*Materials!$E$11+$P31*Materials!$E$12+$Q31*Materials!$E$13+$R31*Materials!$E$14+$H31*Materials!$J$3+$I31*Materials!$J$4+$J31*Materials!$J$5+$K31*Materials!$J$6+$L31*Materials!$J$7+$M31*Materials!$J$8</f>
        <v>0</v>
      </c>
      <c r="F31" s="1">
        <f t="shared" si="3"/>
        <v>0</v>
      </c>
      <c r="G31" s="34" t="str">
        <f t="shared" si="4"/>
        <v>N/A</v>
      </c>
      <c r="H31" s="23"/>
      <c r="I31" s="2"/>
      <c r="J31" s="2"/>
      <c r="K31" s="2"/>
      <c r="L31" s="2"/>
      <c r="M31" s="24"/>
      <c r="N31" s="23"/>
      <c r="O31" s="2"/>
      <c r="P31" s="2"/>
      <c r="Q31" s="2"/>
      <c r="R31" s="24"/>
      <c r="S31" s="23"/>
      <c r="T31" s="2"/>
      <c r="U31" s="2"/>
      <c r="V31" s="2"/>
      <c r="W31" s="2"/>
      <c r="X31" s="2"/>
      <c r="Y31" s="24"/>
      <c r="Z31" s="20"/>
    </row>
    <row r="32" spans="2:28">
      <c r="B32" s="155"/>
      <c r="C32" s="90"/>
      <c r="D32" s="37"/>
      <c r="E32" s="51">
        <f>$S32*Materials!$E$3+$T32*Materials!$E$4+$U32*Materials!$E$5+$V32*Materials!$E$6+$W32*Materials!$E$7+$X32*Materials!$E$8+$Y32*Materials!$E$9+$N32*Materials!$E$10+$O32*Materials!$E$11+$P32*Materials!$E$12+$Q32*Materials!$E$13+$R32*Materials!$E$14+$H32*Materials!$J$3+$I32*Materials!$J$4+$J32*Materials!$J$5+$K32*Materials!$J$6+$L32*Materials!$J$7+$M32*Materials!$J$8</f>
        <v>0</v>
      </c>
      <c r="F32" s="1">
        <f t="shared" si="3"/>
        <v>0</v>
      </c>
      <c r="G32" s="34" t="str">
        <f t="shared" si="4"/>
        <v>N/A</v>
      </c>
      <c r="H32" s="23"/>
      <c r="I32" s="2"/>
      <c r="J32" s="2"/>
      <c r="K32" s="2"/>
      <c r="L32" s="2"/>
      <c r="M32" s="24"/>
      <c r="N32" s="23"/>
      <c r="O32" s="2"/>
      <c r="P32" s="2"/>
      <c r="Q32" s="2"/>
      <c r="R32" s="24"/>
      <c r="S32" s="23"/>
      <c r="T32" s="2"/>
      <c r="U32" s="2"/>
      <c r="V32" s="2"/>
      <c r="W32" s="2"/>
      <c r="X32" s="2"/>
      <c r="Y32" s="24"/>
      <c r="Z32" s="20"/>
    </row>
    <row r="33" spans="2:26">
      <c r="B33" s="155"/>
      <c r="C33" s="90"/>
      <c r="D33" s="37"/>
      <c r="E33" s="51">
        <f>$S33*Materials!$E$3+$T33*Materials!$E$4+$U33*Materials!$E$5+$V33*Materials!$E$6+$W33*Materials!$E$7+$X33*Materials!$E$8+$Y33*Materials!$E$9+$N33*Materials!$E$10+$O33*Materials!$E$11+$P33*Materials!$E$12+$Q33*Materials!$E$13+$R33*Materials!$E$14+$H33*Materials!$J$3+$I33*Materials!$J$4+$J33*Materials!$J$5+$K33*Materials!$J$6+$L33*Materials!$J$7+$M33*Materials!$J$8</f>
        <v>0</v>
      </c>
      <c r="F33" s="1">
        <f t="shared" si="3"/>
        <v>0</v>
      </c>
      <c r="G33" s="34" t="str">
        <f t="shared" si="4"/>
        <v>N/A</v>
      </c>
      <c r="H33" s="23"/>
      <c r="I33" s="2"/>
      <c r="J33" s="2"/>
      <c r="K33" s="2"/>
      <c r="L33" s="2"/>
      <c r="M33" s="24"/>
      <c r="N33" s="23"/>
      <c r="O33" s="2"/>
      <c r="P33" s="2"/>
      <c r="Q33" s="2"/>
      <c r="R33" s="24"/>
      <c r="S33" s="23"/>
      <c r="T33" s="2"/>
      <c r="U33" s="2"/>
      <c r="V33" s="2"/>
      <c r="W33" s="2"/>
      <c r="X33" s="2"/>
      <c r="Y33" s="24"/>
      <c r="Z33" s="20"/>
    </row>
    <row r="34" spans="2:26">
      <c r="B34" s="155"/>
      <c r="C34" s="90"/>
      <c r="D34" s="37"/>
      <c r="E34" s="51">
        <f>$S34*Materials!$E$3+$T34*Materials!$E$4+$U34*Materials!$E$5+$V34*Materials!$E$6+$W34*Materials!$E$7+$X34*Materials!$E$8+$Y34*Materials!$E$9+$N34*Materials!$E$10+$O34*Materials!$E$11+$P34*Materials!$E$12+$Q34*Materials!$E$13+$R34*Materials!$E$14+$H34*Materials!$J$3+$I34*Materials!$J$4+$J34*Materials!$J$5+$K34*Materials!$J$6+$L34*Materials!$J$7+$M34*Materials!$J$8</f>
        <v>0</v>
      </c>
      <c r="F34" s="1">
        <f t="shared" si="3"/>
        <v>0</v>
      </c>
      <c r="G34" s="34" t="str">
        <f t="shared" si="4"/>
        <v>N/A</v>
      </c>
      <c r="H34" s="23"/>
      <c r="I34" s="2"/>
      <c r="J34" s="2"/>
      <c r="K34" s="2"/>
      <c r="L34" s="2"/>
      <c r="M34" s="24"/>
      <c r="N34" s="23"/>
      <c r="O34" s="2"/>
      <c r="P34" s="2"/>
      <c r="Q34" s="2"/>
      <c r="R34" s="24"/>
      <c r="S34" s="23"/>
      <c r="T34" s="2"/>
      <c r="U34" s="2"/>
      <c r="V34" s="2"/>
      <c r="W34" s="2"/>
      <c r="X34" s="2"/>
      <c r="Y34" s="24"/>
      <c r="Z34" s="20"/>
    </row>
    <row r="35" spans="2:26">
      <c r="B35" s="155"/>
      <c r="C35" s="90"/>
      <c r="D35" s="37"/>
      <c r="E35" s="51">
        <f>$S35*Materials!$E$3+$T35*Materials!$E$4+$U35*Materials!$E$5+$V35*Materials!$E$6+$W35*Materials!$E$7+$X35*Materials!$E$8+$Y35*Materials!$E$9+$N35*Materials!$E$10+$O35*Materials!$E$11+$P35*Materials!$E$12+$Q35*Materials!$E$13+$R35*Materials!$E$14+$H35*Materials!$J$3+$I35*Materials!$J$4+$J35*Materials!$J$5+$K35*Materials!$J$6+$L35*Materials!$J$7+$M35*Materials!$J$8</f>
        <v>0</v>
      </c>
      <c r="F35" s="1">
        <f t="shared" si="3"/>
        <v>0</v>
      </c>
      <c r="G35" s="34" t="str">
        <f t="shared" si="4"/>
        <v>N/A</v>
      </c>
      <c r="H35" s="23"/>
      <c r="I35" s="2"/>
      <c r="J35" s="2"/>
      <c r="K35" s="2"/>
      <c r="L35" s="2"/>
      <c r="M35" s="24"/>
      <c r="N35" s="23"/>
      <c r="O35" s="2"/>
      <c r="P35" s="2"/>
      <c r="Q35" s="2"/>
      <c r="R35" s="24"/>
      <c r="S35" s="23"/>
      <c r="T35" s="2"/>
      <c r="U35" s="2"/>
      <c r="V35" s="2"/>
      <c r="W35" s="2"/>
      <c r="X35" s="2"/>
      <c r="Y35" s="24"/>
      <c r="Z35" s="20"/>
    </row>
    <row r="36" spans="2:26">
      <c r="B36" s="155"/>
      <c r="C36" s="90"/>
      <c r="D36" s="37"/>
      <c r="E36" s="51">
        <f>$S36*Materials!$E$3+$T36*Materials!$E$4+$U36*Materials!$E$5+$V36*Materials!$E$6+$W36*Materials!$E$7+$X36*Materials!$E$8+$Y36*Materials!$E$9+$N36*Materials!$E$10+$O36*Materials!$E$11+$P36*Materials!$E$12+$Q36*Materials!$E$13+$R36*Materials!$E$14+$H36*Materials!$J$3+$I36*Materials!$J$4+$J36*Materials!$J$5+$K36*Materials!$J$6+$L36*Materials!$J$7+$M36*Materials!$J$8</f>
        <v>0</v>
      </c>
      <c r="F36" s="1">
        <f t="shared" si="3"/>
        <v>0</v>
      </c>
      <c r="G36" s="34" t="str">
        <f t="shared" si="4"/>
        <v>N/A</v>
      </c>
      <c r="H36" s="23"/>
      <c r="I36" s="2"/>
      <c r="J36" s="2"/>
      <c r="K36" s="2"/>
      <c r="L36" s="2"/>
      <c r="M36" s="24"/>
      <c r="N36" s="23"/>
      <c r="O36" s="2"/>
      <c r="P36" s="2"/>
      <c r="Q36" s="2"/>
      <c r="R36" s="24"/>
      <c r="S36" s="23"/>
      <c r="T36" s="2"/>
      <c r="U36" s="2"/>
      <c r="V36" s="2"/>
      <c r="W36" s="2"/>
      <c r="X36" s="2"/>
      <c r="Y36" s="24"/>
      <c r="Z36" s="20"/>
    </row>
    <row r="37" spans="2:26">
      <c r="B37" s="155"/>
      <c r="C37" s="90"/>
      <c r="D37" s="37"/>
      <c r="E37" s="51">
        <f>$S37*Materials!$E$3+$T37*Materials!$E$4+$U37*Materials!$E$5+$V37*Materials!$E$6+$W37*Materials!$E$7+$X37*Materials!$E$8+$Y37*Materials!$E$9+$N37*Materials!$E$10+$O37*Materials!$E$11+$P37*Materials!$E$12+$Q37*Materials!$E$13+$R37*Materials!$E$14+$H37*Materials!$J$3+$I37*Materials!$J$4+$J37*Materials!$J$5+$K37*Materials!$J$6+$L37*Materials!$J$7+$M37*Materials!$J$8</f>
        <v>0</v>
      </c>
      <c r="F37" s="1">
        <f t="shared" si="3"/>
        <v>0</v>
      </c>
      <c r="G37" s="34" t="str">
        <f t="shared" si="4"/>
        <v>N/A</v>
      </c>
      <c r="H37" s="23"/>
      <c r="I37" s="2"/>
      <c r="J37" s="2"/>
      <c r="K37" s="2"/>
      <c r="L37" s="2"/>
      <c r="M37" s="24"/>
      <c r="N37" s="23"/>
      <c r="O37" s="2"/>
      <c r="P37" s="2"/>
      <c r="Q37" s="2"/>
      <c r="R37" s="24"/>
      <c r="S37" s="23"/>
      <c r="T37" s="2"/>
      <c r="U37" s="2"/>
      <c r="V37" s="2"/>
      <c r="W37" s="2"/>
      <c r="X37" s="2"/>
      <c r="Y37" s="24"/>
      <c r="Z37" s="20"/>
    </row>
    <row r="38" spans="2:26">
      <c r="B38" s="155"/>
      <c r="C38" s="90"/>
      <c r="D38" s="37"/>
      <c r="E38" s="51">
        <f>$S38*Materials!$E$3+$T38*Materials!$E$4+$U38*Materials!$E$5+$V38*Materials!$E$6+$W38*Materials!$E$7+$X38*Materials!$E$8+$Y38*Materials!$E$9+$N38*Materials!$E$10+$O38*Materials!$E$11+$P38*Materials!$E$12+$Q38*Materials!$E$13+$R38*Materials!$E$14+$H38*Materials!$J$3+$I38*Materials!$J$4+$J38*Materials!$J$5+$K38*Materials!$J$6+$L38*Materials!$J$7+$M38*Materials!$J$8</f>
        <v>0</v>
      </c>
      <c r="F38" s="1">
        <f t="shared" si="3"/>
        <v>0</v>
      </c>
      <c r="G38" s="34" t="str">
        <f t="shared" si="4"/>
        <v>N/A</v>
      </c>
      <c r="H38" s="23"/>
      <c r="I38" s="2"/>
      <c r="J38" s="2"/>
      <c r="K38" s="2"/>
      <c r="L38" s="2"/>
      <c r="M38" s="24"/>
      <c r="N38" s="23"/>
      <c r="O38" s="2"/>
      <c r="P38" s="2"/>
      <c r="Q38" s="2"/>
      <c r="R38" s="24"/>
      <c r="S38" s="23"/>
      <c r="T38" s="2"/>
      <c r="U38" s="2"/>
      <c r="V38" s="2"/>
      <c r="W38" s="2"/>
      <c r="X38" s="2"/>
      <c r="Y38" s="24"/>
      <c r="Z38" s="20"/>
    </row>
    <row r="39" spans="2:26">
      <c r="B39" s="155"/>
      <c r="C39" s="90"/>
      <c r="D39" s="37"/>
      <c r="E39" s="51">
        <f>$S39*Materials!$E$3+$T39*Materials!$E$4+$U39*Materials!$E$5+$V39*Materials!$E$6+$W39*Materials!$E$7+$X39*Materials!$E$8+$Y39*Materials!$E$9+$N39*Materials!$E$10+$O39*Materials!$E$11+$P39*Materials!$E$12+$Q39*Materials!$E$13+$R39*Materials!$E$14+$H39*Materials!$J$3+$I39*Materials!$J$4+$J39*Materials!$J$5+$K39*Materials!$J$6+$L39*Materials!$J$7+$M39*Materials!$J$8</f>
        <v>0</v>
      </c>
      <c r="F39" s="1">
        <f t="shared" si="3"/>
        <v>0</v>
      </c>
      <c r="G39" s="34" t="str">
        <f t="shared" si="4"/>
        <v>N/A</v>
      </c>
      <c r="H39" s="23"/>
      <c r="I39" s="2"/>
      <c r="J39" s="2"/>
      <c r="K39" s="2"/>
      <c r="L39" s="2"/>
      <c r="M39" s="24"/>
      <c r="N39" s="23"/>
      <c r="O39" s="2"/>
      <c r="P39" s="2"/>
      <c r="Q39" s="2"/>
      <c r="R39" s="24"/>
      <c r="S39" s="23"/>
      <c r="T39" s="2"/>
      <c r="U39" s="2"/>
      <c r="V39" s="2"/>
      <c r="W39" s="2"/>
      <c r="X39" s="2"/>
      <c r="Y39" s="24"/>
      <c r="Z39" s="20"/>
    </row>
    <row r="40" spans="2:26">
      <c r="B40" s="155"/>
      <c r="C40" s="90"/>
      <c r="D40" s="37"/>
      <c r="E40" s="51">
        <f>$S40*Materials!$E$3+$T40*Materials!$E$4+$U40*Materials!$E$5+$V40*Materials!$E$6+$W40*Materials!$E$7+$X40*Materials!$E$8+$Y40*Materials!$E$9+$N40*Materials!$E$10+$O40*Materials!$E$11+$P40*Materials!$E$12+$Q40*Materials!$E$13+$R40*Materials!$E$14+$H40*Materials!$J$3+$I40*Materials!$J$4+$J40*Materials!$J$5+$K40*Materials!$J$6+$L40*Materials!$J$7+$M40*Materials!$J$8</f>
        <v>0</v>
      </c>
      <c r="F40" s="1">
        <f t="shared" si="3"/>
        <v>0</v>
      </c>
      <c r="G40" s="34" t="str">
        <f t="shared" si="4"/>
        <v>N/A</v>
      </c>
      <c r="H40" s="23"/>
      <c r="I40" s="2"/>
      <c r="J40" s="2"/>
      <c r="K40" s="2"/>
      <c r="L40" s="2"/>
      <c r="M40" s="24"/>
      <c r="N40" s="23"/>
      <c r="O40" s="2"/>
      <c r="P40" s="2"/>
      <c r="Q40" s="2"/>
      <c r="R40" s="24"/>
      <c r="S40" s="23"/>
      <c r="T40" s="2"/>
      <c r="U40" s="2"/>
      <c r="V40" s="2"/>
      <c r="W40" s="2"/>
      <c r="X40" s="2"/>
      <c r="Y40" s="24"/>
      <c r="Z40" s="20"/>
    </row>
    <row r="41" spans="2:26">
      <c r="B41" s="155"/>
      <c r="C41" s="90"/>
      <c r="D41" s="37"/>
      <c r="E41" s="51">
        <f>$S41*Materials!$E$3+$T41*Materials!$E$4+$U41*Materials!$E$5+$V41*Materials!$E$6+$W41*Materials!$E$7+$X41*Materials!$E$8+$Y41*Materials!$E$9+$N41*Materials!$E$10+$O41*Materials!$E$11+$P41*Materials!$E$12+$Q41*Materials!$E$13+$R41*Materials!$E$14+$H41*Materials!$J$3+$I41*Materials!$J$4+$J41*Materials!$J$5+$K41*Materials!$J$6+$L41*Materials!$J$7+$M41*Materials!$J$8</f>
        <v>0</v>
      </c>
      <c r="F41" s="1">
        <f t="shared" si="3"/>
        <v>0</v>
      </c>
      <c r="G41" s="34" t="str">
        <f t="shared" si="4"/>
        <v>N/A</v>
      </c>
      <c r="H41" s="23"/>
      <c r="I41" s="2"/>
      <c r="J41" s="2"/>
      <c r="K41" s="2"/>
      <c r="L41" s="2"/>
      <c r="M41" s="24"/>
      <c r="N41" s="23"/>
      <c r="O41" s="2"/>
      <c r="P41" s="2"/>
      <c r="Q41" s="2"/>
      <c r="R41" s="24"/>
      <c r="S41" s="23"/>
      <c r="T41" s="2"/>
      <c r="U41" s="2"/>
      <c r="V41" s="2"/>
      <c r="W41" s="2"/>
      <c r="X41" s="2"/>
      <c r="Y41" s="24"/>
      <c r="Z41" s="20"/>
    </row>
    <row r="42" spans="2:26">
      <c r="B42" s="155"/>
      <c r="C42" s="90"/>
      <c r="D42" s="37"/>
      <c r="E42" s="51">
        <f>$S42*Materials!$E$3+$T42*Materials!$E$4+$U42*Materials!$E$5+$V42*Materials!$E$6+$W42*Materials!$E$7+$X42*Materials!$E$8+$Y42*Materials!$E$9+$N42*Materials!$E$10+$O42*Materials!$E$11+$P42*Materials!$E$12+$Q42*Materials!$E$13+$R42*Materials!$E$14+$H42*Materials!$J$3+$I42*Materials!$J$4+$J42*Materials!$J$5+$K42*Materials!$J$6+$L42*Materials!$J$7+$M42*Materials!$J$8</f>
        <v>0</v>
      </c>
      <c r="F42" s="1">
        <f t="shared" si="3"/>
        <v>0</v>
      </c>
      <c r="G42" s="34" t="str">
        <f t="shared" si="4"/>
        <v>N/A</v>
      </c>
      <c r="H42" s="23"/>
      <c r="I42" s="2"/>
      <c r="J42" s="2"/>
      <c r="K42" s="2"/>
      <c r="L42" s="2"/>
      <c r="M42" s="24"/>
      <c r="N42" s="23"/>
      <c r="O42" s="2"/>
      <c r="P42" s="2"/>
      <c r="Q42" s="2"/>
      <c r="R42" s="24"/>
      <c r="S42" s="23"/>
      <c r="T42" s="2"/>
      <c r="U42" s="2"/>
      <c r="V42" s="2"/>
      <c r="W42" s="2"/>
      <c r="X42" s="2"/>
      <c r="Y42" s="24"/>
      <c r="Z42" s="20"/>
    </row>
    <row r="43" spans="2:26">
      <c r="B43" s="155"/>
      <c r="C43" s="90"/>
      <c r="D43" s="37"/>
      <c r="E43" s="51">
        <f>$S43*Materials!$E$3+$T43*Materials!$E$4+$U43*Materials!$E$5+$V43*Materials!$E$6+$W43*Materials!$E$7+$X43*Materials!$E$8+$Y43*Materials!$E$9+$N43*Materials!$E$10+$O43*Materials!$E$11+$P43*Materials!$E$12+$Q43*Materials!$E$13+$R43*Materials!$E$14+$H43*Materials!$J$3+$I43*Materials!$J$4+$J43*Materials!$J$5+$K43*Materials!$J$6+$L43*Materials!$J$7+$M43*Materials!$J$8</f>
        <v>0</v>
      </c>
      <c r="F43" s="1">
        <f t="shared" si="3"/>
        <v>0</v>
      </c>
      <c r="G43" s="34" t="str">
        <f t="shared" si="4"/>
        <v>N/A</v>
      </c>
      <c r="H43" s="23"/>
      <c r="I43" s="2"/>
      <c r="J43" s="2"/>
      <c r="K43" s="2"/>
      <c r="L43" s="2"/>
      <c r="M43" s="24"/>
      <c r="N43" s="23"/>
      <c r="O43" s="2"/>
      <c r="P43" s="2"/>
      <c r="Q43" s="2"/>
      <c r="R43" s="24"/>
      <c r="S43" s="23"/>
      <c r="T43" s="2"/>
      <c r="U43" s="2"/>
      <c r="V43" s="2"/>
      <c r="W43" s="2"/>
      <c r="X43" s="2"/>
      <c r="Y43" s="24"/>
      <c r="Z43" s="20"/>
    </row>
    <row r="44" spans="2:26">
      <c r="B44" s="155"/>
      <c r="C44" s="92"/>
      <c r="D44" s="37"/>
      <c r="E44" s="51">
        <f>$S44*Materials!$E$3+$T44*Materials!$E$4+$U44*Materials!$E$5+$V44*Materials!$E$6+$W44*Materials!$E$7+$X44*Materials!$E$8+$Y44*Materials!$E$9+$N44*Materials!$E$10+$O44*Materials!$E$11+$P44*Materials!$E$12+$Q44*Materials!$E$13+$R44*Materials!$E$14+$H44*Materials!$J$3+$I44*Materials!$J$4+$J44*Materials!$J$5+$K44*Materials!$J$6+$L44*Materials!$J$7+$M44*Materials!$J$8</f>
        <v>0</v>
      </c>
      <c r="F44" s="1">
        <f t="shared" si="3"/>
        <v>0</v>
      </c>
      <c r="G44" s="34" t="str">
        <f t="shared" si="4"/>
        <v>N/A</v>
      </c>
      <c r="H44" s="23"/>
      <c r="I44" s="2"/>
      <c r="J44" s="2"/>
      <c r="K44" s="2"/>
      <c r="L44" s="2"/>
      <c r="M44" s="24"/>
      <c r="N44" s="23"/>
      <c r="O44" s="2"/>
      <c r="P44" s="2"/>
      <c r="Q44" s="2"/>
      <c r="R44" s="24"/>
      <c r="S44" s="23"/>
      <c r="T44" s="2"/>
      <c r="U44" s="2"/>
      <c r="V44" s="2"/>
      <c r="W44" s="2"/>
      <c r="X44" s="2"/>
      <c r="Y44" s="24"/>
      <c r="Z44" s="20"/>
    </row>
    <row r="45" spans="2:26">
      <c r="B45" s="155"/>
      <c r="C45" s="90"/>
      <c r="D45" s="37"/>
      <c r="E45" s="51">
        <f>$S45*Materials!$E$3+$T45*Materials!$E$4+$U45*Materials!$E$5+$V45*Materials!$E$6+$W45*Materials!$E$7+$X45*Materials!$E$8+$Y45*Materials!$E$9+$N45*Materials!$E$10+$O45*Materials!$E$11+$P45*Materials!$E$12+$Q45*Materials!$E$13+$R45*Materials!$E$14+$H45*Materials!$J$3+$I45*Materials!$J$4+$J45*Materials!$J$5+$K45*Materials!$J$6+$L45*Materials!$J$7+$M45*Materials!$J$8</f>
        <v>0</v>
      </c>
      <c r="F45" s="1">
        <f t="shared" si="3"/>
        <v>0</v>
      </c>
      <c r="G45" s="34" t="str">
        <f t="shared" si="4"/>
        <v>N/A</v>
      </c>
      <c r="H45" s="23"/>
      <c r="I45" s="2"/>
      <c r="J45" s="2"/>
      <c r="K45" s="2"/>
      <c r="L45" s="2"/>
      <c r="M45" s="24"/>
      <c r="N45" s="23"/>
      <c r="O45" s="2"/>
      <c r="P45" s="2"/>
      <c r="Q45" s="2"/>
      <c r="R45" s="24"/>
      <c r="S45" s="23"/>
      <c r="T45" s="2"/>
      <c r="U45" s="2"/>
      <c r="V45" s="2"/>
      <c r="W45" s="2"/>
      <c r="X45" s="2"/>
      <c r="Y45" s="24"/>
      <c r="Z45" s="20"/>
    </row>
    <row r="46" spans="2:26">
      <c r="B46" s="155"/>
      <c r="C46" s="90"/>
      <c r="D46" s="37"/>
      <c r="E46" s="51">
        <f>$S46*Materials!$E$3+$T46*Materials!$E$4+$U46*Materials!$E$5+$V46*Materials!$E$6+$W46*Materials!$E$7+$X46*Materials!$E$8+$Y46*Materials!$E$9+$N46*Materials!$E$10+$O46*Materials!$E$11+$P46*Materials!$E$12+$Q46*Materials!$E$13+$R46*Materials!$E$14+$H46*Materials!$J$3+$I46*Materials!$J$4+$J46*Materials!$J$5+$K46*Materials!$J$6+$L46*Materials!$J$7+$M46*Materials!$J$8</f>
        <v>0</v>
      </c>
      <c r="F46" s="1">
        <f t="shared" si="0"/>
        <v>0</v>
      </c>
      <c r="G46" s="34" t="str">
        <f t="shared" si="2"/>
        <v>N/A</v>
      </c>
      <c r="H46" s="23"/>
      <c r="I46" s="2"/>
      <c r="J46" s="2"/>
      <c r="K46" s="2"/>
      <c r="L46" s="2"/>
      <c r="M46" s="24"/>
      <c r="N46" s="23"/>
      <c r="O46" s="2"/>
      <c r="P46" s="2"/>
      <c r="Q46" s="2"/>
      <c r="R46" s="24"/>
      <c r="S46" s="23"/>
      <c r="T46" s="2"/>
      <c r="U46" s="2"/>
      <c r="V46" s="2"/>
      <c r="W46" s="2"/>
      <c r="X46" s="2"/>
      <c r="Y46" s="24"/>
      <c r="Z46" s="20"/>
    </row>
    <row r="47" spans="2:26">
      <c r="B47" s="155"/>
      <c r="C47" s="90"/>
      <c r="D47" s="37"/>
      <c r="E47" s="51">
        <f>$S47*Materials!$E$3+$T47*Materials!$E$4+$U47*Materials!$E$5+$V47*Materials!$E$6+$W47*Materials!$E$7+$X47*Materials!$E$8+$Y47*Materials!$E$9+$N47*Materials!$E$10+$O47*Materials!$E$11+$P47*Materials!$E$12+$Q47*Materials!$E$13+$R47*Materials!$E$14+$H47*Materials!$J$3+$I47*Materials!$J$4+$J47*Materials!$J$5+$K47*Materials!$J$6+$L47*Materials!$J$7+$M47*Materials!$J$8</f>
        <v>0</v>
      </c>
      <c r="F47" s="1">
        <f t="shared" si="0"/>
        <v>0</v>
      </c>
      <c r="G47" s="34" t="str">
        <f t="shared" si="2"/>
        <v>N/A</v>
      </c>
      <c r="H47" s="23"/>
      <c r="I47" s="2"/>
      <c r="J47" s="2"/>
      <c r="K47" s="2"/>
      <c r="L47" s="2"/>
      <c r="M47" s="24"/>
      <c r="N47" s="23"/>
      <c r="O47" s="2"/>
      <c r="P47" s="2"/>
      <c r="Q47" s="2"/>
      <c r="R47" s="24"/>
      <c r="S47" s="23"/>
      <c r="T47" s="2"/>
      <c r="U47" s="2"/>
      <c r="V47" s="2"/>
      <c r="W47" s="2"/>
      <c r="X47" s="2"/>
      <c r="Y47" s="24"/>
      <c r="Z47" s="20"/>
    </row>
    <row r="48" spans="2:26">
      <c r="B48" s="155"/>
      <c r="C48" s="90"/>
      <c r="D48" s="37"/>
      <c r="E48" s="51">
        <f>$S48*Materials!$E$3+$T48*Materials!$E$4+$U48*Materials!$E$5+$V48*Materials!$E$6+$W48*Materials!$E$7+$X48*Materials!$E$8+$Y48*Materials!$E$9+$N48*Materials!$E$10+$O48*Materials!$E$11+$P48*Materials!$E$12+$Q48*Materials!$E$13+$R48*Materials!$E$14+$H48*Materials!$J$3+$I48*Materials!$J$4+$J48*Materials!$J$5+$K48*Materials!$J$6+$L48*Materials!$J$7+$M48*Materials!$J$8</f>
        <v>0</v>
      </c>
      <c r="F48" s="1">
        <f t="shared" si="0"/>
        <v>0</v>
      </c>
      <c r="G48" s="34" t="str">
        <f t="shared" si="2"/>
        <v>N/A</v>
      </c>
      <c r="H48" s="23"/>
      <c r="I48" s="2"/>
      <c r="J48" s="2"/>
      <c r="K48" s="2"/>
      <c r="L48" s="2"/>
      <c r="M48" s="24"/>
      <c r="N48" s="23"/>
      <c r="O48" s="2"/>
      <c r="P48" s="2"/>
      <c r="Q48" s="2"/>
      <c r="R48" s="24"/>
      <c r="S48" s="23"/>
      <c r="T48" s="2"/>
      <c r="U48" s="2"/>
      <c r="V48" s="2"/>
      <c r="W48" s="2"/>
      <c r="X48" s="2"/>
      <c r="Y48" s="24"/>
      <c r="Z48" s="20"/>
    </row>
    <row r="49" spans="1:43">
      <c r="B49" s="155"/>
      <c r="C49" s="90"/>
      <c r="D49" s="37"/>
      <c r="E49" s="51">
        <f>$S49*Materials!$E$3+$T49*Materials!$E$4+$U49*Materials!$E$5+$V49*Materials!$E$6+$W49*Materials!$E$7+$X49*Materials!$E$8+$Y49*Materials!$E$9+$N49*Materials!$E$10+$O49*Materials!$E$11+$P49*Materials!$E$12+$Q49*Materials!$E$13+$R49*Materials!$E$14+$H49*Materials!$J$3+$I49*Materials!$J$4+$J49*Materials!$J$5+$K49*Materials!$J$6+$L49*Materials!$J$7+$M49*Materials!$J$8</f>
        <v>0</v>
      </c>
      <c r="F49" s="1">
        <f t="shared" si="0"/>
        <v>0</v>
      </c>
      <c r="G49" s="34" t="str">
        <f t="shared" si="2"/>
        <v>N/A</v>
      </c>
      <c r="H49" s="23"/>
      <c r="I49" s="2"/>
      <c r="J49" s="2"/>
      <c r="K49" s="2"/>
      <c r="L49" s="2"/>
      <c r="M49" s="24"/>
      <c r="N49" s="23"/>
      <c r="O49" s="2"/>
      <c r="P49" s="2"/>
      <c r="Q49" s="2"/>
      <c r="R49" s="24"/>
      <c r="S49" s="23"/>
      <c r="T49" s="2"/>
      <c r="U49" s="2"/>
      <c r="V49" s="2"/>
      <c r="W49" s="2"/>
      <c r="X49" s="2"/>
      <c r="Y49" s="24"/>
      <c r="Z49" s="20"/>
    </row>
    <row r="50" spans="1:43">
      <c r="B50" s="155"/>
      <c r="C50" s="90"/>
      <c r="D50" s="37"/>
      <c r="E50" s="51">
        <f>$S50*Materials!$E$3+$T50*Materials!$E$4+$U50*Materials!$E$5+$V50*Materials!$E$6+$W50*Materials!$E$7+$X50*Materials!$E$8+$Y50*Materials!$E$9+$N50*Materials!$E$10+$O50*Materials!$E$11+$P50*Materials!$E$12+$Q50*Materials!$E$13+$R50*Materials!$E$14+$H50*Materials!$J$3+$I50*Materials!$J$4+$J50*Materials!$J$5+$K50*Materials!$J$6+$L50*Materials!$J$7+$M50*Materials!$J$8</f>
        <v>0</v>
      </c>
      <c r="F50" s="1">
        <f t="shared" ref="F50:F53" si="5">(D50-E50)-(D50)*0.03</f>
        <v>0</v>
      </c>
      <c r="G50" s="34" t="str">
        <f t="shared" ref="G50:G53" si="6">IF(E50&gt;0,F50/E50,"N/A")</f>
        <v>N/A</v>
      </c>
      <c r="H50" s="23"/>
      <c r="I50" s="2"/>
      <c r="J50" s="2"/>
      <c r="K50" s="2"/>
      <c r="L50" s="2"/>
      <c r="M50" s="24"/>
      <c r="N50" s="23"/>
      <c r="O50" s="2"/>
      <c r="P50" s="2"/>
      <c r="Q50" s="2"/>
      <c r="R50" s="24"/>
      <c r="S50" s="23"/>
      <c r="T50" s="2"/>
      <c r="U50" s="2"/>
      <c r="V50" s="2"/>
      <c r="W50" s="2"/>
      <c r="X50" s="2"/>
      <c r="Y50" s="24"/>
      <c r="Z50" s="20"/>
    </row>
    <row r="51" spans="1:43">
      <c r="B51" s="155"/>
      <c r="C51" s="90"/>
      <c r="D51" s="37"/>
      <c r="E51" s="51">
        <f>$S51*Materials!$E$3+$T51*Materials!$E$4+$U51*Materials!$E$5+$V51*Materials!$E$6+$W51*Materials!$E$7+$X51*Materials!$E$8+$Y51*Materials!$E$9+$N51*Materials!$E$10+$O51*Materials!$E$11+$P51*Materials!$E$12+$Q51*Materials!$E$13+$R51*Materials!$E$14+$H51*Materials!$J$3+$I51*Materials!$J$4+$J51*Materials!$J$5+$K51*Materials!$J$6+$L51*Materials!$J$7+$M51*Materials!$J$8</f>
        <v>0</v>
      </c>
      <c r="F51" s="1">
        <f t="shared" si="5"/>
        <v>0</v>
      </c>
      <c r="G51" s="34" t="str">
        <f t="shared" si="6"/>
        <v>N/A</v>
      </c>
      <c r="H51" s="23"/>
      <c r="I51" s="2"/>
      <c r="J51" s="2"/>
      <c r="K51" s="2"/>
      <c r="L51" s="2"/>
      <c r="M51" s="24"/>
      <c r="N51" s="23"/>
      <c r="O51" s="2"/>
      <c r="P51" s="2"/>
      <c r="Q51" s="2"/>
      <c r="R51" s="24"/>
      <c r="S51" s="23"/>
      <c r="T51" s="2"/>
      <c r="U51" s="2"/>
      <c r="V51" s="2"/>
      <c r="W51" s="2"/>
      <c r="X51" s="2"/>
      <c r="Y51" s="24"/>
      <c r="Z51" s="20"/>
    </row>
    <row r="52" spans="1:43">
      <c r="B52" s="155"/>
      <c r="C52" s="90"/>
      <c r="D52" s="37"/>
      <c r="E52" s="51">
        <f>$S52*Materials!$E$3+$T52*Materials!$E$4+$U52*Materials!$E$5+$V52*Materials!$E$6+$W52*Materials!$E$7+$X52*Materials!$E$8+$Y52*Materials!$E$9+$N52*Materials!$E$10+$O52*Materials!$E$11+$P52*Materials!$E$12+$Q52*Materials!$E$13+$R52*Materials!$E$14+$H52*Materials!$J$3+$I52*Materials!$J$4+$J52*Materials!$J$5+$K52*Materials!$J$6+$L52*Materials!$J$7+$M52*Materials!$J$8</f>
        <v>0</v>
      </c>
      <c r="F52" s="1">
        <f t="shared" si="5"/>
        <v>0</v>
      </c>
      <c r="G52" s="34" t="str">
        <f t="shared" si="6"/>
        <v>N/A</v>
      </c>
      <c r="H52" s="23"/>
      <c r="I52" s="2"/>
      <c r="J52" s="2"/>
      <c r="K52" s="2"/>
      <c r="L52" s="2"/>
      <c r="M52" s="24"/>
      <c r="N52" s="23"/>
      <c r="O52" s="2"/>
      <c r="P52" s="2"/>
      <c r="Q52" s="2"/>
      <c r="R52" s="24"/>
      <c r="S52" s="23"/>
      <c r="T52" s="2"/>
      <c r="U52" s="2"/>
      <c r="V52" s="2"/>
      <c r="W52" s="2"/>
      <c r="X52" s="2"/>
      <c r="Y52" s="24"/>
      <c r="Z52" s="20"/>
    </row>
    <row r="53" spans="1:43">
      <c r="B53" s="155"/>
      <c r="C53" s="90"/>
      <c r="D53" s="37"/>
      <c r="E53" s="51">
        <f>$S53*Materials!$E$3+$T53*Materials!$E$4+$U53*Materials!$E$5+$V53*Materials!$E$6+$W53*Materials!$E$7+$X53*Materials!$E$8+$Y53*Materials!$E$9+$N53*Materials!$E$10+$O53*Materials!$E$11+$P53*Materials!$E$12+$Q53*Materials!$E$13+$R53*Materials!$E$14+$H53*Materials!$J$3+$I53*Materials!$J$4+$J53*Materials!$J$5+$K53*Materials!$J$6+$L53*Materials!$J$7+$M53*Materials!$J$8</f>
        <v>0</v>
      </c>
      <c r="F53" s="1">
        <f t="shared" si="5"/>
        <v>0</v>
      </c>
      <c r="G53" s="34" t="str">
        <f t="shared" si="6"/>
        <v>N/A</v>
      </c>
      <c r="H53" s="23"/>
      <c r="I53" s="2"/>
      <c r="J53" s="2"/>
      <c r="K53" s="2"/>
      <c r="L53" s="2"/>
      <c r="M53" s="24"/>
      <c r="N53" s="23"/>
      <c r="O53" s="2"/>
      <c r="P53" s="2"/>
      <c r="Q53" s="2"/>
      <c r="R53" s="24"/>
      <c r="S53" s="23"/>
      <c r="T53" s="2"/>
      <c r="U53" s="2"/>
      <c r="V53" s="2"/>
      <c r="W53" s="2"/>
      <c r="X53" s="2"/>
      <c r="Y53" s="24"/>
      <c r="Z53" s="20"/>
    </row>
    <row r="54" spans="1:43">
      <c r="B54" s="155"/>
      <c r="C54" s="90"/>
      <c r="D54" s="37"/>
      <c r="E54" s="51">
        <f>$S54*Materials!$E$3+$T54*Materials!$E$4+$U54*Materials!$E$5+$V54*Materials!$E$6+$W54*Materials!$E$7+$X54*Materials!$E$8+$Y54*Materials!$E$9+$N54*Materials!$E$10+$O54*Materials!$E$11+$P54*Materials!$E$12+$Q54*Materials!$E$13+$R54*Materials!$E$14+$H54*Materials!$J$3+$I54*Materials!$J$4+$J54*Materials!$J$5+$K54*Materials!$J$6+$L54*Materials!$J$7+$M54*Materials!$J$8</f>
        <v>0</v>
      </c>
      <c r="F54" s="1">
        <f t="shared" ref="F54:F57" si="7">(D54-E54)-(D54)*0.03</f>
        <v>0</v>
      </c>
      <c r="G54" s="34" t="str">
        <f t="shared" ref="G54:G57" si="8">IF(E54&gt;0,F54/E54,"N/A")</f>
        <v>N/A</v>
      </c>
      <c r="H54" s="23"/>
      <c r="I54" s="2"/>
      <c r="J54" s="2"/>
      <c r="K54" s="2"/>
      <c r="L54" s="2"/>
      <c r="M54" s="24"/>
      <c r="N54" s="23"/>
      <c r="O54" s="2"/>
      <c r="P54" s="2"/>
      <c r="Q54" s="2"/>
      <c r="R54" s="24"/>
      <c r="S54" s="23"/>
      <c r="T54" s="2"/>
      <c r="U54" s="2"/>
      <c r="V54" s="2"/>
      <c r="W54" s="2"/>
      <c r="X54" s="2"/>
      <c r="Y54" s="24"/>
      <c r="Z54" s="20"/>
    </row>
    <row r="55" spans="1:43">
      <c r="B55" s="155"/>
      <c r="C55" s="90"/>
      <c r="D55" s="37"/>
      <c r="E55" s="51">
        <f>$S55*Materials!$E$3+$T55*Materials!$E$4+$U55*Materials!$E$5+$V55*Materials!$E$6+$W55*Materials!$E$7+$X55*Materials!$E$8+$Y55*Materials!$E$9+$N55*Materials!$E$10+$O55*Materials!$E$11+$P55*Materials!$E$12+$Q55*Materials!$E$13+$R55*Materials!$E$14+$H55*Materials!$J$3+$I55*Materials!$J$4+$J55*Materials!$J$5+$K55*Materials!$J$6+$L55*Materials!$J$7+$M55*Materials!$J$8</f>
        <v>0</v>
      </c>
      <c r="F55" s="1">
        <f t="shared" si="7"/>
        <v>0</v>
      </c>
      <c r="G55" s="34" t="str">
        <f t="shared" si="8"/>
        <v>N/A</v>
      </c>
      <c r="H55" s="23"/>
      <c r="I55" s="2"/>
      <c r="J55" s="2"/>
      <c r="K55" s="2"/>
      <c r="L55" s="2"/>
      <c r="M55" s="24"/>
      <c r="N55" s="23"/>
      <c r="O55" s="2"/>
      <c r="P55" s="2"/>
      <c r="Q55" s="2"/>
      <c r="R55" s="24"/>
      <c r="S55" s="23"/>
      <c r="T55" s="2"/>
      <c r="U55" s="2"/>
      <c r="V55" s="2"/>
      <c r="W55" s="2"/>
      <c r="X55" s="2"/>
      <c r="Y55" s="24"/>
      <c r="Z55" s="20"/>
    </row>
    <row r="56" spans="1:43">
      <c r="B56" s="155"/>
      <c r="C56" s="90"/>
      <c r="D56" s="37"/>
      <c r="E56" s="51">
        <f>$S56*Materials!$E$3+$T56*Materials!$E$4+$U56*Materials!$E$5+$V56*Materials!$E$6+$W56*Materials!$E$7+$X56*Materials!$E$8+$Y56*Materials!$E$9+$N56*Materials!$E$10+$O56*Materials!$E$11+$P56*Materials!$E$12+$Q56*Materials!$E$13+$R56*Materials!$E$14+$H56*Materials!$J$3+$I56*Materials!$J$4+$J56*Materials!$J$5+$K56*Materials!$J$6+$L56*Materials!$J$7+$M56*Materials!$J$8</f>
        <v>0</v>
      </c>
      <c r="F56" s="1">
        <f t="shared" si="7"/>
        <v>0</v>
      </c>
      <c r="G56" s="34" t="str">
        <f t="shared" si="8"/>
        <v>N/A</v>
      </c>
      <c r="H56" s="23"/>
      <c r="I56" s="2"/>
      <c r="J56" s="2"/>
      <c r="K56" s="2"/>
      <c r="L56" s="2"/>
      <c r="M56" s="24"/>
      <c r="N56" s="23"/>
      <c r="O56" s="2"/>
      <c r="P56" s="2"/>
      <c r="Q56" s="2"/>
      <c r="R56" s="24"/>
      <c r="S56" s="23"/>
      <c r="T56" s="2"/>
      <c r="U56" s="2"/>
      <c r="V56" s="2"/>
      <c r="W56" s="2"/>
      <c r="X56" s="2"/>
      <c r="Y56" s="24"/>
      <c r="Z56" s="20"/>
    </row>
    <row r="57" spans="1:43">
      <c r="B57" s="155"/>
      <c r="C57" s="90"/>
      <c r="D57" s="37"/>
      <c r="E57" s="51">
        <f>$S57*Materials!$E$3+$T57*Materials!$E$4+$U57*Materials!$E$5+$V57*Materials!$E$6+$W57*Materials!$E$7+$X57*Materials!$E$8+$Y57*Materials!$E$9+$N57*Materials!$E$10+$O57*Materials!$E$11+$P57*Materials!$E$12+$Q57*Materials!$E$13+$R57*Materials!$E$14+$H57*Materials!$J$3+$I57*Materials!$J$4+$J57*Materials!$J$5+$K57*Materials!$J$6+$L57*Materials!$J$7+$M57*Materials!$J$8</f>
        <v>0</v>
      </c>
      <c r="F57" s="1">
        <f t="shared" si="7"/>
        <v>0</v>
      </c>
      <c r="G57" s="34" t="str">
        <f t="shared" si="8"/>
        <v>N/A</v>
      </c>
      <c r="H57" s="23"/>
      <c r="I57" s="2"/>
      <c r="J57" s="2"/>
      <c r="K57" s="2"/>
      <c r="L57" s="2"/>
      <c r="M57" s="24"/>
      <c r="N57" s="23"/>
      <c r="O57" s="2"/>
      <c r="P57" s="2"/>
      <c r="Q57" s="2"/>
      <c r="R57" s="24"/>
      <c r="S57" s="23"/>
      <c r="T57" s="2"/>
      <c r="U57" s="2"/>
      <c r="V57" s="2"/>
      <c r="W57" s="2"/>
      <c r="X57" s="2"/>
      <c r="Y57" s="24"/>
      <c r="Z57" s="20"/>
    </row>
    <row r="58" spans="1:43">
      <c r="B58" s="155"/>
      <c r="C58" s="90"/>
      <c r="D58" s="37"/>
      <c r="E58" s="51">
        <f>$S58*Materials!$E$3+$T58*Materials!$E$4+$U58*Materials!$E$5+$V58*Materials!$E$6+$W58*Materials!$E$7+$X58*Materials!$E$8+$Y58*Materials!$E$9+$N58*Materials!$E$10+$O58*Materials!$E$11+$P58*Materials!$E$12+$Q58*Materials!$E$13+$R58*Materials!$E$14+$H58*Materials!$J$3+$I58*Materials!$J$4+$J58*Materials!$J$5+$K58*Materials!$J$6+$L58*Materials!$J$7+$M58*Materials!$J$8</f>
        <v>0</v>
      </c>
      <c r="F58" s="1">
        <f t="shared" si="0"/>
        <v>0</v>
      </c>
      <c r="G58" s="34" t="str">
        <f t="shared" si="2"/>
        <v>N/A</v>
      </c>
      <c r="H58" s="23"/>
      <c r="I58" s="2"/>
      <c r="J58" s="2"/>
      <c r="K58" s="2"/>
      <c r="L58" s="2"/>
      <c r="M58" s="24"/>
      <c r="N58" s="23"/>
      <c r="O58" s="2"/>
      <c r="P58" s="2"/>
      <c r="Q58" s="2"/>
      <c r="R58" s="24"/>
      <c r="S58" s="23"/>
      <c r="T58" s="2"/>
      <c r="U58" s="2"/>
      <c r="V58" s="2"/>
      <c r="W58" s="2"/>
      <c r="X58" s="2"/>
      <c r="Y58" s="24"/>
      <c r="Z58" s="20"/>
    </row>
    <row r="59" spans="1:43">
      <c r="B59" s="155"/>
      <c r="C59" s="90"/>
      <c r="D59" s="37"/>
      <c r="E59" s="51">
        <f>$S59*Materials!$E$3+$T59*Materials!$E$4+$U59*Materials!$E$5+$V59*Materials!$E$6+$W59*Materials!$E$7+$X59*Materials!$E$8+$Y59*Materials!$E$9+$N59*Materials!$E$10+$O59*Materials!$E$11+$P59*Materials!$E$12+$Q59*Materials!$E$13+$R59*Materials!$E$14+$H59*Materials!$J$3+$I59*Materials!$J$4+$J59*Materials!$J$5+$K59*Materials!$J$6+$L59*Materials!$J$7+$M59*Materials!$J$8</f>
        <v>0</v>
      </c>
      <c r="F59" s="1">
        <f t="shared" si="0"/>
        <v>0</v>
      </c>
      <c r="G59" s="34" t="str">
        <f t="shared" si="2"/>
        <v>N/A</v>
      </c>
      <c r="H59" s="23"/>
      <c r="I59" s="2"/>
      <c r="J59" s="2"/>
      <c r="K59" s="2"/>
      <c r="L59" s="2"/>
      <c r="M59" s="24"/>
      <c r="N59" s="23"/>
      <c r="O59" s="2"/>
      <c r="P59" s="2"/>
      <c r="Q59" s="2"/>
      <c r="R59" s="24"/>
      <c r="S59" s="23"/>
      <c r="T59" s="2"/>
      <c r="U59" s="2"/>
      <c r="V59" s="2"/>
      <c r="W59" s="2"/>
      <c r="X59" s="2"/>
      <c r="Y59" s="24"/>
      <c r="Z59" s="20"/>
    </row>
    <row r="60" spans="1:43">
      <c r="B60" s="155"/>
      <c r="C60" s="90"/>
      <c r="D60" s="37"/>
      <c r="E60" s="51">
        <f>$S60*Materials!$E$3+$T60*Materials!$E$4+$U60*Materials!$E$5+$V60*Materials!$E$6+$W60*Materials!$E$7+$X60*Materials!$E$8+$Y60*Materials!$E$9+$N60*Materials!$E$10+$O60*Materials!$E$11+$P60*Materials!$E$12+$Q60*Materials!$E$13+$R60*Materials!$E$14+$H60*Materials!$J$3+$I60*Materials!$J$4+$J60*Materials!$J$5+$K60*Materials!$J$6+$L60*Materials!$J$7+$M60*Materials!$J$8</f>
        <v>0</v>
      </c>
      <c r="F60" s="1">
        <f t="shared" si="0"/>
        <v>0</v>
      </c>
      <c r="G60" s="34" t="str">
        <f t="shared" si="2"/>
        <v>N/A</v>
      </c>
      <c r="H60" s="23"/>
      <c r="I60" s="2"/>
      <c r="J60" s="2"/>
      <c r="K60" s="2"/>
      <c r="L60" s="2"/>
      <c r="M60" s="24"/>
      <c r="N60" s="23"/>
      <c r="O60" s="2"/>
      <c r="P60" s="2"/>
      <c r="Q60" s="2"/>
      <c r="R60" s="24"/>
      <c r="S60" s="23"/>
      <c r="T60" s="2"/>
      <c r="U60" s="2"/>
      <c r="V60" s="2"/>
      <c r="W60" s="2"/>
      <c r="X60" s="2"/>
      <c r="Y60" s="24"/>
      <c r="Z60" s="20"/>
    </row>
    <row r="61" spans="1:43">
      <c r="B61" s="155"/>
      <c r="C61" s="90"/>
      <c r="D61" s="37"/>
      <c r="E61" s="51">
        <f>$S61*Materials!$E$3+$T61*Materials!$E$4+$U61*Materials!$E$5+$V61*Materials!$E$6+$W61*Materials!$E$7+$X61*Materials!$E$8+$Y61*Materials!$E$9+$N61*Materials!$E$10+$O61*Materials!$E$11+$P61*Materials!$E$12+$Q61*Materials!$E$13+$R61*Materials!$E$14+$H61*Materials!$J$3+$I61*Materials!$J$4+$J61*Materials!$J$5+$K61*Materials!$J$6+$L61*Materials!$J$7+$M61*Materials!$J$8</f>
        <v>0</v>
      </c>
      <c r="F61" s="1">
        <f t="shared" si="0"/>
        <v>0</v>
      </c>
      <c r="G61" s="34" t="str">
        <f t="shared" si="2"/>
        <v>N/A</v>
      </c>
      <c r="H61" s="23"/>
      <c r="I61" s="2"/>
      <c r="J61" s="2"/>
      <c r="K61" s="2"/>
      <c r="L61" s="2"/>
      <c r="M61" s="24"/>
      <c r="N61" s="23"/>
      <c r="O61" s="2"/>
      <c r="P61" s="2"/>
      <c r="Q61" s="2"/>
      <c r="R61" s="24"/>
      <c r="S61" s="23"/>
      <c r="T61" s="2"/>
      <c r="U61" s="2"/>
      <c r="V61" s="2"/>
      <c r="W61" s="2"/>
      <c r="X61" s="2"/>
      <c r="Y61" s="24"/>
      <c r="Z61" s="20"/>
    </row>
    <row r="62" spans="1:43" ht="13.5" thickBot="1">
      <c r="B62" s="156"/>
      <c r="C62" s="91"/>
      <c r="D62" s="38"/>
      <c r="E62" s="52">
        <f>$S62*Materials!$E$3+$T62*Materials!$E$4+$U62*Materials!$E$5+$V62*Materials!$E$6+$W62*Materials!$E$7+$X62*Materials!$E$8+$Y62*Materials!$E$9+$N62*Materials!$E$10+$O62*Materials!$E$11+$P62*Materials!$E$12+$Q62*Materials!$E$13+$R62*Materials!$E$14+$H62*Materials!$J$3+$I62*Materials!$J$4+$J62*Materials!$J$5+$K62*Materials!$J$6+$L62*Materials!$J$7+$M62*Materials!$J$8</f>
        <v>0</v>
      </c>
      <c r="F62" s="6">
        <f t="shared" si="0"/>
        <v>0</v>
      </c>
      <c r="G62" s="35" t="str">
        <f t="shared" si="2"/>
        <v>N/A</v>
      </c>
      <c r="H62" s="25"/>
      <c r="I62" s="5"/>
      <c r="J62" s="5"/>
      <c r="K62" s="5"/>
      <c r="L62" s="5"/>
      <c r="M62" s="26"/>
      <c r="N62" s="25"/>
      <c r="O62" s="5"/>
      <c r="P62" s="5"/>
      <c r="Q62" s="5"/>
      <c r="R62" s="26"/>
      <c r="S62" s="25"/>
      <c r="T62" s="5"/>
      <c r="U62" s="5"/>
      <c r="V62" s="5"/>
      <c r="W62" s="5"/>
      <c r="X62" s="5"/>
      <c r="Y62" s="26"/>
      <c r="Z62" s="20"/>
    </row>
    <row r="63" spans="1:43" ht="25.5" customHeight="1">
      <c r="B63" s="20"/>
      <c r="C63" s="20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20"/>
    </row>
    <row r="64" spans="1:43" s="94" customFormat="1">
      <c r="A64" s="20"/>
      <c r="B64" s="20"/>
      <c r="C64" s="20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</row>
    <row r="65" spans="1:27">
      <c r="B65" s="8"/>
      <c r="C65" s="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8"/>
    </row>
    <row r="66" spans="1:27">
      <c r="B66" s="8"/>
      <c r="C66" s="8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8"/>
    </row>
    <row r="67" spans="1:27">
      <c r="B67" s="8"/>
      <c r="C67" s="8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8"/>
    </row>
    <row r="68" spans="1:27">
      <c r="B68" s="8"/>
      <c r="C68" s="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8"/>
    </row>
    <row r="69" spans="1:27">
      <c r="B69" s="8"/>
      <c r="C69" s="8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8"/>
    </row>
    <row r="70" spans="1:27">
      <c r="B70" s="8"/>
      <c r="C70" s="8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8"/>
    </row>
    <row r="71" spans="1:27">
      <c r="B71" s="8"/>
      <c r="C71" s="8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8"/>
    </row>
    <row r="72" spans="1:27">
      <c r="B72" s="8"/>
      <c r="C72" s="8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8"/>
    </row>
    <row r="73" spans="1:27">
      <c r="B73" s="8"/>
      <c r="C73" s="8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8"/>
    </row>
    <row r="74" spans="1:27">
      <c r="B74" s="8"/>
      <c r="C74" s="8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8"/>
    </row>
    <row r="75" spans="1:27">
      <c r="B75" s="8"/>
      <c r="C75" s="8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8"/>
    </row>
    <row r="76" spans="1:27">
      <c r="B76" s="8"/>
      <c r="C76" s="8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8"/>
    </row>
    <row r="77" spans="1:27">
      <c r="B77" s="8"/>
      <c r="C77" s="8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8"/>
    </row>
    <row r="78" spans="1:27" s="8" customFormat="1">
      <c r="A78" s="20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AA78" s="20"/>
    </row>
    <row r="79" spans="1:27" s="8" customFormat="1">
      <c r="A79" s="2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AA79" s="20"/>
    </row>
    <row r="80" spans="1:27" s="8" customFormat="1">
      <c r="A80" s="20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AA80" s="20"/>
    </row>
    <row r="81" spans="1:27" s="8" customFormat="1">
      <c r="A81" s="20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AA81" s="20"/>
    </row>
    <row r="82" spans="1:27" s="8" customFormat="1">
      <c r="A82" s="20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AA82" s="20"/>
    </row>
    <row r="83" spans="1:27" s="8" customFormat="1">
      <c r="A83" s="20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AA83" s="20"/>
    </row>
    <row r="84" spans="1:27" s="8" customFormat="1">
      <c r="A84" s="20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AA84" s="20"/>
    </row>
    <row r="85" spans="1:27" s="8" customFormat="1">
      <c r="A85" s="20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AA85" s="20"/>
    </row>
    <row r="86" spans="1:27" s="8" customFormat="1">
      <c r="A86" s="20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AA86" s="20"/>
    </row>
    <row r="87" spans="1:27" s="8" customFormat="1">
      <c r="A87" s="20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AA87" s="20"/>
    </row>
    <row r="88" spans="1:27" s="8" customFormat="1">
      <c r="A88" s="20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AA88" s="20"/>
    </row>
    <row r="89" spans="1:27" s="8" customFormat="1">
      <c r="A89" s="20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AA89" s="20"/>
    </row>
    <row r="90" spans="1:27" s="8" customFormat="1">
      <c r="A90" s="20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AA90" s="20"/>
    </row>
    <row r="91" spans="1:27" s="8" customFormat="1">
      <c r="A91" s="20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AA91" s="20"/>
    </row>
    <row r="92" spans="1:27" s="8" customFormat="1">
      <c r="A92" s="20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AA92" s="20"/>
    </row>
    <row r="93" spans="1:27" s="8" customFormat="1">
      <c r="A93" s="20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AA93" s="20"/>
    </row>
    <row r="94" spans="1:27" s="8" customFormat="1">
      <c r="A94" s="20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AA94" s="20"/>
    </row>
    <row r="95" spans="1:27" s="8" customFormat="1">
      <c r="A95" s="20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AA95" s="20"/>
    </row>
    <row r="96" spans="1:27" s="8" customFormat="1">
      <c r="A96" s="20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AA96" s="20"/>
    </row>
    <row r="97" spans="1:27" s="8" customFormat="1">
      <c r="A97" s="20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AA97" s="20"/>
    </row>
    <row r="98" spans="1:27" s="8" customFormat="1">
      <c r="A98" s="20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AA98" s="20"/>
    </row>
    <row r="99" spans="1:27" s="8" customFormat="1">
      <c r="A99" s="20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AA99" s="20"/>
    </row>
    <row r="100" spans="1:27" s="8" customFormat="1">
      <c r="A100" s="20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AA100" s="20"/>
    </row>
    <row r="101" spans="1:27" s="8" customFormat="1">
      <c r="A101" s="20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AA101" s="20"/>
    </row>
    <row r="102" spans="1:27" s="8" customFormat="1">
      <c r="A102" s="20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AA102" s="20"/>
    </row>
    <row r="103" spans="1:27" s="8" customFormat="1">
      <c r="A103" s="20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AA103" s="20"/>
    </row>
    <row r="104" spans="1:27" s="8" customFormat="1">
      <c r="A104" s="20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AA104" s="20"/>
    </row>
    <row r="105" spans="1:27" s="8" customFormat="1">
      <c r="A105" s="20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AA105" s="20"/>
    </row>
    <row r="106" spans="1:27" s="8" customFormat="1">
      <c r="A106" s="20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AA106" s="20"/>
    </row>
    <row r="107" spans="1:27" s="8" customFormat="1">
      <c r="A107" s="20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AA107" s="20"/>
    </row>
    <row r="108" spans="1:27" s="8" customFormat="1">
      <c r="A108" s="20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AA108" s="20"/>
    </row>
    <row r="109" spans="1:27" s="8" customFormat="1">
      <c r="A109" s="20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AA109" s="20"/>
    </row>
    <row r="110" spans="1:27" s="8" customFormat="1">
      <c r="A110" s="20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AA110" s="20"/>
    </row>
    <row r="111" spans="1:27" s="8" customFormat="1">
      <c r="A111" s="20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AA111" s="20"/>
    </row>
    <row r="112" spans="1:27" s="8" customFormat="1">
      <c r="A112" s="20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AA112" s="20"/>
    </row>
    <row r="113" spans="1:27" s="8" customFormat="1">
      <c r="A113" s="20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AA113" s="20"/>
    </row>
    <row r="114" spans="1:27" s="8" customFormat="1">
      <c r="A114" s="20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AA114" s="20"/>
    </row>
    <row r="115" spans="1:27" s="8" customFormat="1">
      <c r="A115" s="20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AA115" s="20"/>
    </row>
    <row r="116" spans="1:27" s="8" customFormat="1">
      <c r="A116" s="20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AA116" s="20"/>
    </row>
    <row r="117" spans="1:27" s="8" customFormat="1">
      <c r="A117" s="20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AA117" s="20"/>
    </row>
  </sheetData>
  <mergeCells count="24">
    <mergeCell ref="Y2:Y14"/>
    <mergeCell ref="U2:U14"/>
    <mergeCell ref="V2:V14"/>
    <mergeCell ref="L2:L14"/>
    <mergeCell ref="M2:M14"/>
    <mergeCell ref="N2:N14"/>
    <mergeCell ref="O2:O14"/>
    <mergeCell ref="P2:P14"/>
    <mergeCell ref="W2:W14"/>
    <mergeCell ref="X2:X14"/>
    <mergeCell ref="Q2:Q14"/>
    <mergeCell ref="B29:B62"/>
    <mergeCell ref="H15:M15"/>
    <mergeCell ref="N15:R15"/>
    <mergeCell ref="B16:B22"/>
    <mergeCell ref="B23:B28"/>
    <mergeCell ref="R2:R14"/>
    <mergeCell ref="S2:S14"/>
    <mergeCell ref="T2:T14"/>
    <mergeCell ref="S15:Y15"/>
    <mergeCell ref="H2:H14"/>
    <mergeCell ref="I2:I14"/>
    <mergeCell ref="J2:J14"/>
    <mergeCell ref="K2:K14"/>
  </mergeCells>
  <phoneticPr fontId="2" type="noConversion"/>
  <conditionalFormatting sqref="F16:G62">
    <cfRule type="cellIs" dxfId="11" priority="1" stopIfTrue="1" operator="lessThan">
      <formula>0</formula>
    </cfRule>
    <cfRule type="cellIs" dxfId="10" priority="2" stopIfTrue="1" operator="greaterThan">
      <formula>0</formula>
    </cfRule>
    <cfRule type="cellIs" dxfId="9" priority="3" stopIfTrue="1" operator="equal">
      <formula>0</formula>
    </cfRule>
  </conditionalFormatting>
  <pageMargins left="0.75" right="0.75" top="1" bottom="1" header="0.5" footer="0.5"/>
  <pageSetup paperSize="9" orientation="portrait" verticalDpi="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Q1056"/>
  <sheetViews>
    <sheetView zoomScale="75" workbookViewId="0"/>
  </sheetViews>
  <sheetFormatPr defaultRowHeight="12.75"/>
  <cols>
    <col min="1" max="1" width="3.5703125" style="20" customWidth="1"/>
    <col min="2" max="2" width="13.7109375" style="227" bestFit="1" customWidth="1"/>
    <col min="3" max="3" width="37.7109375" style="88" bestFit="1" customWidth="1"/>
    <col min="4" max="7" width="11.5703125" style="228" customWidth="1"/>
    <col min="8" max="8" width="5.85546875" style="88" customWidth="1"/>
    <col min="9" max="9" width="13.7109375" style="88" customWidth="1"/>
    <col min="10" max="10" width="38" style="88" customWidth="1"/>
    <col min="11" max="14" width="11.5703125" style="88" customWidth="1"/>
    <col min="15" max="15" width="5.5703125" style="88" customWidth="1"/>
    <col min="16" max="16" width="13.7109375" style="88" customWidth="1"/>
    <col min="17" max="17" width="37.7109375" style="88" customWidth="1"/>
    <col min="18" max="19" width="11.5703125" style="88" customWidth="1"/>
    <col min="20" max="21" width="11.5703125" style="15" customWidth="1"/>
    <col min="22" max="16384" width="9.140625" style="15"/>
  </cols>
  <sheetData>
    <row r="1" spans="1:21" s="20" customFormat="1" ht="15" customHeight="1" thickBot="1">
      <c r="B1" s="229"/>
      <c r="C1" s="93"/>
      <c r="D1" s="207"/>
      <c r="E1" s="207"/>
      <c r="F1" s="207"/>
      <c r="G1" s="207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  <c r="U1" s="94"/>
    </row>
    <row r="2" spans="1:21" s="8" customFormat="1" ht="12.75" customHeight="1">
      <c r="A2" s="20"/>
      <c r="B2" s="210" t="s">
        <v>122</v>
      </c>
      <c r="C2" s="213"/>
      <c r="D2" s="95"/>
      <c r="E2" s="208"/>
      <c r="F2" s="216"/>
      <c r="G2" s="97"/>
      <c r="H2" s="88"/>
      <c r="I2" s="210" t="s">
        <v>135</v>
      </c>
      <c r="J2" s="213"/>
      <c r="K2" s="95"/>
      <c r="L2" s="208"/>
      <c r="M2" s="216"/>
      <c r="N2" s="97"/>
      <c r="O2" s="88"/>
      <c r="P2" s="210" t="s">
        <v>144</v>
      </c>
      <c r="Q2" s="213"/>
      <c r="R2" s="95"/>
      <c r="S2" s="208"/>
      <c r="T2" s="216"/>
      <c r="U2" s="97"/>
    </row>
    <row r="3" spans="1:21" s="8" customFormat="1" ht="12.75" customHeight="1">
      <c r="A3" s="20"/>
      <c r="B3" s="211"/>
      <c r="C3" s="214"/>
      <c r="D3" s="98"/>
      <c r="E3" s="218" t="s">
        <v>142</v>
      </c>
      <c r="F3" s="217" t="s">
        <v>133</v>
      </c>
      <c r="G3" s="100"/>
      <c r="H3" s="88"/>
      <c r="I3" s="211"/>
      <c r="J3" s="214"/>
      <c r="K3" s="98"/>
      <c r="L3" s="218" t="s">
        <v>142</v>
      </c>
      <c r="M3" s="217" t="s">
        <v>123</v>
      </c>
      <c r="N3" s="100"/>
      <c r="O3" s="88"/>
      <c r="P3" s="211"/>
      <c r="Q3" s="214"/>
      <c r="R3" s="98"/>
      <c r="S3" s="218" t="s">
        <v>142</v>
      </c>
      <c r="T3" s="217" t="s">
        <v>133</v>
      </c>
      <c r="U3" s="100"/>
    </row>
    <row r="4" spans="1:21" s="8" customFormat="1" ht="12.75" customHeight="1">
      <c r="A4" s="20"/>
      <c r="B4" s="211"/>
      <c r="C4" s="214"/>
      <c r="D4" s="98"/>
      <c r="E4" s="218" t="s">
        <v>121</v>
      </c>
      <c r="F4" s="217" t="s">
        <v>124</v>
      </c>
      <c r="G4" s="100"/>
      <c r="H4" s="88"/>
      <c r="I4" s="211"/>
      <c r="J4" s="214"/>
      <c r="K4" s="98"/>
      <c r="L4" s="218" t="s">
        <v>121</v>
      </c>
      <c r="M4" s="217" t="s">
        <v>127</v>
      </c>
      <c r="N4" s="100"/>
      <c r="O4" s="88"/>
      <c r="P4" s="211"/>
      <c r="Q4" s="214"/>
      <c r="R4" s="98"/>
      <c r="S4" s="218" t="s">
        <v>121</v>
      </c>
      <c r="T4" s="217" t="s">
        <v>138</v>
      </c>
      <c r="U4" s="100"/>
    </row>
    <row r="5" spans="1:21" s="8" customFormat="1" ht="12.75" customHeight="1" thickBot="1">
      <c r="A5" s="20"/>
      <c r="B5" s="212"/>
      <c r="C5" s="215"/>
      <c r="D5" s="99"/>
      <c r="E5" s="209"/>
      <c r="F5" s="99"/>
      <c r="G5" s="100"/>
      <c r="H5" s="88"/>
      <c r="I5" s="212"/>
      <c r="J5" s="215"/>
      <c r="K5" s="99"/>
      <c r="L5" s="209"/>
      <c r="M5" s="99"/>
      <c r="N5" s="100"/>
      <c r="O5" s="88"/>
      <c r="P5" s="212"/>
      <c r="Q5" s="215"/>
      <c r="R5" s="99"/>
      <c r="S5" s="209"/>
      <c r="T5" s="99"/>
      <c r="U5" s="100"/>
    </row>
    <row r="6" spans="1:21" s="8" customFormat="1" ht="12.75" customHeight="1" thickBot="1">
      <c r="A6" s="20"/>
      <c r="B6" s="194" t="s">
        <v>118</v>
      </c>
      <c r="C6" s="194" t="s">
        <v>120</v>
      </c>
      <c r="D6" s="194" t="s">
        <v>51</v>
      </c>
      <c r="E6" s="104" t="s">
        <v>48</v>
      </c>
      <c r="F6" s="105" t="s">
        <v>52</v>
      </c>
      <c r="G6" s="106" t="s">
        <v>53</v>
      </c>
      <c r="H6" s="88"/>
      <c r="I6" s="194" t="s">
        <v>118</v>
      </c>
      <c r="J6" s="194" t="s">
        <v>120</v>
      </c>
      <c r="K6" s="194" t="s">
        <v>51</v>
      </c>
      <c r="L6" s="104" t="s">
        <v>48</v>
      </c>
      <c r="M6" s="105" t="s">
        <v>52</v>
      </c>
      <c r="N6" s="106" t="s">
        <v>53</v>
      </c>
      <c r="O6" s="88"/>
      <c r="P6" s="194" t="s">
        <v>118</v>
      </c>
      <c r="Q6" s="194" t="s">
        <v>120</v>
      </c>
      <c r="R6" s="194" t="s">
        <v>51</v>
      </c>
      <c r="S6" s="104" t="s">
        <v>48</v>
      </c>
      <c r="T6" s="105" t="s">
        <v>52</v>
      </c>
      <c r="U6" s="106" t="s">
        <v>53</v>
      </c>
    </row>
    <row r="7" spans="1:21" s="8" customFormat="1" ht="12.75" customHeight="1" thickBot="1">
      <c r="A7" s="20"/>
      <c r="B7" s="195"/>
      <c r="C7" s="202" t="s">
        <v>119</v>
      </c>
      <c r="D7" s="196"/>
      <c r="E7" s="185">
        <f>2*Materials!$E$5+4*Materials!$E$10+2*Materials!$E$11+1*Materials!$J$8</f>
        <v>400</v>
      </c>
      <c r="F7" s="192">
        <f>(D7-E7)-(D7)*0.03</f>
        <v>-400</v>
      </c>
      <c r="G7" s="193">
        <f>IF(E7&gt;0,F7/E7,"N/A")</f>
        <v>-1</v>
      </c>
      <c r="H7" s="88"/>
      <c r="I7" s="195"/>
      <c r="J7" s="202" t="s">
        <v>80</v>
      </c>
      <c r="K7" s="196"/>
      <c r="L7" s="185">
        <f>2*Materials!$E$5+4*Materials!$E$10+2*Materials!$E$11+1*Materials!$J$8</f>
        <v>400</v>
      </c>
      <c r="M7" s="192">
        <f>(K7-L7)-(K7)*0.03</f>
        <v>-400</v>
      </c>
      <c r="N7" s="193">
        <f>IF(L7&gt;0,M7/L7,"N/A")</f>
        <v>-1</v>
      </c>
      <c r="O7" s="88"/>
      <c r="P7" s="195"/>
      <c r="Q7" s="202" t="s">
        <v>145</v>
      </c>
      <c r="R7" s="196"/>
      <c r="S7" s="185">
        <f>2*Materials!$E$10+4*Materials!$E$11+2*Materials!$E$12+1*Materials!$J$8</f>
        <v>400</v>
      </c>
      <c r="T7" s="192">
        <f>(R7-S7)-(R7)*0.03</f>
        <v>-400</v>
      </c>
      <c r="U7" s="193">
        <f>IF(S7&gt;0,T7/S7,"N/A")</f>
        <v>-1</v>
      </c>
    </row>
    <row r="8" spans="1:21" s="8" customFormat="1" ht="13.5" thickBot="1">
      <c r="A8" s="20"/>
      <c r="B8" s="220" t="s">
        <v>93</v>
      </c>
      <c r="C8" s="221" t="s">
        <v>73</v>
      </c>
      <c r="D8" s="222"/>
      <c r="E8" s="223">
        <f>2*Materials!$E$5+4*Materials!$E$10+2*Materials!$E$11+2*Materials!$E$13+1*Materials!$J$8</f>
        <v>400</v>
      </c>
      <c r="F8" s="224">
        <f>(D8-E8)-(D8)*0.03</f>
        <v>-400</v>
      </c>
      <c r="G8" s="225">
        <f t="shared" ref="G8:G14" si="0">IF(E8&gt;0,F8/E8,"N/A")</f>
        <v>-1</v>
      </c>
      <c r="H8" s="88"/>
      <c r="I8" s="220" t="s">
        <v>93</v>
      </c>
      <c r="J8" s="221" t="s">
        <v>80</v>
      </c>
      <c r="K8" s="222"/>
      <c r="L8" s="223">
        <f>2*Materials!$E$5+4*Materials!$E$10+2*Materials!$E$11+2*Materials!$E$13+1*Materials!$J$8</f>
        <v>400</v>
      </c>
      <c r="M8" s="224">
        <f>(K8-L8)-(K8)*0.03</f>
        <v>-400</v>
      </c>
      <c r="N8" s="225">
        <f t="shared" ref="N8:N14" si="1">IF(L8&gt;0,M8/L8,"N/A")</f>
        <v>-1</v>
      </c>
      <c r="O8" s="88"/>
      <c r="P8" s="220" t="s">
        <v>93</v>
      </c>
      <c r="Q8" s="221" t="s">
        <v>145</v>
      </c>
      <c r="R8" s="222"/>
      <c r="S8" s="223">
        <f>2*Materials!$E$10+4*Materials!$E$11+2*Materials!$E$12+2*Materials!$E$13+1*Materials!$J$8</f>
        <v>400</v>
      </c>
      <c r="T8" s="224">
        <f>(R8-S8)-(R8)*0.03</f>
        <v>-400</v>
      </c>
      <c r="U8" s="225">
        <f t="shared" ref="U8:U14" si="2">IF(S8&gt;0,T8/S8,"N/A")</f>
        <v>-1</v>
      </c>
    </row>
    <row r="9" spans="1:21" s="8" customFormat="1">
      <c r="A9" s="20"/>
      <c r="B9" s="197" t="s">
        <v>69</v>
      </c>
      <c r="C9" s="219" t="s">
        <v>73</v>
      </c>
      <c r="D9" s="48"/>
      <c r="E9" s="191">
        <f>2*Materials!$E$5+4*Materials!$E$10+2*Materials!$E$11+2*Materials!$E$14+1*Materials!$J$8</f>
        <v>400</v>
      </c>
      <c r="F9" s="188">
        <f t="shared" ref="F9:F16" si="3">(D9-E9)-(D9)*0.03</f>
        <v>-400</v>
      </c>
      <c r="G9" s="189">
        <f t="shared" si="0"/>
        <v>-1</v>
      </c>
      <c r="H9" s="88"/>
      <c r="I9" s="197" t="s">
        <v>69</v>
      </c>
      <c r="J9" s="219" t="s">
        <v>80</v>
      </c>
      <c r="K9" s="48"/>
      <c r="L9" s="191">
        <f>2*Materials!$E$5+4*Materials!$E$10+2*Materials!$E$11+2*Materials!$E$14+1*Materials!$J$8</f>
        <v>400</v>
      </c>
      <c r="M9" s="188">
        <f t="shared" ref="M9:M16" si="4">(K9-L9)-(K9)*0.03</f>
        <v>-400</v>
      </c>
      <c r="N9" s="189">
        <f t="shared" si="1"/>
        <v>-1</v>
      </c>
      <c r="O9" s="88"/>
      <c r="P9" s="197" t="s">
        <v>69</v>
      </c>
      <c r="Q9" s="219" t="s">
        <v>145</v>
      </c>
      <c r="R9" s="48"/>
      <c r="S9" s="191">
        <f>2*Materials!$E$10+4*Materials!$E$11+2*Materials!$E$12+2*Materials!$E$14+1*Materials!$J$8</f>
        <v>400</v>
      </c>
      <c r="T9" s="188">
        <f t="shared" ref="T9:T16" si="5">(R9-S9)-(R9)*0.03</f>
        <v>-400</v>
      </c>
      <c r="U9" s="189">
        <f t="shared" si="2"/>
        <v>-1</v>
      </c>
    </row>
    <row r="10" spans="1:21" s="8" customFormat="1">
      <c r="A10" s="20"/>
      <c r="B10" s="199" t="s">
        <v>70</v>
      </c>
      <c r="C10" s="198" t="s">
        <v>73</v>
      </c>
      <c r="D10" s="37"/>
      <c r="E10" s="46">
        <f>2*Materials!$E$5+4*Materials!$E$10+2*Materials!$E$11+2*Materials!$E$14+1*Materials!$J$8</f>
        <v>400</v>
      </c>
      <c r="F10" s="1">
        <f t="shared" si="3"/>
        <v>-400</v>
      </c>
      <c r="G10" s="34">
        <f t="shared" si="0"/>
        <v>-1</v>
      </c>
      <c r="H10" s="88"/>
      <c r="I10" s="199" t="s">
        <v>70</v>
      </c>
      <c r="J10" s="198" t="s">
        <v>80</v>
      </c>
      <c r="K10" s="37"/>
      <c r="L10" s="46">
        <f>2*Materials!$E$5+4*Materials!$E$10+2*Materials!$E$11+2*Materials!$E$14+1*Materials!$J$8</f>
        <v>400</v>
      </c>
      <c r="M10" s="1">
        <f t="shared" si="4"/>
        <v>-400</v>
      </c>
      <c r="N10" s="34">
        <f t="shared" si="1"/>
        <v>-1</v>
      </c>
      <c r="O10" s="88"/>
      <c r="P10" s="199" t="s">
        <v>70</v>
      </c>
      <c r="Q10" s="198" t="s">
        <v>145</v>
      </c>
      <c r="R10" s="37"/>
      <c r="S10" s="46">
        <f>2*Materials!$E$10+4*Materials!$E$11+2*Materials!$E$12+2*Materials!$E$14+1*Materials!$J$8</f>
        <v>400</v>
      </c>
      <c r="T10" s="1">
        <f t="shared" si="5"/>
        <v>-400</v>
      </c>
      <c r="U10" s="34">
        <f t="shared" si="2"/>
        <v>-1</v>
      </c>
    </row>
    <row r="11" spans="1:21" s="8" customFormat="1">
      <c r="A11" s="20"/>
      <c r="B11" s="197" t="s">
        <v>71</v>
      </c>
      <c r="C11" s="198" t="s">
        <v>73</v>
      </c>
      <c r="D11" s="37"/>
      <c r="E11" s="46">
        <f>2*Materials!$E$5+4*Materials!$E$10+2*Materials!$E$11+2*Materials!$E$14+1*Materials!$J$8</f>
        <v>400</v>
      </c>
      <c r="F11" s="1">
        <f t="shared" si="3"/>
        <v>-400</v>
      </c>
      <c r="G11" s="34">
        <f t="shared" si="0"/>
        <v>-1</v>
      </c>
      <c r="H11" s="88"/>
      <c r="I11" s="197" t="s">
        <v>71</v>
      </c>
      <c r="J11" s="198" t="s">
        <v>80</v>
      </c>
      <c r="K11" s="37"/>
      <c r="L11" s="46">
        <f>2*Materials!$E$5+4*Materials!$E$10+2*Materials!$E$11+2*Materials!$E$14+1*Materials!$J$8</f>
        <v>400</v>
      </c>
      <c r="M11" s="1">
        <f t="shared" si="4"/>
        <v>-400</v>
      </c>
      <c r="N11" s="34">
        <f t="shared" si="1"/>
        <v>-1</v>
      </c>
      <c r="O11" s="88"/>
      <c r="P11" s="197" t="s">
        <v>71</v>
      </c>
      <c r="Q11" s="198" t="s">
        <v>145</v>
      </c>
      <c r="R11" s="37"/>
      <c r="S11" s="46">
        <f>2*Materials!$E$10+4*Materials!$E$11+2*Materials!$E$12+2*Materials!$E$14+1*Materials!$J$8</f>
        <v>400</v>
      </c>
      <c r="T11" s="1">
        <f t="shared" si="5"/>
        <v>-400</v>
      </c>
      <c r="U11" s="34">
        <f t="shared" si="2"/>
        <v>-1</v>
      </c>
    </row>
    <row r="12" spans="1:21" s="8" customFormat="1">
      <c r="A12" s="20"/>
      <c r="B12" s="199" t="s">
        <v>117</v>
      </c>
      <c r="C12" s="198" t="s">
        <v>73</v>
      </c>
      <c r="D12" s="37"/>
      <c r="E12" s="46">
        <f>2*Materials!$E$5+4*Materials!$E$10+2*Materials!$E$11+2*Materials!$E$14+1*Materials!$J$8</f>
        <v>400</v>
      </c>
      <c r="F12" s="1">
        <f t="shared" si="3"/>
        <v>-400</v>
      </c>
      <c r="G12" s="34">
        <f>IF(E12&gt;0,F12/E12,"N/A")</f>
        <v>-1</v>
      </c>
      <c r="H12" s="88"/>
      <c r="I12" s="199" t="s">
        <v>117</v>
      </c>
      <c r="J12" s="198" t="s">
        <v>80</v>
      </c>
      <c r="K12" s="37"/>
      <c r="L12" s="46">
        <f>2*Materials!$E$5+4*Materials!$E$10+2*Materials!$E$11+2*Materials!$E$14+1*Materials!$J$8</f>
        <v>400</v>
      </c>
      <c r="M12" s="1">
        <f t="shared" si="4"/>
        <v>-400</v>
      </c>
      <c r="N12" s="34">
        <f>IF(L12&gt;0,M12/L12,"N/A")</f>
        <v>-1</v>
      </c>
      <c r="O12" s="88"/>
      <c r="P12" s="199" t="s">
        <v>117</v>
      </c>
      <c r="Q12" s="198" t="s">
        <v>145</v>
      </c>
      <c r="R12" s="37"/>
      <c r="S12" s="46">
        <f>2*Materials!$E$10+4*Materials!$E$11+2*Materials!$E$12+2*Materials!$E$14+1*Materials!$J$8</f>
        <v>400</v>
      </c>
      <c r="T12" s="1">
        <f t="shared" si="5"/>
        <v>-400</v>
      </c>
      <c r="U12" s="34">
        <f>IF(S12&gt;0,T12/S12,"N/A")</f>
        <v>-1</v>
      </c>
    </row>
    <row r="13" spans="1:21" s="8" customFormat="1" ht="13.5" thickBot="1">
      <c r="A13" s="20"/>
      <c r="B13" s="200" t="s">
        <v>72</v>
      </c>
      <c r="C13" s="201" t="s">
        <v>73</v>
      </c>
      <c r="D13" s="38"/>
      <c r="E13" s="47">
        <f>2*Materials!$E$5+4*Materials!$E$10+2*Materials!$E$11+2*Materials!$E$14+1*Materials!$J$8</f>
        <v>400</v>
      </c>
      <c r="F13" s="6">
        <f t="shared" si="3"/>
        <v>-400</v>
      </c>
      <c r="G13" s="35">
        <f t="shared" ref="G13:G19" si="6">IF(E13&gt;0,F13/E13,"N/A")</f>
        <v>-1</v>
      </c>
      <c r="H13" s="88"/>
      <c r="I13" s="200" t="s">
        <v>72</v>
      </c>
      <c r="J13" s="201" t="s">
        <v>80</v>
      </c>
      <c r="K13" s="38"/>
      <c r="L13" s="47">
        <f>2*Materials!$E$5+4*Materials!$E$10+2*Materials!$E$11+2*Materials!$E$14+1*Materials!$J$8</f>
        <v>400</v>
      </c>
      <c r="M13" s="6">
        <f t="shared" si="4"/>
        <v>-400</v>
      </c>
      <c r="N13" s="35">
        <f t="shared" ref="N13:N19" si="7">IF(L13&gt;0,M13/L13,"N/A")</f>
        <v>-1</v>
      </c>
      <c r="O13" s="88"/>
      <c r="P13" s="200" t="s">
        <v>72</v>
      </c>
      <c r="Q13" s="201" t="s">
        <v>145</v>
      </c>
      <c r="R13" s="38"/>
      <c r="S13" s="47">
        <f>2*Materials!$E$10+4*Materials!$E$11+2*Materials!$E$12+2*Materials!$E$14+1*Materials!$J$8</f>
        <v>400</v>
      </c>
      <c r="T13" s="6">
        <f t="shared" si="5"/>
        <v>-400</v>
      </c>
      <c r="U13" s="35">
        <f t="shared" ref="U13:U19" si="8">IF(S13&gt;0,T13/S13,"N/A")</f>
        <v>-1</v>
      </c>
    </row>
    <row r="14" spans="1:21" s="8" customFormat="1" ht="13.5" thickBot="1">
      <c r="A14" s="20"/>
      <c r="B14" s="220" t="s">
        <v>94</v>
      </c>
      <c r="C14" s="221" t="s">
        <v>73</v>
      </c>
      <c r="D14" s="196"/>
      <c r="E14" s="223">
        <f>2*Materials!$E$5+4*Materials!$E$10+2*Materials!$E$11+2*Materials!$E$13+1*Materials!$J$8</f>
        <v>400</v>
      </c>
      <c r="F14" s="224">
        <f t="shared" si="3"/>
        <v>-400</v>
      </c>
      <c r="G14" s="225">
        <f t="shared" si="6"/>
        <v>-1</v>
      </c>
      <c r="H14" s="88"/>
      <c r="I14" s="220" t="s">
        <v>94</v>
      </c>
      <c r="J14" s="221" t="s">
        <v>80</v>
      </c>
      <c r="K14" s="196"/>
      <c r="L14" s="223">
        <f>2*Materials!$E$5+4*Materials!$E$10+2*Materials!$E$11+2*Materials!$E$13+1*Materials!$J$8</f>
        <v>400</v>
      </c>
      <c r="M14" s="224">
        <f t="shared" si="4"/>
        <v>-400</v>
      </c>
      <c r="N14" s="225">
        <f t="shared" si="7"/>
        <v>-1</v>
      </c>
      <c r="O14" s="88"/>
      <c r="P14" s="220" t="s">
        <v>94</v>
      </c>
      <c r="Q14" s="221" t="s">
        <v>145</v>
      </c>
      <c r="R14" s="196"/>
      <c r="S14" s="223">
        <f>2*Materials!$E$10+4*Materials!$E$11+2*Materials!$E$12+2*Materials!$E$13+1*Materials!$J$8</f>
        <v>400</v>
      </c>
      <c r="T14" s="224">
        <f t="shared" si="5"/>
        <v>-400</v>
      </c>
      <c r="U14" s="225">
        <f t="shared" si="8"/>
        <v>-1</v>
      </c>
    </row>
    <row r="15" spans="1:21" s="8" customFormat="1">
      <c r="A15" s="20"/>
      <c r="B15" s="197" t="s">
        <v>83</v>
      </c>
      <c r="C15" s="219" t="s">
        <v>73</v>
      </c>
      <c r="D15" s="203"/>
      <c r="E15" s="191">
        <f>2*Materials!$E$5+4*Materials!$E$10+2*Materials!$E$11+2*Materials!$E$14+1*Materials!$J$8</f>
        <v>400</v>
      </c>
      <c r="F15" s="188">
        <f t="shared" si="3"/>
        <v>-400</v>
      </c>
      <c r="G15" s="189">
        <f>IF(E15&gt;0,F15/E15,"N/A")</f>
        <v>-1</v>
      </c>
      <c r="H15" s="88"/>
      <c r="I15" s="197" t="s">
        <v>83</v>
      </c>
      <c r="J15" s="219" t="s">
        <v>80</v>
      </c>
      <c r="K15" s="203"/>
      <c r="L15" s="191">
        <f>2*Materials!$E$5+4*Materials!$E$10+2*Materials!$E$11+2*Materials!$E$14+1*Materials!$J$8</f>
        <v>400</v>
      </c>
      <c r="M15" s="188">
        <f t="shared" si="4"/>
        <v>-400</v>
      </c>
      <c r="N15" s="189">
        <f>IF(L15&gt;0,M15/L15,"N/A")</f>
        <v>-1</v>
      </c>
      <c r="O15" s="88"/>
      <c r="P15" s="197" t="s">
        <v>83</v>
      </c>
      <c r="Q15" s="219" t="s">
        <v>145</v>
      </c>
      <c r="R15" s="203"/>
      <c r="S15" s="191">
        <f>2*Materials!$E$10+4*Materials!$E$11+2*Materials!$E$12+2*Materials!$E$14+1*Materials!$J$8</f>
        <v>400</v>
      </c>
      <c r="T15" s="188">
        <f t="shared" si="5"/>
        <v>-400</v>
      </c>
      <c r="U15" s="189">
        <f>IF(S15&gt;0,T15/S15,"N/A")</f>
        <v>-1</v>
      </c>
    </row>
    <row r="16" spans="1:21" s="8" customFormat="1">
      <c r="A16" s="20"/>
      <c r="B16" s="199" t="s">
        <v>84</v>
      </c>
      <c r="C16" s="205" t="s">
        <v>73</v>
      </c>
      <c r="D16" s="54"/>
      <c r="E16" s="46">
        <f>2*Materials!$E$5+4*Materials!$E$10+2*Materials!$E$11+2*Materials!$E$14+1*Materials!$J$8</f>
        <v>400</v>
      </c>
      <c r="F16" s="1">
        <f t="shared" si="3"/>
        <v>-400</v>
      </c>
      <c r="G16" s="34">
        <f>IF(E16&gt;0,F16/E16,"N/A")</f>
        <v>-1</v>
      </c>
      <c r="H16" s="88"/>
      <c r="I16" s="199" t="s">
        <v>84</v>
      </c>
      <c r="J16" s="205" t="s">
        <v>80</v>
      </c>
      <c r="K16" s="54"/>
      <c r="L16" s="46">
        <f>2*Materials!$E$5+4*Materials!$E$10+2*Materials!$E$11+2*Materials!$E$14+1*Materials!$J$8</f>
        <v>400</v>
      </c>
      <c r="M16" s="1">
        <f t="shared" si="4"/>
        <v>-400</v>
      </c>
      <c r="N16" s="34">
        <f>IF(L16&gt;0,M16/L16,"N/A")</f>
        <v>-1</v>
      </c>
      <c r="O16" s="88"/>
      <c r="P16" s="199" t="s">
        <v>84</v>
      </c>
      <c r="Q16" s="205" t="s">
        <v>145</v>
      </c>
      <c r="R16" s="54"/>
      <c r="S16" s="46">
        <f>2*Materials!$E$10+4*Materials!$E$11+2*Materials!$E$12+2*Materials!$E$14+1*Materials!$J$8</f>
        <v>400</v>
      </c>
      <c r="T16" s="1">
        <f t="shared" si="5"/>
        <v>-400</v>
      </c>
      <c r="U16" s="34">
        <f>IF(S16&gt;0,T16/S16,"N/A")</f>
        <v>-1</v>
      </c>
    </row>
    <row r="17" spans="1:21" s="8" customFormat="1" ht="12.75" customHeight="1">
      <c r="A17" s="20"/>
      <c r="B17" s="197" t="s">
        <v>85</v>
      </c>
      <c r="C17" s="198" t="s">
        <v>73</v>
      </c>
      <c r="D17" s="54"/>
      <c r="E17" s="46">
        <f>2*Materials!$E$5+4*Materials!$E$10+2*Materials!$E$11+2*Materials!$E$14+1*Materials!$J$8</f>
        <v>400</v>
      </c>
      <c r="F17" s="1">
        <f>(D17-E17)-(D17)*0.03</f>
        <v>-400</v>
      </c>
      <c r="G17" s="34">
        <f>IF(E17&gt;0,F17/E17,"N/A")</f>
        <v>-1</v>
      </c>
      <c r="H17" s="88"/>
      <c r="I17" s="197" t="s">
        <v>85</v>
      </c>
      <c r="J17" s="198" t="s">
        <v>80</v>
      </c>
      <c r="K17" s="54"/>
      <c r="L17" s="46">
        <f>2*Materials!$E$5+4*Materials!$E$10+2*Materials!$E$11+2*Materials!$E$14+1*Materials!$J$8</f>
        <v>400</v>
      </c>
      <c r="M17" s="1">
        <f>(K17-L17)-(K17)*0.03</f>
        <v>-400</v>
      </c>
      <c r="N17" s="34">
        <f>IF(L17&gt;0,M17/L17,"N/A")</f>
        <v>-1</v>
      </c>
      <c r="O17" s="88"/>
      <c r="P17" s="197" t="s">
        <v>85</v>
      </c>
      <c r="Q17" s="198" t="s">
        <v>145</v>
      </c>
      <c r="R17" s="54"/>
      <c r="S17" s="46">
        <f>2*Materials!$E$10+4*Materials!$E$11+2*Materials!$E$12+2*Materials!$E$14+1*Materials!$J$8</f>
        <v>400</v>
      </c>
      <c r="T17" s="1">
        <f>(R17-S17)-(R17)*0.03</f>
        <v>-400</v>
      </c>
      <c r="U17" s="34">
        <f>IF(S17&gt;0,T17/S17,"N/A")</f>
        <v>-1</v>
      </c>
    </row>
    <row r="18" spans="1:21" s="8" customFormat="1">
      <c r="A18" s="20"/>
      <c r="B18" s="199" t="s">
        <v>86</v>
      </c>
      <c r="C18" s="198" t="s">
        <v>73</v>
      </c>
      <c r="D18" s="54"/>
      <c r="E18" s="46">
        <f>2*Materials!$E$5+4*Materials!$E$10+2*Materials!$E$11+2*Materials!$E$14+1*Materials!$J$8</f>
        <v>400</v>
      </c>
      <c r="F18" s="1">
        <f>(D18-E18)-(D18)*0.03</f>
        <v>-400</v>
      </c>
      <c r="G18" s="34">
        <f t="shared" ref="G18:G21" si="9">IF(E18&gt;0,F18/E18,"N/A")</f>
        <v>-1</v>
      </c>
      <c r="H18" s="88"/>
      <c r="I18" s="199" t="s">
        <v>86</v>
      </c>
      <c r="J18" s="198" t="s">
        <v>80</v>
      </c>
      <c r="K18" s="54"/>
      <c r="L18" s="46">
        <f>2*Materials!$E$5+4*Materials!$E$10+2*Materials!$E$11+2*Materials!$E$14+1*Materials!$J$8</f>
        <v>400</v>
      </c>
      <c r="M18" s="1">
        <f>(K18-L18)-(K18)*0.03</f>
        <v>-400</v>
      </c>
      <c r="N18" s="34">
        <f t="shared" ref="N18:N21" si="10">IF(L18&gt;0,M18/L18,"N/A")</f>
        <v>-1</v>
      </c>
      <c r="O18" s="88"/>
      <c r="P18" s="199" t="s">
        <v>86</v>
      </c>
      <c r="Q18" s="198" t="s">
        <v>145</v>
      </c>
      <c r="R18" s="54"/>
      <c r="S18" s="46">
        <f>2*Materials!$E$10+4*Materials!$E$11+2*Materials!$E$12+2*Materials!$E$14+1*Materials!$J$8</f>
        <v>400</v>
      </c>
      <c r="T18" s="1">
        <f>(R18-S18)-(R18)*0.03</f>
        <v>-400</v>
      </c>
      <c r="U18" s="34">
        <f t="shared" ref="U18:U21" si="11">IF(S18&gt;0,T18/S18,"N/A")</f>
        <v>-1</v>
      </c>
    </row>
    <row r="19" spans="1:21" s="8" customFormat="1" ht="13.5" thickBot="1">
      <c r="A19" s="20"/>
      <c r="B19" s="197" t="s">
        <v>87</v>
      </c>
      <c r="C19" s="205" t="s">
        <v>73</v>
      </c>
      <c r="D19" s="204"/>
      <c r="E19" s="190">
        <f>2*Materials!$E$5+4*Materials!$E$10+2*Materials!$E$11+2*Materials!$E$14+1*Materials!$J$8</f>
        <v>400</v>
      </c>
      <c r="F19" s="186">
        <f t="shared" ref="F19:F24" si="12">(D19-E19)-(D19)*0.03</f>
        <v>-400</v>
      </c>
      <c r="G19" s="187">
        <f t="shared" si="9"/>
        <v>-1</v>
      </c>
      <c r="H19" s="88"/>
      <c r="I19" s="197" t="s">
        <v>87</v>
      </c>
      <c r="J19" s="205" t="s">
        <v>80</v>
      </c>
      <c r="K19" s="204"/>
      <c r="L19" s="190">
        <f>2*Materials!$E$5+4*Materials!$E$10+2*Materials!$E$11+2*Materials!$E$14+1*Materials!$J$8</f>
        <v>400</v>
      </c>
      <c r="M19" s="186">
        <f t="shared" ref="M19:M24" si="13">(K19-L19)-(K19)*0.03</f>
        <v>-400</v>
      </c>
      <c r="N19" s="187">
        <f t="shared" si="10"/>
        <v>-1</v>
      </c>
      <c r="O19" s="88"/>
      <c r="P19" s="197" t="s">
        <v>87</v>
      </c>
      <c r="Q19" s="205" t="s">
        <v>145</v>
      </c>
      <c r="R19" s="204"/>
      <c r="S19" s="47">
        <f>2*Materials!$E$10+4*Materials!$E$11+2*Materials!$E$12+2*Materials!$E$14+1*Materials!$J$8</f>
        <v>400</v>
      </c>
      <c r="T19" s="186">
        <f t="shared" ref="T19:T24" si="14">(R19-S19)-(R19)*0.03</f>
        <v>-400</v>
      </c>
      <c r="U19" s="187">
        <f t="shared" si="11"/>
        <v>-1</v>
      </c>
    </row>
    <row r="20" spans="1:21" s="8" customFormat="1" ht="13.5" thickBot="1">
      <c r="A20" s="20"/>
      <c r="B20" s="220" t="s">
        <v>95</v>
      </c>
      <c r="C20" s="221" t="s">
        <v>73</v>
      </c>
      <c r="D20" s="196"/>
      <c r="E20" s="223">
        <f>2*Materials!$E$5+4*Materials!$E$10+2*Materials!$E$11+2*Materials!$E$13+1*Materials!$J$8</f>
        <v>400</v>
      </c>
      <c r="F20" s="224">
        <f t="shared" si="12"/>
        <v>-400</v>
      </c>
      <c r="G20" s="225">
        <f t="shared" si="9"/>
        <v>-1</v>
      </c>
      <c r="H20" s="88"/>
      <c r="I20" s="220" t="s">
        <v>95</v>
      </c>
      <c r="J20" s="221" t="s">
        <v>80</v>
      </c>
      <c r="K20" s="196"/>
      <c r="L20" s="223">
        <f>2*Materials!$E$5+4*Materials!$E$10+2*Materials!$E$11+2*Materials!$E$13+1*Materials!$J$8</f>
        <v>400</v>
      </c>
      <c r="M20" s="224">
        <f t="shared" si="13"/>
        <v>-400</v>
      </c>
      <c r="N20" s="225">
        <f t="shared" si="10"/>
        <v>-1</v>
      </c>
      <c r="O20" s="88"/>
      <c r="P20" s="220" t="s">
        <v>95</v>
      </c>
      <c r="Q20" s="221" t="s">
        <v>145</v>
      </c>
      <c r="R20" s="196"/>
      <c r="S20" s="223">
        <f>2*Materials!$E$10+4*Materials!$E$11+2*Materials!$E$12+2*Materials!$E$13+1*Materials!$J$8</f>
        <v>400</v>
      </c>
      <c r="T20" s="224">
        <f t="shared" si="14"/>
        <v>-400</v>
      </c>
      <c r="U20" s="225">
        <f t="shared" si="11"/>
        <v>-1</v>
      </c>
    </row>
    <row r="21" spans="1:21" s="8" customFormat="1">
      <c r="A21" s="20"/>
      <c r="B21" s="226" t="s">
        <v>88</v>
      </c>
      <c r="C21" s="219" t="s">
        <v>73</v>
      </c>
      <c r="D21" s="203"/>
      <c r="E21" s="191">
        <f>2*Materials!$E$5+4*Materials!$E$10+2*Materials!$E$11+2*Materials!$E$14+1*Materials!$J$8</f>
        <v>400</v>
      </c>
      <c r="F21" s="188">
        <f t="shared" si="12"/>
        <v>-400</v>
      </c>
      <c r="G21" s="189">
        <f t="shared" si="9"/>
        <v>-1</v>
      </c>
      <c r="H21" s="88"/>
      <c r="I21" s="226" t="s">
        <v>88</v>
      </c>
      <c r="J21" s="219" t="s">
        <v>80</v>
      </c>
      <c r="K21" s="203"/>
      <c r="L21" s="191">
        <f>2*Materials!$E$5+4*Materials!$E$10+2*Materials!$E$11+2*Materials!$E$14+1*Materials!$J$8</f>
        <v>400</v>
      </c>
      <c r="M21" s="188">
        <f t="shared" si="13"/>
        <v>-400</v>
      </c>
      <c r="N21" s="189">
        <f t="shared" si="10"/>
        <v>-1</v>
      </c>
      <c r="O21" s="88"/>
      <c r="P21" s="226" t="s">
        <v>88</v>
      </c>
      <c r="Q21" s="219" t="s">
        <v>145</v>
      </c>
      <c r="R21" s="203"/>
      <c r="S21" s="191">
        <f>2*Materials!$E$10+4*Materials!$E$11+2*Materials!$E$12+2*Materials!$E$14+1*Materials!$J$8</f>
        <v>400</v>
      </c>
      <c r="T21" s="188">
        <f t="shared" si="14"/>
        <v>-400</v>
      </c>
      <c r="U21" s="189">
        <f t="shared" si="11"/>
        <v>-1</v>
      </c>
    </row>
    <row r="22" spans="1:21" s="8" customFormat="1">
      <c r="A22" s="20"/>
      <c r="B22" s="197" t="s">
        <v>89</v>
      </c>
      <c r="C22" s="205" t="s">
        <v>73</v>
      </c>
      <c r="D22" s="54"/>
      <c r="E22" s="46">
        <f>2*Materials!$E$5+4*Materials!$E$10+2*Materials!$E$11+2*Materials!$E$14+1*Materials!$J$8</f>
        <v>400</v>
      </c>
      <c r="F22" s="1">
        <f t="shared" si="12"/>
        <v>-400</v>
      </c>
      <c r="G22" s="34">
        <f>IF(E22&gt;0,F22/E22,"N/A")</f>
        <v>-1</v>
      </c>
      <c r="H22" s="88"/>
      <c r="I22" s="197" t="s">
        <v>89</v>
      </c>
      <c r="J22" s="205" t="s">
        <v>80</v>
      </c>
      <c r="K22" s="54"/>
      <c r="L22" s="46">
        <f>2*Materials!$E$5+4*Materials!$E$10+2*Materials!$E$11+2*Materials!$E$14+1*Materials!$J$8</f>
        <v>400</v>
      </c>
      <c r="M22" s="1">
        <f t="shared" si="13"/>
        <v>-400</v>
      </c>
      <c r="N22" s="34">
        <f>IF(L22&gt;0,M22/L22,"N/A")</f>
        <v>-1</v>
      </c>
      <c r="O22" s="88"/>
      <c r="P22" s="197" t="s">
        <v>89</v>
      </c>
      <c r="Q22" s="205" t="s">
        <v>145</v>
      </c>
      <c r="R22" s="54"/>
      <c r="S22" s="46">
        <f>2*Materials!$E$10+4*Materials!$E$11+2*Materials!$E$12+2*Materials!$E$14+1*Materials!$J$8</f>
        <v>400</v>
      </c>
      <c r="T22" s="1">
        <f t="shared" si="14"/>
        <v>-400</v>
      </c>
      <c r="U22" s="34">
        <f>IF(S22&gt;0,T22/S22,"N/A")</f>
        <v>-1</v>
      </c>
    </row>
    <row r="23" spans="1:21" s="8" customFormat="1">
      <c r="A23" s="20"/>
      <c r="B23" s="199" t="s">
        <v>90</v>
      </c>
      <c r="C23" s="198" t="s">
        <v>73</v>
      </c>
      <c r="D23" s="54"/>
      <c r="E23" s="46">
        <f>2*Materials!$E$5+4*Materials!$E$10+2*Materials!$E$11+2*Materials!$E$14+1*Materials!$J$8</f>
        <v>400</v>
      </c>
      <c r="F23" s="1">
        <f t="shared" si="12"/>
        <v>-400</v>
      </c>
      <c r="G23" s="34">
        <f t="shared" ref="G23:G24" si="15">IF(E23&gt;0,F23/E23,"N/A")</f>
        <v>-1</v>
      </c>
      <c r="H23" s="88"/>
      <c r="I23" s="199" t="s">
        <v>90</v>
      </c>
      <c r="J23" s="198" t="s">
        <v>80</v>
      </c>
      <c r="K23" s="54"/>
      <c r="L23" s="46">
        <f>2*Materials!$E$5+4*Materials!$E$10+2*Materials!$E$11+2*Materials!$E$14+1*Materials!$J$8</f>
        <v>400</v>
      </c>
      <c r="M23" s="1">
        <f t="shared" si="13"/>
        <v>-400</v>
      </c>
      <c r="N23" s="34">
        <f t="shared" ref="N23:N24" si="16">IF(L23&gt;0,M23/L23,"N/A")</f>
        <v>-1</v>
      </c>
      <c r="O23" s="88"/>
      <c r="P23" s="199" t="s">
        <v>90</v>
      </c>
      <c r="Q23" s="198" t="s">
        <v>145</v>
      </c>
      <c r="R23" s="54"/>
      <c r="S23" s="46">
        <f>2*Materials!$E$10+4*Materials!$E$11+2*Materials!$E$12+2*Materials!$E$14+1*Materials!$J$8</f>
        <v>400</v>
      </c>
      <c r="T23" s="1">
        <f t="shared" si="14"/>
        <v>-400</v>
      </c>
      <c r="U23" s="34">
        <f t="shared" ref="U23:U24" si="17">IF(S23&gt;0,T23/S23,"N/A")</f>
        <v>-1</v>
      </c>
    </row>
    <row r="24" spans="1:21" s="8" customFormat="1" ht="13.5" thickBot="1">
      <c r="A24" s="20"/>
      <c r="B24" s="200" t="s">
        <v>91</v>
      </c>
      <c r="C24" s="206" t="s">
        <v>73</v>
      </c>
      <c r="D24" s="55"/>
      <c r="E24" s="47">
        <f>2*Materials!$E$5+4*Materials!$E$10+2*Materials!$E$11+2*Materials!$E$14+1*Materials!$J$8</f>
        <v>400</v>
      </c>
      <c r="F24" s="6">
        <f t="shared" si="12"/>
        <v>-400</v>
      </c>
      <c r="G24" s="35">
        <f t="shared" si="15"/>
        <v>-1</v>
      </c>
      <c r="H24" s="88"/>
      <c r="I24" s="200" t="s">
        <v>91</v>
      </c>
      <c r="J24" s="206" t="s">
        <v>80</v>
      </c>
      <c r="K24" s="55"/>
      <c r="L24" s="47">
        <f>2*Materials!$E$5+4*Materials!$E$10+2*Materials!$E$11+2*Materials!$E$14+1*Materials!$J$8</f>
        <v>400</v>
      </c>
      <c r="M24" s="6">
        <f t="shared" si="13"/>
        <v>-400</v>
      </c>
      <c r="N24" s="35">
        <f t="shared" si="16"/>
        <v>-1</v>
      </c>
      <c r="O24" s="88"/>
      <c r="P24" s="200" t="s">
        <v>91</v>
      </c>
      <c r="Q24" s="206" t="s">
        <v>145</v>
      </c>
      <c r="R24" s="55"/>
      <c r="S24" s="47">
        <f>2*Materials!$E$10+4*Materials!$E$11+2*Materials!$E$12+2*Materials!$E$14+1*Materials!$J$8</f>
        <v>400</v>
      </c>
      <c r="T24" s="6">
        <f t="shared" si="14"/>
        <v>-400</v>
      </c>
      <c r="U24" s="35">
        <f t="shared" si="17"/>
        <v>-1</v>
      </c>
    </row>
    <row r="25" spans="1:21" s="8" customFormat="1">
      <c r="A25" s="93"/>
      <c r="B25" s="183"/>
      <c r="C25" s="20"/>
      <c r="D25" s="7"/>
      <c r="E25" s="7"/>
      <c r="F25" s="7"/>
      <c r="G25" s="7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</row>
    <row r="26" spans="1:21" s="8" customFormat="1" ht="13.5" thickBot="1">
      <c r="A26" s="20"/>
      <c r="B26" s="184"/>
      <c r="D26" s="14"/>
      <c r="E26" s="14"/>
      <c r="F26" s="14"/>
      <c r="G26" s="14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</row>
    <row r="27" spans="1:21" s="8" customFormat="1" ht="12.75" customHeight="1">
      <c r="A27" s="20"/>
      <c r="B27" s="210" t="s">
        <v>130</v>
      </c>
      <c r="C27" s="213"/>
      <c r="D27" s="95"/>
      <c r="E27" s="208"/>
      <c r="F27" s="216"/>
      <c r="G27" s="97"/>
      <c r="H27" s="88"/>
      <c r="I27" s="210" t="s">
        <v>137</v>
      </c>
      <c r="J27" s="213"/>
      <c r="K27" s="95"/>
      <c r="L27" s="208"/>
      <c r="M27" s="216"/>
      <c r="N27" s="97"/>
      <c r="O27" s="88"/>
      <c r="P27" s="210" t="s">
        <v>143</v>
      </c>
      <c r="Q27" s="213"/>
      <c r="R27" s="95"/>
      <c r="S27" s="208"/>
      <c r="T27" s="216"/>
      <c r="U27" s="97"/>
    </row>
    <row r="28" spans="1:21" s="8" customFormat="1" ht="12.75" customHeight="1">
      <c r="A28" s="20"/>
      <c r="B28" s="211"/>
      <c r="C28" s="214"/>
      <c r="D28" s="98"/>
      <c r="E28" s="218" t="s">
        <v>142</v>
      </c>
      <c r="F28" s="217" t="s">
        <v>134</v>
      </c>
      <c r="G28" s="100"/>
      <c r="H28" s="88"/>
      <c r="I28" s="211"/>
      <c r="J28" s="214"/>
      <c r="K28" s="98"/>
      <c r="L28" s="218" t="s">
        <v>142</v>
      </c>
      <c r="M28" s="217" t="s">
        <v>134</v>
      </c>
      <c r="N28" s="100"/>
      <c r="O28" s="88"/>
      <c r="P28" s="211"/>
      <c r="Q28" s="214"/>
      <c r="R28" s="98"/>
      <c r="S28" s="218" t="s">
        <v>142</v>
      </c>
      <c r="T28" s="217" t="s">
        <v>134</v>
      </c>
      <c r="U28" s="100"/>
    </row>
    <row r="29" spans="1:21" s="8" customFormat="1" ht="12.75" customHeight="1">
      <c r="A29" s="20"/>
      <c r="B29" s="211"/>
      <c r="C29" s="214"/>
      <c r="D29" s="98"/>
      <c r="E29" s="218" t="s">
        <v>121</v>
      </c>
      <c r="F29" s="217" t="s">
        <v>124</v>
      </c>
      <c r="G29" s="100"/>
      <c r="H29" s="88"/>
      <c r="I29" s="211"/>
      <c r="J29" s="214"/>
      <c r="K29" s="98"/>
      <c r="L29" s="218" t="s">
        <v>121</v>
      </c>
      <c r="M29" s="217" t="s">
        <v>138</v>
      </c>
      <c r="N29" s="100"/>
      <c r="O29" s="88"/>
      <c r="P29" s="211"/>
      <c r="Q29" s="214"/>
      <c r="R29" s="98"/>
      <c r="S29" s="218" t="s">
        <v>121</v>
      </c>
      <c r="T29" s="217" t="s">
        <v>127</v>
      </c>
      <c r="U29" s="100"/>
    </row>
    <row r="30" spans="1:21" s="8" customFormat="1" ht="12.75" customHeight="1" thickBot="1">
      <c r="A30" s="20"/>
      <c r="B30" s="212"/>
      <c r="C30" s="215"/>
      <c r="D30" s="99"/>
      <c r="E30" s="209"/>
      <c r="F30" s="99"/>
      <c r="G30" s="100"/>
      <c r="H30" s="88"/>
      <c r="I30" s="212"/>
      <c r="J30" s="215"/>
      <c r="K30" s="99"/>
      <c r="L30" s="209"/>
      <c r="M30" s="99"/>
      <c r="N30" s="100"/>
      <c r="O30" s="88"/>
      <c r="P30" s="212"/>
      <c r="Q30" s="215"/>
      <c r="R30" s="99"/>
      <c r="S30" s="209"/>
      <c r="T30" s="99"/>
      <c r="U30" s="100"/>
    </row>
    <row r="31" spans="1:21" s="8" customFormat="1" ht="13.5" thickBot="1">
      <c r="A31" s="20"/>
      <c r="B31" s="194" t="s">
        <v>118</v>
      </c>
      <c r="C31" s="194" t="s">
        <v>120</v>
      </c>
      <c r="D31" s="194" t="s">
        <v>51</v>
      </c>
      <c r="E31" s="104" t="s">
        <v>48</v>
      </c>
      <c r="F31" s="105" t="s">
        <v>52</v>
      </c>
      <c r="G31" s="106" t="s">
        <v>53</v>
      </c>
      <c r="H31" s="88"/>
      <c r="I31" s="194" t="s">
        <v>118</v>
      </c>
      <c r="J31" s="194" t="s">
        <v>120</v>
      </c>
      <c r="K31" s="194" t="s">
        <v>51</v>
      </c>
      <c r="L31" s="104" t="s">
        <v>48</v>
      </c>
      <c r="M31" s="105" t="s">
        <v>52</v>
      </c>
      <c r="N31" s="106" t="s">
        <v>53</v>
      </c>
      <c r="O31" s="88"/>
      <c r="P31" s="194" t="s">
        <v>118</v>
      </c>
      <c r="Q31" s="194" t="s">
        <v>120</v>
      </c>
      <c r="R31" s="194" t="s">
        <v>51</v>
      </c>
      <c r="S31" s="104" t="s">
        <v>48</v>
      </c>
      <c r="T31" s="105" t="s">
        <v>52</v>
      </c>
      <c r="U31" s="106" t="s">
        <v>53</v>
      </c>
    </row>
    <row r="32" spans="1:21" s="8" customFormat="1" ht="12.75" customHeight="1" thickBot="1">
      <c r="A32" s="20"/>
      <c r="B32" s="195"/>
      <c r="C32" s="202" t="s">
        <v>131</v>
      </c>
      <c r="D32" s="196"/>
      <c r="E32" s="185">
        <f>2*Materials!$E$5+4*Materials!$E$10+2*Materials!$E$11+1*Materials!$J$8</f>
        <v>400</v>
      </c>
      <c r="F32" s="192">
        <f>(D32-E32)-(D32)*0.03</f>
        <v>-400</v>
      </c>
      <c r="G32" s="193">
        <f>IF(E32&gt;0,F32/E32,"N/A")</f>
        <v>-1</v>
      </c>
      <c r="H32" s="88"/>
      <c r="I32" s="195"/>
      <c r="J32" s="202" t="s">
        <v>139</v>
      </c>
      <c r="K32" s="196"/>
      <c r="L32" s="185">
        <f>2*Materials!$E$10+4*Materials!$E$11+2*Materials!$E$12+1*Materials!$J$8</f>
        <v>400</v>
      </c>
      <c r="M32" s="192">
        <f>(K32-L32)-(K32)*0.03</f>
        <v>-400</v>
      </c>
      <c r="N32" s="193">
        <f>IF(L32&gt;0,M32/L32,"N/A")</f>
        <v>-1</v>
      </c>
      <c r="O32" s="88"/>
      <c r="P32" s="195"/>
      <c r="Q32" s="202" t="s">
        <v>78</v>
      </c>
      <c r="R32" s="196"/>
      <c r="S32" s="185">
        <f>2*Materials!$E$10+4*Materials!$E$11+2*Materials!$E$12+1*Materials!$J$8</f>
        <v>400</v>
      </c>
      <c r="T32" s="192">
        <f>(R32-S32)-(R32)*0.03</f>
        <v>-400</v>
      </c>
      <c r="U32" s="193">
        <f>IF(S32&gt;0,T32/S32,"N/A")</f>
        <v>-1</v>
      </c>
    </row>
    <row r="33" spans="1:21" s="20" customFormat="1" ht="13.5" thickBot="1">
      <c r="B33" s="220" t="s">
        <v>93</v>
      </c>
      <c r="C33" s="221" t="s">
        <v>131</v>
      </c>
      <c r="D33" s="222"/>
      <c r="E33" s="223">
        <f>2*Materials!$E$5+4*Materials!$E$10+2*Materials!$E$11+2*Materials!$E$13+1*Materials!$J$8</f>
        <v>400</v>
      </c>
      <c r="F33" s="224">
        <f>(D33-E33)-(D33)*0.03</f>
        <v>-400</v>
      </c>
      <c r="G33" s="225">
        <f t="shared" ref="G33:G39" si="18">IF(E33&gt;0,F33/E33,"N/A")</f>
        <v>-1</v>
      </c>
      <c r="H33" s="93"/>
      <c r="I33" s="220" t="s">
        <v>93</v>
      </c>
      <c r="J33" s="221" t="s">
        <v>139</v>
      </c>
      <c r="K33" s="222"/>
      <c r="L33" s="223">
        <f>2*Materials!$E$10+4*Materials!$E$11+2*Materials!$E$12+2*Materials!$E$13+1*Materials!$J$8</f>
        <v>400</v>
      </c>
      <c r="M33" s="224">
        <f>(K33-L33)-(K33)*0.03</f>
        <v>-400</v>
      </c>
      <c r="N33" s="225">
        <f t="shared" ref="N33:N39" si="19">IF(L33&gt;0,M33/L33,"N/A")</f>
        <v>-1</v>
      </c>
      <c r="O33" s="93"/>
      <c r="P33" s="220" t="s">
        <v>93</v>
      </c>
      <c r="Q33" s="221" t="s">
        <v>78</v>
      </c>
      <c r="R33" s="222"/>
      <c r="S33" s="223">
        <f>2*Materials!$E$10+4*Materials!$E$11+2*Materials!$E$12+2*Materials!$E$13+1*Materials!$J$8</f>
        <v>400</v>
      </c>
      <c r="T33" s="224">
        <f>(R33-S33)-(R33)*0.03</f>
        <v>-400</v>
      </c>
      <c r="U33" s="225">
        <f t="shared" ref="U33:U39" si="20">IF(S33&gt;0,T33/S33,"N/A")</f>
        <v>-1</v>
      </c>
    </row>
    <row r="34" spans="1:21" s="8" customFormat="1">
      <c r="A34" s="20"/>
      <c r="B34" s="197" t="s">
        <v>69</v>
      </c>
      <c r="C34" s="219" t="s">
        <v>131</v>
      </c>
      <c r="D34" s="48"/>
      <c r="E34" s="191">
        <f>2*Materials!$E$5+4*Materials!$E$10+2*Materials!$E$11+2*Materials!$E$14+1*Materials!$J$8</f>
        <v>400</v>
      </c>
      <c r="F34" s="188">
        <f t="shared" ref="F34:F41" si="21">(D34-E34)-(D34)*0.03</f>
        <v>-400</v>
      </c>
      <c r="G34" s="189">
        <f t="shared" si="18"/>
        <v>-1</v>
      </c>
      <c r="H34" s="88"/>
      <c r="I34" s="197" t="s">
        <v>69</v>
      </c>
      <c r="J34" s="219" t="s">
        <v>139</v>
      </c>
      <c r="K34" s="48"/>
      <c r="L34" s="191">
        <f>2*Materials!$E$10+4*Materials!$E$11+2*Materials!$E$12+2*Materials!$E$14+1*Materials!$J$8</f>
        <v>400</v>
      </c>
      <c r="M34" s="188">
        <f t="shared" ref="M34:M41" si="22">(K34-L34)-(K34)*0.03</f>
        <v>-400</v>
      </c>
      <c r="N34" s="189">
        <f t="shared" si="19"/>
        <v>-1</v>
      </c>
      <c r="O34" s="88"/>
      <c r="P34" s="197" t="s">
        <v>69</v>
      </c>
      <c r="Q34" s="219" t="s">
        <v>78</v>
      </c>
      <c r="R34" s="48"/>
      <c r="S34" s="191">
        <f>2*Materials!$E$10+4*Materials!$E$11+2*Materials!$E$12+2*Materials!$E$14+1*Materials!$J$8</f>
        <v>400</v>
      </c>
      <c r="T34" s="188">
        <f t="shared" ref="T34:T41" si="23">(R34-S34)-(R34)*0.03</f>
        <v>-400</v>
      </c>
      <c r="U34" s="189">
        <f t="shared" si="20"/>
        <v>-1</v>
      </c>
    </row>
    <row r="35" spans="1:21" s="8" customFormat="1">
      <c r="A35" s="20"/>
      <c r="B35" s="199" t="s">
        <v>70</v>
      </c>
      <c r="C35" s="198" t="s">
        <v>131</v>
      </c>
      <c r="D35" s="37"/>
      <c r="E35" s="46">
        <f>2*Materials!$E$5+4*Materials!$E$10+2*Materials!$E$11+2*Materials!$E$14+1*Materials!$J$8</f>
        <v>400</v>
      </c>
      <c r="F35" s="1">
        <f t="shared" si="21"/>
        <v>-400</v>
      </c>
      <c r="G35" s="34">
        <f t="shared" si="18"/>
        <v>-1</v>
      </c>
      <c r="H35" s="88"/>
      <c r="I35" s="199" t="s">
        <v>70</v>
      </c>
      <c r="J35" s="198" t="s">
        <v>139</v>
      </c>
      <c r="K35" s="37"/>
      <c r="L35" s="46">
        <f>2*Materials!$E$10+4*Materials!$E$11+2*Materials!$E$12+2*Materials!$E$14+1*Materials!$J$8</f>
        <v>400</v>
      </c>
      <c r="M35" s="1">
        <f t="shared" si="22"/>
        <v>-400</v>
      </c>
      <c r="N35" s="34">
        <f t="shared" si="19"/>
        <v>-1</v>
      </c>
      <c r="O35" s="88"/>
      <c r="P35" s="199" t="s">
        <v>70</v>
      </c>
      <c r="Q35" s="198" t="s">
        <v>78</v>
      </c>
      <c r="R35" s="37"/>
      <c r="S35" s="46">
        <f>2*Materials!$E$10+4*Materials!$E$11+2*Materials!$E$12+2*Materials!$E$14+1*Materials!$J$8</f>
        <v>400</v>
      </c>
      <c r="T35" s="1">
        <f t="shared" si="23"/>
        <v>-400</v>
      </c>
      <c r="U35" s="34">
        <f t="shared" si="20"/>
        <v>-1</v>
      </c>
    </row>
    <row r="36" spans="1:21" s="8" customFormat="1">
      <c r="A36" s="20"/>
      <c r="B36" s="197" t="s">
        <v>71</v>
      </c>
      <c r="C36" s="198" t="s">
        <v>131</v>
      </c>
      <c r="D36" s="37"/>
      <c r="E36" s="46">
        <f>2*Materials!$E$5+4*Materials!$E$10+2*Materials!$E$11+2*Materials!$E$14+1*Materials!$J$8</f>
        <v>400</v>
      </c>
      <c r="F36" s="1">
        <f t="shared" si="21"/>
        <v>-400</v>
      </c>
      <c r="G36" s="34">
        <f t="shared" si="18"/>
        <v>-1</v>
      </c>
      <c r="H36" s="88"/>
      <c r="I36" s="197" t="s">
        <v>71</v>
      </c>
      <c r="J36" s="198" t="s">
        <v>139</v>
      </c>
      <c r="K36" s="37"/>
      <c r="L36" s="46">
        <f>2*Materials!$E$10+4*Materials!$E$11+2*Materials!$E$12+2*Materials!$E$14+1*Materials!$J$8</f>
        <v>400</v>
      </c>
      <c r="M36" s="1">
        <f t="shared" si="22"/>
        <v>-400</v>
      </c>
      <c r="N36" s="34">
        <f t="shared" si="19"/>
        <v>-1</v>
      </c>
      <c r="O36" s="88"/>
      <c r="P36" s="197" t="s">
        <v>71</v>
      </c>
      <c r="Q36" s="198" t="s">
        <v>78</v>
      </c>
      <c r="R36" s="37"/>
      <c r="S36" s="46">
        <f>2*Materials!$E$10+4*Materials!$E$11+2*Materials!$E$12+2*Materials!$E$14+1*Materials!$J$8</f>
        <v>400</v>
      </c>
      <c r="T36" s="1">
        <f t="shared" si="23"/>
        <v>-400</v>
      </c>
      <c r="U36" s="34">
        <f t="shared" si="20"/>
        <v>-1</v>
      </c>
    </row>
    <row r="37" spans="1:21" s="8" customFormat="1">
      <c r="A37" s="20"/>
      <c r="B37" s="199" t="s">
        <v>117</v>
      </c>
      <c r="C37" s="198" t="s">
        <v>131</v>
      </c>
      <c r="D37" s="37"/>
      <c r="E37" s="46">
        <f>2*Materials!$E$5+4*Materials!$E$10+2*Materials!$E$11+2*Materials!$E$14+1*Materials!$J$8</f>
        <v>400</v>
      </c>
      <c r="F37" s="1">
        <f t="shared" si="21"/>
        <v>-400</v>
      </c>
      <c r="G37" s="34">
        <f>IF(E37&gt;0,F37/E37,"N/A")</f>
        <v>-1</v>
      </c>
      <c r="H37" s="88"/>
      <c r="I37" s="199" t="s">
        <v>117</v>
      </c>
      <c r="J37" s="198" t="s">
        <v>139</v>
      </c>
      <c r="K37" s="37"/>
      <c r="L37" s="46">
        <f>2*Materials!$E$10+4*Materials!$E$11+2*Materials!$E$12+2*Materials!$E$14+1*Materials!$J$8</f>
        <v>400</v>
      </c>
      <c r="M37" s="1">
        <f t="shared" si="22"/>
        <v>-400</v>
      </c>
      <c r="N37" s="34">
        <f>IF(L37&gt;0,M37/L37,"N/A")</f>
        <v>-1</v>
      </c>
      <c r="O37" s="88"/>
      <c r="P37" s="199" t="s">
        <v>117</v>
      </c>
      <c r="Q37" s="198" t="s">
        <v>78</v>
      </c>
      <c r="R37" s="37"/>
      <c r="S37" s="46">
        <f>2*Materials!$E$10+4*Materials!$E$11+2*Materials!$E$12+2*Materials!$E$14+1*Materials!$J$8</f>
        <v>400</v>
      </c>
      <c r="T37" s="1">
        <f t="shared" si="23"/>
        <v>-400</v>
      </c>
      <c r="U37" s="34">
        <f>IF(S37&gt;0,T37/S37,"N/A")</f>
        <v>-1</v>
      </c>
    </row>
    <row r="38" spans="1:21" s="8" customFormat="1" ht="13.5" thickBot="1">
      <c r="A38" s="20"/>
      <c r="B38" s="200" t="s">
        <v>72</v>
      </c>
      <c r="C38" s="201" t="s">
        <v>131</v>
      </c>
      <c r="D38" s="38"/>
      <c r="E38" s="47">
        <f>2*Materials!$E$5+4*Materials!$E$10+2*Materials!$E$11+2*Materials!$E$14+1*Materials!$J$8</f>
        <v>400</v>
      </c>
      <c r="F38" s="6">
        <f t="shared" si="21"/>
        <v>-400</v>
      </c>
      <c r="G38" s="35">
        <f t="shared" ref="G38:G44" si="24">IF(E38&gt;0,F38/E38,"N/A")</f>
        <v>-1</v>
      </c>
      <c r="H38" s="88"/>
      <c r="I38" s="200" t="s">
        <v>72</v>
      </c>
      <c r="J38" s="201" t="s">
        <v>139</v>
      </c>
      <c r="K38" s="38"/>
      <c r="L38" s="47">
        <f>2*Materials!$E$10+4*Materials!$E$11+2*Materials!$E$12+2*Materials!$E$14+1*Materials!$J$8</f>
        <v>400</v>
      </c>
      <c r="M38" s="6">
        <f t="shared" si="22"/>
        <v>-400</v>
      </c>
      <c r="N38" s="35">
        <f t="shared" ref="N38:N44" si="25">IF(L38&gt;0,M38/L38,"N/A")</f>
        <v>-1</v>
      </c>
      <c r="O38" s="88"/>
      <c r="P38" s="200" t="s">
        <v>72</v>
      </c>
      <c r="Q38" s="201" t="s">
        <v>78</v>
      </c>
      <c r="R38" s="38"/>
      <c r="S38" s="47">
        <f>2*Materials!$E$10+4*Materials!$E$11+2*Materials!$E$12+2*Materials!$E$14+1*Materials!$J$8</f>
        <v>400</v>
      </c>
      <c r="T38" s="6">
        <f t="shared" si="23"/>
        <v>-400</v>
      </c>
      <c r="U38" s="35">
        <f t="shared" ref="U38:U44" si="26">IF(S38&gt;0,T38/S38,"N/A")</f>
        <v>-1</v>
      </c>
    </row>
    <row r="39" spans="1:21" s="8" customFormat="1" ht="13.5" thickBot="1">
      <c r="A39" s="20"/>
      <c r="B39" s="220" t="s">
        <v>94</v>
      </c>
      <c r="C39" s="221" t="s">
        <v>131</v>
      </c>
      <c r="D39" s="196"/>
      <c r="E39" s="223">
        <f>2*Materials!$E$5+4*Materials!$E$10+2*Materials!$E$11+2*Materials!$E$13+1*Materials!$J$8</f>
        <v>400</v>
      </c>
      <c r="F39" s="224">
        <f t="shared" si="21"/>
        <v>-400</v>
      </c>
      <c r="G39" s="225">
        <f t="shared" si="24"/>
        <v>-1</v>
      </c>
      <c r="H39" s="88"/>
      <c r="I39" s="220" t="s">
        <v>94</v>
      </c>
      <c r="J39" s="221" t="s">
        <v>139</v>
      </c>
      <c r="K39" s="196"/>
      <c r="L39" s="223">
        <f>2*Materials!$E$10+4*Materials!$E$11+2*Materials!$E$12+2*Materials!$E$13+1*Materials!$J$8</f>
        <v>400</v>
      </c>
      <c r="M39" s="224">
        <f t="shared" si="22"/>
        <v>-400</v>
      </c>
      <c r="N39" s="225">
        <f t="shared" si="25"/>
        <v>-1</v>
      </c>
      <c r="O39" s="88"/>
      <c r="P39" s="220" t="s">
        <v>94</v>
      </c>
      <c r="Q39" s="221" t="s">
        <v>78</v>
      </c>
      <c r="R39" s="196"/>
      <c r="S39" s="223">
        <f>2*Materials!$E$10+4*Materials!$E$11+2*Materials!$E$12+2*Materials!$E$13+1*Materials!$J$8</f>
        <v>400</v>
      </c>
      <c r="T39" s="224">
        <f t="shared" si="23"/>
        <v>-400</v>
      </c>
      <c r="U39" s="225">
        <f t="shared" si="26"/>
        <v>-1</v>
      </c>
    </row>
    <row r="40" spans="1:21" s="8" customFormat="1">
      <c r="A40" s="20"/>
      <c r="B40" s="197" t="s">
        <v>83</v>
      </c>
      <c r="C40" s="219" t="s">
        <v>131</v>
      </c>
      <c r="D40" s="203"/>
      <c r="E40" s="191">
        <f>2*Materials!$E$5+4*Materials!$E$10+2*Materials!$E$11+2*Materials!$E$14+1*Materials!$J$8</f>
        <v>400</v>
      </c>
      <c r="F40" s="188">
        <f t="shared" si="21"/>
        <v>-400</v>
      </c>
      <c r="G40" s="189">
        <f>IF(E40&gt;0,F40/E40,"N/A")</f>
        <v>-1</v>
      </c>
      <c r="H40" s="88"/>
      <c r="I40" s="197" t="s">
        <v>83</v>
      </c>
      <c r="J40" s="219" t="s">
        <v>139</v>
      </c>
      <c r="K40" s="203"/>
      <c r="L40" s="191">
        <f>2*Materials!$E$10+4*Materials!$E$11+2*Materials!$E$12+2*Materials!$E$14+1*Materials!$J$8</f>
        <v>400</v>
      </c>
      <c r="M40" s="188">
        <f t="shared" si="22"/>
        <v>-400</v>
      </c>
      <c r="N40" s="189">
        <f>IF(L40&gt;0,M40/L40,"N/A")</f>
        <v>-1</v>
      </c>
      <c r="O40" s="88"/>
      <c r="P40" s="197" t="s">
        <v>83</v>
      </c>
      <c r="Q40" s="219" t="s">
        <v>78</v>
      </c>
      <c r="R40" s="203"/>
      <c r="S40" s="191">
        <f>2*Materials!$E$10+4*Materials!$E$11+2*Materials!$E$12+2*Materials!$E$14+1*Materials!$J$8</f>
        <v>400</v>
      </c>
      <c r="T40" s="188">
        <f t="shared" si="23"/>
        <v>-400</v>
      </c>
      <c r="U40" s="189">
        <f>IF(S40&gt;0,T40/S40,"N/A")</f>
        <v>-1</v>
      </c>
    </row>
    <row r="41" spans="1:21" s="8" customFormat="1">
      <c r="A41" s="20"/>
      <c r="B41" s="199" t="s">
        <v>84</v>
      </c>
      <c r="C41" s="205" t="s">
        <v>131</v>
      </c>
      <c r="D41" s="54"/>
      <c r="E41" s="46">
        <f>2*Materials!$E$5+4*Materials!$E$10+2*Materials!$E$11+2*Materials!$E$14+1*Materials!$J$8</f>
        <v>400</v>
      </c>
      <c r="F41" s="1">
        <f t="shared" si="21"/>
        <v>-400</v>
      </c>
      <c r="G41" s="34">
        <f>IF(E41&gt;0,F41/E41,"N/A")</f>
        <v>-1</v>
      </c>
      <c r="H41" s="88"/>
      <c r="I41" s="199" t="s">
        <v>84</v>
      </c>
      <c r="J41" s="205" t="s">
        <v>139</v>
      </c>
      <c r="K41" s="54"/>
      <c r="L41" s="46">
        <f>2*Materials!$E$10+4*Materials!$E$11+2*Materials!$E$12+2*Materials!$E$14+1*Materials!$J$8</f>
        <v>400</v>
      </c>
      <c r="M41" s="1">
        <f t="shared" si="22"/>
        <v>-400</v>
      </c>
      <c r="N41" s="34">
        <f>IF(L41&gt;0,M41/L41,"N/A")</f>
        <v>-1</v>
      </c>
      <c r="O41" s="88"/>
      <c r="P41" s="199" t="s">
        <v>84</v>
      </c>
      <c r="Q41" s="205" t="s">
        <v>78</v>
      </c>
      <c r="R41" s="54"/>
      <c r="S41" s="46">
        <f>2*Materials!$E$10+4*Materials!$E$11+2*Materials!$E$12+2*Materials!$E$14+1*Materials!$J$8</f>
        <v>400</v>
      </c>
      <c r="T41" s="1">
        <f t="shared" si="23"/>
        <v>-400</v>
      </c>
      <c r="U41" s="34">
        <f>IF(S41&gt;0,T41/S41,"N/A")</f>
        <v>-1</v>
      </c>
    </row>
    <row r="42" spans="1:21" s="8" customFormat="1">
      <c r="A42" s="20"/>
      <c r="B42" s="197" t="s">
        <v>85</v>
      </c>
      <c r="C42" s="198" t="s">
        <v>131</v>
      </c>
      <c r="D42" s="54"/>
      <c r="E42" s="46">
        <f>2*Materials!$E$5+4*Materials!$E$10+2*Materials!$E$11+2*Materials!$E$14+1*Materials!$J$8</f>
        <v>400</v>
      </c>
      <c r="F42" s="1">
        <f>(D42-E42)-(D42)*0.03</f>
        <v>-400</v>
      </c>
      <c r="G42" s="34">
        <f>IF(E42&gt;0,F42/E42,"N/A")</f>
        <v>-1</v>
      </c>
      <c r="H42" s="88"/>
      <c r="I42" s="197" t="s">
        <v>85</v>
      </c>
      <c r="J42" s="198" t="s">
        <v>139</v>
      </c>
      <c r="K42" s="54"/>
      <c r="L42" s="46">
        <f>2*Materials!$E$10+4*Materials!$E$11+2*Materials!$E$12+2*Materials!$E$14+1*Materials!$J$8</f>
        <v>400</v>
      </c>
      <c r="M42" s="1">
        <f>(K42-L42)-(K42)*0.03</f>
        <v>-400</v>
      </c>
      <c r="N42" s="34">
        <f>IF(L42&gt;0,M42/L42,"N/A")</f>
        <v>-1</v>
      </c>
      <c r="O42" s="88"/>
      <c r="P42" s="197" t="s">
        <v>85</v>
      </c>
      <c r="Q42" s="198" t="s">
        <v>78</v>
      </c>
      <c r="R42" s="54"/>
      <c r="S42" s="46">
        <f>2*Materials!$E$10+4*Materials!$E$11+2*Materials!$E$12+2*Materials!$E$14+1*Materials!$J$8</f>
        <v>400</v>
      </c>
      <c r="T42" s="1">
        <f>(R42-S42)-(R42)*0.03</f>
        <v>-400</v>
      </c>
      <c r="U42" s="34">
        <f>IF(S42&gt;0,T42/S42,"N/A")</f>
        <v>-1</v>
      </c>
    </row>
    <row r="43" spans="1:21" s="8" customFormat="1">
      <c r="A43" s="20"/>
      <c r="B43" s="199" t="s">
        <v>86</v>
      </c>
      <c r="C43" s="198" t="s">
        <v>131</v>
      </c>
      <c r="D43" s="54"/>
      <c r="E43" s="46">
        <f>2*Materials!$E$5+4*Materials!$E$10+2*Materials!$E$11+2*Materials!$E$14+1*Materials!$J$8</f>
        <v>400</v>
      </c>
      <c r="F43" s="1">
        <f>(D43-E43)-(D43)*0.03</f>
        <v>-400</v>
      </c>
      <c r="G43" s="34">
        <f t="shared" ref="G43:G46" si="27">IF(E43&gt;0,F43/E43,"N/A")</f>
        <v>-1</v>
      </c>
      <c r="H43" s="88"/>
      <c r="I43" s="199" t="s">
        <v>86</v>
      </c>
      <c r="J43" s="198" t="s">
        <v>139</v>
      </c>
      <c r="K43" s="54"/>
      <c r="L43" s="46">
        <f>2*Materials!$E$10+4*Materials!$E$11+2*Materials!$E$12+2*Materials!$E$14+1*Materials!$J$8</f>
        <v>400</v>
      </c>
      <c r="M43" s="1">
        <f>(K43-L43)-(K43)*0.03</f>
        <v>-400</v>
      </c>
      <c r="N43" s="34">
        <f t="shared" ref="N43:N46" si="28">IF(L43&gt;0,M43/L43,"N/A")</f>
        <v>-1</v>
      </c>
      <c r="O43" s="88"/>
      <c r="P43" s="199" t="s">
        <v>86</v>
      </c>
      <c r="Q43" s="198" t="s">
        <v>78</v>
      </c>
      <c r="R43" s="54"/>
      <c r="S43" s="46">
        <f>2*Materials!$E$10+4*Materials!$E$11+2*Materials!$E$12+2*Materials!$E$14+1*Materials!$J$8</f>
        <v>400</v>
      </c>
      <c r="T43" s="1">
        <f>(R43-S43)-(R43)*0.03</f>
        <v>-400</v>
      </c>
      <c r="U43" s="34">
        <f t="shared" ref="U43:U46" si="29">IF(S43&gt;0,T43/S43,"N/A")</f>
        <v>-1</v>
      </c>
    </row>
    <row r="44" spans="1:21" s="8" customFormat="1" ht="13.5" thickBot="1">
      <c r="A44" s="20"/>
      <c r="B44" s="197" t="s">
        <v>87</v>
      </c>
      <c r="C44" s="205" t="s">
        <v>131</v>
      </c>
      <c r="D44" s="204"/>
      <c r="E44" s="190">
        <f>2*Materials!$E$5+4*Materials!$E$10+2*Materials!$E$11+2*Materials!$E$14+1*Materials!$J$8</f>
        <v>400</v>
      </c>
      <c r="F44" s="186">
        <f t="shared" ref="F44:F49" si="30">(D44-E44)-(D44)*0.03</f>
        <v>-400</v>
      </c>
      <c r="G44" s="187">
        <f t="shared" si="27"/>
        <v>-1</v>
      </c>
      <c r="H44" s="88"/>
      <c r="I44" s="197" t="s">
        <v>87</v>
      </c>
      <c r="J44" s="205" t="s">
        <v>139</v>
      </c>
      <c r="K44" s="204"/>
      <c r="L44" s="47">
        <f>2*Materials!$E$10+4*Materials!$E$11+2*Materials!$E$12+2*Materials!$E$14+1*Materials!$J$8</f>
        <v>400</v>
      </c>
      <c r="M44" s="186">
        <f t="shared" ref="M44:M49" si="31">(K44-L44)-(K44)*0.03</f>
        <v>-400</v>
      </c>
      <c r="N44" s="187">
        <f t="shared" si="28"/>
        <v>-1</v>
      </c>
      <c r="O44" s="88"/>
      <c r="P44" s="197" t="s">
        <v>87</v>
      </c>
      <c r="Q44" s="205" t="s">
        <v>78</v>
      </c>
      <c r="R44" s="204"/>
      <c r="S44" s="47">
        <f>2*Materials!$E$10+4*Materials!$E$11+2*Materials!$E$12+2*Materials!$E$14+1*Materials!$J$8</f>
        <v>400</v>
      </c>
      <c r="T44" s="186">
        <f t="shared" ref="T44:T49" si="32">(R44-S44)-(R44)*0.03</f>
        <v>-400</v>
      </c>
      <c r="U44" s="187">
        <f t="shared" si="29"/>
        <v>-1</v>
      </c>
    </row>
    <row r="45" spans="1:21" s="8" customFormat="1" ht="13.5" thickBot="1">
      <c r="A45" s="20"/>
      <c r="B45" s="220" t="s">
        <v>95</v>
      </c>
      <c r="C45" s="221" t="s">
        <v>131</v>
      </c>
      <c r="D45" s="196"/>
      <c r="E45" s="223">
        <f>2*Materials!$E$5+4*Materials!$E$10+2*Materials!$E$11+2*Materials!$E$13+1*Materials!$J$8</f>
        <v>400</v>
      </c>
      <c r="F45" s="224">
        <f t="shared" si="30"/>
        <v>-400</v>
      </c>
      <c r="G45" s="225">
        <f t="shared" si="27"/>
        <v>-1</v>
      </c>
      <c r="H45" s="88"/>
      <c r="I45" s="220" t="s">
        <v>95</v>
      </c>
      <c r="J45" s="221" t="s">
        <v>139</v>
      </c>
      <c r="K45" s="196"/>
      <c r="L45" s="223">
        <f>2*Materials!$E$10+4*Materials!$E$11+2*Materials!$E$12+2*Materials!$E$13+1*Materials!$J$8</f>
        <v>400</v>
      </c>
      <c r="M45" s="224">
        <f t="shared" si="31"/>
        <v>-400</v>
      </c>
      <c r="N45" s="225">
        <f t="shared" si="28"/>
        <v>-1</v>
      </c>
      <c r="O45" s="88"/>
      <c r="P45" s="220" t="s">
        <v>95</v>
      </c>
      <c r="Q45" s="221" t="s">
        <v>78</v>
      </c>
      <c r="R45" s="196"/>
      <c r="S45" s="223">
        <f>2*Materials!$E$10+4*Materials!$E$11+2*Materials!$E$12+2*Materials!$E$13+1*Materials!$J$8</f>
        <v>400</v>
      </c>
      <c r="T45" s="224">
        <f t="shared" si="32"/>
        <v>-400</v>
      </c>
      <c r="U45" s="225">
        <f t="shared" si="29"/>
        <v>-1</v>
      </c>
    </row>
    <row r="46" spans="1:21" s="8" customFormat="1">
      <c r="A46" s="20"/>
      <c r="B46" s="226" t="s">
        <v>88</v>
      </c>
      <c r="C46" s="219" t="s">
        <v>131</v>
      </c>
      <c r="D46" s="203"/>
      <c r="E46" s="191">
        <f>2*Materials!$E$5+4*Materials!$E$10+2*Materials!$E$11+2*Materials!$E$14+1*Materials!$J$8</f>
        <v>400</v>
      </c>
      <c r="F46" s="188">
        <f t="shared" si="30"/>
        <v>-400</v>
      </c>
      <c r="G46" s="189">
        <f t="shared" si="27"/>
        <v>-1</v>
      </c>
      <c r="H46" s="88"/>
      <c r="I46" s="226" t="s">
        <v>88</v>
      </c>
      <c r="J46" s="219" t="s">
        <v>139</v>
      </c>
      <c r="K46" s="203"/>
      <c r="L46" s="191">
        <f>2*Materials!$E$10+4*Materials!$E$11+2*Materials!$E$12+2*Materials!$E$14+1*Materials!$J$8</f>
        <v>400</v>
      </c>
      <c r="M46" s="188">
        <f t="shared" si="31"/>
        <v>-400</v>
      </c>
      <c r="N46" s="189">
        <f t="shared" si="28"/>
        <v>-1</v>
      </c>
      <c r="O46" s="88"/>
      <c r="P46" s="226" t="s">
        <v>88</v>
      </c>
      <c r="Q46" s="219" t="s">
        <v>78</v>
      </c>
      <c r="R46" s="203"/>
      <c r="S46" s="191">
        <f>2*Materials!$E$10+4*Materials!$E$11+2*Materials!$E$12+2*Materials!$E$14+1*Materials!$J$8</f>
        <v>400</v>
      </c>
      <c r="T46" s="188">
        <f t="shared" si="32"/>
        <v>-400</v>
      </c>
      <c r="U46" s="189">
        <f t="shared" si="29"/>
        <v>-1</v>
      </c>
    </row>
    <row r="47" spans="1:21" s="8" customFormat="1">
      <c r="A47" s="20"/>
      <c r="B47" s="197" t="s">
        <v>89</v>
      </c>
      <c r="C47" s="205" t="s">
        <v>131</v>
      </c>
      <c r="D47" s="54"/>
      <c r="E47" s="46">
        <f>2*Materials!$E$5+4*Materials!$E$10+2*Materials!$E$11+2*Materials!$E$14+1*Materials!$J$8</f>
        <v>400</v>
      </c>
      <c r="F47" s="1">
        <f t="shared" si="30"/>
        <v>-400</v>
      </c>
      <c r="G47" s="34">
        <f>IF(E47&gt;0,F47/E47,"N/A")</f>
        <v>-1</v>
      </c>
      <c r="H47" s="88"/>
      <c r="I47" s="197" t="s">
        <v>89</v>
      </c>
      <c r="J47" s="205" t="s">
        <v>139</v>
      </c>
      <c r="K47" s="54"/>
      <c r="L47" s="46">
        <f>2*Materials!$E$10+4*Materials!$E$11+2*Materials!$E$12+2*Materials!$E$14+1*Materials!$J$8</f>
        <v>400</v>
      </c>
      <c r="M47" s="1">
        <f t="shared" si="31"/>
        <v>-400</v>
      </c>
      <c r="N47" s="34">
        <f>IF(L47&gt;0,M47/L47,"N/A")</f>
        <v>-1</v>
      </c>
      <c r="O47" s="88"/>
      <c r="P47" s="197" t="s">
        <v>89</v>
      </c>
      <c r="Q47" s="205" t="s">
        <v>78</v>
      </c>
      <c r="R47" s="54"/>
      <c r="S47" s="46">
        <f>2*Materials!$E$10+4*Materials!$E$11+2*Materials!$E$12+2*Materials!$E$14+1*Materials!$J$8</f>
        <v>400</v>
      </c>
      <c r="T47" s="1">
        <f t="shared" si="32"/>
        <v>-400</v>
      </c>
      <c r="U47" s="34">
        <f>IF(S47&gt;0,T47/S47,"N/A")</f>
        <v>-1</v>
      </c>
    </row>
    <row r="48" spans="1:21" s="8" customFormat="1">
      <c r="A48" s="20"/>
      <c r="B48" s="199" t="s">
        <v>90</v>
      </c>
      <c r="C48" s="198" t="s">
        <v>131</v>
      </c>
      <c r="D48" s="54"/>
      <c r="E48" s="46">
        <f>2*Materials!$E$5+4*Materials!$E$10+2*Materials!$E$11+2*Materials!$E$14+1*Materials!$J$8</f>
        <v>400</v>
      </c>
      <c r="F48" s="1">
        <f t="shared" si="30"/>
        <v>-400</v>
      </c>
      <c r="G48" s="34">
        <f t="shared" ref="G48:G49" si="33">IF(E48&gt;0,F48/E48,"N/A")</f>
        <v>-1</v>
      </c>
      <c r="H48" s="88"/>
      <c r="I48" s="199" t="s">
        <v>90</v>
      </c>
      <c r="J48" s="198" t="s">
        <v>139</v>
      </c>
      <c r="K48" s="54"/>
      <c r="L48" s="46">
        <f>2*Materials!$E$10+4*Materials!$E$11+2*Materials!$E$12+2*Materials!$E$14+1*Materials!$J$8</f>
        <v>400</v>
      </c>
      <c r="M48" s="1">
        <f t="shared" si="31"/>
        <v>-400</v>
      </c>
      <c r="N48" s="34">
        <f t="shared" ref="N48:N49" si="34">IF(L48&gt;0,M48/L48,"N/A")</f>
        <v>-1</v>
      </c>
      <c r="O48" s="88"/>
      <c r="P48" s="199" t="s">
        <v>90</v>
      </c>
      <c r="Q48" s="198" t="s">
        <v>78</v>
      </c>
      <c r="R48" s="54"/>
      <c r="S48" s="46">
        <f>2*Materials!$E$10+4*Materials!$E$11+2*Materials!$E$12+2*Materials!$E$14+1*Materials!$J$8</f>
        <v>400</v>
      </c>
      <c r="T48" s="1">
        <f t="shared" si="32"/>
        <v>-400</v>
      </c>
      <c r="U48" s="34">
        <f t="shared" ref="U48:U49" si="35">IF(S48&gt;0,T48/S48,"N/A")</f>
        <v>-1</v>
      </c>
    </row>
    <row r="49" spans="1:21" s="8" customFormat="1" ht="13.5" thickBot="1">
      <c r="A49" s="20"/>
      <c r="B49" s="200" t="s">
        <v>91</v>
      </c>
      <c r="C49" s="206" t="s">
        <v>131</v>
      </c>
      <c r="D49" s="55"/>
      <c r="E49" s="47">
        <f>2*Materials!$E$5+4*Materials!$E$10+2*Materials!$E$11+2*Materials!$E$14+1*Materials!$J$8</f>
        <v>400</v>
      </c>
      <c r="F49" s="6">
        <f t="shared" si="30"/>
        <v>-400</v>
      </c>
      <c r="G49" s="35">
        <f t="shared" si="33"/>
        <v>-1</v>
      </c>
      <c r="H49" s="88"/>
      <c r="I49" s="200" t="s">
        <v>91</v>
      </c>
      <c r="J49" s="206" t="s">
        <v>139</v>
      </c>
      <c r="K49" s="55"/>
      <c r="L49" s="47">
        <f>2*Materials!$E$10+4*Materials!$E$11+2*Materials!$E$12+2*Materials!$E$14+1*Materials!$J$8</f>
        <v>400</v>
      </c>
      <c r="M49" s="6">
        <f t="shared" si="31"/>
        <v>-400</v>
      </c>
      <c r="N49" s="35">
        <f t="shared" si="34"/>
        <v>-1</v>
      </c>
      <c r="O49" s="88"/>
      <c r="P49" s="200" t="s">
        <v>91</v>
      </c>
      <c r="Q49" s="206" t="s">
        <v>78</v>
      </c>
      <c r="R49" s="55"/>
      <c r="S49" s="47">
        <f>2*Materials!$E$10+4*Materials!$E$11+2*Materials!$E$12+2*Materials!$E$14+1*Materials!$J$8</f>
        <v>400</v>
      </c>
      <c r="T49" s="6">
        <f t="shared" si="32"/>
        <v>-400</v>
      </c>
      <c r="U49" s="35">
        <f t="shared" si="35"/>
        <v>-1</v>
      </c>
    </row>
    <row r="50" spans="1:21" s="88" customFormat="1">
      <c r="A50" s="93"/>
      <c r="B50" s="227"/>
      <c r="D50" s="228"/>
      <c r="E50" s="228"/>
      <c r="F50" s="228"/>
      <c r="G50" s="228"/>
    </row>
    <row r="51" spans="1:21" s="88" customFormat="1" ht="13.5" thickBot="1">
      <c r="A51" s="93"/>
      <c r="B51" s="227"/>
      <c r="D51" s="228"/>
      <c r="E51" s="228"/>
      <c r="F51" s="228"/>
      <c r="G51" s="228"/>
    </row>
    <row r="52" spans="1:21" s="8" customFormat="1" ht="12.75" customHeight="1">
      <c r="A52" s="20"/>
      <c r="B52" s="210" t="s">
        <v>132</v>
      </c>
      <c r="C52" s="213"/>
      <c r="D52" s="95"/>
      <c r="E52" s="208"/>
      <c r="F52" s="216"/>
      <c r="G52" s="97"/>
      <c r="H52" s="88"/>
      <c r="I52" s="210" t="s">
        <v>125</v>
      </c>
      <c r="J52" s="213"/>
      <c r="K52" s="95"/>
      <c r="L52" s="208"/>
      <c r="M52" s="216"/>
      <c r="N52" s="97"/>
      <c r="O52" s="88"/>
      <c r="P52" s="88"/>
      <c r="Q52" s="88"/>
      <c r="R52" s="88"/>
      <c r="S52" s="88"/>
    </row>
    <row r="53" spans="1:21" s="8" customFormat="1" ht="12.75" customHeight="1">
      <c r="A53" s="20"/>
      <c r="B53" s="211"/>
      <c r="C53" s="214"/>
      <c r="D53" s="98"/>
      <c r="E53" s="218" t="s">
        <v>142</v>
      </c>
      <c r="F53" s="217" t="s">
        <v>126</v>
      </c>
      <c r="G53" s="100"/>
      <c r="H53" s="88"/>
      <c r="I53" s="211"/>
      <c r="J53" s="214"/>
      <c r="K53" s="98"/>
      <c r="L53" s="218" t="s">
        <v>142</v>
      </c>
      <c r="M53" s="217" t="s">
        <v>136</v>
      </c>
      <c r="N53" s="100"/>
      <c r="O53" s="88"/>
      <c r="P53" s="88"/>
      <c r="Q53" s="88"/>
      <c r="R53" s="88"/>
      <c r="S53" s="88"/>
    </row>
    <row r="54" spans="1:21" s="8" customFormat="1" ht="12.75" customHeight="1">
      <c r="A54" s="20"/>
      <c r="B54" s="211"/>
      <c r="C54" s="214"/>
      <c r="D54" s="98"/>
      <c r="E54" s="218" t="s">
        <v>121</v>
      </c>
      <c r="F54" s="217" t="s">
        <v>124</v>
      </c>
      <c r="G54" s="100"/>
      <c r="H54" s="88"/>
      <c r="I54" s="211"/>
      <c r="J54" s="214"/>
      <c r="K54" s="98"/>
      <c r="L54" s="218" t="s">
        <v>121</v>
      </c>
      <c r="M54" s="217" t="s">
        <v>127</v>
      </c>
      <c r="N54" s="100"/>
    </row>
    <row r="55" spans="1:21" s="8" customFormat="1" ht="12.75" customHeight="1" thickBot="1">
      <c r="A55" s="20"/>
      <c r="B55" s="212"/>
      <c r="C55" s="215"/>
      <c r="D55" s="99"/>
      <c r="E55" s="209"/>
      <c r="F55" s="99"/>
      <c r="G55" s="100"/>
      <c r="H55" s="88"/>
      <c r="I55" s="212"/>
      <c r="J55" s="215"/>
      <c r="K55" s="99"/>
      <c r="L55" s="209"/>
      <c r="M55" s="99"/>
      <c r="N55" s="100"/>
    </row>
    <row r="56" spans="1:21" s="8" customFormat="1" ht="12.75" customHeight="1" thickBot="1">
      <c r="A56" s="20"/>
      <c r="B56" s="194" t="s">
        <v>118</v>
      </c>
      <c r="C56" s="194" t="s">
        <v>120</v>
      </c>
      <c r="D56" s="194" t="s">
        <v>51</v>
      </c>
      <c r="E56" s="104" t="s">
        <v>48</v>
      </c>
      <c r="F56" s="105" t="s">
        <v>52</v>
      </c>
      <c r="G56" s="106" t="s">
        <v>53</v>
      </c>
      <c r="H56" s="88"/>
      <c r="I56" s="194" t="s">
        <v>118</v>
      </c>
      <c r="J56" s="194" t="s">
        <v>120</v>
      </c>
      <c r="K56" s="194" t="s">
        <v>51</v>
      </c>
      <c r="L56" s="104" t="s">
        <v>48</v>
      </c>
      <c r="M56" s="105" t="s">
        <v>52</v>
      </c>
      <c r="N56" s="106" t="s">
        <v>53</v>
      </c>
    </row>
    <row r="57" spans="1:21" s="8" customFormat="1" ht="13.5" customHeight="1" thickBot="1">
      <c r="A57" s="20"/>
      <c r="B57" s="195"/>
      <c r="C57" s="202" t="s">
        <v>82</v>
      </c>
      <c r="D57" s="196"/>
      <c r="E57" s="185">
        <f>2*Materials!$E$5+4*Materials!$E$10+2*Materials!$E$11+1*Materials!$J$8</f>
        <v>400</v>
      </c>
      <c r="F57" s="192">
        <f>(D57-E57)-(D57)*0.03</f>
        <v>-400</v>
      </c>
      <c r="G57" s="193">
        <f>IF(E57&gt;0,F57/E57,"N/A")</f>
        <v>-1</v>
      </c>
      <c r="H57" s="88"/>
      <c r="I57" s="195"/>
      <c r="J57" s="202" t="s">
        <v>74</v>
      </c>
      <c r="K57" s="196"/>
      <c r="L57" s="185">
        <f>2*Materials!$E$10+4*Materials!$E$11+2*Materials!$E$12+1*Materials!$J$8</f>
        <v>400</v>
      </c>
      <c r="M57" s="192">
        <f>(K57-L57)-(K57)*0.03</f>
        <v>-400</v>
      </c>
      <c r="N57" s="193">
        <f>IF(L57&gt;0,M57/L57,"N/A")</f>
        <v>-1</v>
      </c>
    </row>
    <row r="58" spans="1:21" s="8" customFormat="1" ht="13.5" thickBot="1">
      <c r="A58" s="20"/>
      <c r="B58" s="220" t="s">
        <v>93</v>
      </c>
      <c r="C58" s="221" t="s">
        <v>82</v>
      </c>
      <c r="D58" s="222"/>
      <c r="E58" s="223">
        <f>2*Materials!$E$5+4*Materials!$E$10+2*Materials!$E$11+2*Materials!$E$13+1*Materials!$J$8</f>
        <v>400</v>
      </c>
      <c r="F58" s="224">
        <f>(D58-E58)-(D58)*0.03</f>
        <v>-400</v>
      </c>
      <c r="G58" s="225">
        <f t="shared" ref="G58:G64" si="36">IF(E58&gt;0,F58/E58,"N/A")</f>
        <v>-1</v>
      </c>
      <c r="H58" s="88"/>
      <c r="I58" s="220" t="s">
        <v>93</v>
      </c>
      <c r="J58" s="221" t="s">
        <v>74</v>
      </c>
      <c r="K58" s="222"/>
      <c r="L58" s="223">
        <f>2*Materials!$E$10+4*Materials!$E$11+2*Materials!$E$12+2*Materials!$E$13+1*Materials!$J$8</f>
        <v>400</v>
      </c>
      <c r="M58" s="224">
        <f>(K58-L58)-(K58)*0.03</f>
        <v>-400</v>
      </c>
      <c r="N58" s="225">
        <f t="shared" ref="N58:N64" si="37">IF(L58&gt;0,M58/L58,"N/A")</f>
        <v>-1</v>
      </c>
    </row>
    <row r="59" spans="1:21" s="8" customFormat="1">
      <c r="A59" s="20"/>
      <c r="B59" s="197" t="s">
        <v>69</v>
      </c>
      <c r="C59" s="219" t="s">
        <v>82</v>
      </c>
      <c r="D59" s="48"/>
      <c r="E59" s="191">
        <f>2*Materials!$E$5+4*Materials!$E$10+2*Materials!$E$11+2*Materials!$E$14+1*Materials!$J$8</f>
        <v>400</v>
      </c>
      <c r="F59" s="188">
        <f t="shared" ref="F59:F66" si="38">(D59-E59)-(D59)*0.03</f>
        <v>-400</v>
      </c>
      <c r="G59" s="189">
        <f t="shared" si="36"/>
        <v>-1</v>
      </c>
      <c r="H59" s="88"/>
      <c r="I59" s="197" t="s">
        <v>69</v>
      </c>
      <c r="J59" s="219" t="s">
        <v>74</v>
      </c>
      <c r="K59" s="48"/>
      <c r="L59" s="191">
        <f>2*Materials!$E$10+4*Materials!$E$11+2*Materials!$E$12+2*Materials!$E$14+1*Materials!$J$8</f>
        <v>400</v>
      </c>
      <c r="M59" s="188">
        <f t="shared" ref="M59:M66" si="39">(K59-L59)-(K59)*0.03</f>
        <v>-400</v>
      </c>
      <c r="N59" s="189">
        <f t="shared" si="37"/>
        <v>-1</v>
      </c>
    </row>
    <row r="60" spans="1:21" s="8" customFormat="1">
      <c r="A60" s="20"/>
      <c r="B60" s="199" t="s">
        <v>70</v>
      </c>
      <c r="C60" s="198" t="s">
        <v>82</v>
      </c>
      <c r="D60" s="37"/>
      <c r="E60" s="46">
        <f>2*Materials!$E$5+4*Materials!$E$10+2*Materials!$E$11+2*Materials!$E$14+1*Materials!$J$8</f>
        <v>400</v>
      </c>
      <c r="F60" s="1">
        <f t="shared" si="38"/>
        <v>-400</v>
      </c>
      <c r="G60" s="34">
        <f t="shared" si="36"/>
        <v>-1</v>
      </c>
      <c r="H60" s="88"/>
      <c r="I60" s="199" t="s">
        <v>70</v>
      </c>
      <c r="J60" s="198" t="s">
        <v>74</v>
      </c>
      <c r="K60" s="37"/>
      <c r="L60" s="46">
        <f>2*Materials!$E$10+4*Materials!$E$11+2*Materials!$E$12+2*Materials!$E$14+1*Materials!$J$8</f>
        <v>400</v>
      </c>
      <c r="M60" s="1">
        <f t="shared" si="39"/>
        <v>-400</v>
      </c>
      <c r="N60" s="34">
        <f t="shared" si="37"/>
        <v>-1</v>
      </c>
    </row>
    <row r="61" spans="1:21" s="8" customFormat="1">
      <c r="A61" s="20"/>
      <c r="B61" s="197" t="s">
        <v>71</v>
      </c>
      <c r="C61" s="198" t="s">
        <v>82</v>
      </c>
      <c r="D61" s="37"/>
      <c r="E61" s="46">
        <f>2*Materials!$E$5+4*Materials!$E$10+2*Materials!$E$11+2*Materials!$E$14+1*Materials!$J$8</f>
        <v>400</v>
      </c>
      <c r="F61" s="1">
        <f t="shared" si="38"/>
        <v>-400</v>
      </c>
      <c r="G61" s="34">
        <f t="shared" si="36"/>
        <v>-1</v>
      </c>
      <c r="H61" s="88"/>
      <c r="I61" s="197" t="s">
        <v>71</v>
      </c>
      <c r="J61" s="198" t="s">
        <v>74</v>
      </c>
      <c r="K61" s="37"/>
      <c r="L61" s="46">
        <f>2*Materials!$E$10+4*Materials!$E$11+2*Materials!$E$12+2*Materials!$E$14+1*Materials!$J$8</f>
        <v>400</v>
      </c>
      <c r="M61" s="1">
        <f t="shared" si="39"/>
        <v>-400</v>
      </c>
      <c r="N61" s="34">
        <f t="shared" si="37"/>
        <v>-1</v>
      </c>
    </row>
    <row r="62" spans="1:21" s="8" customFormat="1">
      <c r="A62" s="20"/>
      <c r="B62" s="199" t="s">
        <v>117</v>
      </c>
      <c r="C62" s="198" t="s">
        <v>82</v>
      </c>
      <c r="D62" s="37"/>
      <c r="E62" s="46">
        <f>2*Materials!$E$5+4*Materials!$E$10+2*Materials!$E$11+2*Materials!$E$14+1*Materials!$J$8</f>
        <v>400</v>
      </c>
      <c r="F62" s="1">
        <f t="shared" si="38"/>
        <v>-400</v>
      </c>
      <c r="G62" s="34">
        <f>IF(E62&gt;0,F62/E62,"N/A")</f>
        <v>-1</v>
      </c>
      <c r="H62" s="88"/>
      <c r="I62" s="199" t="s">
        <v>117</v>
      </c>
      <c r="J62" s="198" t="s">
        <v>74</v>
      </c>
      <c r="K62" s="37"/>
      <c r="L62" s="46">
        <f>2*Materials!$E$10+4*Materials!$E$11+2*Materials!$E$12+2*Materials!$E$14+1*Materials!$J$8</f>
        <v>400</v>
      </c>
      <c r="M62" s="1">
        <f t="shared" si="39"/>
        <v>-400</v>
      </c>
      <c r="N62" s="34">
        <f>IF(L62&gt;0,M62/L62,"N/A")</f>
        <v>-1</v>
      </c>
    </row>
    <row r="63" spans="1:21" s="8" customFormat="1" ht="13.5" thickBot="1">
      <c r="A63" s="20"/>
      <c r="B63" s="200" t="s">
        <v>72</v>
      </c>
      <c r="C63" s="201" t="s">
        <v>82</v>
      </c>
      <c r="D63" s="38"/>
      <c r="E63" s="47">
        <f>2*Materials!$E$5+4*Materials!$E$10+2*Materials!$E$11+2*Materials!$E$14+1*Materials!$J$8</f>
        <v>400</v>
      </c>
      <c r="F63" s="6">
        <f t="shared" si="38"/>
        <v>-400</v>
      </c>
      <c r="G63" s="35">
        <f t="shared" ref="G63:G69" si="40">IF(E63&gt;0,F63/E63,"N/A")</f>
        <v>-1</v>
      </c>
      <c r="H63" s="88"/>
      <c r="I63" s="200" t="s">
        <v>72</v>
      </c>
      <c r="J63" s="201" t="s">
        <v>74</v>
      </c>
      <c r="K63" s="38"/>
      <c r="L63" s="47">
        <f>2*Materials!$E$10+4*Materials!$E$11+2*Materials!$E$12+2*Materials!$E$14+1*Materials!$J$8</f>
        <v>400</v>
      </c>
      <c r="M63" s="6">
        <f t="shared" si="39"/>
        <v>-400</v>
      </c>
      <c r="N63" s="35">
        <f t="shared" ref="N63:N69" si="41">IF(L63&gt;0,M63/L63,"N/A")</f>
        <v>-1</v>
      </c>
    </row>
    <row r="64" spans="1:21" s="8" customFormat="1" ht="13.5" thickBot="1">
      <c r="A64" s="20"/>
      <c r="B64" s="220" t="s">
        <v>94</v>
      </c>
      <c r="C64" s="221" t="s">
        <v>82</v>
      </c>
      <c r="D64" s="196"/>
      <c r="E64" s="223">
        <f>2*Materials!$E$5+4*Materials!$E$10+2*Materials!$E$11+2*Materials!$E$13+1*Materials!$J$8</f>
        <v>400</v>
      </c>
      <c r="F64" s="224">
        <f t="shared" si="38"/>
        <v>-400</v>
      </c>
      <c r="G64" s="225">
        <f t="shared" si="40"/>
        <v>-1</v>
      </c>
      <c r="H64" s="88"/>
      <c r="I64" s="220" t="s">
        <v>94</v>
      </c>
      <c r="J64" s="221" t="s">
        <v>74</v>
      </c>
      <c r="K64" s="196"/>
      <c r="L64" s="223">
        <f>2*Materials!$E$10+4*Materials!$E$11+2*Materials!$E$12+2*Materials!$E$13+1*Materials!$J$8</f>
        <v>400</v>
      </c>
      <c r="M64" s="224">
        <f t="shared" si="39"/>
        <v>-400</v>
      </c>
      <c r="N64" s="225">
        <f t="shared" si="41"/>
        <v>-1</v>
      </c>
    </row>
    <row r="65" spans="1:19" s="8" customFormat="1">
      <c r="A65" s="20"/>
      <c r="B65" s="197" t="s">
        <v>83</v>
      </c>
      <c r="C65" s="219" t="s">
        <v>82</v>
      </c>
      <c r="D65" s="203"/>
      <c r="E65" s="191">
        <f>2*Materials!$E$5+4*Materials!$E$10+2*Materials!$E$11+2*Materials!$E$14+1*Materials!$J$8</f>
        <v>400</v>
      </c>
      <c r="F65" s="188">
        <f t="shared" si="38"/>
        <v>-400</v>
      </c>
      <c r="G65" s="189">
        <f>IF(E65&gt;0,F65/E65,"N/A")</f>
        <v>-1</v>
      </c>
      <c r="H65" s="88"/>
      <c r="I65" s="197" t="s">
        <v>83</v>
      </c>
      <c r="J65" s="219" t="s">
        <v>74</v>
      </c>
      <c r="K65" s="203"/>
      <c r="L65" s="191">
        <f>2*Materials!$E$10+4*Materials!$E$11+2*Materials!$E$12+2*Materials!$E$14+1*Materials!$J$8</f>
        <v>400</v>
      </c>
      <c r="M65" s="188">
        <f t="shared" si="39"/>
        <v>-400</v>
      </c>
      <c r="N65" s="189">
        <f>IF(L65&gt;0,M65/L65,"N/A")</f>
        <v>-1</v>
      </c>
    </row>
    <row r="66" spans="1:19" s="8" customFormat="1">
      <c r="A66" s="20"/>
      <c r="B66" s="199" t="s">
        <v>84</v>
      </c>
      <c r="C66" s="205" t="s">
        <v>82</v>
      </c>
      <c r="D66" s="54"/>
      <c r="E66" s="46">
        <f>2*Materials!$E$5+4*Materials!$E$10+2*Materials!$E$11+2*Materials!$E$14+1*Materials!$J$8</f>
        <v>400</v>
      </c>
      <c r="F66" s="1">
        <f t="shared" si="38"/>
        <v>-400</v>
      </c>
      <c r="G66" s="34">
        <f>IF(E66&gt;0,F66/E66,"N/A")</f>
        <v>-1</v>
      </c>
      <c r="H66" s="88"/>
      <c r="I66" s="199" t="s">
        <v>84</v>
      </c>
      <c r="J66" s="205" t="s">
        <v>74</v>
      </c>
      <c r="K66" s="54"/>
      <c r="L66" s="46">
        <f>2*Materials!$E$10+4*Materials!$E$11+2*Materials!$E$12+2*Materials!$E$14+1*Materials!$J$8</f>
        <v>400</v>
      </c>
      <c r="M66" s="1">
        <f t="shared" si="39"/>
        <v>-400</v>
      </c>
      <c r="N66" s="34">
        <f>IF(L66&gt;0,M66/L66,"N/A")</f>
        <v>-1</v>
      </c>
    </row>
    <row r="67" spans="1:19" s="8" customFormat="1">
      <c r="A67" s="20"/>
      <c r="B67" s="197" t="s">
        <v>85</v>
      </c>
      <c r="C67" s="198" t="s">
        <v>82</v>
      </c>
      <c r="D67" s="54"/>
      <c r="E67" s="46">
        <f>2*Materials!$E$5+4*Materials!$E$10+2*Materials!$E$11+2*Materials!$E$14+1*Materials!$J$8</f>
        <v>400</v>
      </c>
      <c r="F67" s="1">
        <f>(D67-E67)-(D67)*0.03</f>
        <v>-400</v>
      </c>
      <c r="G67" s="34">
        <f>IF(E67&gt;0,F67/E67,"N/A")</f>
        <v>-1</v>
      </c>
      <c r="H67" s="88"/>
      <c r="I67" s="197" t="s">
        <v>85</v>
      </c>
      <c r="J67" s="198" t="s">
        <v>74</v>
      </c>
      <c r="K67" s="54"/>
      <c r="L67" s="46">
        <f>2*Materials!$E$10+4*Materials!$E$11+2*Materials!$E$12+2*Materials!$E$14+1*Materials!$J$8</f>
        <v>400</v>
      </c>
      <c r="M67" s="1">
        <f>(K67-L67)-(K67)*0.03</f>
        <v>-400</v>
      </c>
      <c r="N67" s="34">
        <f>IF(L67&gt;0,M67/L67,"N/A")</f>
        <v>-1</v>
      </c>
    </row>
    <row r="68" spans="1:19" s="8" customFormat="1">
      <c r="A68" s="20"/>
      <c r="B68" s="199" t="s">
        <v>86</v>
      </c>
      <c r="C68" s="198" t="s">
        <v>82</v>
      </c>
      <c r="D68" s="54"/>
      <c r="E68" s="46">
        <f>2*Materials!$E$5+4*Materials!$E$10+2*Materials!$E$11+2*Materials!$E$14+1*Materials!$J$8</f>
        <v>400</v>
      </c>
      <c r="F68" s="1">
        <f>(D68-E68)-(D68)*0.03</f>
        <v>-400</v>
      </c>
      <c r="G68" s="34">
        <f t="shared" ref="G68:G71" si="42">IF(E68&gt;0,F68/E68,"N/A")</f>
        <v>-1</v>
      </c>
      <c r="H68" s="88"/>
      <c r="I68" s="199" t="s">
        <v>86</v>
      </c>
      <c r="J68" s="198" t="s">
        <v>74</v>
      </c>
      <c r="K68" s="54"/>
      <c r="L68" s="46">
        <f>2*Materials!$E$10+4*Materials!$E$11+2*Materials!$E$12+2*Materials!$E$14+1*Materials!$J$8</f>
        <v>400</v>
      </c>
      <c r="M68" s="1">
        <f>(K68-L68)-(K68)*0.03</f>
        <v>-400</v>
      </c>
      <c r="N68" s="34">
        <f t="shared" ref="N68:N71" si="43">IF(L68&gt;0,M68/L68,"N/A")</f>
        <v>-1</v>
      </c>
    </row>
    <row r="69" spans="1:19" s="8" customFormat="1" ht="13.5" thickBot="1">
      <c r="A69" s="20"/>
      <c r="B69" s="197" t="s">
        <v>87</v>
      </c>
      <c r="C69" s="205" t="s">
        <v>82</v>
      </c>
      <c r="D69" s="204"/>
      <c r="E69" s="190">
        <f>2*Materials!$E$5+4*Materials!$E$10+2*Materials!$E$11+2*Materials!$E$14+1*Materials!$J$8</f>
        <v>400</v>
      </c>
      <c r="F69" s="186">
        <f t="shared" ref="F69:F74" si="44">(D69-E69)-(D69)*0.03</f>
        <v>-400</v>
      </c>
      <c r="G69" s="187">
        <f t="shared" si="42"/>
        <v>-1</v>
      </c>
      <c r="H69" s="88"/>
      <c r="I69" s="197" t="s">
        <v>87</v>
      </c>
      <c r="J69" s="205" t="s">
        <v>74</v>
      </c>
      <c r="K69" s="204"/>
      <c r="L69" s="47">
        <f>2*Materials!$E$10+4*Materials!$E$11+2*Materials!$E$12+2*Materials!$E$14+1*Materials!$J$8</f>
        <v>400</v>
      </c>
      <c r="M69" s="186">
        <f t="shared" ref="M69:M74" si="45">(K69-L69)-(K69)*0.03</f>
        <v>-400</v>
      </c>
      <c r="N69" s="187">
        <f t="shared" si="43"/>
        <v>-1</v>
      </c>
    </row>
    <row r="70" spans="1:19" s="8" customFormat="1" ht="13.5" thickBot="1">
      <c r="A70" s="20"/>
      <c r="B70" s="220" t="s">
        <v>95</v>
      </c>
      <c r="C70" s="221" t="s">
        <v>82</v>
      </c>
      <c r="D70" s="196"/>
      <c r="E70" s="223">
        <f>2*Materials!$E$5+4*Materials!$E$10+2*Materials!$E$11+2*Materials!$E$13+1*Materials!$J$8</f>
        <v>400</v>
      </c>
      <c r="F70" s="224">
        <f t="shared" si="44"/>
        <v>-400</v>
      </c>
      <c r="G70" s="225">
        <f t="shared" si="42"/>
        <v>-1</v>
      </c>
      <c r="H70" s="88"/>
      <c r="I70" s="220" t="s">
        <v>95</v>
      </c>
      <c r="J70" s="221" t="s">
        <v>74</v>
      </c>
      <c r="K70" s="196"/>
      <c r="L70" s="223">
        <f>2*Materials!$E$10+4*Materials!$E$11+2*Materials!$E$12+2*Materials!$E$13+1*Materials!$J$8</f>
        <v>400</v>
      </c>
      <c r="M70" s="224">
        <f t="shared" si="45"/>
        <v>-400</v>
      </c>
      <c r="N70" s="225">
        <f t="shared" si="43"/>
        <v>-1</v>
      </c>
    </row>
    <row r="71" spans="1:19" s="8" customFormat="1">
      <c r="A71" s="20"/>
      <c r="B71" s="226" t="s">
        <v>88</v>
      </c>
      <c r="C71" s="219" t="s">
        <v>82</v>
      </c>
      <c r="D71" s="203"/>
      <c r="E71" s="191">
        <f>2*Materials!$E$5+4*Materials!$E$10+2*Materials!$E$11+2*Materials!$E$14+1*Materials!$J$8</f>
        <v>400</v>
      </c>
      <c r="F71" s="188">
        <f t="shared" si="44"/>
        <v>-400</v>
      </c>
      <c r="G71" s="189">
        <f t="shared" si="42"/>
        <v>-1</v>
      </c>
      <c r="H71" s="88"/>
      <c r="I71" s="226" t="s">
        <v>88</v>
      </c>
      <c r="J71" s="219" t="s">
        <v>74</v>
      </c>
      <c r="K71" s="203"/>
      <c r="L71" s="191">
        <f>2*Materials!$E$10+4*Materials!$E$11+2*Materials!$E$12+2*Materials!$E$14+1*Materials!$J$8</f>
        <v>400</v>
      </c>
      <c r="M71" s="188">
        <f t="shared" si="45"/>
        <v>-400</v>
      </c>
      <c r="N71" s="189">
        <f t="shared" si="43"/>
        <v>-1</v>
      </c>
    </row>
    <row r="72" spans="1:19" s="8" customFormat="1">
      <c r="A72" s="20"/>
      <c r="B72" s="197" t="s">
        <v>89</v>
      </c>
      <c r="C72" s="205" t="s">
        <v>82</v>
      </c>
      <c r="D72" s="54"/>
      <c r="E72" s="46">
        <f>2*Materials!$E$5+4*Materials!$E$10+2*Materials!$E$11+2*Materials!$E$14+1*Materials!$J$8</f>
        <v>400</v>
      </c>
      <c r="F72" s="1">
        <f t="shared" si="44"/>
        <v>-400</v>
      </c>
      <c r="G72" s="34">
        <f>IF(E72&gt;0,F72/E72,"N/A")</f>
        <v>-1</v>
      </c>
      <c r="H72" s="88"/>
      <c r="I72" s="197" t="s">
        <v>89</v>
      </c>
      <c r="J72" s="205" t="s">
        <v>74</v>
      </c>
      <c r="K72" s="54"/>
      <c r="L72" s="46">
        <f>2*Materials!$E$10+4*Materials!$E$11+2*Materials!$E$12+2*Materials!$E$14+1*Materials!$J$8</f>
        <v>400</v>
      </c>
      <c r="M72" s="1">
        <f t="shared" si="45"/>
        <v>-400</v>
      </c>
      <c r="N72" s="34">
        <f>IF(L72&gt;0,M72/L72,"N/A")</f>
        <v>-1</v>
      </c>
    </row>
    <row r="73" spans="1:19" s="8" customFormat="1">
      <c r="A73" s="20"/>
      <c r="B73" s="199" t="s">
        <v>90</v>
      </c>
      <c r="C73" s="198" t="s">
        <v>82</v>
      </c>
      <c r="D73" s="54"/>
      <c r="E73" s="46">
        <f>2*Materials!$E$5+4*Materials!$E$10+2*Materials!$E$11+2*Materials!$E$14+1*Materials!$J$8</f>
        <v>400</v>
      </c>
      <c r="F73" s="1">
        <f t="shared" si="44"/>
        <v>-400</v>
      </c>
      <c r="G73" s="34">
        <f t="shared" ref="G73:G74" si="46">IF(E73&gt;0,F73/E73,"N/A")</f>
        <v>-1</v>
      </c>
      <c r="H73" s="88"/>
      <c r="I73" s="199" t="s">
        <v>90</v>
      </c>
      <c r="J73" s="198" t="s">
        <v>74</v>
      </c>
      <c r="K73" s="54"/>
      <c r="L73" s="46">
        <f>2*Materials!$E$10+4*Materials!$E$11+2*Materials!$E$12+2*Materials!$E$14+1*Materials!$J$8</f>
        <v>400</v>
      </c>
      <c r="M73" s="1">
        <f t="shared" si="45"/>
        <v>-400</v>
      </c>
      <c r="N73" s="34">
        <f t="shared" ref="N73:N74" si="47">IF(L73&gt;0,M73/L73,"N/A")</f>
        <v>-1</v>
      </c>
    </row>
    <row r="74" spans="1:19" s="8" customFormat="1" ht="13.5" thickBot="1">
      <c r="A74" s="20"/>
      <c r="B74" s="200" t="s">
        <v>91</v>
      </c>
      <c r="C74" s="206" t="s">
        <v>82</v>
      </c>
      <c r="D74" s="55"/>
      <c r="E74" s="47">
        <f>2*Materials!$E$5+4*Materials!$E$10+2*Materials!$E$11+2*Materials!$E$14+1*Materials!$J$8</f>
        <v>400</v>
      </c>
      <c r="F74" s="6">
        <f t="shared" si="44"/>
        <v>-400</v>
      </c>
      <c r="G74" s="35">
        <f t="shared" si="46"/>
        <v>-1</v>
      </c>
      <c r="H74" s="88"/>
      <c r="I74" s="200" t="s">
        <v>91</v>
      </c>
      <c r="J74" s="206" t="s">
        <v>74</v>
      </c>
      <c r="K74" s="55"/>
      <c r="L74" s="47">
        <f>2*Materials!$E$10+4*Materials!$E$11+2*Materials!$E$12+2*Materials!$E$14+1*Materials!$J$8</f>
        <v>400</v>
      </c>
      <c r="M74" s="6">
        <f t="shared" si="45"/>
        <v>-400</v>
      </c>
      <c r="N74" s="35">
        <f t="shared" si="47"/>
        <v>-1</v>
      </c>
    </row>
    <row r="75" spans="1:19" s="8" customFormat="1">
      <c r="A75" s="20"/>
      <c r="B75" s="227"/>
      <c r="C75" s="88"/>
      <c r="D75" s="228"/>
      <c r="E75" s="228"/>
      <c r="F75" s="228"/>
      <c r="G75" s="228"/>
      <c r="H75" s="88"/>
      <c r="I75" s="88"/>
      <c r="J75" s="88"/>
      <c r="K75" s="88"/>
      <c r="L75" s="88"/>
      <c r="M75" s="88"/>
    </row>
    <row r="76" spans="1:19" s="8" customFormat="1" ht="13.5" thickBot="1">
      <c r="A76" s="93"/>
      <c r="B76" s="184"/>
      <c r="D76" s="14"/>
      <c r="E76" s="14"/>
      <c r="F76" s="14"/>
      <c r="G76" s="14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</row>
    <row r="77" spans="1:19" s="8" customFormat="1" ht="12.75" customHeight="1">
      <c r="A77" s="20"/>
      <c r="B77" s="210" t="s">
        <v>129</v>
      </c>
      <c r="C77" s="213"/>
      <c r="D77" s="95"/>
      <c r="E77" s="208"/>
      <c r="F77" s="216"/>
      <c r="G77" s="97"/>
      <c r="H77" s="88"/>
      <c r="I77" s="210" t="s">
        <v>140</v>
      </c>
      <c r="J77" s="213"/>
      <c r="K77" s="95"/>
      <c r="L77" s="208"/>
      <c r="M77" s="216"/>
      <c r="N77" s="97"/>
      <c r="O77" s="88"/>
      <c r="P77" s="88"/>
      <c r="Q77" s="88"/>
      <c r="R77" s="88"/>
      <c r="S77" s="88"/>
    </row>
    <row r="78" spans="1:19" s="8" customFormat="1" ht="12.75" customHeight="1">
      <c r="A78" s="20"/>
      <c r="B78" s="211"/>
      <c r="C78" s="214"/>
      <c r="D78" s="98"/>
      <c r="E78" s="218" t="s">
        <v>142</v>
      </c>
      <c r="F78" s="217" t="s">
        <v>128</v>
      </c>
      <c r="G78" s="100"/>
      <c r="H78" s="88"/>
      <c r="I78" s="211"/>
      <c r="J78" s="214"/>
      <c r="K78" s="98"/>
      <c r="L78" s="218" t="s">
        <v>142</v>
      </c>
      <c r="M78" s="217" t="s">
        <v>141</v>
      </c>
      <c r="N78" s="100"/>
      <c r="O78" s="88"/>
      <c r="P78" s="88"/>
      <c r="Q78" s="88"/>
      <c r="R78" s="88"/>
      <c r="S78" s="88"/>
    </row>
    <row r="79" spans="1:19" s="8" customFormat="1" ht="12.75" customHeight="1">
      <c r="A79" s="20"/>
      <c r="B79" s="211"/>
      <c r="C79" s="214"/>
      <c r="D79" s="98"/>
      <c r="E79" s="218" t="s">
        <v>121</v>
      </c>
      <c r="F79" s="217" t="s">
        <v>124</v>
      </c>
      <c r="G79" s="100"/>
      <c r="H79" s="88"/>
      <c r="I79" s="211"/>
      <c r="J79" s="214"/>
      <c r="K79" s="98"/>
      <c r="L79" s="218" t="s">
        <v>121</v>
      </c>
      <c r="M79" s="217" t="s">
        <v>138</v>
      </c>
      <c r="N79" s="100"/>
      <c r="O79" s="88"/>
      <c r="P79" s="88"/>
      <c r="Q79" s="88"/>
      <c r="R79" s="88"/>
      <c r="S79" s="88"/>
    </row>
    <row r="80" spans="1:19" s="8" customFormat="1" ht="12.75" customHeight="1" thickBot="1">
      <c r="A80" s="20"/>
      <c r="B80" s="212"/>
      <c r="C80" s="215"/>
      <c r="D80" s="99"/>
      <c r="E80" s="209"/>
      <c r="F80" s="99"/>
      <c r="G80" s="100"/>
      <c r="H80" s="88"/>
      <c r="I80" s="212"/>
      <c r="J80" s="215"/>
      <c r="K80" s="99"/>
      <c r="L80" s="209"/>
      <c r="M80" s="99"/>
      <c r="N80" s="100"/>
      <c r="O80" s="88"/>
      <c r="P80" s="88"/>
      <c r="Q80" s="88"/>
      <c r="R80" s="88"/>
      <c r="S80" s="88"/>
    </row>
    <row r="81" spans="1:19" s="8" customFormat="1" ht="13.5" thickBot="1">
      <c r="A81" s="20"/>
      <c r="B81" s="194" t="s">
        <v>118</v>
      </c>
      <c r="C81" s="194" t="s">
        <v>120</v>
      </c>
      <c r="D81" s="194" t="s">
        <v>51</v>
      </c>
      <c r="E81" s="104" t="s">
        <v>48</v>
      </c>
      <c r="F81" s="105" t="s">
        <v>52</v>
      </c>
      <c r="G81" s="106" t="s">
        <v>53</v>
      </c>
      <c r="H81" s="88"/>
      <c r="I81" s="194" t="s">
        <v>118</v>
      </c>
      <c r="J81" s="194" t="s">
        <v>120</v>
      </c>
      <c r="K81" s="194" t="s">
        <v>51</v>
      </c>
      <c r="L81" s="104" t="s">
        <v>48</v>
      </c>
      <c r="M81" s="105" t="s">
        <v>52</v>
      </c>
      <c r="N81" s="106" t="s">
        <v>53</v>
      </c>
      <c r="O81" s="88"/>
      <c r="P81" s="88"/>
      <c r="Q81" s="88"/>
      <c r="R81" s="88"/>
      <c r="S81" s="88"/>
    </row>
    <row r="82" spans="1:19" s="8" customFormat="1" ht="13.5" thickBot="1">
      <c r="A82" s="20"/>
      <c r="B82" s="195"/>
      <c r="C82" s="202" t="s">
        <v>75</v>
      </c>
      <c r="D82" s="196"/>
      <c r="E82" s="185">
        <f>2*Materials!$E$5+4*Materials!$E$10+2*Materials!$E$11+1*Materials!$J$8</f>
        <v>400</v>
      </c>
      <c r="F82" s="192">
        <f>(D82-E82)-(D82)*0.03</f>
        <v>-400</v>
      </c>
      <c r="G82" s="193">
        <f>IF(E82&gt;0,F82/E82,"N/A")</f>
        <v>-1</v>
      </c>
      <c r="H82" s="88"/>
      <c r="I82" s="195"/>
      <c r="J82" s="202" t="s">
        <v>76</v>
      </c>
      <c r="K82" s="196"/>
      <c r="L82" s="185">
        <f>2*Materials!$E$10+4*Materials!$E$11+2*Materials!$E$12+1*Materials!$J$8</f>
        <v>400</v>
      </c>
      <c r="M82" s="192">
        <f>(K82-L82)-(K82)*0.03</f>
        <v>-400</v>
      </c>
      <c r="N82" s="193">
        <f>IF(L82&gt;0,M82/L82,"N/A")</f>
        <v>-1</v>
      </c>
      <c r="O82" s="88"/>
      <c r="P82" s="88"/>
      <c r="Q82" s="88"/>
      <c r="R82" s="88"/>
      <c r="S82" s="88"/>
    </row>
    <row r="83" spans="1:19" s="8" customFormat="1" ht="13.5" thickBot="1">
      <c r="A83" s="20"/>
      <c r="B83" s="220" t="s">
        <v>93</v>
      </c>
      <c r="C83" s="221" t="s">
        <v>75</v>
      </c>
      <c r="D83" s="222"/>
      <c r="E83" s="223">
        <f>2*Materials!$E$5+4*Materials!$E$10+2*Materials!$E$11+2*Materials!$E$13+1*Materials!$J$8</f>
        <v>400</v>
      </c>
      <c r="F83" s="224">
        <f>(D83-E83)-(D83)*0.03</f>
        <v>-400</v>
      </c>
      <c r="G83" s="225">
        <f t="shared" ref="G83:G89" si="48">IF(E83&gt;0,F83/E83,"N/A")</f>
        <v>-1</v>
      </c>
      <c r="H83" s="88"/>
      <c r="I83" s="220" t="s">
        <v>93</v>
      </c>
      <c r="J83" s="221" t="s">
        <v>76</v>
      </c>
      <c r="K83" s="222"/>
      <c r="L83" s="223">
        <f>2*Materials!$E$10+4*Materials!$E$11+2*Materials!$E$12+2*Materials!$E$13+1*Materials!$J$8</f>
        <v>400</v>
      </c>
      <c r="M83" s="224">
        <f>(K83-L83)-(K83)*0.03</f>
        <v>-400</v>
      </c>
      <c r="N83" s="225">
        <f t="shared" ref="N83:N89" si="49">IF(L83&gt;0,M83/L83,"N/A")</f>
        <v>-1</v>
      </c>
      <c r="O83" s="88"/>
      <c r="P83" s="88"/>
      <c r="Q83" s="88"/>
      <c r="R83" s="88"/>
      <c r="S83" s="88"/>
    </row>
    <row r="84" spans="1:19" s="8" customFormat="1">
      <c r="A84" s="20"/>
      <c r="B84" s="197" t="s">
        <v>69</v>
      </c>
      <c r="C84" s="219" t="s">
        <v>75</v>
      </c>
      <c r="D84" s="48"/>
      <c r="E84" s="191">
        <f>2*Materials!$E$5+4*Materials!$E$10+2*Materials!$E$11+2*Materials!$E$14+1*Materials!$J$8</f>
        <v>400</v>
      </c>
      <c r="F84" s="188">
        <f t="shared" ref="F84:F91" si="50">(D84-E84)-(D84)*0.03</f>
        <v>-400</v>
      </c>
      <c r="G84" s="189">
        <f t="shared" si="48"/>
        <v>-1</v>
      </c>
      <c r="H84" s="88"/>
      <c r="I84" s="197" t="s">
        <v>69</v>
      </c>
      <c r="J84" s="219" t="s">
        <v>76</v>
      </c>
      <c r="K84" s="48"/>
      <c r="L84" s="191">
        <f>2*Materials!$E$10+4*Materials!$E$11+2*Materials!$E$12+2*Materials!$E$14+1*Materials!$J$8</f>
        <v>400</v>
      </c>
      <c r="M84" s="188">
        <f t="shared" ref="M84:M91" si="51">(K84-L84)-(K84)*0.03</f>
        <v>-400</v>
      </c>
      <c r="N84" s="189">
        <f t="shared" si="49"/>
        <v>-1</v>
      </c>
      <c r="O84" s="88"/>
      <c r="P84" s="88"/>
      <c r="Q84" s="88"/>
      <c r="R84" s="88"/>
      <c r="S84" s="88"/>
    </row>
    <row r="85" spans="1:19" s="8" customFormat="1">
      <c r="A85" s="20"/>
      <c r="B85" s="199" t="s">
        <v>70</v>
      </c>
      <c r="C85" s="198" t="s">
        <v>75</v>
      </c>
      <c r="D85" s="37"/>
      <c r="E85" s="46">
        <f>2*Materials!$E$5+4*Materials!$E$10+2*Materials!$E$11+2*Materials!$E$14+1*Materials!$J$8</f>
        <v>400</v>
      </c>
      <c r="F85" s="1">
        <f t="shared" si="50"/>
        <v>-400</v>
      </c>
      <c r="G85" s="34">
        <f t="shared" si="48"/>
        <v>-1</v>
      </c>
      <c r="H85" s="88"/>
      <c r="I85" s="199" t="s">
        <v>70</v>
      </c>
      <c r="J85" s="198" t="s">
        <v>76</v>
      </c>
      <c r="K85" s="37"/>
      <c r="L85" s="46">
        <f>2*Materials!$E$10+4*Materials!$E$11+2*Materials!$E$12+2*Materials!$E$14+1*Materials!$J$8</f>
        <v>400</v>
      </c>
      <c r="M85" s="1">
        <f t="shared" si="51"/>
        <v>-400</v>
      </c>
      <c r="N85" s="34">
        <f t="shared" si="49"/>
        <v>-1</v>
      </c>
      <c r="O85" s="88"/>
      <c r="P85" s="88"/>
      <c r="Q85" s="88"/>
      <c r="R85" s="88"/>
      <c r="S85" s="88"/>
    </row>
    <row r="86" spans="1:19" s="8" customFormat="1">
      <c r="A86" s="20"/>
      <c r="B86" s="197" t="s">
        <v>71</v>
      </c>
      <c r="C86" s="198" t="s">
        <v>75</v>
      </c>
      <c r="D86" s="37"/>
      <c r="E86" s="46">
        <f>2*Materials!$E$5+4*Materials!$E$10+2*Materials!$E$11+2*Materials!$E$14+1*Materials!$J$8</f>
        <v>400</v>
      </c>
      <c r="F86" s="1">
        <f t="shared" si="50"/>
        <v>-400</v>
      </c>
      <c r="G86" s="34">
        <f t="shared" si="48"/>
        <v>-1</v>
      </c>
      <c r="H86" s="88"/>
      <c r="I86" s="197" t="s">
        <v>71</v>
      </c>
      <c r="J86" s="198" t="s">
        <v>76</v>
      </c>
      <c r="K86" s="37"/>
      <c r="L86" s="46">
        <f>2*Materials!$E$10+4*Materials!$E$11+2*Materials!$E$12+2*Materials!$E$14+1*Materials!$J$8</f>
        <v>400</v>
      </c>
      <c r="M86" s="1">
        <f t="shared" si="51"/>
        <v>-400</v>
      </c>
      <c r="N86" s="34">
        <f t="shared" si="49"/>
        <v>-1</v>
      </c>
      <c r="O86" s="88"/>
      <c r="P86" s="88"/>
      <c r="Q86" s="88"/>
      <c r="R86" s="88"/>
      <c r="S86" s="88"/>
    </row>
    <row r="87" spans="1:19" s="8" customFormat="1" ht="12.75" customHeight="1">
      <c r="A87" s="20"/>
      <c r="B87" s="199" t="s">
        <v>117</v>
      </c>
      <c r="C87" s="198" t="s">
        <v>75</v>
      </c>
      <c r="D87" s="37"/>
      <c r="E87" s="46">
        <f>2*Materials!$E$5+4*Materials!$E$10+2*Materials!$E$11+2*Materials!$E$14+1*Materials!$J$8</f>
        <v>400</v>
      </c>
      <c r="F87" s="1">
        <f t="shared" si="50"/>
        <v>-400</v>
      </c>
      <c r="G87" s="34">
        <f>IF(E87&gt;0,F87/E87,"N/A")</f>
        <v>-1</v>
      </c>
      <c r="H87" s="88"/>
      <c r="I87" s="199" t="s">
        <v>117</v>
      </c>
      <c r="J87" s="198" t="s">
        <v>76</v>
      </c>
      <c r="K87" s="37"/>
      <c r="L87" s="46">
        <f>2*Materials!$E$10+4*Materials!$E$11+2*Materials!$E$12+2*Materials!$E$14+1*Materials!$J$8</f>
        <v>400</v>
      </c>
      <c r="M87" s="1">
        <f t="shared" si="51"/>
        <v>-400</v>
      </c>
      <c r="N87" s="34">
        <f>IF(L87&gt;0,M87/L87,"N/A")</f>
        <v>-1</v>
      </c>
      <c r="O87" s="88"/>
      <c r="P87" s="88"/>
      <c r="Q87" s="88"/>
      <c r="R87" s="88"/>
      <c r="S87" s="88"/>
    </row>
    <row r="88" spans="1:19" s="8" customFormat="1" ht="13.5" thickBot="1">
      <c r="A88" s="20"/>
      <c r="B88" s="200" t="s">
        <v>72</v>
      </c>
      <c r="C88" s="201" t="s">
        <v>75</v>
      </c>
      <c r="D88" s="38"/>
      <c r="E88" s="47">
        <f>2*Materials!$E$5+4*Materials!$E$10+2*Materials!$E$11+2*Materials!$E$14+1*Materials!$J$8</f>
        <v>400</v>
      </c>
      <c r="F88" s="6">
        <f t="shared" si="50"/>
        <v>-400</v>
      </c>
      <c r="G88" s="35">
        <f t="shared" ref="G88:G94" si="52">IF(E88&gt;0,F88/E88,"N/A")</f>
        <v>-1</v>
      </c>
      <c r="H88" s="88"/>
      <c r="I88" s="200" t="s">
        <v>72</v>
      </c>
      <c r="J88" s="201" t="s">
        <v>76</v>
      </c>
      <c r="K88" s="38"/>
      <c r="L88" s="47">
        <f>2*Materials!$E$10+4*Materials!$E$11+2*Materials!$E$12+2*Materials!$E$14+1*Materials!$J$8</f>
        <v>400</v>
      </c>
      <c r="M88" s="6">
        <f t="shared" si="51"/>
        <v>-400</v>
      </c>
      <c r="N88" s="35">
        <f t="shared" ref="N88:N94" si="53">IF(L88&gt;0,M88/L88,"N/A")</f>
        <v>-1</v>
      </c>
      <c r="O88" s="88"/>
      <c r="P88" s="88"/>
      <c r="Q88" s="88"/>
      <c r="R88" s="88"/>
      <c r="S88" s="88"/>
    </row>
    <row r="89" spans="1:19" s="8" customFormat="1" ht="13.5" thickBot="1">
      <c r="A89" s="20"/>
      <c r="B89" s="220" t="s">
        <v>94</v>
      </c>
      <c r="C89" s="221" t="s">
        <v>75</v>
      </c>
      <c r="D89" s="196"/>
      <c r="E89" s="223">
        <f>2*Materials!$E$5+4*Materials!$E$10+2*Materials!$E$11+2*Materials!$E$13+1*Materials!$J$8</f>
        <v>400</v>
      </c>
      <c r="F89" s="224">
        <f t="shared" si="50"/>
        <v>-400</v>
      </c>
      <c r="G89" s="225">
        <f t="shared" si="52"/>
        <v>-1</v>
      </c>
      <c r="H89" s="88"/>
      <c r="I89" s="220" t="s">
        <v>94</v>
      </c>
      <c r="J89" s="221" t="s">
        <v>76</v>
      </c>
      <c r="K89" s="196"/>
      <c r="L89" s="223">
        <f>2*Materials!$E$10+4*Materials!$E$11+2*Materials!$E$12+2*Materials!$E$13+1*Materials!$J$8</f>
        <v>400</v>
      </c>
      <c r="M89" s="224">
        <f t="shared" si="51"/>
        <v>-400</v>
      </c>
      <c r="N89" s="225">
        <f t="shared" si="53"/>
        <v>-1</v>
      </c>
      <c r="O89" s="88"/>
      <c r="P89" s="88"/>
      <c r="Q89" s="88"/>
      <c r="R89" s="88"/>
      <c r="S89" s="88"/>
    </row>
    <row r="90" spans="1:19" s="8" customFormat="1">
      <c r="A90" s="20"/>
      <c r="B90" s="197" t="s">
        <v>83</v>
      </c>
      <c r="C90" s="219" t="s">
        <v>75</v>
      </c>
      <c r="D90" s="203"/>
      <c r="E90" s="191">
        <f>2*Materials!$E$5+4*Materials!$E$10+2*Materials!$E$11+2*Materials!$E$14+1*Materials!$J$8</f>
        <v>400</v>
      </c>
      <c r="F90" s="188">
        <f t="shared" si="50"/>
        <v>-400</v>
      </c>
      <c r="G90" s="189">
        <f>IF(E90&gt;0,F90/E90,"N/A")</f>
        <v>-1</v>
      </c>
      <c r="H90" s="88"/>
      <c r="I90" s="197" t="s">
        <v>83</v>
      </c>
      <c r="J90" s="219" t="s">
        <v>76</v>
      </c>
      <c r="K90" s="203"/>
      <c r="L90" s="191">
        <f>2*Materials!$E$10+4*Materials!$E$11+2*Materials!$E$12+2*Materials!$E$14+1*Materials!$J$8</f>
        <v>400</v>
      </c>
      <c r="M90" s="188">
        <f t="shared" si="51"/>
        <v>-400</v>
      </c>
      <c r="N90" s="189">
        <f>IF(L90&gt;0,M90/L90,"N/A")</f>
        <v>-1</v>
      </c>
      <c r="O90" s="88"/>
      <c r="P90" s="88"/>
      <c r="Q90" s="88"/>
      <c r="R90" s="88"/>
      <c r="S90" s="88"/>
    </row>
    <row r="91" spans="1:19" s="8" customFormat="1">
      <c r="A91" s="20"/>
      <c r="B91" s="199" t="s">
        <v>84</v>
      </c>
      <c r="C91" s="205" t="s">
        <v>75</v>
      </c>
      <c r="D91" s="54"/>
      <c r="E91" s="46">
        <f>2*Materials!$E$5+4*Materials!$E$10+2*Materials!$E$11+2*Materials!$E$14+1*Materials!$J$8</f>
        <v>400</v>
      </c>
      <c r="F91" s="1">
        <f t="shared" si="50"/>
        <v>-400</v>
      </c>
      <c r="G91" s="34">
        <f>IF(E91&gt;0,F91/E91,"N/A")</f>
        <v>-1</v>
      </c>
      <c r="H91" s="88"/>
      <c r="I91" s="199" t="s">
        <v>84</v>
      </c>
      <c r="J91" s="205" t="s">
        <v>76</v>
      </c>
      <c r="K91" s="54"/>
      <c r="L91" s="46">
        <f>2*Materials!$E$10+4*Materials!$E$11+2*Materials!$E$12+2*Materials!$E$14+1*Materials!$J$8</f>
        <v>400</v>
      </c>
      <c r="M91" s="1">
        <f t="shared" si="51"/>
        <v>-400</v>
      </c>
      <c r="N91" s="34">
        <f>IF(L91&gt;0,M91/L91,"N/A")</f>
        <v>-1</v>
      </c>
      <c r="O91" s="88"/>
      <c r="P91" s="88"/>
      <c r="Q91" s="88"/>
      <c r="R91" s="88"/>
      <c r="S91" s="88"/>
    </row>
    <row r="92" spans="1:19" s="8" customFormat="1">
      <c r="A92" s="20"/>
      <c r="B92" s="197" t="s">
        <v>85</v>
      </c>
      <c r="C92" s="198" t="s">
        <v>75</v>
      </c>
      <c r="D92" s="54"/>
      <c r="E92" s="46">
        <f>2*Materials!$E$5+4*Materials!$E$10+2*Materials!$E$11+2*Materials!$E$14+1*Materials!$J$8</f>
        <v>400</v>
      </c>
      <c r="F92" s="1">
        <f>(D92-E92)-(D92)*0.03</f>
        <v>-400</v>
      </c>
      <c r="G92" s="34">
        <f>IF(E92&gt;0,F92/E92,"N/A")</f>
        <v>-1</v>
      </c>
      <c r="H92" s="88"/>
      <c r="I92" s="197" t="s">
        <v>85</v>
      </c>
      <c r="J92" s="198" t="s">
        <v>76</v>
      </c>
      <c r="K92" s="54"/>
      <c r="L92" s="46">
        <f>2*Materials!$E$10+4*Materials!$E$11+2*Materials!$E$12+2*Materials!$E$14+1*Materials!$J$8</f>
        <v>400</v>
      </c>
      <c r="M92" s="1">
        <f>(K92-L92)-(K92)*0.03</f>
        <v>-400</v>
      </c>
      <c r="N92" s="34">
        <f>IF(L92&gt;0,M92/L92,"N/A")</f>
        <v>-1</v>
      </c>
      <c r="O92" s="88"/>
      <c r="P92" s="88"/>
      <c r="Q92" s="88"/>
      <c r="R92" s="88"/>
      <c r="S92" s="88"/>
    </row>
    <row r="93" spans="1:19" s="8" customFormat="1">
      <c r="A93" s="20"/>
      <c r="B93" s="199" t="s">
        <v>86</v>
      </c>
      <c r="C93" s="198" t="s">
        <v>75</v>
      </c>
      <c r="D93" s="54"/>
      <c r="E93" s="46">
        <f>2*Materials!$E$5+4*Materials!$E$10+2*Materials!$E$11+2*Materials!$E$14+1*Materials!$J$8</f>
        <v>400</v>
      </c>
      <c r="F93" s="1">
        <f>(D93-E93)-(D93)*0.03</f>
        <v>-400</v>
      </c>
      <c r="G93" s="34">
        <f t="shared" ref="G93:G96" si="54">IF(E93&gt;0,F93/E93,"N/A")</f>
        <v>-1</v>
      </c>
      <c r="H93" s="88"/>
      <c r="I93" s="199" t="s">
        <v>86</v>
      </c>
      <c r="J93" s="198" t="s">
        <v>76</v>
      </c>
      <c r="K93" s="54"/>
      <c r="L93" s="46">
        <f>2*Materials!$E$10+4*Materials!$E$11+2*Materials!$E$12+2*Materials!$E$14+1*Materials!$J$8</f>
        <v>400</v>
      </c>
      <c r="M93" s="1">
        <f>(K93-L93)-(K93)*0.03</f>
        <v>-400</v>
      </c>
      <c r="N93" s="34">
        <f t="shared" ref="N93:N96" si="55">IF(L93&gt;0,M93/L93,"N/A")</f>
        <v>-1</v>
      </c>
      <c r="O93" s="88"/>
      <c r="P93" s="88"/>
      <c r="Q93" s="88"/>
      <c r="R93" s="88"/>
      <c r="S93" s="88"/>
    </row>
    <row r="94" spans="1:19" s="8" customFormat="1" ht="13.5" thickBot="1">
      <c r="A94" s="20"/>
      <c r="B94" s="197" t="s">
        <v>87</v>
      </c>
      <c r="C94" s="205" t="s">
        <v>75</v>
      </c>
      <c r="D94" s="204"/>
      <c r="E94" s="190">
        <f>2*Materials!$E$5+4*Materials!$E$10+2*Materials!$E$11+2*Materials!$E$14+1*Materials!$J$8</f>
        <v>400</v>
      </c>
      <c r="F94" s="186">
        <f t="shared" ref="F94:F99" si="56">(D94-E94)-(D94)*0.03</f>
        <v>-400</v>
      </c>
      <c r="G94" s="187">
        <f t="shared" si="54"/>
        <v>-1</v>
      </c>
      <c r="H94" s="88"/>
      <c r="I94" s="197" t="s">
        <v>87</v>
      </c>
      <c r="J94" s="205" t="s">
        <v>76</v>
      </c>
      <c r="K94" s="204"/>
      <c r="L94" s="47">
        <f>2*Materials!$E$10+4*Materials!$E$11+2*Materials!$E$12+2*Materials!$E$14+1*Materials!$J$8</f>
        <v>400</v>
      </c>
      <c r="M94" s="186">
        <f t="shared" ref="M94:M99" si="57">(K94-L94)-(K94)*0.03</f>
        <v>-400</v>
      </c>
      <c r="N94" s="187">
        <f t="shared" si="55"/>
        <v>-1</v>
      </c>
      <c r="O94" s="88"/>
      <c r="P94" s="88"/>
      <c r="Q94" s="88"/>
      <c r="R94" s="88"/>
      <c r="S94" s="88"/>
    </row>
    <row r="95" spans="1:19" s="8" customFormat="1" ht="13.5" thickBot="1">
      <c r="A95" s="20"/>
      <c r="B95" s="220" t="s">
        <v>95</v>
      </c>
      <c r="C95" s="221" t="s">
        <v>75</v>
      </c>
      <c r="D95" s="196"/>
      <c r="E95" s="223">
        <f>2*Materials!$E$5+4*Materials!$E$10+2*Materials!$E$11+2*Materials!$E$13+1*Materials!$J$8</f>
        <v>400</v>
      </c>
      <c r="F95" s="224">
        <f t="shared" si="56"/>
        <v>-400</v>
      </c>
      <c r="G95" s="225">
        <f t="shared" si="54"/>
        <v>-1</v>
      </c>
      <c r="H95" s="88"/>
      <c r="I95" s="220" t="s">
        <v>95</v>
      </c>
      <c r="J95" s="221" t="s">
        <v>76</v>
      </c>
      <c r="K95" s="196"/>
      <c r="L95" s="223">
        <f>2*Materials!$E$10+4*Materials!$E$11+2*Materials!$E$12+2*Materials!$E$13+1*Materials!$J$8</f>
        <v>400</v>
      </c>
      <c r="M95" s="224">
        <f t="shared" si="57"/>
        <v>-400</v>
      </c>
      <c r="N95" s="225">
        <f t="shared" si="55"/>
        <v>-1</v>
      </c>
      <c r="O95" s="88"/>
      <c r="P95" s="88"/>
      <c r="Q95" s="88"/>
      <c r="R95" s="88"/>
      <c r="S95" s="88"/>
    </row>
    <row r="96" spans="1:19" s="8" customFormat="1">
      <c r="A96" s="20"/>
      <c r="B96" s="226" t="s">
        <v>88</v>
      </c>
      <c r="C96" s="219" t="s">
        <v>75</v>
      </c>
      <c r="D96" s="203"/>
      <c r="E96" s="191">
        <f>2*Materials!$E$5+4*Materials!$E$10+2*Materials!$E$11+2*Materials!$E$14+1*Materials!$J$8</f>
        <v>400</v>
      </c>
      <c r="F96" s="188">
        <f t="shared" si="56"/>
        <v>-400</v>
      </c>
      <c r="G96" s="189">
        <f t="shared" si="54"/>
        <v>-1</v>
      </c>
      <c r="H96" s="88"/>
      <c r="I96" s="226" t="s">
        <v>88</v>
      </c>
      <c r="J96" s="219" t="s">
        <v>76</v>
      </c>
      <c r="K96" s="203"/>
      <c r="L96" s="191">
        <f>2*Materials!$E$10+4*Materials!$E$11+2*Materials!$E$12+2*Materials!$E$14+1*Materials!$J$8</f>
        <v>400</v>
      </c>
      <c r="M96" s="188">
        <f t="shared" si="57"/>
        <v>-400</v>
      </c>
      <c r="N96" s="189">
        <f t="shared" si="55"/>
        <v>-1</v>
      </c>
      <c r="O96" s="88"/>
      <c r="P96" s="88"/>
      <c r="Q96" s="88"/>
      <c r="R96" s="88"/>
      <c r="S96" s="88"/>
    </row>
    <row r="97" spans="1:43" s="8" customFormat="1" ht="12.75" customHeight="1">
      <c r="A97" s="20"/>
      <c r="B97" s="197" t="s">
        <v>89</v>
      </c>
      <c r="C97" s="205" t="s">
        <v>75</v>
      </c>
      <c r="D97" s="54"/>
      <c r="E97" s="46">
        <f>2*Materials!$E$5+4*Materials!$E$10+2*Materials!$E$11+2*Materials!$E$14+1*Materials!$J$8</f>
        <v>400</v>
      </c>
      <c r="F97" s="1">
        <f t="shared" si="56"/>
        <v>-400</v>
      </c>
      <c r="G97" s="34">
        <f>IF(E97&gt;0,F97/E97,"N/A")</f>
        <v>-1</v>
      </c>
      <c r="H97" s="88"/>
      <c r="I97" s="197" t="s">
        <v>89</v>
      </c>
      <c r="J97" s="205" t="s">
        <v>76</v>
      </c>
      <c r="K97" s="54"/>
      <c r="L97" s="46">
        <f>2*Materials!$E$10+4*Materials!$E$11+2*Materials!$E$12+2*Materials!$E$14+1*Materials!$J$8</f>
        <v>400</v>
      </c>
      <c r="M97" s="1">
        <f t="shared" si="57"/>
        <v>-400</v>
      </c>
      <c r="N97" s="34">
        <f>IF(L97&gt;0,M97/L97,"N/A")</f>
        <v>-1</v>
      </c>
      <c r="O97" s="88"/>
      <c r="P97" s="88"/>
      <c r="Q97" s="88"/>
      <c r="R97" s="88"/>
      <c r="S97" s="88"/>
    </row>
    <row r="98" spans="1:43" s="8" customFormat="1">
      <c r="A98" s="20"/>
      <c r="B98" s="199" t="s">
        <v>90</v>
      </c>
      <c r="C98" s="198" t="s">
        <v>75</v>
      </c>
      <c r="D98" s="54"/>
      <c r="E98" s="46">
        <f>2*Materials!$E$5+4*Materials!$E$10+2*Materials!$E$11+2*Materials!$E$14+1*Materials!$J$8</f>
        <v>400</v>
      </c>
      <c r="F98" s="1">
        <f t="shared" si="56"/>
        <v>-400</v>
      </c>
      <c r="G98" s="34">
        <f t="shared" ref="G98:G99" si="58">IF(E98&gt;0,F98/E98,"N/A")</f>
        <v>-1</v>
      </c>
      <c r="H98" s="88"/>
      <c r="I98" s="199" t="s">
        <v>90</v>
      </c>
      <c r="J98" s="198" t="s">
        <v>76</v>
      </c>
      <c r="K98" s="54"/>
      <c r="L98" s="46">
        <f>2*Materials!$E$10+4*Materials!$E$11+2*Materials!$E$12+2*Materials!$E$14+1*Materials!$J$8</f>
        <v>400</v>
      </c>
      <c r="M98" s="1">
        <f t="shared" si="57"/>
        <v>-400</v>
      </c>
      <c r="N98" s="34">
        <f t="shared" ref="N98:N99" si="59">IF(L98&gt;0,M98/L98,"N/A")</f>
        <v>-1</v>
      </c>
      <c r="O98" s="88"/>
      <c r="P98" s="88"/>
      <c r="Q98" s="88"/>
      <c r="R98" s="88"/>
      <c r="S98" s="88"/>
    </row>
    <row r="99" spans="1:43" s="8" customFormat="1" ht="13.5" thickBot="1">
      <c r="A99" s="20"/>
      <c r="B99" s="200" t="s">
        <v>91</v>
      </c>
      <c r="C99" s="206" t="s">
        <v>75</v>
      </c>
      <c r="D99" s="55"/>
      <c r="E99" s="47">
        <f>2*Materials!$E$5+4*Materials!$E$10+2*Materials!$E$11+2*Materials!$E$14+1*Materials!$J$8</f>
        <v>400</v>
      </c>
      <c r="F99" s="6">
        <f t="shared" si="56"/>
        <v>-400</v>
      </c>
      <c r="G99" s="35">
        <f t="shared" si="58"/>
        <v>-1</v>
      </c>
      <c r="H99" s="88"/>
      <c r="I99" s="200" t="s">
        <v>91</v>
      </c>
      <c r="J99" s="206" t="s">
        <v>76</v>
      </c>
      <c r="K99" s="55"/>
      <c r="L99" s="47">
        <f>2*Materials!$E$10+4*Materials!$E$11+2*Materials!$E$12+2*Materials!$E$14+1*Materials!$J$8</f>
        <v>400</v>
      </c>
      <c r="M99" s="6">
        <f t="shared" si="57"/>
        <v>-400</v>
      </c>
      <c r="N99" s="35">
        <f t="shared" si="59"/>
        <v>-1</v>
      </c>
      <c r="O99" s="88"/>
      <c r="P99" s="88"/>
      <c r="Q99" s="88"/>
      <c r="R99" s="88"/>
      <c r="S99" s="88"/>
    </row>
    <row r="100" spans="1:43" s="8" customFormat="1">
      <c r="A100" s="20"/>
      <c r="B100" s="184"/>
      <c r="D100" s="14"/>
      <c r="E100" s="14"/>
      <c r="F100" s="14"/>
      <c r="G100" s="14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</row>
    <row r="101" spans="1:43" s="8" customFormat="1">
      <c r="A101" s="20"/>
      <c r="B101" s="227"/>
      <c r="C101" s="88"/>
      <c r="D101" s="228"/>
      <c r="E101" s="228"/>
      <c r="F101" s="228"/>
      <c r="G101" s="228"/>
      <c r="H101" s="88"/>
      <c r="I101" s="88"/>
      <c r="J101" s="88"/>
      <c r="K101" s="88"/>
      <c r="L101" s="88"/>
      <c r="M101" s="88"/>
    </row>
    <row r="102" spans="1:43" s="8" customFormat="1">
      <c r="A102" s="20"/>
      <c r="B102" s="227"/>
      <c r="C102" s="88"/>
      <c r="D102" s="228"/>
      <c r="E102" s="228"/>
      <c r="F102" s="228"/>
      <c r="G102" s="228"/>
      <c r="H102" s="88"/>
      <c r="I102" s="88"/>
      <c r="J102" s="88"/>
      <c r="K102" s="88"/>
      <c r="L102" s="88"/>
      <c r="M102" s="88"/>
    </row>
    <row r="103" spans="1:43" s="8" customFormat="1">
      <c r="A103" s="20"/>
      <c r="B103" s="227"/>
      <c r="C103" s="88"/>
      <c r="D103" s="228"/>
      <c r="E103" s="228"/>
      <c r="F103" s="228"/>
      <c r="G103" s="228"/>
      <c r="H103" s="88"/>
      <c r="I103" s="88"/>
      <c r="J103" s="88"/>
      <c r="K103" s="88"/>
      <c r="L103" s="88"/>
      <c r="M103" s="88"/>
    </row>
    <row r="104" spans="1:43" s="8" customFormat="1">
      <c r="A104" s="20"/>
      <c r="B104" s="227"/>
      <c r="C104" s="88"/>
      <c r="D104" s="228"/>
      <c r="E104" s="228"/>
      <c r="F104" s="228"/>
      <c r="G104" s="228"/>
      <c r="H104" s="88"/>
      <c r="I104" s="88"/>
      <c r="J104" s="88"/>
      <c r="K104" s="88"/>
      <c r="L104" s="88"/>
      <c r="M104" s="88"/>
    </row>
    <row r="105" spans="1:43" s="8" customFormat="1">
      <c r="A105" s="20"/>
      <c r="B105" s="227"/>
      <c r="C105" s="88"/>
      <c r="D105" s="228"/>
      <c r="E105" s="228"/>
      <c r="F105" s="228"/>
      <c r="G105" s="228"/>
      <c r="H105" s="88"/>
      <c r="I105" s="88"/>
      <c r="J105" s="88"/>
      <c r="K105" s="88"/>
      <c r="L105" s="88"/>
      <c r="M105" s="88"/>
    </row>
    <row r="106" spans="1:43" s="8" customFormat="1">
      <c r="A106" s="20"/>
      <c r="B106" s="227"/>
      <c r="C106" s="88"/>
      <c r="D106" s="228"/>
      <c r="E106" s="228"/>
      <c r="F106" s="228"/>
      <c r="G106" s="228"/>
      <c r="H106" s="88"/>
      <c r="I106" s="88"/>
      <c r="J106" s="88"/>
      <c r="K106" s="88"/>
      <c r="L106" s="88"/>
      <c r="M106" s="88"/>
    </row>
    <row r="107" spans="1:43" s="8" customFormat="1" ht="13.5" customHeight="1">
      <c r="A107" s="20"/>
      <c r="B107" s="227"/>
      <c r="C107" s="88"/>
      <c r="D107" s="228"/>
      <c r="E107" s="228"/>
      <c r="F107" s="228"/>
      <c r="G107" s="228"/>
      <c r="H107" s="88"/>
      <c r="I107" s="88"/>
      <c r="J107" s="88"/>
      <c r="K107" s="88"/>
      <c r="L107" s="88"/>
      <c r="M107" s="88"/>
    </row>
    <row r="108" spans="1:43" s="8" customFormat="1">
      <c r="A108" s="20"/>
      <c r="B108" s="227"/>
      <c r="C108" s="88"/>
      <c r="D108" s="228"/>
      <c r="E108" s="228"/>
      <c r="F108" s="228"/>
      <c r="G108" s="228"/>
      <c r="H108" s="88"/>
      <c r="I108" s="88"/>
      <c r="J108" s="88"/>
      <c r="K108" s="88"/>
      <c r="L108" s="88"/>
      <c r="M108" s="88"/>
    </row>
    <row r="109" spans="1:43" s="8" customFormat="1">
      <c r="A109" s="20"/>
      <c r="B109" s="227"/>
      <c r="C109" s="88"/>
      <c r="D109" s="228"/>
      <c r="E109" s="228"/>
      <c r="F109" s="228"/>
      <c r="G109" s="228"/>
      <c r="H109" s="88"/>
      <c r="I109" s="88"/>
      <c r="J109" s="88"/>
      <c r="K109" s="88"/>
      <c r="L109" s="88"/>
      <c r="M109" s="88"/>
    </row>
    <row r="110" spans="1:43" s="8" customFormat="1">
      <c r="A110" s="20"/>
      <c r="B110" s="227"/>
      <c r="C110" s="88"/>
      <c r="D110" s="228"/>
      <c r="E110" s="228"/>
      <c r="F110" s="228"/>
      <c r="G110" s="228"/>
      <c r="H110" s="88"/>
      <c r="I110" s="88"/>
      <c r="J110" s="88"/>
      <c r="K110" s="88"/>
      <c r="L110" s="88"/>
      <c r="M110" s="88"/>
    </row>
    <row r="111" spans="1:43" s="8" customFormat="1">
      <c r="A111" s="20"/>
      <c r="B111" s="227"/>
      <c r="C111" s="88"/>
      <c r="D111" s="228"/>
      <c r="E111" s="228"/>
      <c r="F111" s="228"/>
      <c r="G111" s="228"/>
      <c r="H111" s="88"/>
      <c r="I111" s="88"/>
      <c r="J111" s="88"/>
      <c r="K111" s="88"/>
      <c r="L111" s="88"/>
      <c r="M111" s="88"/>
    </row>
    <row r="112" spans="1:43"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</row>
    <row r="113" spans="20:43"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</row>
    <row r="114" spans="20:43"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</row>
    <row r="115" spans="20:43"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</row>
    <row r="116" spans="20:43"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</row>
    <row r="117" spans="20:43"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</row>
    <row r="118" spans="20:43"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</row>
    <row r="119" spans="20:43"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</row>
    <row r="120" spans="20:43"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</row>
    <row r="121" spans="20:43"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</row>
    <row r="122" spans="20:43"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</row>
    <row r="123" spans="20:43"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</row>
    <row r="124" spans="20:43"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</row>
    <row r="125" spans="20:43"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</row>
    <row r="126" spans="20:43"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</row>
    <row r="127" spans="20:43"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</row>
    <row r="128" spans="20:43"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</row>
    <row r="129" spans="20:43"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</row>
    <row r="130" spans="20:43"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</row>
    <row r="131" spans="20:43"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</row>
    <row r="132" spans="20:43" ht="13.5" customHeight="1"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</row>
    <row r="133" spans="20:43"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</row>
    <row r="134" spans="20:43"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</row>
    <row r="135" spans="20:43"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</row>
    <row r="136" spans="20:43"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</row>
    <row r="137" spans="20:43"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</row>
    <row r="138" spans="20:43"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</row>
    <row r="139" spans="20:43"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</row>
    <row r="140" spans="20:43"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</row>
    <row r="141" spans="20:43"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</row>
    <row r="142" spans="20:43"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</row>
    <row r="143" spans="20:43"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</row>
    <row r="144" spans="20:43"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</row>
    <row r="145" spans="20:43"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</row>
    <row r="146" spans="20:43"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</row>
    <row r="147" spans="20:43"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</row>
    <row r="148" spans="20:43"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</row>
    <row r="149" spans="20:43"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</row>
    <row r="150" spans="20:43"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</row>
    <row r="151" spans="20:43"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</row>
    <row r="152" spans="20:43"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</row>
    <row r="153" spans="20:43"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</row>
    <row r="154" spans="20:43"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</row>
    <row r="155" spans="20:43"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</row>
    <row r="156" spans="20:43"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</row>
    <row r="157" spans="20:43" ht="13.5" customHeight="1"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</row>
    <row r="158" spans="20:43"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</row>
    <row r="159" spans="20:43"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</row>
    <row r="160" spans="20:43"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</row>
    <row r="161" spans="20:43"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</row>
    <row r="162" spans="20:43"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</row>
    <row r="163" spans="20:43"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</row>
    <row r="164" spans="20:43"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</row>
    <row r="165" spans="20:43"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</row>
    <row r="166" spans="20:43"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</row>
    <row r="167" spans="20:43"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</row>
    <row r="168" spans="20:43"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</row>
    <row r="169" spans="20:43"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</row>
    <row r="170" spans="20:43"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</row>
    <row r="171" spans="20:43"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</row>
    <row r="172" spans="20:43"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</row>
    <row r="173" spans="20:43"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</row>
    <row r="174" spans="20:43"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</row>
    <row r="175" spans="20:43"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</row>
    <row r="176" spans="20:43"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</row>
    <row r="177" spans="20:43"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</row>
    <row r="178" spans="20:43"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</row>
    <row r="179" spans="20:43"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</row>
    <row r="180" spans="20:43"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</row>
    <row r="181" spans="20:43"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</row>
    <row r="182" spans="20:43"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</row>
    <row r="183" spans="20:43"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</row>
    <row r="184" spans="20:43"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</row>
    <row r="185" spans="20:43"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</row>
    <row r="186" spans="20:43"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</row>
    <row r="187" spans="20:43"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</row>
    <row r="188" spans="20:43"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</row>
    <row r="189" spans="20:43"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</row>
    <row r="190" spans="20:43"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</row>
    <row r="191" spans="20:43"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</row>
    <row r="192" spans="20:43"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</row>
    <row r="193" spans="20:43"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</row>
    <row r="194" spans="20:43"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</row>
    <row r="195" spans="20:43"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</row>
    <row r="196" spans="20:43"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</row>
    <row r="197" spans="20:43"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</row>
    <row r="198" spans="20:43"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</row>
    <row r="199" spans="20:43"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</row>
    <row r="200" spans="20:43"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</row>
    <row r="201" spans="20:43"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</row>
    <row r="202" spans="20:43"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</row>
    <row r="203" spans="20:43"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</row>
    <row r="204" spans="20:43"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</row>
    <row r="205" spans="20:43"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</row>
    <row r="206" spans="20:43"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</row>
    <row r="207" spans="20:43"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</row>
    <row r="208" spans="20:43"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</row>
    <row r="209" spans="20:43"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</row>
    <row r="210" spans="20:43"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</row>
    <row r="211" spans="20:43"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</row>
    <row r="212" spans="20:43"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</row>
    <row r="213" spans="20:43"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</row>
    <row r="214" spans="20:43"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</row>
    <row r="215" spans="20:43"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</row>
    <row r="216" spans="20:43"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</row>
    <row r="217" spans="20:43"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</row>
    <row r="218" spans="20:43"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</row>
    <row r="219" spans="20:43"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</row>
    <row r="220" spans="20:43"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</row>
    <row r="221" spans="20:43"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</row>
    <row r="222" spans="20:43"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</row>
    <row r="223" spans="20:43"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</row>
    <row r="224" spans="20:43"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</row>
    <row r="225" spans="20:43"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</row>
    <row r="226" spans="20:43"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</row>
    <row r="227" spans="20:43"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</row>
    <row r="228" spans="20:43"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</row>
    <row r="229" spans="20:43"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</row>
    <row r="230" spans="20:43"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</row>
    <row r="231" spans="20:43"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</row>
    <row r="232" spans="20:43"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</row>
    <row r="233" spans="20:43"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</row>
    <row r="234" spans="20:43"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</row>
    <row r="235" spans="20:43"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</row>
    <row r="236" spans="20:43"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</row>
    <row r="237" spans="20:43"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</row>
    <row r="238" spans="20:43"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</row>
    <row r="239" spans="20:43"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</row>
    <row r="240" spans="20:43"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</row>
    <row r="241" spans="20:43"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</row>
    <row r="242" spans="20:43"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</row>
    <row r="243" spans="20:43"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</row>
    <row r="244" spans="20:43"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</row>
    <row r="245" spans="20:43"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</row>
    <row r="246" spans="20:43"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</row>
    <row r="247" spans="20:43"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</row>
    <row r="248" spans="20:43"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</row>
    <row r="249" spans="20:43"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</row>
    <row r="250" spans="20:43"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</row>
    <row r="251" spans="20:43"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</row>
    <row r="252" spans="20:43"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</row>
    <row r="253" spans="20:43"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</row>
    <row r="254" spans="20:43"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</row>
    <row r="255" spans="20:43"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</row>
    <row r="256" spans="20:43"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</row>
    <row r="257" spans="20:43"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</row>
    <row r="258" spans="20:43"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</row>
    <row r="259" spans="20:43"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</row>
    <row r="260" spans="20:43"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</row>
    <row r="261" spans="20:43"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</row>
    <row r="262" spans="20:43"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</row>
    <row r="263" spans="20:43"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</row>
    <row r="264" spans="20:43"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</row>
    <row r="265" spans="20:43"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</row>
    <row r="266" spans="20:43"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</row>
    <row r="267" spans="20:43"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</row>
    <row r="268" spans="20:43"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</row>
    <row r="269" spans="20:43"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</row>
    <row r="270" spans="20:43"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</row>
    <row r="271" spans="20:43"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</row>
    <row r="272" spans="20:43"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</row>
    <row r="273" spans="20:43"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</row>
    <row r="274" spans="20:43"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</row>
    <row r="275" spans="20:43"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</row>
    <row r="276" spans="20:43"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</row>
    <row r="277" spans="20:43"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</row>
    <row r="278" spans="20:43"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</row>
    <row r="279" spans="20:43"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</row>
    <row r="280" spans="20:43"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</row>
    <row r="281" spans="20:43"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</row>
    <row r="282" spans="20:43"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</row>
    <row r="283" spans="20:43"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</row>
    <row r="284" spans="20:43"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</row>
    <row r="285" spans="20:43"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</row>
    <row r="286" spans="20:43"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</row>
    <row r="287" spans="20:43"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</row>
    <row r="288" spans="20:43"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</row>
    <row r="289" spans="20:43"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</row>
    <row r="290" spans="20:43"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</row>
    <row r="291" spans="20:43"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</row>
    <row r="292" spans="20:43"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</row>
    <row r="293" spans="20:43"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</row>
    <row r="294" spans="20:43"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</row>
    <row r="295" spans="20:43"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</row>
    <row r="296" spans="20:43"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</row>
    <row r="297" spans="20:43"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</row>
    <row r="298" spans="20:43"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</row>
    <row r="299" spans="20:43"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</row>
    <row r="300" spans="20:43"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</row>
    <row r="301" spans="20:43"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</row>
    <row r="302" spans="20:43"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</row>
    <row r="303" spans="20:43"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</row>
    <row r="304" spans="20:43"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</row>
    <row r="305" spans="20:43"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</row>
    <row r="306" spans="20:43"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</row>
    <row r="307" spans="20:43"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</row>
    <row r="308" spans="20:43"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</row>
    <row r="309" spans="20:43"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</row>
    <row r="310" spans="20:43"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</row>
    <row r="311" spans="20:43"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</row>
    <row r="312" spans="20:43"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</row>
    <row r="313" spans="20:43"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</row>
    <row r="314" spans="20:43"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</row>
    <row r="315" spans="20:43"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</row>
    <row r="316" spans="20:43"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</row>
    <row r="317" spans="20:43"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</row>
    <row r="318" spans="20:43"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</row>
    <row r="319" spans="20:43"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</row>
    <row r="320" spans="20:43"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</row>
    <row r="321" spans="20:43"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</row>
    <row r="322" spans="20:43"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</row>
    <row r="323" spans="20:43"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</row>
    <row r="324" spans="20:43"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</row>
    <row r="325" spans="20:43"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</row>
    <row r="326" spans="20:43"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</row>
    <row r="327" spans="20:43"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</row>
    <row r="328" spans="20:43"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</row>
    <row r="329" spans="20:43"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</row>
    <row r="330" spans="20:43"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</row>
    <row r="331" spans="20:43"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</row>
    <row r="332" spans="20:43"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</row>
    <row r="333" spans="20:43"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</row>
    <row r="334" spans="20:43"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</row>
    <row r="335" spans="20:43"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</row>
    <row r="336" spans="20:43"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</row>
    <row r="337" spans="20:43"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</row>
    <row r="338" spans="20:43"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</row>
    <row r="339" spans="20:43"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</row>
    <row r="340" spans="20:43"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</row>
    <row r="341" spans="20:43"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</row>
    <row r="342" spans="20:43"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</row>
    <row r="343" spans="20:43"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</row>
    <row r="344" spans="20:43"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</row>
    <row r="345" spans="20:43"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</row>
    <row r="346" spans="20:43"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</row>
    <row r="347" spans="20:43"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</row>
    <row r="348" spans="20:43"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</row>
    <row r="349" spans="20:43"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</row>
    <row r="350" spans="20:43"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</row>
    <row r="351" spans="20:43"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</row>
    <row r="352" spans="20:43"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</row>
    <row r="353" spans="20:43"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</row>
    <row r="354" spans="20:43"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</row>
    <row r="355" spans="20:43"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</row>
    <row r="356" spans="20:43"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</row>
    <row r="357" spans="20:43"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</row>
    <row r="358" spans="20:43"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</row>
    <row r="359" spans="20:43"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</row>
    <row r="360" spans="20:43"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</row>
    <row r="361" spans="20:43"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</row>
    <row r="362" spans="20:43"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</row>
    <row r="363" spans="20:43"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</row>
    <row r="364" spans="20:43"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</row>
    <row r="365" spans="20:43"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</row>
    <row r="366" spans="20:43"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</row>
    <row r="367" spans="20:43"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</row>
    <row r="368" spans="20:43"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</row>
    <row r="369" spans="20:43"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</row>
    <row r="370" spans="20:43"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</row>
    <row r="371" spans="20:43"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</row>
    <row r="372" spans="20:43"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</row>
    <row r="373" spans="20:43"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</row>
    <row r="374" spans="20:43"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</row>
    <row r="375" spans="20:43"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</row>
    <row r="376" spans="20:43"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</row>
    <row r="377" spans="20:43"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</row>
    <row r="378" spans="20:43"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</row>
    <row r="379" spans="20:43"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</row>
    <row r="380" spans="20:43"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</row>
    <row r="381" spans="20:43"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</row>
    <row r="382" spans="20:43"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</row>
    <row r="383" spans="20:43"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</row>
    <row r="384" spans="20:43"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</row>
    <row r="385" spans="20:43"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</row>
    <row r="386" spans="20:43"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</row>
    <row r="387" spans="20:43"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20:43"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</row>
    <row r="389" spans="20:43"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</row>
    <row r="390" spans="20:43"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</row>
    <row r="391" spans="20:43"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</row>
    <row r="392" spans="20:43"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</row>
    <row r="393" spans="20:43"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</row>
    <row r="394" spans="20:43"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</row>
    <row r="395" spans="20:43"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</row>
    <row r="396" spans="20:43"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</row>
    <row r="397" spans="20:43"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</row>
    <row r="398" spans="20:43"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</row>
    <row r="399" spans="20:43"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</row>
    <row r="400" spans="20:43"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</row>
    <row r="401" spans="20:43"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</row>
    <row r="402" spans="20:43"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</row>
    <row r="403" spans="20:43"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</row>
    <row r="404" spans="20:43"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</row>
    <row r="405" spans="20:43"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</row>
    <row r="406" spans="20:43"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</row>
    <row r="407" spans="20:43"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</row>
    <row r="408" spans="20:43"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</row>
    <row r="409" spans="20:43"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20:43"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</row>
    <row r="411" spans="20:43"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</row>
    <row r="412" spans="20:43"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</row>
    <row r="413" spans="20:43"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</row>
    <row r="414" spans="20:43"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</row>
    <row r="415" spans="20:43"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</row>
    <row r="416" spans="20:43"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</row>
    <row r="417" spans="20:43"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</row>
    <row r="418" spans="20:43"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</row>
    <row r="419" spans="20:43"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</row>
    <row r="420" spans="20:43"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</row>
    <row r="421" spans="20:43"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</row>
    <row r="422" spans="20:43"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</row>
    <row r="423" spans="20:43"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</row>
    <row r="424" spans="20:43"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</row>
    <row r="425" spans="20:43"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</row>
    <row r="426" spans="20:43"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</row>
    <row r="427" spans="20:43"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</row>
    <row r="428" spans="20:43"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</row>
    <row r="429" spans="20:43"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</row>
    <row r="430" spans="20:43"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</row>
    <row r="431" spans="20:43"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</row>
    <row r="432" spans="20:43"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</row>
    <row r="433" spans="20:43"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</row>
    <row r="434" spans="20:43"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</row>
    <row r="435" spans="20:43"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</row>
    <row r="436" spans="20:43"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</row>
    <row r="437" spans="20:43"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</row>
    <row r="438" spans="20:43"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</row>
    <row r="439" spans="20:43"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</row>
    <row r="440" spans="20:43"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</row>
    <row r="441" spans="20:43"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</row>
    <row r="442" spans="20:43"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</row>
    <row r="443" spans="20:43"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</row>
    <row r="444" spans="20:43"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</row>
    <row r="445" spans="20:43"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</row>
    <row r="446" spans="20:43"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</row>
    <row r="447" spans="20:43"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</row>
    <row r="448" spans="20:43"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</row>
    <row r="449" spans="20:43"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</row>
    <row r="450" spans="20:43"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</row>
    <row r="451" spans="20:43"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</row>
    <row r="452" spans="20:43"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</row>
    <row r="453" spans="20:43"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</row>
    <row r="454" spans="20:43"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</row>
    <row r="455" spans="20:43"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</row>
    <row r="456" spans="20:43"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</row>
    <row r="457" spans="20:43"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</row>
    <row r="458" spans="20:43"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</row>
    <row r="459" spans="20:43"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</row>
    <row r="460" spans="20:43"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</row>
    <row r="461" spans="20:43"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</row>
    <row r="462" spans="20:43"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</row>
    <row r="463" spans="20:43"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</row>
    <row r="464" spans="20:43"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</row>
    <row r="465" spans="20:43"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</row>
    <row r="466" spans="20:43"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</row>
    <row r="467" spans="20:43"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</row>
    <row r="468" spans="20:43"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</row>
    <row r="469" spans="20:43"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</row>
    <row r="470" spans="20:43"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</row>
    <row r="471" spans="20:43"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</row>
    <row r="472" spans="20:43"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</row>
    <row r="473" spans="20:43"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</row>
    <row r="474" spans="20:43"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</row>
    <row r="475" spans="20:43"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</row>
    <row r="476" spans="20:43"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</row>
    <row r="477" spans="20:43"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</row>
    <row r="478" spans="20:43"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</row>
    <row r="479" spans="20:43"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</row>
    <row r="480" spans="20:43"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</row>
    <row r="481" spans="20:43"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</row>
    <row r="482" spans="20:43"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</row>
    <row r="483" spans="20:43"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</row>
    <row r="484" spans="20:43"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</row>
    <row r="485" spans="20:43"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</row>
    <row r="486" spans="20:43"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</row>
    <row r="487" spans="20:43"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</row>
    <row r="488" spans="20:43"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</row>
    <row r="489" spans="20:43"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</row>
    <row r="490" spans="20:43"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</row>
    <row r="491" spans="20:43"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</row>
    <row r="492" spans="20:43"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</row>
    <row r="493" spans="20:43"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</row>
    <row r="494" spans="20:43"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</row>
    <row r="495" spans="20:43"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</row>
    <row r="496" spans="20:43"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</row>
    <row r="497" spans="20:43"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</row>
    <row r="498" spans="20:43"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</row>
    <row r="499" spans="20:43"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</row>
    <row r="500" spans="20:43"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</row>
    <row r="501" spans="20:43"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</row>
    <row r="502" spans="20:43"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</row>
    <row r="503" spans="20:43"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</row>
    <row r="504" spans="20:43"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</row>
    <row r="505" spans="20:43"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</row>
    <row r="506" spans="20:43"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</row>
    <row r="507" spans="20:43"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</row>
    <row r="508" spans="20:43"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</row>
    <row r="509" spans="20:43"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</row>
    <row r="510" spans="20:43"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</row>
    <row r="511" spans="20:43"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</row>
    <row r="512" spans="20:43"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</row>
    <row r="513" spans="20:43"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</row>
    <row r="514" spans="20:43"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</row>
    <row r="515" spans="20:43"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</row>
    <row r="516" spans="20:43"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</row>
    <row r="517" spans="20:43"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</row>
    <row r="518" spans="20:43"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</row>
    <row r="519" spans="20:43"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</row>
    <row r="520" spans="20:43"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</row>
    <row r="521" spans="20:43"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</row>
    <row r="522" spans="20:43"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</row>
    <row r="523" spans="20:43"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</row>
    <row r="524" spans="20:43"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</row>
    <row r="525" spans="20:43"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</row>
    <row r="526" spans="20:43"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</row>
    <row r="527" spans="20:43"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</row>
    <row r="528" spans="20:43"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</row>
    <row r="529" spans="20:43"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</row>
    <row r="530" spans="20:43"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</row>
    <row r="531" spans="20:43"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</row>
    <row r="532" spans="20:43"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</row>
    <row r="533" spans="20:43"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</row>
    <row r="534" spans="20:43"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</row>
    <row r="535" spans="20:43"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</row>
    <row r="536" spans="20:43"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</row>
    <row r="537" spans="20:43"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</row>
    <row r="538" spans="20:43"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</row>
    <row r="539" spans="20:43"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</row>
    <row r="540" spans="20:43"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</row>
    <row r="541" spans="20:43"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</row>
    <row r="542" spans="20:43"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</row>
    <row r="543" spans="20:43"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</row>
    <row r="544" spans="20:43"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</row>
    <row r="545" spans="20:43"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</row>
    <row r="546" spans="20:43"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</row>
    <row r="547" spans="20:43"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</row>
    <row r="548" spans="20:43"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</row>
    <row r="549" spans="20:43"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</row>
    <row r="550" spans="20:43"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</row>
    <row r="551" spans="20:43"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</row>
    <row r="552" spans="20:43"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</row>
    <row r="553" spans="20:43"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</row>
    <row r="554" spans="20:43"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</row>
    <row r="555" spans="20:43"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</row>
    <row r="556" spans="20:43"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</row>
    <row r="557" spans="20:43"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</row>
    <row r="558" spans="20:43"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</row>
    <row r="559" spans="20:43"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</row>
    <row r="560" spans="20:43"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</row>
    <row r="561" spans="20:43"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</row>
    <row r="562" spans="20:43"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</row>
    <row r="563" spans="20:43"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</row>
    <row r="564" spans="20:43"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</row>
    <row r="565" spans="20:43"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</row>
    <row r="566" spans="20:43"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</row>
    <row r="567" spans="20:43"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</row>
    <row r="568" spans="20:43"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</row>
    <row r="569" spans="20:43"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</row>
    <row r="570" spans="20:43"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</row>
    <row r="571" spans="20:43"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</row>
    <row r="572" spans="20:43"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</row>
    <row r="573" spans="20:43"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</row>
    <row r="574" spans="20:43"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</row>
    <row r="575" spans="20:43"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</row>
    <row r="576" spans="20:43"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</row>
    <row r="577" spans="20:43"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</row>
    <row r="578" spans="20:43"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</row>
    <row r="579" spans="20:43"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</row>
    <row r="580" spans="20:43"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</row>
    <row r="581" spans="20:43"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</row>
    <row r="582" spans="20:43"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</row>
    <row r="583" spans="20:43"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</row>
    <row r="584" spans="20:43"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</row>
    <row r="585" spans="20:43"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</row>
    <row r="586" spans="20:43"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</row>
    <row r="587" spans="20:43"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</row>
    <row r="588" spans="20:43"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</row>
    <row r="589" spans="20:43"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</row>
    <row r="590" spans="20:43"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</row>
    <row r="591" spans="20:43"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</row>
    <row r="592" spans="20:43"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</row>
    <row r="593" spans="20:43"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</row>
    <row r="594" spans="20:43"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</row>
    <row r="595" spans="20:43"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</row>
    <row r="596" spans="20:43"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</row>
    <row r="597" spans="20:43"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</row>
    <row r="598" spans="20:43"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</row>
    <row r="599" spans="20:43"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</row>
    <row r="600" spans="20:43"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</row>
    <row r="601" spans="20:43"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</row>
    <row r="602" spans="20:43"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</row>
    <row r="603" spans="20:43"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</row>
    <row r="604" spans="20:43"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</row>
    <row r="605" spans="20:43"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</row>
    <row r="606" spans="20:43"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</row>
    <row r="607" spans="20:43"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</row>
    <row r="608" spans="20:43"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</row>
    <row r="609" spans="20:43"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</row>
    <row r="610" spans="20:43"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</row>
    <row r="611" spans="20:43"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</row>
    <row r="612" spans="20:43"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</row>
    <row r="613" spans="20:43"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</row>
    <row r="614" spans="20:43"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</row>
    <row r="615" spans="20:43"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</row>
    <row r="616" spans="20:43"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</row>
    <row r="617" spans="20:43"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</row>
    <row r="618" spans="20:43"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</row>
    <row r="619" spans="20:43"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</row>
    <row r="620" spans="20:43"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</row>
    <row r="621" spans="20:43"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</row>
    <row r="622" spans="20:43"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</row>
    <row r="623" spans="20:43"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</row>
    <row r="624" spans="20:43"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</row>
    <row r="625" spans="20:43"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</row>
    <row r="626" spans="20:43"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</row>
    <row r="627" spans="20:43"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</row>
    <row r="628" spans="20:43"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</row>
    <row r="629" spans="20:43"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</row>
    <row r="630" spans="20:43"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</row>
    <row r="631" spans="20:43"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</row>
    <row r="632" spans="20:43"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</row>
    <row r="633" spans="20:43"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</row>
    <row r="634" spans="20:43"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</row>
    <row r="635" spans="20:43"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</row>
    <row r="636" spans="20:43"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</row>
    <row r="637" spans="20:43"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</row>
    <row r="638" spans="20:43"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</row>
    <row r="639" spans="20:43"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</row>
    <row r="640" spans="20:43"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</row>
    <row r="641" spans="20:43"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</row>
    <row r="642" spans="20:43"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</row>
    <row r="643" spans="20:43"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</row>
    <row r="644" spans="20:43"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</row>
    <row r="645" spans="20:43"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</row>
    <row r="646" spans="20:43"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</row>
    <row r="647" spans="20:43"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</row>
    <row r="648" spans="20:43"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</row>
    <row r="649" spans="20:43"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</row>
    <row r="650" spans="20:43"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</row>
    <row r="651" spans="20:43"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</row>
    <row r="652" spans="20:43"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</row>
    <row r="653" spans="20:43"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</row>
    <row r="654" spans="20:43"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</row>
    <row r="655" spans="20:43"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</row>
    <row r="656" spans="20:43"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</row>
    <row r="657" spans="20:43"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</row>
    <row r="658" spans="20:43"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</row>
    <row r="659" spans="20:43"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</row>
    <row r="660" spans="20:43"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</row>
    <row r="661" spans="20:43"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</row>
    <row r="662" spans="20:43"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</row>
    <row r="663" spans="20:43"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</row>
    <row r="664" spans="20:43"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</row>
    <row r="665" spans="20:43"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</row>
    <row r="666" spans="20:43"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</row>
    <row r="667" spans="20:43"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</row>
    <row r="668" spans="20:43"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</row>
    <row r="669" spans="20:43"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</row>
    <row r="670" spans="20:43"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</row>
    <row r="671" spans="20:43"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</row>
    <row r="672" spans="20:43"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</row>
    <row r="673" spans="20:43"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</row>
    <row r="674" spans="20:43"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</row>
    <row r="675" spans="20:43"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</row>
    <row r="676" spans="20:43"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</row>
    <row r="677" spans="20:43"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</row>
    <row r="678" spans="20:43"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</row>
    <row r="679" spans="20:43"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</row>
    <row r="680" spans="20:43"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</row>
    <row r="681" spans="20:43"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</row>
    <row r="682" spans="20:43"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</row>
    <row r="683" spans="20:43"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</row>
    <row r="684" spans="20:43"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</row>
    <row r="685" spans="20:43"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</row>
    <row r="686" spans="20:43"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</row>
    <row r="687" spans="20:43"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</row>
    <row r="688" spans="20:43"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</row>
    <row r="689" spans="20:43"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</row>
    <row r="690" spans="20:43"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</row>
    <row r="691" spans="20:43"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</row>
    <row r="692" spans="20:43"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</row>
    <row r="693" spans="20:43"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</row>
    <row r="694" spans="20:43"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</row>
    <row r="695" spans="20:43"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</row>
    <row r="696" spans="20:43"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</row>
    <row r="697" spans="20:43"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</row>
    <row r="698" spans="20:43"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</row>
    <row r="699" spans="20:43"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</row>
    <row r="700" spans="20:43"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</row>
    <row r="701" spans="20:43"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</row>
    <row r="702" spans="20:43"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</row>
    <row r="703" spans="20:43"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</row>
    <row r="704" spans="20:43"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</row>
    <row r="705" spans="20:43"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</row>
    <row r="706" spans="20:43"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</row>
    <row r="707" spans="20:43"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</row>
    <row r="708" spans="20:43"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</row>
    <row r="709" spans="20:43"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</row>
    <row r="710" spans="20:43"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</row>
    <row r="711" spans="20:43"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</row>
    <row r="712" spans="20:43"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</row>
    <row r="713" spans="20:43"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</row>
    <row r="714" spans="20:43"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</row>
    <row r="715" spans="20:43"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</row>
    <row r="716" spans="20:43"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</row>
    <row r="717" spans="20:43"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</row>
    <row r="718" spans="20:43"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</row>
    <row r="719" spans="20:43"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</row>
    <row r="720" spans="20:43"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</row>
    <row r="721" spans="20:43"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</row>
    <row r="722" spans="20:43"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</row>
    <row r="723" spans="20:43"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</row>
    <row r="724" spans="20:43"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</row>
    <row r="725" spans="20:43"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</row>
    <row r="726" spans="20:43"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</row>
    <row r="727" spans="20:43"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</row>
    <row r="728" spans="20:43"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</row>
    <row r="729" spans="20:43"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</row>
    <row r="730" spans="20:43"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</row>
    <row r="731" spans="20:43"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</row>
    <row r="732" spans="20:43"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</row>
    <row r="733" spans="20:43"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</row>
    <row r="734" spans="20:43"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</row>
    <row r="735" spans="20:43"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</row>
    <row r="736" spans="20:43"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</row>
    <row r="737" spans="20:43"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</row>
    <row r="738" spans="20:43"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</row>
    <row r="739" spans="20:43"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</row>
    <row r="740" spans="20:43"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</row>
    <row r="741" spans="20:43"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</row>
    <row r="742" spans="20:43"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</row>
    <row r="743" spans="20:43"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</row>
    <row r="744" spans="20:43"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</row>
    <row r="745" spans="20:43"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</row>
    <row r="746" spans="20:43"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</row>
    <row r="747" spans="20:43"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</row>
    <row r="748" spans="20:43"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</row>
    <row r="749" spans="20:43"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</row>
    <row r="750" spans="20:43"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</row>
    <row r="751" spans="20:43"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</row>
    <row r="752" spans="20:43"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</row>
    <row r="753" spans="20:43"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</row>
    <row r="754" spans="20:43"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</row>
    <row r="755" spans="20:43"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</row>
    <row r="756" spans="20:43"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</row>
    <row r="757" spans="20:43"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</row>
    <row r="758" spans="20:43"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</row>
    <row r="759" spans="20:43"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</row>
    <row r="760" spans="20:43"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</row>
    <row r="761" spans="20:43"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</row>
    <row r="762" spans="20:43"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</row>
    <row r="763" spans="20:43"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</row>
    <row r="764" spans="20:43"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</row>
    <row r="765" spans="20:43"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</row>
    <row r="766" spans="20:43"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</row>
    <row r="767" spans="20:43"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</row>
    <row r="768" spans="20:43"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</row>
    <row r="769" spans="20:43"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</row>
    <row r="770" spans="20:43"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</row>
    <row r="771" spans="20:43"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</row>
    <row r="772" spans="20:43"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</row>
    <row r="773" spans="20:43"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</row>
    <row r="774" spans="20:43"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</row>
    <row r="775" spans="20:43"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</row>
    <row r="776" spans="20:43"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</row>
    <row r="777" spans="20:43"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</row>
    <row r="778" spans="20:43"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</row>
    <row r="779" spans="20:43"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</row>
    <row r="780" spans="20:43"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</row>
    <row r="781" spans="20:43"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</row>
    <row r="782" spans="20:43"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</row>
    <row r="783" spans="20:43"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</row>
    <row r="784" spans="20:43"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</row>
    <row r="785" spans="20:43"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</row>
    <row r="786" spans="20:43"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</row>
    <row r="787" spans="20:43"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</row>
    <row r="788" spans="20:43"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</row>
    <row r="789" spans="20:43"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</row>
    <row r="790" spans="20:43"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</row>
    <row r="791" spans="20:43"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</row>
    <row r="792" spans="20:43"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</row>
    <row r="793" spans="20:43"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</row>
    <row r="794" spans="20:43"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</row>
    <row r="795" spans="20:43"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</row>
    <row r="796" spans="20:43"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</row>
    <row r="797" spans="20:43"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</row>
    <row r="798" spans="20:43"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</row>
    <row r="799" spans="20:43"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</row>
    <row r="800" spans="20:43"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</row>
    <row r="801" spans="20:43"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</row>
    <row r="802" spans="20:43"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</row>
    <row r="803" spans="20:43"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</row>
    <row r="804" spans="20:43"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</row>
    <row r="805" spans="20:43"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</row>
    <row r="806" spans="20:43"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</row>
    <row r="807" spans="20:43"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</row>
    <row r="808" spans="20:43"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</row>
    <row r="809" spans="20:43"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</row>
    <row r="810" spans="20:43"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</row>
    <row r="811" spans="20:43"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</row>
    <row r="812" spans="20:43"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</row>
    <row r="813" spans="20:43"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</row>
    <row r="814" spans="20:43"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</row>
    <row r="815" spans="20:43"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</row>
    <row r="816" spans="20:43"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</row>
    <row r="817" spans="20:43"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</row>
    <row r="818" spans="20:43"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</row>
    <row r="819" spans="20:43"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</row>
    <row r="820" spans="20:43"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</row>
    <row r="821" spans="20:43"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</row>
    <row r="822" spans="20:43"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</row>
    <row r="823" spans="20:43"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</row>
    <row r="824" spans="20:43"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</row>
    <row r="825" spans="20:43"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</row>
    <row r="826" spans="20:43"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</row>
    <row r="827" spans="20:43"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</row>
    <row r="828" spans="20:43"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</row>
    <row r="829" spans="20:43"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</row>
    <row r="830" spans="20:43"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</row>
    <row r="831" spans="20:43"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</row>
    <row r="832" spans="20:43"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</row>
    <row r="833" spans="20:43"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</row>
    <row r="834" spans="20:43"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</row>
    <row r="835" spans="20:43"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</row>
    <row r="836" spans="20:43"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</row>
    <row r="837" spans="20:43"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</row>
    <row r="838" spans="20:43"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</row>
    <row r="839" spans="20:43"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</row>
    <row r="840" spans="20:43"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</row>
    <row r="841" spans="20:43"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</row>
    <row r="842" spans="20:43"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</row>
    <row r="843" spans="20:43"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</row>
    <row r="844" spans="20:43"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</row>
    <row r="845" spans="20:43"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</row>
    <row r="846" spans="20:43"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</row>
    <row r="847" spans="20:43"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</row>
    <row r="848" spans="20:43"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</row>
    <row r="849" spans="20:43"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</row>
    <row r="850" spans="20:43"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</row>
    <row r="851" spans="20:43"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</row>
    <row r="852" spans="20:43"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</row>
    <row r="853" spans="20:43"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</row>
    <row r="854" spans="20:43"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</row>
    <row r="855" spans="20:43"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</row>
    <row r="856" spans="20:43"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</row>
    <row r="857" spans="20:43"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</row>
    <row r="858" spans="20:43"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</row>
    <row r="859" spans="20:43"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</row>
    <row r="860" spans="20:43"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</row>
    <row r="861" spans="20:43"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</row>
    <row r="862" spans="20:43"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</row>
    <row r="863" spans="20:43"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</row>
    <row r="864" spans="20:43"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</row>
    <row r="865" spans="20:43"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</row>
    <row r="866" spans="20:43"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</row>
    <row r="867" spans="20:43"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</row>
    <row r="868" spans="20:43"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</row>
    <row r="869" spans="20:43"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</row>
    <row r="870" spans="20:43"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</row>
    <row r="871" spans="20:43"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</row>
    <row r="872" spans="20:43"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</row>
    <row r="873" spans="20:43"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</row>
    <row r="874" spans="20:43"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</row>
    <row r="875" spans="20:43"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</row>
    <row r="876" spans="20:43"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</row>
    <row r="877" spans="20:43"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</row>
    <row r="878" spans="20:43"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</row>
    <row r="879" spans="20:43"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</row>
    <row r="880" spans="20:43"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</row>
    <row r="881" spans="20:43"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</row>
    <row r="882" spans="20:43"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</row>
    <row r="883" spans="20:43"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</row>
    <row r="884" spans="20:43"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</row>
    <row r="885" spans="20:43"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</row>
    <row r="886" spans="20:43"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</row>
    <row r="887" spans="20:43"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</row>
    <row r="888" spans="20:43"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</row>
    <row r="889" spans="20:43"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</row>
    <row r="890" spans="20:43"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</row>
    <row r="891" spans="20:43"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</row>
    <row r="892" spans="20:43"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</row>
    <row r="893" spans="20:43"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</row>
    <row r="894" spans="20:43"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</row>
    <row r="895" spans="20:43"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</row>
    <row r="896" spans="20:43"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</row>
    <row r="897" spans="20:43"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</row>
    <row r="898" spans="20:43"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</row>
    <row r="899" spans="20:43"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</row>
    <row r="900" spans="20:43"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</row>
    <row r="901" spans="20:43"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</row>
    <row r="902" spans="20:43"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</row>
    <row r="903" spans="20:43"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</row>
    <row r="904" spans="20:43"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</row>
    <row r="905" spans="20:43"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</row>
    <row r="906" spans="20:43"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</row>
    <row r="907" spans="20:43"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</row>
    <row r="908" spans="20:43"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</row>
    <row r="909" spans="20:43"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</row>
    <row r="910" spans="20:43"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</row>
    <row r="911" spans="20:43"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</row>
    <row r="912" spans="20:43"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</row>
    <row r="913" spans="20:43"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</row>
    <row r="914" spans="20:43"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</row>
    <row r="915" spans="20:43"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</row>
    <row r="916" spans="20:43"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</row>
    <row r="917" spans="20:43"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</row>
    <row r="918" spans="20:43"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</row>
    <row r="919" spans="20:43"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</row>
    <row r="920" spans="20:43"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</row>
    <row r="921" spans="20:43"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</row>
    <row r="922" spans="20:43"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</row>
    <row r="923" spans="20:43"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</row>
    <row r="924" spans="20:43"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</row>
    <row r="925" spans="20:43"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</row>
    <row r="926" spans="20:43"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</row>
    <row r="927" spans="20:43"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</row>
    <row r="928" spans="20:43"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</row>
    <row r="929" spans="20:43"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</row>
    <row r="930" spans="20:43"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</row>
    <row r="931" spans="20:43"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</row>
    <row r="932" spans="20:43"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</row>
    <row r="933" spans="20:43"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</row>
    <row r="934" spans="20:43"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</row>
    <row r="935" spans="20:43"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</row>
    <row r="936" spans="20:43"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</row>
    <row r="937" spans="20:43"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</row>
    <row r="938" spans="20:43"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</row>
    <row r="939" spans="20:43"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</row>
    <row r="940" spans="20:43"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</row>
    <row r="941" spans="20:43"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</row>
    <row r="942" spans="20:43"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</row>
    <row r="943" spans="20:43"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</row>
    <row r="944" spans="20:43"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</row>
    <row r="945" spans="20:43"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</row>
    <row r="946" spans="20:43"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</row>
    <row r="947" spans="20:43"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</row>
    <row r="948" spans="20:43"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</row>
    <row r="949" spans="20:43"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</row>
    <row r="950" spans="20:43"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</row>
    <row r="951" spans="20:43"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</row>
    <row r="952" spans="20:43"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</row>
    <row r="953" spans="20:43"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</row>
    <row r="954" spans="20:43"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</row>
    <row r="955" spans="20:43"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</row>
    <row r="956" spans="20:43"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</row>
    <row r="957" spans="20:43"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</row>
    <row r="958" spans="20:43"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</row>
    <row r="959" spans="20:43"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</row>
    <row r="960" spans="20:43"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</row>
    <row r="961" spans="20:43"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</row>
    <row r="962" spans="20:43"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</row>
    <row r="963" spans="20:43"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</row>
    <row r="964" spans="20:43"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</row>
    <row r="965" spans="20:43"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</row>
    <row r="966" spans="20:43"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</row>
    <row r="967" spans="20:43"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</row>
    <row r="968" spans="20:43"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</row>
    <row r="969" spans="20:43"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</row>
    <row r="970" spans="20:43"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</row>
    <row r="971" spans="20:43"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</row>
    <row r="972" spans="20:43"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</row>
    <row r="973" spans="20:43"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</row>
    <row r="974" spans="20:43"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</row>
    <row r="975" spans="20:43"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</row>
    <row r="976" spans="20:43"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</row>
    <row r="977" spans="20:43"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</row>
    <row r="978" spans="20:43"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</row>
    <row r="979" spans="20:43"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</row>
    <row r="980" spans="20:43"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</row>
    <row r="981" spans="20:43"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</row>
    <row r="982" spans="20:43"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</row>
    <row r="983" spans="20:43"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</row>
    <row r="984" spans="20:43"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</row>
    <row r="985" spans="20:43"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</row>
    <row r="986" spans="20:43"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</row>
    <row r="987" spans="20:43"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</row>
    <row r="988" spans="20:43"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</row>
    <row r="989" spans="20:43"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</row>
    <row r="990" spans="20:43"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</row>
    <row r="991" spans="20:43"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</row>
    <row r="992" spans="20:43"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</row>
    <row r="993" spans="20:43"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</row>
    <row r="994" spans="20:43"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</row>
    <row r="995" spans="20:43"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</row>
    <row r="996" spans="20:43"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</row>
    <row r="997" spans="20:43"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</row>
    <row r="998" spans="20:43"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</row>
    <row r="999" spans="20:43"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</row>
    <row r="1000" spans="20:43"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</row>
    <row r="1001" spans="20:43"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  <c r="AD1001" s="88"/>
      <c r="AE1001" s="88"/>
      <c r="AF1001" s="88"/>
      <c r="AG1001" s="88"/>
      <c r="AH1001" s="88"/>
      <c r="AI1001" s="88"/>
      <c r="AJ1001" s="88"/>
      <c r="AK1001" s="88"/>
      <c r="AL1001" s="88"/>
      <c r="AM1001" s="88"/>
      <c r="AN1001" s="88"/>
      <c r="AO1001" s="88"/>
      <c r="AP1001" s="88"/>
      <c r="AQ1001" s="88"/>
    </row>
    <row r="1002" spans="20:43"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  <c r="AD1002" s="88"/>
      <c r="AE1002" s="88"/>
      <c r="AF1002" s="88"/>
      <c r="AG1002" s="88"/>
      <c r="AH1002" s="88"/>
      <c r="AI1002" s="88"/>
      <c r="AJ1002" s="88"/>
      <c r="AK1002" s="88"/>
      <c r="AL1002" s="88"/>
      <c r="AM1002" s="88"/>
      <c r="AN1002" s="88"/>
      <c r="AO1002" s="88"/>
      <c r="AP1002" s="88"/>
      <c r="AQ1002" s="88"/>
    </row>
    <row r="1003" spans="20:43"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  <c r="AD1003" s="88"/>
      <c r="AE1003" s="88"/>
      <c r="AF1003" s="88"/>
      <c r="AG1003" s="88"/>
      <c r="AH1003" s="88"/>
      <c r="AI1003" s="88"/>
      <c r="AJ1003" s="88"/>
      <c r="AK1003" s="88"/>
      <c r="AL1003" s="88"/>
      <c r="AM1003" s="88"/>
      <c r="AN1003" s="88"/>
      <c r="AO1003" s="88"/>
      <c r="AP1003" s="88"/>
      <c r="AQ1003" s="88"/>
    </row>
    <row r="1004" spans="20:43"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  <c r="AD1004" s="88"/>
      <c r="AE1004" s="88"/>
      <c r="AF1004" s="88"/>
      <c r="AG1004" s="88"/>
      <c r="AH1004" s="88"/>
      <c r="AI1004" s="88"/>
      <c r="AJ1004" s="88"/>
      <c r="AK1004" s="88"/>
      <c r="AL1004" s="88"/>
      <c r="AM1004" s="88"/>
      <c r="AN1004" s="88"/>
      <c r="AO1004" s="88"/>
      <c r="AP1004" s="88"/>
      <c r="AQ1004" s="88"/>
    </row>
    <row r="1005" spans="20:43">
      <c r="T1005" s="88"/>
      <c r="U1005" s="88"/>
      <c r="V1005" s="88"/>
      <c r="W1005" s="88"/>
      <c r="X1005" s="88"/>
      <c r="Y1005" s="88"/>
      <c r="Z1005" s="88"/>
      <c r="AA1005" s="88"/>
      <c r="AB1005" s="88"/>
      <c r="AC1005" s="88"/>
      <c r="AD1005" s="88"/>
      <c r="AE1005" s="88"/>
      <c r="AF1005" s="88"/>
      <c r="AG1005" s="88"/>
      <c r="AH1005" s="88"/>
      <c r="AI1005" s="88"/>
      <c r="AJ1005" s="88"/>
      <c r="AK1005" s="88"/>
      <c r="AL1005" s="88"/>
      <c r="AM1005" s="88"/>
      <c r="AN1005" s="88"/>
      <c r="AO1005" s="88"/>
      <c r="AP1005" s="88"/>
      <c r="AQ1005" s="88"/>
    </row>
    <row r="1006" spans="20:43">
      <c r="T1006" s="88"/>
      <c r="U1006" s="88"/>
      <c r="V1006" s="88"/>
      <c r="W1006" s="88"/>
      <c r="X1006" s="88"/>
      <c r="Y1006" s="88"/>
      <c r="Z1006" s="88"/>
      <c r="AA1006" s="88"/>
      <c r="AB1006" s="88"/>
      <c r="AC1006" s="88"/>
      <c r="AD1006" s="88"/>
      <c r="AE1006" s="88"/>
      <c r="AF1006" s="88"/>
      <c r="AG1006" s="88"/>
      <c r="AH1006" s="88"/>
      <c r="AI1006" s="88"/>
      <c r="AJ1006" s="88"/>
      <c r="AK1006" s="88"/>
      <c r="AL1006" s="88"/>
      <c r="AM1006" s="88"/>
      <c r="AN1006" s="88"/>
      <c r="AO1006" s="88"/>
      <c r="AP1006" s="88"/>
      <c r="AQ1006" s="88"/>
    </row>
    <row r="1007" spans="20:43">
      <c r="T1007" s="88"/>
      <c r="U1007" s="88"/>
      <c r="V1007" s="88"/>
      <c r="W1007" s="88"/>
      <c r="X1007" s="88"/>
      <c r="Y1007" s="88"/>
      <c r="Z1007" s="88"/>
      <c r="AA1007" s="88"/>
      <c r="AB1007" s="88"/>
      <c r="AC1007" s="88"/>
      <c r="AD1007" s="88"/>
      <c r="AE1007" s="88"/>
      <c r="AF1007" s="88"/>
      <c r="AG1007" s="88"/>
      <c r="AH1007" s="88"/>
      <c r="AI1007" s="88"/>
      <c r="AJ1007" s="88"/>
      <c r="AK1007" s="88"/>
      <c r="AL1007" s="88"/>
      <c r="AM1007" s="88"/>
      <c r="AN1007" s="88"/>
      <c r="AO1007" s="88"/>
      <c r="AP1007" s="88"/>
      <c r="AQ1007" s="88"/>
    </row>
    <row r="1008" spans="20:43">
      <c r="T1008" s="88"/>
      <c r="U1008" s="88"/>
      <c r="V1008" s="88"/>
      <c r="W1008" s="88"/>
      <c r="X1008" s="88"/>
      <c r="Y1008" s="88"/>
      <c r="Z1008" s="88"/>
      <c r="AA1008" s="88"/>
      <c r="AB1008" s="88"/>
      <c r="AC1008" s="88"/>
      <c r="AD1008" s="88"/>
      <c r="AE1008" s="88"/>
      <c r="AF1008" s="88"/>
      <c r="AG1008" s="88"/>
      <c r="AH1008" s="88"/>
      <c r="AI1008" s="88"/>
      <c r="AJ1008" s="88"/>
      <c r="AK1008" s="88"/>
      <c r="AL1008" s="88"/>
      <c r="AM1008" s="88"/>
      <c r="AN1008" s="88"/>
      <c r="AO1008" s="88"/>
      <c r="AP1008" s="88"/>
      <c r="AQ1008" s="88"/>
    </row>
    <row r="1009" spans="20:43">
      <c r="T1009" s="88"/>
      <c r="U1009" s="88"/>
      <c r="V1009" s="88"/>
      <c r="W1009" s="88"/>
      <c r="X1009" s="88"/>
      <c r="Y1009" s="88"/>
      <c r="Z1009" s="88"/>
      <c r="AA1009" s="88"/>
      <c r="AB1009" s="88"/>
      <c r="AC1009" s="88"/>
      <c r="AD1009" s="88"/>
      <c r="AE1009" s="88"/>
      <c r="AF1009" s="88"/>
      <c r="AG1009" s="88"/>
      <c r="AH1009" s="88"/>
      <c r="AI1009" s="88"/>
      <c r="AJ1009" s="88"/>
      <c r="AK1009" s="88"/>
      <c r="AL1009" s="88"/>
      <c r="AM1009" s="88"/>
      <c r="AN1009" s="88"/>
      <c r="AO1009" s="88"/>
      <c r="AP1009" s="88"/>
      <c r="AQ1009" s="88"/>
    </row>
    <row r="1010" spans="20:43">
      <c r="T1010" s="88"/>
      <c r="U1010" s="88"/>
      <c r="V1010" s="88"/>
      <c r="W1010" s="88"/>
      <c r="X1010" s="88"/>
      <c r="Y1010" s="88"/>
      <c r="Z1010" s="88"/>
      <c r="AA1010" s="88"/>
      <c r="AB1010" s="88"/>
      <c r="AC1010" s="88"/>
      <c r="AD1010" s="88"/>
      <c r="AE1010" s="88"/>
      <c r="AF1010" s="88"/>
      <c r="AG1010" s="88"/>
      <c r="AH1010" s="88"/>
      <c r="AI1010" s="88"/>
      <c r="AJ1010" s="88"/>
      <c r="AK1010" s="88"/>
      <c r="AL1010" s="88"/>
      <c r="AM1010" s="88"/>
      <c r="AN1010" s="88"/>
      <c r="AO1010" s="88"/>
      <c r="AP1010" s="88"/>
      <c r="AQ1010" s="88"/>
    </row>
    <row r="1011" spans="20:43">
      <c r="T1011" s="88"/>
      <c r="U1011" s="88"/>
      <c r="V1011" s="88"/>
      <c r="W1011" s="88"/>
      <c r="X1011" s="88"/>
      <c r="Y1011" s="88"/>
      <c r="Z1011" s="88"/>
      <c r="AA1011" s="88"/>
      <c r="AB1011" s="88"/>
      <c r="AC1011" s="88"/>
      <c r="AD1011" s="88"/>
      <c r="AE1011" s="88"/>
      <c r="AF1011" s="88"/>
      <c r="AG1011" s="88"/>
      <c r="AH1011" s="88"/>
      <c r="AI1011" s="88"/>
      <c r="AJ1011" s="88"/>
      <c r="AK1011" s="88"/>
      <c r="AL1011" s="88"/>
      <c r="AM1011" s="88"/>
      <c r="AN1011" s="88"/>
      <c r="AO1011" s="88"/>
      <c r="AP1011" s="88"/>
      <c r="AQ1011" s="88"/>
    </row>
    <row r="1012" spans="20:43">
      <c r="T1012" s="88"/>
      <c r="U1012" s="88"/>
      <c r="V1012" s="88"/>
      <c r="W1012" s="88"/>
      <c r="X1012" s="88"/>
      <c r="Y1012" s="88"/>
      <c r="Z1012" s="88"/>
      <c r="AA1012" s="88"/>
      <c r="AB1012" s="88"/>
      <c r="AC1012" s="88"/>
      <c r="AD1012" s="88"/>
      <c r="AE1012" s="88"/>
      <c r="AF1012" s="88"/>
      <c r="AG1012" s="88"/>
      <c r="AH1012" s="88"/>
      <c r="AI1012" s="88"/>
      <c r="AJ1012" s="88"/>
      <c r="AK1012" s="88"/>
      <c r="AL1012" s="88"/>
      <c r="AM1012" s="88"/>
      <c r="AN1012" s="88"/>
      <c r="AO1012" s="88"/>
      <c r="AP1012" s="88"/>
      <c r="AQ1012" s="88"/>
    </row>
    <row r="1013" spans="20:43">
      <c r="T1013" s="88"/>
      <c r="U1013" s="88"/>
      <c r="V1013" s="88"/>
      <c r="W1013" s="88"/>
      <c r="X1013" s="88"/>
      <c r="Y1013" s="88"/>
      <c r="Z1013" s="88"/>
      <c r="AA1013" s="88"/>
      <c r="AB1013" s="88"/>
      <c r="AC1013" s="88"/>
      <c r="AD1013" s="88"/>
      <c r="AE1013" s="88"/>
      <c r="AF1013" s="88"/>
      <c r="AG1013" s="88"/>
      <c r="AH1013" s="88"/>
      <c r="AI1013" s="88"/>
      <c r="AJ1013" s="88"/>
      <c r="AK1013" s="88"/>
      <c r="AL1013" s="88"/>
      <c r="AM1013" s="88"/>
      <c r="AN1013" s="88"/>
      <c r="AO1013" s="88"/>
      <c r="AP1013" s="88"/>
      <c r="AQ1013" s="88"/>
    </row>
    <row r="1014" spans="20:43">
      <c r="T1014" s="88"/>
      <c r="U1014" s="88"/>
      <c r="V1014" s="88"/>
      <c r="W1014" s="88"/>
      <c r="X1014" s="88"/>
      <c r="Y1014" s="88"/>
      <c r="Z1014" s="88"/>
      <c r="AA1014" s="88"/>
      <c r="AB1014" s="88"/>
      <c r="AC1014" s="88"/>
      <c r="AD1014" s="88"/>
      <c r="AE1014" s="88"/>
      <c r="AF1014" s="88"/>
      <c r="AG1014" s="88"/>
      <c r="AH1014" s="88"/>
      <c r="AI1014" s="88"/>
      <c r="AJ1014" s="88"/>
      <c r="AK1014" s="88"/>
      <c r="AL1014" s="88"/>
      <c r="AM1014" s="88"/>
      <c r="AN1014" s="88"/>
      <c r="AO1014" s="88"/>
      <c r="AP1014" s="88"/>
      <c r="AQ1014" s="88"/>
    </row>
    <row r="1015" spans="20:43"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8"/>
      <c r="AD1015" s="88"/>
      <c r="AE1015" s="88"/>
      <c r="AF1015" s="88"/>
      <c r="AG1015" s="88"/>
      <c r="AH1015" s="88"/>
      <c r="AI1015" s="88"/>
      <c r="AJ1015" s="88"/>
      <c r="AK1015" s="88"/>
      <c r="AL1015" s="88"/>
      <c r="AM1015" s="88"/>
      <c r="AN1015" s="88"/>
      <c r="AO1015" s="88"/>
      <c r="AP1015" s="88"/>
      <c r="AQ1015" s="88"/>
    </row>
    <row r="1016" spans="20:43">
      <c r="T1016" s="88"/>
      <c r="U1016" s="88"/>
      <c r="V1016" s="88"/>
      <c r="W1016" s="88"/>
      <c r="X1016" s="88"/>
      <c r="Y1016" s="88"/>
      <c r="Z1016" s="88"/>
      <c r="AA1016" s="88"/>
      <c r="AB1016" s="88"/>
      <c r="AC1016" s="88"/>
      <c r="AD1016" s="88"/>
      <c r="AE1016" s="88"/>
      <c r="AF1016" s="88"/>
      <c r="AG1016" s="88"/>
      <c r="AH1016" s="88"/>
      <c r="AI1016" s="88"/>
      <c r="AJ1016" s="88"/>
      <c r="AK1016" s="88"/>
      <c r="AL1016" s="88"/>
      <c r="AM1016" s="88"/>
      <c r="AN1016" s="88"/>
      <c r="AO1016" s="88"/>
      <c r="AP1016" s="88"/>
      <c r="AQ1016" s="88"/>
    </row>
    <row r="1017" spans="20:43">
      <c r="T1017" s="88"/>
      <c r="U1017" s="88"/>
      <c r="V1017" s="88"/>
      <c r="W1017" s="88"/>
      <c r="X1017" s="88"/>
      <c r="Y1017" s="88"/>
      <c r="Z1017" s="88"/>
      <c r="AA1017" s="88"/>
      <c r="AB1017" s="88"/>
      <c r="AC1017" s="88"/>
      <c r="AD1017" s="88"/>
      <c r="AE1017" s="88"/>
      <c r="AF1017" s="88"/>
      <c r="AG1017" s="88"/>
      <c r="AH1017" s="88"/>
      <c r="AI1017" s="88"/>
      <c r="AJ1017" s="88"/>
      <c r="AK1017" s="88"/>
      <c r="AL1017" s="88"/>
      <c r="AM1017" s="88"/>
      <c r="AN1017" s="88"/>
      <c r="AO1017" s="88"/>
      <c r="AP1017" s="88"/>
      <c r="AQ1017" s="88"/>
    </row>
    <row r="1018" spans="20:43">
      <c r="T1018" s="88"/>
      <c r="U1018" s="88"/>
      <c r="V1018" s="88"/>
      <c r="W1018" s="88"/>
      <c r="X1018" s="88"/>
      <c r="Y1018" s="88"/>
      <c r="Z1018" s="88"/>
      <c r="AA1018" s="88"/>
      <c r="AB1018" s="88"/>
      <c r="AC1018" s="88"/>
      <c r="AD1018" s="88"/>
      <c r="AE1018" s="88"/>
      <c r="AF1018" s="88"/>
      <c r="AG1018" s="88"/>
      <c r="AH1018" s="88"/>
      <c r="AI1018" s="88"/>
      <c r="AJ1018" s="88"/>
      <c r="AK1018" s="88"/>
      <c r="AL1018" s="88"/>
      <c r="AM1018" s="88"/>
      <c r="AN1018" s="88"/>
      <c r="AO1018" s="88"/>
      <c r="AP1018" s="88"/>
      <c r="AQ1018" s="88"/>
    </row>
    <row r="1019" spans="20:43">
      <c r="T1019" s="88"/>
      <c r="U1019" s="88"/>
      <c r="V1019" s="88"/>
      <c r="W1019" s="88"/>
      <c r="X1019" s="88"/>
      <c r="Y1019" s="88"/>
      <c r="Z1019" s="88"/>
      <c r="AA1019" s="88"/>
      <c r="AB1019" s="88"/>
      <c r="AC1019" s="88"/>
      <c r="AD1019" s="88"/>
      <c r="AE1019" s="88"/>
      <c r="AF1019" s="88"/>
      <c r="AG1019" s="88"/>
      <c r="AH1019" s="88"/>
      <c r="AI1019" s="88"/>
      <c r="AJ1019" s="88"/>
      <c r="AK1019" s="88"/>
      <c r="AL1019" s="88"/>
      <c r="AM1019" s="88"/>
      <c r="AN1019" s="88"/>
      <c r="AO1019" s="88"/>
      <c r="AP1019" s="88"/>
      <c r="AQ1019" s="88"/>
    </row>
    <row r="1020" spans="20:43">
      <c r="T1020" s="88"/>
      <c r="U1020" s="88"/>
      <c r="V1020" s="88"/>
      <c r="W1020" s="88"/>
      <c r="X1020" s="88"/>
      <c r="Y1020" s="88"/>
      <c r="Z1020" s="88"/>
      <c r="AA1020" s="88"/>
      <c r="AB1020" s="88"/>
      <c r="AC1020" s="88"/>
      <c r="AD1020" s="88"/>
      <c r="AE1020" s="88"/>
      <c r="AF1020" s="88"/>
      <c r="AG1020" s="88"/>
      <c r="AH1020" s="88"/>
      <c r="AI1020" s="88"/>
      <c r="AJ1020" s="88"/>
      <c r="AK1020" s="88"/>
      <c r="AL1020" s="88"/>
      <c r="AM1020" s="88"/>
      <c r="AN1020" s="88"/>
      <c r="AO1020" s="88"/>
      <c r="AP1020" s="88"/>
      <c r="AQ1020" s="88"/>
    </row>
    <row r="1021" spans="20:43">
      <c r="T1021" s="88"/>
      <c r="U1021" s="88"/>
      <c r="V1021" s="88"/>
      <c r="W1021" s="88"/>
      <c r="X1021" s="88"/>
      <c r="Y1021" s="88"/>
      <c r="Z1021" s="88"/>
      <c r="AA1021" s="88"/>
      <c r="AB1021" s="88"/>
      <c r="AC1021" s="88"/>
      <c r="AD1021" s="88"/>
      <c r="AE1021" s="88"/>
      <c r="AF1021" s="88"/>
      <c r="AG1021" s="88"/>
      <c r="AH1021" s="88"/>
      <c r="AI1021" s="88"/>
      <c r="AJ1021" s="88"/>
      <c r="AK1021" s="88"/>
      <c r="AL1021" s="88"/>
      <c r="AM1021" s="88"/>
      <c r="AN1021" s="88"/>
      <c r="AO1021" s="88"/>
      <c r="AP1021" s="88"/>
      <c r="AQ1021" s="88"/>
    </row>
    <row r="1022" spans="20:43">
      <c r="T1022" s="88"/>
      <c r="U1022" s="88"/>
      <c r="V1022" s="88"/>
      <c r="W1022" s="88"/>
      <c r="X1022" s="88"/>
      <c r="Y1022" s="88"/>
      <c r="Z1022" s="88"/>
      <c r="AA1022" s="88"/>
      <c r="AB1022" s="88"/>
      <c r="AC1022" s="88"/>
      <c r="AD1022" s="88"/>
      <c r="AE1022" s="88"/>
      <c r="AF1022" s="88"/>
      <c r="AG1022" s="88"/>
      <c r="AH1022" s="88"/>
      <c r="AI1022" s="88"/>
      <c r="AJ1022" s="88"/>
      <c r="AK1022" s="88"/>
      <c r="AL1022" s="88"/>
      <c r="AM1022" s="88"/>
      <c r="AN1022" s="88"/>
      <c r="AO1022" s="88"/>
      <c r="AP1022" s="88"/>
      <c r="AQ1022" s="88"/>
    </row>
    <row r="1023" spans="20:43">
      <c r="T1023" s="88"/>
      <c r="U1023" s="88"/>
      <c r="V1023" s="88"/>
      <c r="W1023" s="88"/>
      <c r="X1023" s="88"/>
      <c r="Y1023" s="88"/>
      <c r="Z1023" s="88"/>
      <c r="AA1023" s="88"/>
      <c r="AB1023" s="88"/>
      <c r="AC1023" s="88"/>
      <c r="AD1023" s="88"/>
      <c r="AE1023" s="88"/>
      <c r="AF1023" s="88"/>
      <c r="AG1023" s="88"/>
      <c r="AH1023" s="88"/>
      <c r="AI1023" s="88"/>
      <c r="AJ1023" s="88"/>
      <c r="AK1023" s="88"/>
      <c r="AL1023" s="88"/>
      <c r="AM1023" s="88"/>
      <c r="AN1023" s="88"/>
      <c r="AO1023" s="88"/>
      <c r="AP1023" s="88"/>
      <c r="AQ1023" s="88"/>
    </row>
    <row r="1024" spans="20:43">
      <c r="T1024" s="88"/>
      <c r="U1024" s="88"/>
      <c r="V1024" s="88"/>
      <c r="W1024" s="88"/>
      <c r="X1024" s="88"/>
      <c r="Y1024" s="88"/>
      <c r="Z1024" s="88"/>
      <c r="AA1024" s="88"/>
      <c r="AB1024" s="88"/>
      <c r="AC1024" s="88"/>
      <c r="AD1024" s="88"/>
      <c r="AE1024" s="88"/>
      <c r="AF1024" s="88"/>
      <c r="AG1024" s="88"/>
      <c r="AH1024" s="88"/>
      <c r="AI1024" s="88"/>
      <c r="AJ1024" s="88"/>
      <c r="AK1024" s="88"/>
      <c r="AL1024" s="88"/>
      <c r="AM1024" s="88"/>
      <c r="AN1024" s="88"/>
      <c r="AO1024" s="88"/>
      <c r="AP1024" s="88"/>
      <c r="AQ1024" s="88"/>
    </row>
    <row r="1025" spans="20:43">
      <c r="T1025" s="88"/>
      <c r="U1025" s="88"/>
      <c r="V1025" s="88"/>
      <c r="W1025" s="88"/>
      <c r="X1025" s="88"/>
      <c r="Y1025" s="88"/>
      <c r="Z1025" s="88"/>
      <c r="AA1025" s="88"/>
      <c r="AB1025" s="88"/>
      <c r="AC1025" s="88"/>
      <c r="AD1025" s="88"/>
      <c r="AE1025" s="88"/>
      <c r="AF1025" s="88"/>
      <c r="AG1025" s="88"/>
      <c r="AH1025" s="88"/>
      <c r="AI1025" s="88"/>
      <c r="AJ1025" s="88"/>
      <c r="AK1025" s="88"/>
      <c r="AL1025" s="88"/>
      <c r="AM1025" s="88"/>
      <c r="AN1025" s="88"/>
      <c r="AO1025" s="88"/>
      <c r="AP1025" s="88"/>
      <c r="AQ1025" s="88"/>
    </row>
    <row r="1026" spans="20:43">
      <c r="T1026" s="88"/>
      <c r="U1026" s="88"/>
      <c r="V1026" s="88"/>
      <c r="W1026" s="88"/>
      <c r="X1026" s="88"/>
      <c r="Y1026" s="88"/>
      <c r="Z1026" s="88"/>
      <c r="AA1026" s="88"/>
      <c r="AB1026" s="88"/>
      <c r="AC1026" s="88"/>
      <c r="AD1026" s="88"/>
      <c r="AE1026" s="88"/>
      <c r="AF1026" s="88"/>
      <c r="AG1026" s="88"/>
      <c r="AH1026" s="88"/>
      <c r="AI1026" s="88"/>
      <c r="AJ1026" s="88"/>
      <c r="AK1026" s="88"/>
      <c r="AL1026" s="88"/>
      <c r="AM1026" s="88"/>
      <c r="AN1026" s="88"/>
      <c r="AO1026" s="88"/>
      <c r="AP1026" s="88"/>
      <c r="AQ1026" s="88"/>
    </row>
    <row r="1027" spans="20:43">
      <c r="T1027" s="88"/>
      <c r="U1027" s="88"/>
      <c r="V1027" s="88"/>
      <c r="W1027" s="88"/>
      <c r="X1027" s="88"/>
      <c r="Y1027" s="88"/>
      <c r="Z1027" s="88"/>
      <c r="AA1027" s="88"/>
      <c r="AB1027" s="88"/>
      <c r="AC1027" s="88"/>
      <c r="AD1027" s="88"/>
      <c r="AE1027" s="88"/>
      <c r="AF1027" s="88"/>
      <c r="AG1027" s="88"/>
      <c r="AH1027" s="88"/>
      <c r="AI1027" s="88"/>
      <c r="AJ1027" s="88"/>
      <c r="AK1027" s="88"/>
      <c r="AL1027" s="88"/>
      <c r="AM1027" s="88"/>
      <c r="AN1027" s="88"/>
      <c r="AO1027" s="88"/>
      <c r="AP1027" s="88"/>
      <c r="AQ1027" s="88"/>
    </row>
    <row r="1028" spans="20:43">
      <c r="T1028" s="88"/>
      <c r="U1028" s="88"/>
      <c r="V1028" s="88"/>
      <c r="W1028" s="88"/>
      <c r="X1028" s="88"/>
      <c r="Y1028" s="88"/>
      <c r="Z1028" s="88"/>
      <c r="AA1028" s="88"/>
      <c r="AB1028" s="88"/>
      <c r="AC1028" s="88"/>
      <c r="AD1028" s="88"/>
      <c r="AE1028" s="88"/>
      <c r="AF1028" s="88"/>
      <c r="AG1028" s="88"/>
      <c r="AH1028" s="88"/>
      <c r="AI1028" s="88"/>
      <c r="AJ1028" s="88"/>
      <c r="AK1028" s="88"/>
      <c r="AL1028" s="88"/>
      <c r="AM1028" s="88"/>
      <c r="AN1028" s="88"/>
      <c r="AO1028" s="88"/>
      <c r="AP1028" s="88"/>
      <c r="AQ1028" s="88"/>
    </row>
    <row r="1029" spans="20:43">
      <c r="T1029" s="88"/>
      <c r="U1029" s="88"/>
      <c r="V1029" s="88"/>
      <c r="W1029" s="88"/>
      <c r="X1029" s="88"/>
      <c r="Y1029" s="88"/>
      <c r="Z1029" s="88"/>
      <c r="AA1029" s="88"/>
      <c r="AB1029" s="88"/>
      <c r="AC1029" s="88"/>
      <c r="AD1029" s="88"/>
      <c r="AE1029" s="88"/>
      <c r="AF1029" s="88"/>
      <c r="AG1029" s="88"/>
      <c r="AH1029" s="88"/>
      <c r="AI1029" s="88"/>
      <c r="AJ1029" s="88"/>
      <c r="AK1029" s="88"/>
      <c r="AL1029" s="88"/>
      <c r="AM1029" s="88"/>
      <c r="AN1029" s="88"/>
      <c r="AO1029" s="88"/>
      <c r="AP1029" s="88"/>
      <c r="AQ1029" s="88"/>
    </row>
    <row r="1030" spans="20:43">
      <c r="T1030" s="88"/>
      <c r="U1030" s="88"/>
      <c r="V1030" s="88"/>
      <c r="W1030" s="88"/>
      <c r="X1030" s="88"/>
      <c r="Y1030" s="88"/>
      <c r="Z1030" s="88"/>
      <c r="AA1030" s="88"/>
      <c r="AB1030" s="88"/>
      <c r="AC1030" s="88"/>
      <c r="AD1030" s="88"/>
      <c r="AE1030" s="88"/>
      <c r="AF1030" s="88"/>
      <c r="AG1030" s="88"/>
      <c r="AH1030" s="88"/>
      <c r="AI1030" s="88"/>
      <c r="AJ1030" s="88"/>
      <c r="AK1030" s="88"/>
      <c r="AL1030" s="88"/>
      <c r="AM1030" s="88"/>
      <c r="AN1030" s="88"/>
      <c r="AO1030" s="88"/>
      <c r="AP1030" s="88"/>
      <c r="AQ1030" s="88"/>
    </row>
    <row r="1031" spans="20:43">
      <c r="T1031" s="88"/>
      <c r="U1031" s="88"/>
      <c r="V1031" s="88"/>
      <c r="W1031" s="88"/>
      <c r="X1031" s="88"/>
      <c r="Y1031" s="88"/>
      <c r="Z1031" s="88"/>
      <c r="AA1031" s="88"/>
      <c r="AB1031" s="88"/>
      <c r="AC1031" s="88"/>
      <c r="AD1031" s="88"/>
      <c r="AE1031" s="88"/>
      <c r="AF1031" s="88"/>
      <c r="AG1031" s="88"/>
      <c r="AH1031" s="88"/>
      <c r="AI1031" s="88"/>
      <c r="AJ1031" s="88"/>
      <c r="AK1031" s="88"/>
      <c r="AL1031" s="88"/>
      <c r="AM1031" s="88"/>
      <c r="AN1031" s="88"/>
      <c r="AO1031" s="88"/>
      <c r="AP1031" s="88"/>
      <c r="AQ1031" s="88"/>
    </row>
    <row r="1032" spans="20:43">
      <c r="T1032" s="88"/>
      <c r="U1032" s="88"/>
      <c r="V1032" s="88"/>
      <c r="W1032" s="88"/>
      <c r="X1032" s="88"/>
      <c r="Y1032" s="88"/>
      <c r="Z1032" s="88"/>
      <c r="AA1032" s="88"/>
      <c r="AB1032" s="88"/>
      <c r="AC1032" s="88"/>
      <c r="AD1032" s="88"/>
      <c r="AE1032" s="88"/>
      <c r="AF1032" s="88"/>
      <c r="AG1032" s="88"/>
      <c r="AH1032" s="88"/>
      <c r="AI1032" s="88"/>
      <c r="AJ1032" s="88"/>
      <c r="AK1032" s="88"/>
      <c r="AL1032" s="88"/>
      <c r="AM1032" s="88"/>
      <c r="AN1032" s="88"/>
      <c r="AO1032" s="88"/>
      <c r="AP1032" s="88"/>
      <c r="AQ1032" s="88"/>
    </row>
    <row r="1033" spans="20:43">
      <c r="T1033" s="88"/>
      <c r="U1033" s="88"/>
      <c r="V1033" s="88"/>
      <c r="W1033" s="88"/>
      <c r="X1033" s="88"/>
      <c r="Y1033" s="88"/>
      <c r="Z1033" s="88"/>
      <c r="AA1033" s="88"/>
      <c r="AB1033" s="88"/>
      <c r="AC1033" s="88"/>
      <c r="AD1033" s="88"/>
      <c r="AE1033" s="88"/>
      <c r="AF1033" s="88"/>
      <c r="AG1033" s="88"/>
      <c r="AH1033" s="88"/>
      <c r="AI1033" s="88"/>
      <c r="AJ1033" s="88"/>
      <c r="AK1033" s="88"/>
      <c r="AL1033" s="88"/>
      <c r="AM1033" s="88"/>
      <c r="AN1033" s="88"/>
      <c r="AO1033" s="88"/>
      <c r="AP1033" s="88"/>
      <c r="AQ1033" s="88"/>
    </row>
    <row r="1034" spans="20:43">
      <c r="T1034" s="88"/>
      <c r="U1034" s="88"/>
      <c r="V1034" s="88"/>
      <c r="W1034" s="88"/>
      <c r="X1034" s="88"/>
      <c r="Y1034" s="88"/>
      <c r="Z1034" s="88"/>
      <c r="AA1034" s="88"/>
      <c r="AB1034" s="88"/>
      <c r="AC1034" s="88"/>
      <c r="AD1034" s="88"/>
      <c r="AE1034" s="88"/>
      <c r="AF1034" s="88"/>
      <c r="AG1034" s="88"/>
      <c r="AH1034" s="88"/>
      <c r="AI1034" s="88"/>
      <c r="AJ1034" s="88"/>
      <c r="AK1034" s="88"/>
      <c r="AL1034" s="88"/>
      <c r="AM1034" s="88"/>
      <c r="AN1034" s="88"/>
      <c r="AO1034" s="88"/>
      <c r="AP1034" s="88"/>
      <c r="AQ1034" s="88"/>
    </row>
    <row r="1035" spans="20:43">
      <c r="T1035" s="88"/>
      <c r="U1035" s="88"/>
      <c r="V1035" s="88"/>
      <c r="W1035" s="88"/>
      <c r="X1035" s="88"/>
      <c r="Y1035" s="88"/>
      <c r="Z1035" s="88"/>
      <c r="AA1035" s="88"/>
      <c r="AB1035" s="88"/>
      <c r="AC1035" s="88"/>
      <c r="AD1035" s="88"/>
      <c r="AE1035" s="88"/>
      <c r="AF1035" s="88"/>
      <c r="AG1035" s="88"/>
      <c r="AH1035" s="88"/>
      <c r="AI1035" s="88"/>
      <c r="AJ1035" s="88"/>
      <c r="AK1035" s="88"/>
      <c r="AL1035" s="88"/>
      <c r="AM1035" s="88"/>
      <c r="AN1035" s="88"/>
      <c r="AO1035" s="88"/>
      <c r="AP1035" s="88"/>
      <c r="AQ1035" s="88"/>
    </row>
    <row r="1036" spans="20:43">
      <c r="T1036" s="88"/>
      <c r="U1036" s="88"/>
      <c r="V1036" s="88"/>
      <c r="W1036" s="88"/>
      <c r="X1036" s="88"/>
      <c r="Y1036" s="88"/>
      <c r="Z1036" s="88"/>
      <c r="AA1036" s="88"/>
      <c r="AB1036" s="88"/>
      <c r="AC1036" s="88"/>
      <c r="AD1036" s="88"/>
      <c r="AE1036" s="88"/>
      <c r="AF1036" s="88"/>
      <c r="AG1036" s="88"/>
      <c r="AH1036" s="88"/>
      <c r="AI1036" s="88"/>
      <c r="AJ1036" s="88"/>
      <c r="AK1036" s="88"/>
      <c r="AL1036" s="88"/>
      <c r="AM1036" s="88"/>
      <c r="AN1036" s="88"/>
      <c r="AO1036" s="88"/>
      <c r="AP1036" s="88"/>
      <c r="AQ1036" s="88"/>
    </row>
    <row r="1037" spans="20:43">
      <c r="T1037" s="88"/>
      <c r="U1037" s="88"/>
      <c r="V1037" s="88"/>
      <c r="W1037" s="88"/>
      <c r="X1037" s="88"/>
      <c r="Y1037" s="88"/>
      <c r="Z1037" s="88"/>
      <c r="AA1037" s="88"/>
      <c r="AB1037" s="88"/>
      <c r="AC1037" s="88"/>
      <c r="AD1037" s="88"/>
      <c r="AE1037" s="88"/>
      <c r="AF1037" s="88"/>
      <c r="AG1037" s="88"/>
      <c r="AH1037" s="88"/>
      <c r="AI1037" s="88"/>
      <c r="AJ1037" s="88"/>
      <c r="AK1037" s="88"/>
      <c r="AL1037" s="88"/>
      <c r="AM1037" s="88"/>
      <c r="AN1037" s="88"/>
      <c r="AO1037" s="88"/>
      <c r="AP1037" s="88"/>
      <c r="AQ1037" s="88"/>
    </row>
    <row r="1038" spans="20:43">
      <c r="T1038" s="88"/>
      <c r="U1038" s="88"/>
      <c r="V1038" s="88"/>
      <c r="W1038" s="88"/>
      <c r="X1038" s="88"/>
      <c r="Y1038" s="88"/>
      <c r="Z1038" s="88"/>
      <c r="AA1038" s="88"/>
      <c r="AB1038" s="88"/>
      <c r="AC1038" s="88"/>
      <c r="AD1038" s="88"/>
      <c r="AE1038" s="88"/>
      <c r="AF1038" s="88"/>
      <c r="AG1038" s="88"/>
      <c r="AH1038" s="88"/>
      <c r="AI1038" s="88"/>
      <c r="AJ1038" s="88"/>
      <c r="AK1038" s="88"/>
      <c r="AL1038" s="88"/>
      <c r="AM1038" s="88"/>
      <c r="AN1038" s="88"/>
      <c r="AO1038" s="88"/>
      <c r="AP1038" s="88"/>
      <c r="AQ1038" s="88"/>
    </row>
    <row r="1039" spans="20:43">
      <c r="T1039" s="88"/>
      <c r="U1039" s="88"/>
      <c r="V1039" s="88"/>
      <c r="W1039" s="88"/>
      <c r="X1039" s="88"/>
      <c r="Y1039" s="88"/>
      <c r="Z1039" s="88"/>
      <c r="AA1039" s="88"/>
      <c r="AB1039" s="88"/>
      <c r="AC1039" s="88"/>
      <c r="AD1039" s="88"/>
      <c r="AE1039" s="88"/>
      <c r="AF1039" s="88"/>
      <c r="AG1039" s="88"/>
      <c r="AH1039" s="88"/>
      <c r="AI1039" s="88"/>
      <c r="AJ1039" s="88"/>
      <c r="AK1039" s="88"/>
      <c r="AL1039" s="88"/>
      <c r="AM1039" s="88"/>
      <c r="AN1039" s="88"/>
      <c r="AO1039" s="88"/>
      <c r="AP1039" s="88"/>
      <c r="AQ1039" s="88"/>
    </row>
    <row r="1040" spans="20:43">
      <c r="T1040" s="88"/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88"/>
      <c r="AE1040" s="88"/>
      <c r="AF1040" s="88"/>
      <c r="AG1040" s="88"/>
      <c r="AH1040" s="88"/>
      <c r="AI1040" s="88"/>
      <c r="AJ1040" s="88"/>
      <c r="AK1040" s="88"/>
      <c r="AL1040" s="88"/>
      <c r="AM1040" s="88"/>
      <c r="AN1040" s="88"/>
      <c r="AO1040" s="88"/>
      <c r="AP1040" s="88"/>
      <c r="AQ1040" s="88"/>
    </row>
    <row r="1041" spans="20:43">
      <c r="T1041" s="88"/>
      <c r="U1041" s="88"/>
      <c r="V1041" s="88"/>
      <c r="W1041" s="88"/>
      <c r="X1041" s="88"/>
      <c r="Y1041" s="88"/>
      <c r="Z1041" s="88"/>
      <c r="AA1041" s="88"/>
      <c r="AB1041" s="88"/>
      <c r="AC1041" s="88"/>
      <c r="AD1041" s="88"/>
      <c r="AE1041" s="88"/>
      <c r="AF1041" s="88"/>
      <c r="AG1041" s="88"/>
      <c r="AH1041" s="88"/>
      <c r="AI1041" s="88"/>
      <c r="AJ1041" s="88"/>
      <c r="AK1041" s="88"/>
      <c r="AL1041" s="88"/>
      <c r="AM1041" s="88"/>
      <c r="AN1041" s="88"/>
      <c r="AO1041" s="88"/>
      <c r="AP1041" s="88"/>
      <c r="AQ1041" s="88"/>
    </row>
    <row r="1042" spans="20:43">
      <c r="T1042" s="88"/>
      <c r="U1042" s="88"/>
      <c r="V1042" s="88"/>
      <c r="W1042" s="88"/>
      <c r="X1042" s="88"/>
      <c r="Y1042" s="88"/>
      <c r="Z1042" s="88"/>
      <c r="AA1042" s="88"/>
      <c r="AB1042" s="88"/>
      <c r="AC1042" s="88"/>
      <c r="AD1042" s="88"/>
      <c r="AE1042" s="88"/>
      <c r="AF1042" s="88"/>
      <c r="AG1042" s="88"/>
      <c r="AH1042" s="88"/>
      <c r="AI1042" s="88"/>
      <c r="AJ1042" s="88"/>
      <c r="AK1042" s="88"/>
      <c r="AL1042" s="88"/>
      <c r="AM1042" s="88"/>
      <c r="AN1042" s="88"/>
      <c r="AO1042" s="88"/>
      <c r="AP1042" s="88"/>
      <c r="AQ1042" s="88"/>
    </row>
    <row r="1043" spans="20:43">
      <c r="T1043" s="88"/>
      <c r="U1043" s="88"/>
      <c r="V1043" s="88"/>
      <c r="W1043" s="88"/>
      <c r="X1043" s="88"/>
      <c r="Y1043" s="88"/>
      <c r="Z1043" s="88"/>
      <c r="AA1043" s="88"/>
      <c r="AB1043" s="88"/>
      <c r="AC1043" s="88"/>
      <c r="AD1043" s="88"/>
      <c r="AE1043" s="88"/>
      <c r="AF1043" s="88"/>
      <c r="AG1043" s="88"/>
      <c r="AH1043" s="88"/>
      <c r="AI1043" s="88"/>
      <c r="AJ1043" s="88"/>
      <c r="AK1043" s="88"/>
      <c r="AL1043" s="88"/>
      <c r="AM1043" s="88"/>
      <c r="AN1043" s="88"/>
      <c r="AO1043" s="88"/>
      <c r="AP1043" s="88"/>
      <c r="AQ1043" s="88"/>
    </row>
    <row r="1044" spans="20:43">
      <c r="T1044" s="88"/>
      <c r="U1044" s="88"/>
      <c r="V1044" s="88"/>
      <c r="W1044" s="88"/>
      <c r="X1044" s="88"/>
      <c r="Y1044" s="88"/>
      <c r="Z1044" s="88"/>
      <c r="AA1044" s="88"/>
      <c r="AB1044" s="88"/>
      <c r="AC1044" s="88"/>
      <c r="AD1044" s="88"/>
      <c r="AE1044" s="88"/>
      <c r="AF1044" s="88"/>
      <c r="AG1044" s="88"/>
      <c r="AH1044" s="88"/>
      <c r="AI1044" s="88"/>
      <c r="AJ1044" s="88"/>
      <c r="AK1044" s="88"/>
      <c r="AL1044" s="88"/>
      <c r="AM1044" s="88"/>
      <c r="AN1044" s="88"/>
      <c r="AO1044" s="88"/>
      <c r="AP1044" s="88"/>
      <c r="AQ1044" s="88"/>
    </row>
    <row r="1045" spans="20:43">
      <c r="T1045" s="88"/>
      <c r="U1045" s="88"/>
      <c r="V1045" s="88"/>
      <c r="W1045" s="88"/>
      <c r="X1045" s="88"/>
      <c r="Y1045" s="88"/>
      <c r="Z1045" s="88"/>
      <c r="AA1045" s="88"/>
      <c r="AB1045" s="88"/>
      <c r="AC1045" s="88"/>
      <c r="AD1045" s="88"/>
      <c r="AE1045" s="88"/>
      <c r="AF1045" s="88"/>
      <c r="AG1045" s="88"/>
      <c r="AH1045" s="88"/>
      <c r="AI1045" s="88"/>
      <c r="AJ1045" s="88"/>
      <c r="AK1045" s="88"/>
      <c r="AL1045" s="88"/>
      <c r="AM1045" s="88"/>
      <c r="AN1045" s="88"/>
      <c r="AO1045" s="88"/>
      <c r="AP1045" s="88"/>
      <c r="AQ1045" s="88"/>
    </row>
    <row r="1046" spans="20:43">
      <c r="T1046" s="88"/>
      <c r="U1046" s="88"/>
      <c r="V1046" s="88"/>
      <c r="W1046" s="88"/>
      <c r="X1046" s="88"/>
      <c r="Y1046" s="88"/>
      <c r="Z1046" s="88"/>
      <c r="AA1046" s="88"/>
      <c r="AB1046" s="88"/>
      <c r="AC1046" s="88"/>
      <c r="AD1046" s="88"/>
      <c r="AE1046" s="88"/>
      <c r="AF1046" s="88"/>
      <c r="AG1046" s="88"/>
      <c r="AH1046" s="88"/>
      <c r="AI1046" s="88"/>
      <c r="AJ1046" s="88"/>
      <c r="AK1046" s="88"/>
      <c r="AL1046" s="88"/>
      <c r="AM1046" s="88"/>
      <c r="AN1046" s="88"/>
      <c r="AO1046" s="88"/>
      <c r="AP1046" s="88"/>
      <c r="AQ1046" s="88"/>
    </row>
    <row r="1047" spans="20:43">
      <c r="T1047" s="88"/>
      <c r="U1047" s="88"/>
      <c r="V1047" s="88"/>
      <c r="W1047" s="88"/>
      <c r="X1047" s="88"/>
      <c r="Y1047" s="88"/>
      <c r="Z1047" s="88"/>
      <c r="AA1047" s="88"/>
      <c r="AB1047" s="88"/>
      <c r="AC1047" s="88"/>
      <c r="AD1047" s="88"/>
      <c r="AE1047" s="88"/>
      <c r="AF1047" s="88"/>
      <c r="AG1047" s="88"/>
      <c r="AH1047" s="88"/>
      <c r="AI1047" s="88"/>
      <c r="AJ1047" s="88"/>
      <c r="AK1047" s="88"/>
      <c r="AL1047" s="88"/>
      <c r="AM1047" s="88"/>
      <c r="AN1047" s="88"/>
      <c r="AO1047" s="88"/>
      <c r="AP1047" s="88"/>
      <c r="AQ1047" s="88"/>
    </row>
    <row r="1048" spans="20:43">
      <c r="T1048" s="88"/>
      <c r="U1048" s="88"/>
      <c r="V1048" s="88"/>
      <c r="W1048" s="88"/>
      <c r="X1048" s="88"/>
      <c r="Y1048" s="88"/>
      <c r="Z1048" s="88"/>
      <c r="AA1048" s="88"/>
      <c r="AB1048" s="88"/>
      <c r="AC1048" s="88"/>
      <c r="AD1048" s="88"/>
      <c r="AE1048" s="88"/>
      <c r="AF1048" s="88"/>
      <c r="AG1048" s="88"/>
      <c r="AH1048" s="88"/>
      <c r="AI1048" s="88"/>
      <c r="AJ1048" s="88"/>
      <c r="AK1048" s="88"/>
      <c r="AL1048" s="88"/>
      <c r="AM1048" s="88"/>
      <c r="AN1048" s="88"/>
      <c r="AO1048" s="88"/>
      <c r="AP1048" s="88"/>
      <c r="AQ1048" s="88"/>
    </row>
    <row r="1049" spans="20:43">
      <c r="T1049" s="88"/>
      <c r="U1049" s="88"/>
      <c r="V1049" s="88"/>
      <c r="W1049" s="88"/>
      <c r="X1049" s="88"/>
      <c r="Y1049" s="88"/>
      <c r="Z1049" s="88"/>
      <c r="AA1049" s="88"/>
      <c r="AB1049" s="88"/>
      <c r="AC1049" s="88"/>
      <c r="AD1049" s="88"/>
      <c r="AE1049" s="88"/>
      <c r="AF1049" s="88"/>
      <c r="AG1049" s="88"/>
      <c r="AH1049" s="88"/>
      <c r="AI1049" s="88"/>
      <c r="AJ1049" s="88"/>
      <c r="AK1049" s="88"/>
      <c r="AL1049" s="88"/>
      <c r="AM1049" s="88"/>
      <c r="AN1049" s="88"/>
      <c r="AO1049" s="88"/>
      <c r="AP1049" s="88"/>
      <c r="AQ1049" s="88"/>
    </row>
    <row r="1050" spans="20:43">
      <c r="T1050" s="88"/>
      <c r="U1050" s="88"/>
      <c r="V1050" s="88"/>
      <c r="W1050" s="88"/>
      <c r="X1050" s="88"/>
      <c r="Y1050" s="88"/>
      <c r="Z1050" s="88"/>
      <c r="AA1050" s="88"/>
      <c r="AB1050" s="88"/>
      <c r="AC1050" s="88"/>
      <c r="AD1050" s="88"/>
      <c r="AE1050" s="88"/>
      <c r="AF1050" s="88"/>
      <c r="AG1050" s="88"/>
      <c r="AH1050" s="88"/>
      <c r="AI1050" s="88"/>
      <c r="AJ1050" s="88"/>
      <c r="AK1050" s="88"/>
      <c r="AL1050" s="88"/>
      <c r="AM1050" s="88"/>
      <c r="AN1050" s="88"/>
      <c r="AO1050" s="88"/>
      <c r="AP1050" s="88"/>
      <c r="AQ1050" s="88"/>
    </row>
    <row r="1051" spans="20:43">
      <c r="T1051" s="88"/>
      <c r="U1051" s="88"/>
      <c r="V1051" s="88"/>
      <c r="W1051" s="88"/>
      <c r="X1051" s="88"/>
      <c r="Y1051" s="88"/>
      <c r="Z1051" s="88"/>
      <c r="AA1051" s="88"/>
      <c r="AB1051" s="88"/>
      <c r="AC1051" s="88"/>
      <c r="AD1051" s="88"/>
      <c r="AE1051" s="88"/>
      <c r="AF1051" s="88"/>
      <c r="AG1051" s="88"/>
      <c r="AH1051" s="88"/>
      <c r="AI1051" s="88"/>
      <c r="AJ1051" s="88"/>
      <c r="AK1051" s="88"/>
      <c r="AL1051" s="88"/>
      <c r="AM1051" s="88"/>
      <c r="AN1051" s="88"/>
      <c r="AO1051" s="88"/>
      <c r="AP1051" s="88"/>
      <c r="AQ1051" s="88"/>
    </row>
    <row r="1052" spans="20:43">
      <c r="T1052" s="88"/>
      <c r="U1052" s="88"/>
      <c r="V1052" s="88"/>
      <c r="W1052" s="88"/>
      <c r="X1052" s="88"/>
      <c r="Y1052" s="88"/>
      <c r="Z1052" s="88"/>
      <c r="AA1052" s="88"/>
      <c r="AB1052" s="88"/>
      <c r="AC1052" s="88"/>
      <c r="AD1052" s="88"/>
      <c r="AE1052" s="88"/>
      <c r="AF1052" s="88"/>
      <c r="AG1052" s="88"/>
      <c r="AH1052" s="88"/>
      <c r="AI1052" s="88"/>
      <c r="AJ1052" s="88"/>
      <c r="AK1052" s="88"/>
      <c r="AL1052" s="88"/>
      <c r="AM1052" s="88"/>
      <c r="AN1052" s="88"/>
      <c r="AO1052" s="88"/>
      <c r="AP1052" s="88"/>
      <c r="AQ1052" s="88"/>
    </row>
    <row r="1053" spans="20:43">
      <c r="T1053" s="88"/>
      <c r="U1053" s="88"/>
      <c r="V1053" s="88"/>
      <c r="W1053" s="88"/>
      <c r="X1053" s="88"/>
      <c r="Y1053" s="88"/>
      <c r="Z1053" s="88"/>
      <c r="AA1053" s="88"/>
      <c r="AB1053" s="88"/>
      <c r="AC1053" s="88"/>
      <c r="AD1053" s="88"/>
      <c r="AE1053" s="88"/>
      <c r="AF1053" s="88"/>
      <c r="AG1053" s="88"/>
      <c r="AH1053" s="88"/>
      <c r="AI1053" s="88"/>
      <c r="AJ1053" s="88"/>
      <c r="AK1053" s="88"/>
      <c r="AL1053" s="88"/>
      <c r="AM1053" s="88"/>
      <c r="AN1053" s="88"/>
      <c r="AO1053" s="88"/>
      <c r="AP1053" s="88"/>
      <c r="AQ1053" s="88"/>
    </row>
    <row r="1054" spans="20:43">
      <c r="T1054" s="88"/>
      <c r="U1054" s="88"/>
      <c r="V1054" s="88"/>
      <c r="W1054" s="88"/>
      <c r="X1054" s="88"/>
      <c r="Y1054" s="88"/>
      <c r="Z1054" s="88"/>
      <c r="AA1054" s="88"/>
      <c r="AB1054" s="88"/>
      <c r="AC1054" s="88"/>
      <c r="AD1054" s="88"/>
      <c r="AE1054" s="88"/>
      <c r="AF1054" s="88"/>
      <c r="AG1054" s="88"/>
      <c r="AH1054" s="88"/>
      <c r="AI1054" s="88"/>
      <c r="AJ1054" s="88"/>
      <c r="AK1054" s="88"/>
      <c r="AL1054" s="88"/>
      <c r="AM1054" s="88"/>
      <c r="AN1054" s="88"/>
      <c r="AO1054" s="88"/>
      <c r="AP1054" s="88"/>
      <c r="AQ1054" s="88"/>
    </row>
    <row r="1055" spans="20:43">
      <c r="T1055" s="88"/>
      <c r="U1055" s="88"/>
      <c r="V1055" s="88"/>
      <c r="W1055" s="88"/>
      <c r="X1055" s="88"/>
      <c r="Y1055" s="88"/>
      <c r="Z1055" s="88"/>
      <c r="AA1055" s="88"/>
      <c r="AB1055" s="88"/>
      <c r="AC1055" s="88"/>
      <c r="AD1055" s="88"/>
      <c r="AE1055" s="88"/>
      <c r="AF1055" s="88"/>
      <c r="AG1055" s="88"/>
      <c r="AH1055" s="88"/>
      <c r="AI1055" s="88"/>
      <c r="AJ1055" s="88"/>
      <c r="AK1055" s="88"/>
      <c r="AL1055" s="88"/>
      <c r="AM1055" s="88"/>
      <c r="AN1055" s="88"/>
      <c r="AO1055" s="88"/>
      <c r="AP1055" s="88"/>
      <c r="AQ1055" s="88"/>
    </row>
    <row r="1056" spans="20:43">
      <c r="T1056" s="88"/>
      <c r="U1056" s="88"/>
      <c r="V1056" s="88"/>
      <c r="W1056" s="88"/>
      <c r="X1056" s="88"/>
      <c r="Y1056" s="88"/>
      <c r="Z1056" s="88"/>
      <c r="AA1056" s="88"/>
      <c r="AB1056" s="88"/>
      <c r="AC1056" s="88"/>
      <c r="AD1056" s="88"/>
      <c r="AE1056" s="88"/>
      <c r="AF1056" s="88"/>
      <c r="AG1056" s="88"/>
      <c r="AH1056" s="88"/>
      <c r="AI1056" s="88"/>
      <c r="AJ1056" s="88"/>
      <c r="AK1056" s="88"/>
      <c r="AL1056" s="88"/>
      <c r="AM1056" s="88"/>
      <c r="AN1056" s="88"/>
      <c r="AO1056" s="88"/>
      <c r="AP1056" s="88"/>
      <c r="AQ1056" s="88"/>
    </row>
  </sheetData>
  <mergeCells count="10">
    <mergeCell ref="B52:C55"/>
    <mergeCell ref="I77:J80"/>
    <mergeCell ref="I27:J30"/>
    <mergeCell ref="I52:J55"/>
    <mergeCell ref="B2:C5"/>
    <mergeCell ref="B77:C80"/>
    <mergeCell ref="B27:C30"/>
    <mergeCell ref="I2:J5"/>
    <mergeCell ref="P27:Q30"/>
    <mergeCell ref="P2:Q5"/>
  </mergeCells>
  <conditionalFormatting sqref="F82:G99 F32:G49 F57:G74 M32:N49 M57:N74 T32:U49 M7:N24 F7:G24 T7:U24">
    <cfRule type="cellIs" dxfId="5" priority="40" stopIfTrue="1" operator="lessThan">
      <formula>0</formula>
    </cfRule>
    <cfRule type="cellIs" dxfId="4" priority="41" stopIfTrue="1" operator="greaterThan">
      <formula>0</formula>
    </cfRule>
    <cfRule type="cellIs" dxfId="3" priority="42" stopIfTrue="1" operator="equal">
      <formula>0</formula>
    </cfRule>
  </conditionalFormatting>
  <conditionalFormatting sqref="M82:N99">
    <cfRule type="cellIs" dxfId="2" priority="13" stopIfTrue="1" operator="lessThan">
      <formula>0</formula>
    </cfRule>
    <cfRule type="cellIs" dxfId="1" priority="14" stopIfTrue="1" operator="greaterThan">
      <formula>0</formula>
    </cfRule>
    <cfRule type="cellIs" dxfId="0" priority="15" stopIfTrue="1" operator="equal">
      <formula>0</formula>
    </cfRule>
  </conditionalFormatting>
  <pageMargins left="0.75" right="0.75" top="1" bottom="1" header="0.5" footer="0.5"/>
  <pageSetup paperSize="9" orientation="portrait" verticalDpi="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O110"/>
  <sheetViews>
    <sheetView zoomScale="75" workbookViewId="0"/>
  </sheetViews>
  <sheetFormatPr defaultRowHeight="12.75"/>
  <cols>
    <col min="1" max="1" width="3.5703125" style="20" customWidth="1"/>
    <col min="2" max="2" width="3.42578125" style="15" customWidth="1"/>
    <col min="3" max="3" width="37.7109375" style="15" bestFit="1" customWidth="1"/>
    <col min="4" max="7" width="11.5703125" style="30" customWidth="1"/>
    <col min="8" max="8" width="2.7109375" style="15" customWidth="1"/>
    <col min="9" max="9" width="3" style="15" customWidth="1"/>
    <col min="10" max="10" width="3.42578125" style="15" customWidth="1"/>
    <col min="11" max="11" width="32.85546875" style="15" customWidth="1"/>
    <col min="12" max="15" width="11.5703125" style="30" customWidth="1"/>
    <col min="16" max="16" width="3.140625" style="15" customWidth="1"/>
    <col min="17" max="17" width="2.5703125" style="15" customWidth="1"/>
    <col min="18" max="18" width="3.42578125" style="15" customWidth="1"/>
    <col min="19" max="19" width="33.42578125" style="15" customWidth="1"/>
    <col min="20" max="23" width="11.5703125" style="30" customWidth="1"/>
    <col min="24" max="24" width="3" style="15" customWidth="1"/>
    <col min="25" max="25" width="4.42578125" style="20" customWidth="1"/>
    <col min="26" max="39" width="9.140625" style="88"/>
    <col min="40" max="16384" width="9.140625" style="15"/>
  </cols>
  <sheetData>
    <row r="1" spans="1:41" s="20" customFormat="1" ht="13.5" thickBot="1">
      <c r="D1" s="7"/>
      <c r="E1" s="7"/>
      <c r="F1" s="7"/>
      <c r="G1" s="7"/>
      <c r="L1" s="7"/>
      <c r="M1" s="7"/>
      <c r="N1" s="7"/>
      <c r="O1" s="7"/>
      <c r="T1" s="7"/>
      <c r="U1" s="7"/>
      <c r="V1" s="7"/>
      <c r="W1" s="7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4"/>
      <c r="AO1" s="94"/>
    </row>
    <row r="2" spans="1:41" s="8" customFormat="1" ht="12.75" customHeight="1">
      <c r="A2" s="20"/>
      <c r="B2" s="179" t="s">
        <v>93</v>
      </c>
      <c r="C2" s="180"/>
      <c r="D2" s="95"/>
      <c r="E2" s="96"/>
      <c r="F2" s="96"/>
      <c r="G2" s="97"/>
      <c r="H2" s="20"/>
      <c r="I2" s="20"/>
      <c r="J2" s="179" t="s">
        <v>94</v>
      </c>
      <c r="K2" s="180"/>
      <c r="L2" s="96"/>
      <c r="M2" s="96"/>
      <c r="N2" s="96"/>
      <c r="O2" s="97"/>
      <c r="P2" s="20"/>
      <c r="Q2" s="20"/>
      <c r="R2" s="179" t="s">
        <v>95</v>
      </c>
      <c r="S2" s="180"/>
      <c r="T2" s="96"/>
      <c r="U2" s="96"/>
      <c r="V2" s="96"/>
      <c r="W2" s="97"/>
      <c r="X2" s="20"/>
      <c r="Y2" s="20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</row>
    <row r="3" spans="1:41" s="8" customFormat="1" ht="12.75" customHeight="1">
      <c r="A3" s="20"/>
      <c r="B3" s="181"/>
      <c r="C3" s="182"/>
      <c r="D3" s="98"/>
      <c r="E3" s="99"/>
      <c r="F3" s="99"/>
      <c r="G3" s="100"/>
      <c r="H3" s="20"/>
      <c r="I3" s="20"/>
      <c r="J3" s="181"/>
      <c r="K3" s="182"/>
      <c r="L3" s="99"/>
      <c r="M3" s="99"/>
      <c r="N3" s="99"/>
      <c r="O3" s="100"/>
      <c r="P3" s="20"/>
      <c r="Q3" s="20"/>
      <c r="R3" s="181"/>
      <c r="S3" s="182"/>
      <c r="T3" s="99"/>
      <c r="U3" s="99"/>
      <c r="V3" s="99"/>
      <c r="W3" s="100"/>
      <c r="X3" s="20"/>
      <c r="Y3" s="20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</row>
    <row r="4" spans="1:41" s="8" customFormat="1" ht="12.75" customHeight="1" thickBot="1">
      <c r="A4" s="20"/>
      <c r="B4" s="181"/>
      <c r="C4" s="182"/>
      <c r="D4" s="99"/>
      <c r="E4" s="99"/>
      <c r="F4" s="99"/>
      <c r="G4" s="100"/>
      <c r="H4" s="20"/>
      <c r="I4" s="20"/>
      <c r="J4" s="181"/>
      <c r="K4" s="182"/>
      <c r="L4" s="99"/>
      <c r="M4" s="99"/>
      <c r="N4" s="99"/>
      <c r="O4" s="100"/>
      <c r="P4" s="20"/>
      <c r="Q4" s="20"/>
      <c r="R4" s="181"/>
      <c r="S4" s="182"/>
      <c r="T4" s="99"/>
      <c r="U4" s="99"/>
      <c r="V4" s="99"/>
      <c r="W4" s="100"/>
      <c r="X4" s="20"/>
      <c r="Y4" s="20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</row>
    <row r="5" spans="1:41" s="8" customFormat="1" ht="12.75" customHeight="1" thickBot="1">
      <c r="A5" s="20"/>
      <c r="B5" s="101"/>
      <c r="C5" s="102"/>
      <c r="D5" s="103" t="s">
        <v>51</v>
      </c>
      <c r="E5" s="104" t="s">
        <v>48</v>
      </c>
      <c r="F5" s="105" t="s">
        <v>52</v>
      </c>
      <c r="G5" s="106" t="s">
        <v>53</v>
      </c>
      <c r="H5" s="20"/>
      <c r="I5" s="20"/>
      <c r="J5" s="101"/>
      <c r="K5" s="102"/>
      <c r="L5" s="103" t="s">
        <v>51</v>
      </c>
      <c r="M5" s="104" t="s">
        <v>48</v>
      </c>
      <c r="N5" s="105" t="s">
        <v>52</v>
      </c>
      <c r="O5" s="106" t="s">
        <v>53</v>
      </c>
      <c r="P5" s="20"/>
      <c r="Q5" s="20"/>
      <c r="R5" s="101"/>
      <c r="S5" s="102"/>
      <c r="T5" s="103" t="s">
        <v>51</v>
      </c>
      <c r="U5" s="104" t="s">
        <v>48</v>
      </c>
      <c r="V5" s="105" t="s">
        <v>52</v>
      </c>
      <c r="W5" s="106" t="s">
        <v>53</v>
      </c>
      <c r="X5" s="20"/>
      <c r="Y5" s="20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</row>
    <row r="6" spans="1:41" s="8" customFormat="1" ht="12.75" customHeight="1">
      <c r="A6" s="20"/>
      <c r="B6" s="160" t="s">
        <v>69</v>
      </c>
      <c r="C6" s="39" t="s">
        <v>73</v>
      </c>
      <c r="D6" s="71"/>
      <c r="E6" s="50">
        <f>2*Materials!$E$5+4*Materials!$E$10+2*Materials!$E$11+2*Materials!$E$14+1*Materials!$J$8</f>
        <v>400</v>
      </c>
      <c r="F6" s="4">
        <f>(D6-E6)-(D6)*0.03</f>
        <v>-400</v>
      </c>
      <c r="G6" s="33">
        <f>IF(E6&gt;0,F6/E6,"N/A")</f>
        <v>-1</v>
      </c>
      <c r="H6" s="20"/>
      <c r="I6" s="20"/>
      <c r="J6" s="160" t="s">
        <v>83</v>
      </c>
      <c r="K6" s="39" t="s">
        <v>73</v>
      </c>
      <c r="L6" s="71"/>
      <c r="M6" s="50">
        <f>2*Materials!$E$5+4*Materials!$E$10+2*Materials!$E$11+2*Materials!$E$14+1*Materials!$J$8</f>
        <v>400</v>
      </c>
      <c r="N6" s="4">
        <f>(L6-M6)-(L6)*0.03</f>
        <v>-400</v>
      </c>
      <c r="O6" s="33">
        <f>IF(M6&gt;0,N6/M6,"N/A")</f>
        <v>-1</v>
      </c>
      <c r="P6" s="20"/>
      <c r="Q6" s="20"/>
      <c r="R6" s="160" t="s">
        <v>88</v>
      </c>
      <c r="S6" s="39" t="s">
        <v>73</v>
      </c>
      <c r="T6" s="71"/>
      <c r="U6" s="50">
        <f>2*Materials!$E$5+4*Materials!$E$10+2*Materials!$E$11+2*Materials!$E$14+1*Materials!$J$8</f>
        <v>400</v>
      </c>
      <c r="V6" s="4">
        <f>(T6-U6)-(T6)*0.03</f>
        <v>-400</v>
      </c>
      <c r="W6" s="33">
        <f>IF(U6&gt;0,V6/U6,"N/A")</f>
        <v>-1</v>
      </c>
      <c r="X6" s="20"/>
      <c r="Y6" s="20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</row>
    <row r="7" spans="1:41" s="8" customFormat="1">
      <c r="A7" s="20"/>
      <c r="B7" s="155"/>
      <c r="C7" s="40" t="s">
        <v>74</v>
      </c>
      <c r="D7" s="72"/>
      <c r="E7" s="51">
        <f>2*Materials!$E$10+4*Materials!$E$11+2*Materials!$E$12+2*Materials!$E$14+1*Materials!$J$8</f>
        <v>400</v>
      </c>
      <c r="F7" s="1">
        <f>(D7-E7)-(D7)*0.03</f>
        <v>-400</v>
      </c>
      <c r="G7" s="34">
        <f t="shared" ref="G7:G13" si="0">IF(E7&gt;0,F7/E7,"N/A")</f>
        <v>-1</v>
      </c>
      <c r="H7" s="20"/>
      <c r="I7" s="20"/>
      <c r="J7" s="155"/>
      <c r="K7" s="40" t="s">
        <v>74</v>
      </c>
      <c r="L7" s="72"/>
      <c r="M7" s="51">
        <f>2*Materials!$E$10+4*Materials!$E$11+2*Materials!$E$12+2*Materials!$E$14+1*Materials!$J$8</f>
        <v>400</v>
      </c>
      <c r="N7" s="1">
        <f>(L7-M7)-(L7)*0.03</f>
        <v>-400</v>
      </c>
      <c r="O7" s="34">
        <f t="shared" ref="O7:O13" si="1">IF(M7&gt;0,N7/M7,"N/A")</f>
        <v>-1</v>
      </c>
      <c r="P7" s="20"/>
      <c r="Q7" s="20"/>
      <c r="R7" s="155"/>
      <c r="S7" s="40" t="s">
        <v>74</v>
      </c>
      <c r="T7" s="72"/>
      <c r="U7" s="51">
        <f>2*Materials!$E$10+4*Materials!$E$11+2*Materials!$E$12+2*Materials!$E$14+1*Materials!$J$8</f>
        <v>400</v>
      </c>
      <c r="V7" s="1">
        <f>(T7-U7)-(T7)*0.03</f>
        <v>-400</v>
      </c>
      <c r="W7" s="34">
        <f t="shared" ref="W7:W13" si="2">IF(U7&gt;0,V7/U7,"N/A")</f>
        <v>-1</v>
      </c>
      <c r="X7" s="20"/>
      <c r="Y7" s="20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</row>
    <row r="8" spans="1:41" s="8" customFormat="1">
      <c r="A8" s="20"/>
      <c r="B8" s="155"/>
      <c r="C8" s="40" t="s">
        <v>75</v>
      </c>
      <c r="D8" s="72"/>
      <c r="E8" s="51">
        <f>2*Materials!$E$5+4*Materials!$E$10+2*Materials!$E$11+2*Materials!$E$14+1*Materials!$J$8</f>
        <v>400</v>
      </c>
      <c r="F8" s="1">
        <f t="shared" ref="F8:F15" si="3">(D8-E8)-(D8)*0.03</f>
        <v>-400</v>
      </c>
      <c r="G8" s="34">
        <f t="shared" si="0"/>
        <v>-1</v>
      </c>
      <c r="H8" s="20"/>
      <c r="I8" s="20"/>
      <c r="J8" s="155"/>
      <c r="K8" s="40" t="s">
        <v>75</v>
      </c>
      <c r="L8" s="72"/>
      <c r="M8" s="51">
        <f>2*Materials!$E$5+4*Materials!$E$10+2*Materials!$E$11+2*Materials!$E$14+1*Materials!$J$8</f>
        <v>400</v>
      </c>
      <c r="N8" s="1">
        <f t="shared" ref="N8:N15" si="4">(L8-M8)-(L8)*0.03</f>
        <v>-400</v>
      </c>
      <c r="O8" s="34">
        <f t="shared" si="1"/>
        <v>-1</v>
      </c>
      <c r="P8" s="20"/>
      <c r="Q8" s="20"/>
      <c r="R8" s="155"/>
      <c r="S8" s="40" t="s">
        <v>75</v>
      </c>
      <c r="T8" s="72"/>
      <c r="U8" s="51">
        <f>2*Materials!$E$5+4*Materials!$E$10+2*Materials!$E$11+2*Materials!$E$14+1*Materials!$J$8</f>
        <v>400</v>
      </c>
      <c r="V8" s="1">
        <f t="shared" ref="V8:V15" si="5">(T8-U8)-(T8)*0.03</f>
        <v>-400</v>
      </c>
      <c r="W8" s="34">
        <f t="shared" si="2"/>
        <v>-1</v>
      </c>
      <c r="X8" s="20"/>
      <c r="Y8" s="20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</row>
    <row r="9" spans="1:41" s="8" customFormat="1">
      <c r="A9" s="20"/>
      <c r="B9" s="155"/>
      <c r="C9" s="40" t="s">
        <v>76</v>
      </c>
      <c r="D9" s="72"/>
      <c r="E9" s="51">
        <f>2*Materials!$E$10+4*Materials!$E$11+2*Materials!$E$12+2*Materials!$E$14+1*Materials!$J$8</f>
        <v>400</v>
      </c>
      <c r="F9" s="1">
        <f t="shared" ref="F9:F11" si="6">(D9-E9)-(D9)*0.03</f>
        <v>-400</v>
      </c>
      <c r="G9" s="34">
        <f t="shared" ref="G9:G10" si="7">IF(E9&gt;0,F9/E9,"N/A")</f>
        <v>-1</v>
      </c>
      <c r="H9" s="20"/>
      <c r="I9" s="20"/>
      <c r="J9" s="155"/>
      <c r="K9" s="40" t="s">
        <v>76</v>
      </c>
      <c r="L9" s="72"/>
      <c r="M9" s="51">
        <f>2*Materials!$E$10+4*Materials!$E$11+2*Materials!$E$12+2*Materials!$E$14+1*Materials!$J$8</f>
        <v>400</v>
      </c>
      <c r="N9" s="1">
        <f t="shared" si="4"/>
        <v>-400</v>
      </c>
      <c r="O9" s="34">
        <f t="shared" si="1"/>
        <v>-1</v>
      </c>
      <c r="P9" s="20"/>
      <c r="Q9" s="20"/>
      <c r="R9" s="155"/>
      <c r="S9" s="40" t="s">
        <v>76</v>
      </c>
      <c r="T9" s="72"/>
      <c r="U9" s="51">
        <f>2*Materials!$E$10+4*Materials!$E$11+2*Materials!$E$12+2*Materials!$E$14+1*Materials!$J$8</f>
        <v>400</v>
      </c>
      <c r="V9" s="1">
        <f t="shared" si="5"/>
        <v>-400</v>
      </c>
      <c r="W9" s="34">
        <f t="shared" si="2"/>
        <v>-1</v>
      </c>
      <c r="X9" s="20"/>
      <c r="Y9" s="20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</row>
    <row r="10" spans="1:41" s="8" customFormat="1">
      <c r="A10" s="20"/>
      <c r="B10" s="155"/>
      <c r="C10" s="40" t="s">
        <v>77</v>
      </c>
      <c r="D10" s="72"/>
      <c r="E10" s="51">
        <f>2*Materials!$E$5+4*Materials!$E$10+2*Materials!$E$11+2*Materials!$E$14+1*Materials!$J$8</f>
        <v>400</v>
      </c>
      <c r="F10" s="1">
        <f t="shared" si="6"/>
        <v>-400</v>
      </c>
      <c r="G10" s="34">
        <f t="shared" si="7"/>
        <v>-1</v>
      </c>
      <c r="H10" s="20"/>
      <c r="I10" s="20"/>
      <c r="J10" s="155"/>
      <c r="K10" s="40" t="s">
        <v>77</v>
      </c>
      <c r="L10" s="72"/>
      <c r="M10" s="51">
        <f>2*Materials!$E$5+4*Materials!$E$10+2*Materials!$E$11+2*Materials!$E$14+1*Materials!$J$8</f>
        <v>400</v>
      </c>
      <c r="N10" s="1">
        <f t="shared" si="4"/>
        <v>-400</v>
      </c>
      <c r="O10" s="34">
        <f t="shared" si="1"/>
        <v>-1</v>
      </c>
      <c r="P10" s="20"/>
      <c r="Q10" s="20"/>
      <c r="R10" s="155"/>
      <c r="S10" s="40" t="s">
        <v>77</v>
      </c>
      <c r="T10" s="72"/>
      <c r="U10" s="51">
        <f>2*Materials!$E$5+4*Materials!$E$10+2*Materials!$E$11+2*Materials!$E$14+1*Materials!$J$8</f>
        <v>400</v>
      </c>
      <c r="V10" s="1">
        <f t="shared" si="5"/>
        <v>-400</v>
      </c>
      <c r="W10" s="34">
        <f t="shared" si="2"/>
        <v>-1</v>
      </c>
      <c r="X10" s="20"/>
      <c r="Y10" s="20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</row>
    <row r="11" spans="1:41" s="8" customFormat="1">
      <c r="A11" s="20"/>
      <c r="B11" s="155"/>
      <c r="C11" s="40" t="s">
        <v>78</v>
      </c>
      <c r="D11" s="72"/>
      <c r="E11" s="51">
        <f>2*Materials!$E$10+4*Materials!$E$11+2*Materials!$E$12+2*Materials!$E$14+1*Materials!$J$8</f>
        <v>400</v>
      </c>
      <c r="F11" s="1">
        <f t="shared" si="6"/>
        <v>-400</v>
      </c>
      <c r="G11" s="34">
        <f>IF(E11&gt;0,F11/E11,"N/A")</f>
        <v>-1</v>
      </c>
      <c r="H11" s="20"/>
      <c r="I11" s="20"/>
      <c r="J11" s="155"/>
      <c r="K11" s="40" t="s">
        <v>78</v>
      </c>
      <c r="L11" s="72"/>
      <c r="M11" s="51">
        <f>2*Materials!$E$10+4*Materials!$E$11+2*Materials!$E$12+2*Materials!$E$14+1*Materials!$J$8</f>
        <v>400</v>
      </c>
      <c r="N11" s="1">
        <f t="shared" si="4"/>
        <v>-400</v>
      </c>
      <c r="O11" s="34">
        <f>IF(M11&gt;0,N11/M11,"N/A")</f>
        <v>-1</v>
      </c>
      <c r="P11" s="20"/>
      <c r="Q11" s="20"/>
      <c r="R11" s="155"/>
      <c r="S11" s="40" t="s">
        <v>78</v>
      </c>
      <c r="T11" s="72"/>
      <c r="U11" s="51">
        <f>2*Materials!$E$10+4*Materials!$E$11+2*Materials!$E$12+2*Materials!$E$14+1*Materials!$J$8</f>
        <v>400</v>
      </c>
      <c r="V11" s="1">
        <f t="shared" si="5"/>
        <v>-400</v>
      </c>
      <c r="W11" s="34">
        <f>IF(U11&gt;0,V11/U11,"N/A")</f>
        <v>-1</v>
      </c>
      <c r="X11" s="20"/>
      <c r="Y11" s="20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</row>
    <row r="12" spans="1:41" s="8" customFormat="1">
      <c r="A12" s="20"/>
      <c r="B12" s="155"/>
      <c r="C12" s="40" t="s">
        <v>79</v>
      </c>
      <c r="D12" s="72"/>
      <c r="E12" s="51">
        <f>2*Materials!$E$10+4*Materials!$E$11+2*Materials!$E$12+2*Materials!$E$14+1*Materials!$J$8</f>
        <v>400</v>
      </c>
      <c r="F12" s="1">
        <f t="shared" si="3"/>
        <v>-400</v>
      </c>
      <c r="G12" s="34">
        <f t="shared" si="0"/>
        <v>-1</v>
      </c>
      <c r="H12" s="20"/>
      <c r="I12" s="20"/>
      <c r="J12" s="155"/>
      <c r="K12" s="40" t="s">
        <v>79</v>
      </c>
      <c r="L12" s="72"/>
      <c r="M12" s="51">
        <f>2*Materials!$E$10+4*Materials!$E$11+2*Materials!$E$12+2*Materials!$E$14+1*Materials!$J$8</f>
        <v>400</v>
      </c>
      <c r="N12" s="1">
        <f t="shared" si="4"/>
        <v>-400</v>
      </c>
      <c r="O12" s="34">
        <f t="shared" si="1"/>
        <v>-1</v>
      </c>
      <c r="P12" s="20"/>
      <c r="Q12" s="20"/>
      <c r="R12" s="155"/>
      <c r="S12" s="40" t="s">
        <v>79</v>
      </c>
      <c r="T12" s="72"/>
      <c r="U12" s="51">
        <f>2*Materials!$E$10+4*Materials!$E$11+2*Materials!$E$12+2*Materials!$E$14+1*Materials!$J$8</f>
        <v>400</v>
      </c>
      <c r="V12" s="1">
        <f t="shared" si="5"/>
        <v>-400</v>
      </c>
      <c r="W12" s="34">
        <f t="shared" si="2"/>
        <v>-1</v>
      </c>
      <c r="X12" s="20"/>
      <c r="Y12" s="20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</row>
    <row r="13" spans="1:41" s="8" customFormat="1">
      <c r="A13" s="20"/>
      <c r="B13" s="155"/>
      <c r="C13" s="40" t="s">
        <v>80</v>
      </c>
      <c r="D13" s="72"/>
      <c r="E13" s="51">
        <f>2*Materials!$E$5+4*Materials!$E$10+2*Materials!$E$11+2*Materials!$E$14+1*Materials!$J$8</f>
        <v>400</v>
      </c>
      <c r="F13" s="1">
        <f t="shared" si="3"/>
        <v>-400</v>
      </c>
      <c r="G13" s="34">
        <f t="shared" si="0"/>
        <v>-1</v>
      </c>
      <c r="H13" s="20"/>
      <c r="I13" s="20"/>
      <c r="J13" s="155"/>
      <c r="K13" s="40" t="s">
        <v>80</v>
      </c>
      <c r="L13" s="72"/>
      <c r="M13" s="51">
        <f>2*Materials!$E$5+4*Materials!$E$10+2*Materials!$E$11+2*Materials!$E$14+1*Materials!$J$8</f>
        <v>400</v>
      </c>
      <c r="N13" s="1">
        <f t="shared" si="4"/>
        <v>-400</v>
      </c>
      <c r="O13" s="34">
        <f t="shared" si="1"/>
        <v>-1</v>
      </c>
      <c r="P13" s="20"/>
      <c r="Q13" s="20"/>
      <c r="R13" s="155"/>
      <c r="S13" s="40" t="s">
        <v>80</v>
      </c>
      <c r="T13" s="72"/>
      <c r="U13" s="51">
        <f>2*Materials!$E$5+4*Materials!$E$10+2*Materials!$E$11+2*Materials!$E$14+1*Materials!$J$8</f>
        <v>400</v>
      </c>
      <c r="V13" s="1">
        <f t="shared" si="5"/>
        <v>-400</v>
      </c>
      <c r="W13" s="34">
        <f t="shared" si="2"/>
        <v>-1</v>
      </c>
      <c r="X13" s="20"/>
      <c r="Y13" s="20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</row>
    <row r="14" spans="1:41" s="8" customFormat="1">
      <c r="A14" s="20"/>
      <c r="B14" s="155"/>
      <c r="C14" s="40" t="s">
        <v>81</v>
      </c>
      <c r="D14" s="72"/>
      <c r="E14" s="51">
        <f>2*Materials!$E$10+4*Materials!$E$11+2*Materials!$E$12+2*Materials!$E$14+1*Materials!$J$8</f>
        <v>400</v>
      </c>
      <c r="F14" s="1">
        <f t="shared" si="3"/>
        <v>-400</v>
      </c>
      <c r="G14" s="34">
        <f>IF(E14&gt;0,F14/E14,"N/A")</f>
        <v>-1</v>
      </c>
      <c r="H14" s="20"/>
      <c r="I14" s="20"/>
      <c r="J14" s="155"/>
      <c r="K14" s="40" t="s">
        <v>81</v>
      </c>
      <c r="L14" s="72"/>
      <c r="M14" s="51">
        <f>2*Materials!$E$10+4*Materials!$E$11+2*Materials!$E$12+2*Materials!$E$14+1*Materials!$J$8</f>
        <v>400</v>
      </c>
      <c r="N14" s="1">
        <f t="shared" si="4"/>
        <v>-400</v>
      </c>
      <c r="O14" s="34">
        <f>IF(M14&gt;0,N14/M14,"N/A")</f>
        <v>-1</v>
      </c>
      <c r="P14" s="20"/>
      <c r="Q14" s="20"/>
      <c r="R14" s="155"/>
      <c r="S14" s="40" t="s">
        <v>81</v>
      </c>
      <c r="T14" s="72"/>
      <c r="U14" s="51">
        <f>2*Materials!$E$10+4*Materials!$E$11+2*Materials!$E$12+2*Materials!$E$14+1*Materials!$J$8</f>
        <v>400</v>
      </c>
      <c r="V14" s="1">
        <f t="shared" si="5"/>
        <v>-400</v>
      </c>
      <c r="W14" s="34">
        <f>IF(U14&gt;0,V14/U14,"N/A")</f>
        <v>-1</v>
      </c>
      <c r="X14" s="20"/>
      <c r="Y14" s="20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</row>
    <row r="15" spans="1:41" s="8" customFormat="1" ht="13.5" thickBot="1">
      <c r="A15" s="20"/>
      <c r="B15" s="156"/>
      <c r="C15" s="41" t="s">
        <v>82</v>
      </c>
      <c r="D15" s="73"/>
      <c r="E15" s="52">
        <f>2*Materials!$E$5+4*Materials!$E$10+2*Materials!$E$11+2*Materials!$E$14+1*Materials!$J$8</f>
        <v>400</v>
      </c>
      <c r="F15" s="6">
        <f t="shared" si="3"/>
        <v>-400</v>
      </c>
      <c r="G15" s="35">
        <f>IF(E15&gt;0,F15/E15,"N/A")</f>
        <v>-1</v>
      </c>
      <c r="H15" s="20"/>
      <c r="I15" s="20"/>
      <c r="J15" s="156"/>
      <c r="K15" s="41" t="s">
        <v>82</v>
      </c>
      <c r="L15" s="73"/>
      <c r="M15" s="52">
        <f>2*Materials!$E$5+4*Materials!$E$10+2*Materials!$E$11+2*Materials!$E$14+1*Materials!$J$8</f>
        <v>400</v>
      </c>
      <c r="N15" s="6">
        <f t="shared" si="4"/>
        <v>-400</v>
      </c>
      <c r="O15" s="35">
        <f>IF(M15&gt;0,N15/M15,"N/A")</f>
        <v>-1</v>
      </c>
      <c r="P15" s="20"/>
      <c r="Q15" s="20"/>
      <c r="R15" s="156"/>
      <c r="S15" s="41" t="s">
        <v>82</v>
      </c>
      <c r="T15" s="73"/>
      <c r="U15" s="52">
        <f>2*Materials!$E$5+4*Materials!$E$10+2*Materials!$E$11+2*Materials!$E$14+1*Materials!$J$8</f>
        <v>400</v>
      </c>
      <c r="V15" s="6">
        <f t="shared" si="5"/>
        <v>-400</v>
      </c>
      <c r="W15" s="35">
        <f>IF(U15&gt;0,V15/U15,"N/A")</f>
        <v>-1</v>
      </c>
      <c r="X15" s="20"/>
      <c r="Y15" s="20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</row>
    <row r="16" spans="1:41" s="8" customFormat="1" ht="12.75" customHeight="1">
      <c r="A16" s="20"/>
      <c r="B16" s="160" t="s">
        <v>70</v>
      </c>
      <c r="C16" s="39" t="s">
        <v>73</v>
      </c>
      <c r="D16" s="71"/>
      <c r="E16" s="50">
        <f>2*Materials!$E$5+4*Materials!$E$10+2*Materials!$E$11+2*Materials!$E$14+1*Materials!$J$8</f>
        <v>400</v>
      </c>
      <c r="F16" s="4">
        <f>(D16-E16)-(D16)*0.03</f>
        <v>-400</v>
      </c>
      <c r="G16" s="33">
        <f>IF(E16&gt;0,F16/E16,"N/A")</f>
        <v>-1</v>
      </c>
      <c r="H16" s="20"/>
      <c r="I16" s="20"/>
      <c r="J16" s="160" t="s">
        <v>84</v>
      </c>
      <c r="K16" s="39" t="s">
        <v>73</v>
      </c>
      <c r="L16" s="71"/>
      <c r="M16" s="50">
        <f>2*Materials!$E$5+4*Materials!$E$10+2*Materials!$E$11+2*Materials!$E$14+1*Materials!$J$8</f>
        <v>400</v>
      </c>
      <c r="N16" s="4">
        <f>(L16-M16)-(L16)*0.03</f>
        <v>-400</v>
      </c>
      <c r="O16" s="33">
        <f>IF(M16&gt;0,N16/M16,"N/A")</f>
        <v>-1</v>
      </c>
      <c r="P16" s="20"/>
      <c r="Q16" s="20"/>
      <c r="R16" s="160" t="s">
        <v>89</v>
      </c>
      <c r="S16" s="39" t="s">
        <v>73</v>
      </c>
      <c r="T16" s="71"/>
      <c r="U16" s="50">
        <f>2*Materials!$E$5+4*Materials!$E$10+2*Materials!$E$11+2*Materials!$E$14+1*Materials!$J$8</f>
        <v>400</v>
      </c>
      <c r="V16" s="4">
        <f>(T16-U16)-(T16)*0.03</f>
        <v>-400</v>
      </c>
      <c r="W16" s="33">
        <f>IF(U16&gt;0,V16/U16,"N/A")</f>
        <v>-1</v>
      </c>
      <c r="X16" s="20"/>
      <c r="Y16" s="20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</row>
    <row r="17" spans="1:39" s="8" customFormat="1">
      <c r="A17" s="20"/>
      <c r="B17" s="155"/>
      <c r="C17" s="40" t="s">
        <v>74</v>
      </c>
      <c r="D17" s="72"/>
      <c r="E17" s="51">
        <f>2*Materials!$E$10+4*Materials!$E$11+2*Materials!$E$12+2*Materials!$E$14+1*Materials!$J$8</f>
        <v>400</v>
      </c>
      <c r="F17" s="1">
        <f>(D17-E17)-(D17)*0.03</f>
        <v>-400</v>
      </c>
      <c r="G17" s="34">
        <f t="shared" ref="G17:G20" si="8">IF(E17&gt;0,F17/E17,"N/A")</f>
        <v>-1</v>
      </c>
      <c r="H17" s="20"/>
      <c r="I17" s="20"/>
      <c r="J17" s="155"/>
      <c r="K17" s="40" t="s">
        <v>74</v>
      </c>
      <c r="L17" s="72"/>
      <c r="M17" s="51">
        <f>2*Materials!$E$10+4*Materials!$E$11+2*Materials!$E$12+2*Materials!$E$14+1*Materials!$J$8</f>
        <v>400</v>
      </c>
      <c r="N17" s="1">
        <f>(L17-M17)-(L17)*0.03</f>
        <v>-400</v>
      </c>
      <c r="O17" s="34">
        <f t="shared" ref="O17:O20" si="9">IF(M17&gt;0,N17/M17,"N/A")</f>
        <v>-1</v>
      </c>
      <c r="P17" s="20"/>
      <c r="Q17" s="20"/>
      <c r="R17" s="155"/>
      <c r="S17" s="40" t="s">
        <v>74</v>
      </c>
      <c r="T17" s="72"/>
      <c r="U17" s="51">
        <f>2*Materials!$E$10+4*Materials!$E$11+2*Materials!$E$12+2*Materials!$E$14+1*Materials!$J$8</f>
        <v>400</v>
      </c>
      <c r="V17" s="1">
        <f>(T17-U17)-(T17)*0.03</f>
        <v>-400</v>
      </c>
      <c r="W17" s="34">
        <f t="shared" ref="W17:W20" si="10">IF(U17&gt;0,V17/U17,"N/A")</f>
        <v>-1</v>
      </c>
      <c r="X17" s="20"/>
      <c r="Y17" s="20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</row>
    <row r="18" spans="1:39" s="8" customFormat="1">
      <c r="A18" s="20"/>
      <c r="B18" s="155"/>
      <c r="C18" s="40" t="s">
        <v>75</v>
      </c>
      <c r="D18" s="72"/>
      <c r="E18" s="51">
        <f>2*Materials!$E$5+4*Materials!$E$10+2*Materials!$E$11+2*Materials!$E$14+1*Materials!$J$8</f>
        <v>400</v>
      </c>
      <c r="F18" s="1">
        <f t="shared" ref="F18:F25" si="11">(D18-E18)-(D18)*0.03</f>
        <v>-400</v>
      </c>
      <c r="G18" s="34">
        <f t="shared" si="8"/>
        <v>-1</v>
      </c>
      <c r="H18" s="20"/>
      <c r="I18" s="20"/>
      <c r="J18" s="155"/>
      <c r="K18" s="40" t="s">
        <v>75</v>
      </c>
      <c r="L18" s="72"/>
      <c r="M18" s="51">
        <f>2*Materials!$E$5+4*Materials!$E$10+2*Materials!$E$11+2*Materials!$E$14+1*Materials!$J$8</f>
        <v>400</v>
      </c>
      <c r="N18" s="1">
        <f t="shared" ref="N18:N25" si="12">(L18-M18)-(L18)*0.03</f>
        <v>-400</v>
      </c>
      <c r="O18" s="34">
        <f t="shared" si="9"/>
        <v>-1</v>
      </c>
      <c r="P18" s="20"/>
      <c r="Q18" s="20"/>
      <c r="R18" s="155"/>
      <c r="S18" s="40" t="s">
        <v>75</v>
      </c>
      <c r="T18" s="72"/>
      <c r="U18" s="51">
        <f>2*Materials!$E$5+4*Materials!$E$10+2*Materials!$E$11+2*Materials!$E$14+1*Materials!$J$8</f>
        <v>400</v>
      </c>
      <c r="V18" s="1">
        <f t="shared" ref="V18:V25" si="13">(T18-U18)-(T18)*0.03</f>
        <v>-400</v>
      </c>
      <c r="W18" s="34">
        <f t="shared" si="10"/>
        <v>-1</v>
      </c>
      <c r="X18" s="20"/>
      <c r="Y18" s="20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</row>
    <row r="19" spans="1:39" s="8" customFormat="1">
      <c r="A19" s="20"/>
      <c r="B19" s="155"/>
      <c r="C19" s="40" t="s">
        <v>76</v>
      </c>
      <c r="D19" s="72"/>
      <c r="E19" s="51">
        <f>2*Materials!$E$10+4*Materials!$E$11+2*Materials!$E$12+2*Materials!$E$14+1*Materials!$J$8</f>
        <v>400</v>
      </c>
      <c r="F19" s="1">
        <f t="shared" si="11"/>
        <v>-400</v>
      </c>
      <c r="G19" s="34">
        <f t="shared" si="8"/>
        <v>-1</v>
      </c>
      <c r="H19" s="20"/>
      <c r="I19" s="20"/>
      <c r="J19" s="155"/>
      <c r="K19" s="40" t="s">
        <v>76</v>
      </c>
      <c r="L19" s="72"/>
      <c r="M19" s="51">
        <f>2*Materials!$E$10+4*Materials!$E$11+2*Materials!$E$12+2*Materials!$E$14+1*Materials!$J$8</f>
        <v>400</v>
      </c>
      <c r="N19" s="1">
        <f t="shared" si="12"/>
        <v>-400</v>
      </c>
      <c r="O19" s="34">
        <f t="shared" si="9"/>
        <v>-1</v>
      </c>
      <c r="P19" s="20"/>
      <c r="Q19" s="20"/>
      <c r="R19" s="155"/>
      <c r="S19" s="40" t="s">
        <v>76</v>
      </c>
      <c r="T19" s="72"/>
      <c r="U19" s="51">
        <f>2*Materials!$E$10+4*Materials!$E$11+2*Materials!$E$12+2*Materials!$E$14+1*Materials!$J$8</f>
        <v>400</v>
      </c>
      <c r="V19" s="1">
        <f t="shared" si="13"/>
        <v>-400</v>
      </c>
      <c r="W19" s="34">
        <f t="shared" si="10"/>
        <v>-1</v>
      </c>
      <c r="X19" s="20"/>
      <c r="Y19" s="20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</row>
    <row r="20" spans="1:39" s="8" customFormat="1">
      <c r="A20" s="20"/>
      <c r="B20" s="155"/>
      <c r="C20" s="40" t="s">
        <v>77</v>
      </c>
      <c r="D20" s="72"/>
      <c r="E20" s="51">
        <f>2*Materials!$E$5+4*Materials!$E$10+2*Materials!$E$11+2*Materials!$E$14+1*Materials!$J$8</f>
        <v>400</v>
      </c>
      <c r="F20" s="1">
        <f t="shared" si="11"/>
        <v>-400</v>
      </c>
      <c r="G20" s="34">
        <f t="shared" si="8"/>
        <v>-1</v>
      </c>
      <c r="H20" s="20"/>
      <c r="I20" s="20"/>
      <c r="J20" s="155"/>
      <c r="K20" s="40" t="s">
        <v>77</v>
      </c>
      <c r="L20" s="72"/>
      <c r="M20" s="51">
        <f>2*Materials!$E$5+4*Materials!$E$10+2*Materials!$E$11+2*Materials!$E$14+1*Materials!$J$8</f>
        <v>400</v>
      </c>
      <c r="N20" s="1">
        <f t="shared" si="12"/>
        <v>-400</v>
      </c>
      <c r="O20" s="34">
        <f t="shared" si="9"/>
        <v>-1</v>
      </c>
      <c r="P20" s="20"/>
      <c r="Q20" s="20"/>
      <c r="R20" s="155"/>
      <c r="S20" s="40" t="s">
        <v>77</v>
      </c>
      <c r="T20" s="72"/>
      <c r="U20" s="51">
        <f>2*Materials!$E$5+4*Materials!$E$10+2*Materials!$E$11+2*Materials!$E$14+1*Materials!$J$8</f>
        <v>400</v>
      </c>
      <c r="V20" s="1">
        <f t="shared" si="13"/>
        <v>-400</v>
      </c>
      <c r="W20" s="34">
        <f t="shared" si="10"/>
        <v>-1</v>
      </c>
      <c r="X20" s="20"/>
      <c r="Y20" s="20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</row>
    <row r="21" spans="1:39" s="8" customFormat="1">
      <c r="A21" s="20"/>
      <c r="B21" s="155"/>
      <c r="C21" s="40" t="s">
        <v>78</v>
      </c>
      <c r="D21" s="72"/>
      <c r="E21" s="51">
        <f>2*Materials!$E$10+4*Materials!$E$11+2*Materials!$E$12+2*Materials!$E$14+1*Materials!$J$8</f>
        <v>400</v>
      </c>
      <c r="F21" s="1">
        <f t="shared" si="11"/>
        <v>-400</v>
      </c>
      <c r="G21" s="34">
        <f>IF(E21&gt;0,F21/E21,"N/A")</f>
        <v>-1</v>
      </c>
      <c r="H21" s="20"/>
      <c r="I21" s="20"/>
      <c r="J21" s="155"/>
      <c r="K21" s="40" t="s">
        <v>78</v>
      </c>
      <c r="L21" s="72"/>
      <c r="M21" s="51">
        <f>2*Materials!$E$10+4*Materials!$E$11+2*Materials!$E$12+2*Materials!$E$14+1*Materials!$J$8</f>
        <v>400</v>
      </c>
      <c r="N21" s="1">
        <f t="shared" si="12"/>
        <v>-400</v>
      </c>
      <c r="O21" s="34">
        <f>IF(M21&gt;0,N21/M21,"N/A")</f>
        <v>-1</v>
      </c>
      <c r="P21" s="20"/>
      <c r="Q21" s="20"/>
      <c r="R21" s="155"/>
      <c r="S21" s="40" t="s">
        <v>78</v>
      </c>
      <c r="T21" s="72"/>
      <c r="U21" s="51">
        <f>2*Materials!$E$10+4*Materials!$E$11+2*Materials!$E$12+2*Materials!$E$14+1*Materials!$J$8</f>
        <v>400</v>
      </c>
      <c r="V21" s="1">
        <f t="shared" si="13"/>
        <v>-400</v>
      </c>
      <c r="W21" s="34">
        <f>IF(U21&gt;0,V21/U21,"N/A")</f>
        <v>-1</v>
      </c>
      <c r="X21" s="20"/>
      <c r="Y21" s="20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</row>
    <row r="22" spans="1:39" s="8" customFormat="1">
      <c r="A22" s="20"/>
      <c r="B22" s="155"/>
      <c r="C22" s="40" t="s">
        <v>79</v>
      </c>
      <c r="D22" s="72"/>
      <c r="E22" s="51">
        <f>2*Materials!$E$10+4*Materials!$E$11+2*Materials!$E$12+2*Materials!$E$14+1*Materials!$J$8</f>
        <v>400</v>
      </c>
      <c r="F22" s="1">
        <f t="shared" si="11"/>
        <v>-400</v>
      </c>
      <c r="G22" s="34">
        <f t="shared" ref="G22:G23" si="14">IF(E22&gt;0,F22/E22,"N/A")</f>
        <v>-1</v>
      </c>
      <c r="H22" s="20"/>
      <c r="I22" s="20"/>
      <c r="J22" s="155"/>
      <c r="K22" s="40" t="s">
        <v>79</v>
      </c>
      <c r="L22" s="72"/>
      <c r="M22" s="51">
        <f>2*Materials!$E$10+4*Materials!$E$11+2*Materials!$E$12+2*Materials!$E$14+1*Materials!$J$8</f>
        <v>400</v>
      </c>
      <c r="N22" s="1">
        <f t="shared" si="12"/>
        <v>-400</v>
      </c>
      <c r="O22" s="34">
        <f t="shared" ref="O22:O23" si="15">IF(M22&gt;0,N22/M22,"N/A")</f>
        <v>-1</v>
      </c>
      <c r="P22" s="20"/>
      <c r="Q22" s="20"/>
      <c r="R22" s="155"/>
      <c r="S22" s="40" t="s">
        <v>79</v>
      </c>
      <c r="T22" s="72"/>
      <c r="U22" s="51">
        <f>2*Materials!$E$10+4*Materials!$E$11+2*Materials!$E$12+2*Materials!$E$14+1*Materials!$J$8</f>
        <v>400</v>
      </c>
      <c r="V22" s="1">
        <f t="shared" si="13"/>
        <v>-400</v>
      </c>
      <c r="W22" s="34">
        <f t="shared" ref="W22:W23" si="16">IF(U22&gt;0,V22/U22,"N/A")</f>
        <v>-1</v>
      </c>
      <c r="X22" s="20"/>
      <c r="Y22" s="20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</row>
    <row r="23" spans="1:39" s="8" customFormat="1">
      <c r="A23" s="20"/>
      <c r="B23" s="155"/>
      <c r="C23" s="40" t="s">
        <v>80</v>
      </c>
      <c r="D23" s="72"/>
      <c r="E23" s="51">
        <f>2*Materials!$E$5+4*Materials!$E$10+2*Materials!$E$11+2*Materials!$E$14+1*Materials!$J$8</f>
        <v>400</v>
      </c>
      <c r="F23" s="1">
        <f t="shared" si="11"/>
        <v>-400</v>
      </c>
      <c r="G23" s="34">
        <f t="shared" si="14"/>
        <v>-1</v>
      </c>
      <c r="H23" s="20"/>
      <c r="I23" s="20"/>
      <c r="J23" s="155"/>
      <c r="K23" s="40" t="s">
        <v>80</v>
      </c>
      <c r="L23" s="72"/>
      <c r="M23" s="51">
        <f>2*Materials!$E$5+4*Materials!$E$10+2*Materials!$E$11+2*Materials!$E$14+1*Materials!$J$8</f>
        <v>400</v>
      </c>
      <c r="N23" s="1">
        <f t="shared" si="12"/>
        <v>-400</v>
      </c>
      <c r="O23" s="34">
        <f t="shared" si="15"/>
        <v>-1</v>
      </c>
      <c r="P23" s="20"/>
      <c r="Q23" s="20"/>
      <c r="R23" s="155"/>
      <c r="S23" s="40" t="s">
        <v>80</v>
      </c>
      <c r="T23" s="72"/>
      <c r="U23" s="51">
        <f>2*Materials!$E$5+4*Materials!$E$10+2*Materials!$E$11+2*Materials!$E$14+1*Materials!$J$8</f>
        <v>400</v>
      </c>
      <c r="V23" s="1">
        <f t="shared" si="13"/>
        <v>-400</v>
      </c>
      <c r="W23" s="34">
        <f t="shared" si="16"/>
        <v>-1</v>
      </c>
      <c r="X23" s="20"/>
      <c r="Y23" s="20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</row>
    <row r="24" spans="1:39" s="8" customFormat="1">
      <c r="A24" s="20"/>
      <c r="B24" s="155"/>
      <c r="C24" s="40" t="s">
        <v>81</v>
      </c>
      <c r="D24" s="72"/>
      <c r="E24" s="51">
        <f>2*Materials!$E$10+4*Materials!$E$11+2*Materials!$E$12+2*Materials!$E$14+1*Materials!$J$8</f>
        <v>400</v>
      </c>
      <c r="F24" s="1">
        <f t="shared" si="11"/>
        <v>-400</v>
      </c>
      <c r="G24" s="34">
        <f>IF(E24&gt;0,F24/E24,"N/A")</f>
        <v>-1</v>
      </c>
      <c r="H24" s="20"/>
      <c r="I24" s="20"/>
      <c r="J24" s="155"/>
      <c r="K24" s="40" t="s">
        <v>81</v>
      </c>
      <c r="L24" s="72"/>
      <c r="M24" s="51">
        <f>2*Materials!$E$10+4*Materials!$E$11+2*Materials!$E$12+2*Materials!$E$14+1*Materials!$J$8</f>
        <v>400</v>
      </c>
      <c r="N24" s="1">
        <f t="shared" si="12"/>
        <v>-400</v>
      </c>
      <c r="O24" s="34">
        <f>IF(M24&gt;0,N24/M24,"N/A")</f>
        <v>-1</v>
      </c>
      <c r="P24" s="20"/>
      <c r="Q24" s="20"/>
      <c r="R24" s="155"/>
      <c r="S24" s="40" t="s">
        <v>81</v>
      </c>
      <c r="T24" s="72"/>
      <c r="U24" s="51">
        <f>2*Materials!$E$10+4*Materials!$E$11+2*Materials!$E$12+2*Materials!$E$14+1*Materials!$J$8</f>
        <v>400</v>
      </c>
      <c r="V24" s="1">
        <f t="shared" si="13"/>
        <v>-400</v>
      </c>
      <c r="W24" s="34">
        <f>IF(U24&gt;0,V24/U24,"N/A")</f>
        <v>-1</v>
      </c>
      <c r="X24" s="20"/>
      <c r="Y24" s="20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</row>
    <row r="25" spans="1:39" s="8" customFormat="1" ht="13.5" thickBot="1">
      <c r="A25" s="20"/>
      <c r="B25" s="156"/>
      <c r="C25" s="41" t="s">
        <v>82</v>
      </c>
      <c r="D25" s="73"/>
      <c r="E25" s="52">
        <f>2*Materials!$E$5+4*Materials!$E$10+2*Materials!$E$11+2*Materials!$E$14+1*Materials!$J$8</f>
        <v>400</v>
      </c>
      <c r="F25" s="6">
        <f t="shared" si="11"/>
        <v>-400</v>
      </c>
      <c r="G25" s="35">
        <f>IF(E25&gt;0,F25/E25,"N/A")</f>
        <v>-1</v>
      </c>
      <c r="H25" s="20"/>
      <c r="I25" s="20"/>
      <c r="J25" s="156"/>
      <c r="K25" s="41" t="s">
        <v>82</v>
      </c>
      <c r="L25" s="73"/>
      <c r="M25" s="52">
        <f>2*Materials!$E$5+4*Materials!$E$10+2*Materials!$E$11+2*Materials!$E$14+1*Materials!$J$8</f>
        <v>400</v>
      </c>
      <c r="N25" s="6">
        <f t="shared" si="12"/>
        <v>-400</v>
      </c>
      <c r="O25" s="35">
        <f>IF(M25&gt;0,N25/M25,"N/A")</f>
        <v>-1</v>
      </c>
      <c r="P25" s="20"/>
      <c r="Q25" s="20"/>
      <c r="R25" s="156"/>
      <c r="S25" s="41" t="s">
        <v>82</v>
      </c>
      <c r="T25" s="73"/>
      <c r="U25" s="52">
        <f>2*Materials!$E$5+4*Materials!$E$10+2*Materials!$E$11+2*Materials!$E$14+1*Materials!$J$8</f>
        <v>400</v>
      </c>
      <c r="V25" s="6">
        <f t="shared" si="13"/>
        <v>-400</v>
      </c>
      <c r="W25" s="35">
        <f>IF(U25&gt;0,V25/U25,"N/A")</f>
        <v>-1</v>
      </c>
      <c r="X25" s="20"/>
      <c r="Y25" s="20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</row>
    <row r="26" spans="1:39" s="8" customFormat="1" ht="12.75" customHeight="1">
      <c r="A26" s="20"/>
      <c r="B26" s="160" t="s">
        <v>71</v>
      </c>
      <c r="C26" s="39" t="s">
        <v>73</v>
      </c>
      <c r="D26" s="71"/>
      <c r="E26" s="50">
        <f>2*Materials!$E$5+4*Materials!$E$10+2*Materials!$E$11+2*Materials!$E$14+1*Materials!$J$8</f>
        <v>400</v>
      </c>
      <c r="F26" s="4">
        <f>(D26-E26)-(D26)*0.03</f>
        <v>-400</v>
      </c>
      <c r="G26" s="33">
        <f>IF(E26&gt;0,F26/E26,"N/A")</f>
        <v>-1</v>
      </c>
      <c r="H26" s="20"/>
      <c r="I26" s="20"/>
      <c r="J26" s="160" t="s">
        <v>85</v>
      </c>
      <c r="K26" s="39" t="s">
        <v>73</v>
      </c>
      <c r="L26" s="71"/>
      <c r="M26" s="50">
        <f>2*Materials!$E$5+4*Materials!$E$10+2*Materials!$E$11+2*Materials!$E$14+1*Materials!$J$8</f>
        <v>400</v>
      </c>
      <c r="N26" s="4">
        <f>(L26-M26)-(L26)*0.03</f>
        <v>-400</v>
      </c>
      <c r="O26" s="33">
        <f>IF(M26&gt;0,N26/M26,"N/A")</f>
        <v>-1</v>
      </c>
      <c r="P26" s="20"/>
      <c r="Q26" s="20"/>
      <c r="R26" s="160" t="s">
        <v>90</v>
      </c>
      <c r="S26" s="39" t="s">
        <v>73</v>
      </c>
      <c r="T26" s="71"/>
      <c r="U26" s="50">
        <f>2*Materials!$E$5+4*Materials!$E$10+2*Materials!$E$11+2*Materials!$E$14+1*Materials!$J$8</f>
        <v>400</v>
      </c>
      <c r="V26" s="4">
        <f>(T26-U26)-(T26)*0.03</f>
        <v>-400</v>
      </c>
      <c r="W26" s="33">
        <f>IF(U26&gt;0,V26/U26,"N/A")</f>
        <v>-1</v>
      </c>
      <c r="X26" s="20"/>
      <c r="Y26" s="20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</row>
    <row r="27" spans="1:39" s="8" customFormat="1">
      <c r="A27" s="20"/>
      <c r="B27" s="155"/>
      <c r="C27" s="40" t="s">
        <v>74</v>
      </c>
      <c r="D27" s="72"/>
      <c r="E27" s="51">
        <f>2*Materials!$E$10+4*Materials!$E$11+2*Materials!$E$12+2*Materials!$E$14+1*Materials!$J$8</f>
        <v>400</v>
      </c>
      <c r="F27" s="1">
        <f>(D27-E27)-(D27)*0.03</f>
        <v>-400</v>
      </c>
      <c r="G27" s="34">
        <f t="shared" ref="G27:G30" si="17">IF(E27&gt;0,F27/E27,"N/A")</f>
        <v>-1</v>
      </c>
      <c r="H27" s="20"/>
      <c r="I27" s="20"/>
      <c r="J27" s="155"/>
      <c r="K27" s="40" t="s">
        <v>74</v>
      </c>
      <c r="L27" s="72"/>
      <c r="M27" s="51">
        <f>2*Materials!$E$10+4*Materials!$E$11+2*Materials!$E$12+2*Materials!$E$14+1*Materials!$J$8</f>
        <v>400</v>
      </c>
      <c r="N27" s="1">
        <f>(L27-M27)-(L27)*0.03</f>
        <v>-400</v>
      </c>
      <c r="O27" s="34">
        <f t="shared" ref="O27:O30" si="18">IF(M27&gt;0,N27/M27,"N/A")</f>
        <v>-1</v>
      </c>
      <c r="P27" s="20"/>
      <c r="Q27" s="20"/>
      <c r="R27" s="155"/>
      <c r="S27" s="40" t="s">
        <v>74</v>
      </c>
      <c r="T27" s="72"/>
      <c r="U27" s="51">
        <f>2*Materials!$E$10+4*Materials!$E$11+2*Materials!$E$12+2*Materials!$E$14+1*Materials!$J$8</f>
        <v>400</v>
      </c>
      <c r="V27" s="1">
        <f>(T27-U27)-(T27)*0.03</f>
        <v>-400</v>
      </c>
      <c r="W27" s="34">
        <f t="shared" ref="W27:W30" si="19">IF(U27&gt;0,V27/U27,"N/A")</f>
        <v>-1</v>
      </c>
      <c r="X27" s="20"/>
      <c r="Y27" s="20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</row>
    <row r="28" spans="1:39" s="8" customFormat="1">
      <c r="A28" s="20"/>
      <c r="B28" s="155"/>
      <c r="C28" s="40" t="s">
        <v>75</v>
      </c>
      <c r="D28" s="72"/>
      <c r="E28" s="51">
        <f>2*Materials!$E$5+4*Materials!$E$10+2*Materials!$E$11+2*Materials!$E$14+1*Materials!$J$8</f>
        <v>400</v>
      </c>
      <c r="F28" s="1">
        <f t="shared" ref="F28:F35" si="20">(D28-E28)-(D28)*0.03</f>
        <v>-400</v>
      </c>
      <c r="G28" s="34">
        <f t="shared" si="17"/>
        <v>-1</v>
      </c>
      <c r="H28" s="20"/>
      <c r="I28" s="20"/>
      <c r="J28" s="155"/>
      <c r="K28" s="40" t="s">
        <v>75</v>
      </c>
      <c r="L28" s="72"/>
      <c r="M28" s="51">
        <f>2*Materials!$E$5+4*Materials!$E$10+2*Materials!$E$11+2*Materials!$E$14+1*Materials!$J$8</f>
        <v>400</v>
      </c>
      <c r="N28" s="1">
        <f t="shared" ref="N28:N35" si="21">(L28-M28)-(L28)*0.03</f>
        <v>-400</v>
      </c>
      <c r="O28" s="34">
        <f t="shared" si="18"/>
        <v>-1</v>
      </c>
      <c r="P28" s="20"/>
      <c r="Q28" s="20"/>
      <c r="R28" s="155"/>
      <c r="S28" s="40" t="s">
        <v>75</v>
      </c>
      <c r="T28" s="72"/>
      <c r="U28" s="51">
        <f>2*Materials!$E$5+4*Materials!$E$10+2*Materials!$E$11+2*Materials!$E$14+1*Materials!$J$8</f>
        <v>400</v>
      </c>
      <c r="V28" s="1">
        <f t="shared" ref="V28:V35" si="22">(T28-U28)-(T28)*0.03</f>
        <v>-400</v>
      </c>
      <c r="W28" s="34">
        <f t="shared" si="19"/>
        <v>-1</v>
      </c>
      <c r="X28" s="20"/>
      <c r="Y28" s="20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</row>
    <row r="29" spans="1:39" s="8" customFormat="1">
      <c r="A29" s="20"/>
      <c r="B29" s="155"/>
      <c r="C29" s="40" t="s">
        <v>76</v>
      </c>
      <c r="D29" s="72"/>
      <c r="E29" s="51">
        <f>2*Materials!$E$10+4*Materials!$E$11+2*Materials!$E$12+2*Materials!$E$14+1*Materials!$J$8</f>
        <v>400</v>
      </c>
      <c r="F29" s="1">
        <f t="shared" si="20"/>
        <v>-400</v>
      </c>
      <c r="G29" s="34">
        <f t="shared" si="17"/>
        <v>-1</v>
      </c>
      <c r="H29" s="20"/>
      <c r="I29" s="20"/>
      <c r="J29" s="155"/>
      <c r="K29" s="40" t="s">
        <v>76</v>
      </c>
      <c r="L29" s="72"/>
      <c r="M29" s="51">
        <f>2*Materials!$E$10+4*Materials!$E$11+2*Materials!$E$12+2*Materials!$E$14+1*Materials!$J$8</f>
        <v>400</v>
      </c>
      <c r="N29" s="1">
        <f t="shared" si="21"/>
        <v>-400</v>
      </c>
      <c r="O29" s="34">
        <f t="shared" si="18"/>
        <v>-1</v>
      </c>
      <c r="P29" s="20"/>
      <c r="Q29" s="20"/>
      <c r="R29" s="155"/>
      <c r="S29" s="40" t="s">
        <v>76</v>
      </c>
      <c r="T29" s="72"/>
      <c r="U29" s="51">
        <f>2*Materials!$E$10+4*Materials!$E$11+2*Materials!$E$12+2*Materials!$E$14+1*Materials!$J$8</f>
        <v>400</v>
      </c>
      <c r="V29" s="1">
        <f t="shared" si="22"/>
        <v>-400</v>
      </c>
      <c r="W29" s="34">
        <f t="shared" si="19"/>
        <v>-1</v>
      </c>
      <c r="X29" s="20"/>
      <c r="Y29" s="20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</row>
    <row r="30" spans="1:39" s="8" customFormat="1">
      <c r="A30" s="20"/>
      <c r="B30" s="155"/>
      <c r="C30" s="40" t="s">
        <v>77</v>
      </c>
      <c r="D30" s="72"/>
      <c r="E30" s="51">
        <f>2*Materials!$E$5+4*Materials!$E$10+2*Materials!$E$11+2*Materials!$E$14+1*Materials!$J$8</f>
        <v>400</v>
      </c>
      <c r="F30" s="1">
        <f t="shared" si="20"/>
        <v>-400</v>
      </c>
      <c r="G30" s="34">
        <f t="shared" si="17"/>
        <v>-1</v>
      </c>
      <c r="H30" s="20"/>
      <c r="I30" s="20"/>
      <c r="J30" s="155"/>
      <c r="K30" s="40" t="s">
        <v>77</v>
      </c>
      <c r="L30" s="72"/>
      <c r="M30" s="51">
        <f>2*Materials!$E$5+4*Materials!$E$10+2*Materials!$E$11+2*Materials!$E$14+1*Materials!$J$8</f>
        <v>400</v>
      </c>
      <c r="N30" s="1">
        <f t="shared" si="21"/>
        <v>-400</v>
      </c>
      <c r="O30" s="34">
        <f t="shared" si="18"/>
        <v>-1</v>
      </c>
      <c r="P30" s="20"/>
      <c r="Q30" s="20"/>
      <c r="R30" s="155"/>
      <c r="S30" s="40" t="s">
        <v>77</v>
      </c>
      <c r="T30" s="72"/>
      <c r="U30" s="51">
        <f>2*Materials!$E$5+4*Materials!$E$10+2*Materials!$E$11+2*Materials!$E$14+1*Materials!$J$8</f>
        <v>400</v>
      </c>
      <c r="V30" s="1">
        <f t="shared" si="22"/>
        <v>-400</v>
      </c>
      <c r="W30" s="34">
        <f t="shared" si="19"/>
        <v>-1</v>
      </c>
      <c r="X30" s="20"/>
      <c r="Y30" s="20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</row>
    <row r="31" spans="1:39" s="8" customFormat="1">
      <c r="A31" s="20"/>
      <c r="B31" s="155"/>
      <c r="C31" s="40" t="s">
        <v>78</v>
      </c>
      <c r="D31" s="72"/>
      <c r="E31" s="51">
        <f>2*Materials!$E$10+4*Materials!$E$11+2*Materials!$E$12+2*Materials!$E$14+1*Materials!$J$8</f>
        <v>400</v>
      </c>
      <c r="F31" s="1">
        <f t="shared" si="20"/>
        <v>-400</v>
      </c>
      <c r="G31" s="34">
        <f>IF(E31&gt;0,F31/E31,"N/A")</f>
        <v>-1</v>
      </c>
      <c r="H31" s="20"/>
      <c r="I31" s="20"/>
      <c r="J31" s="155"/>
      <c r="K31" s="40" t="s">
        <v>78</v>
      </c>
      <c r="L31" s="72"/>
      <c r="M31" s="51">
        <f>2*Materials!$E$10+4*Materials!$E$11+2*Materials!$E$12+2*Materials!$E$14+1*Materials!$J$8</f>
        <v>400</v>
      </c>
      <c r="N31" s="1">
        <f t="shared" si="21"/>
        <v>-400</v>
      </c>
      <c r="O31" s="34">
        <f>IF(M31&gt;0,N31/M31,"N/A")</f>
        <v>-1</v>
      </c>
      <c r="P31" s="20"/>
      <c r="Q31" s="20"/>
      <c r="R31" s="155"/>
      <c r="S31" s="40" t="s">
        <v>78</v>
      </c>
      <c r="T31" s="72"/>
      <c r="U31" s="51">
        <f>2*Materials!$E$10+4*Materials!$E$11+2*Materials!$E$12+2*Materials!$E$14+1*Materials!$J$8</f>
        <v>400</v>
      </c>
      <c r="V31" s="1">
        <f t="shared" si="22"/>
        <v>-400</v>
      </c>
      <c r="W31" s="34">
        <f>IF(U31&gt;0,V31/U31,"N/A")</f>
        <v>-1</v>
      </c>
      <c r="X31" s="20"/>
      <c r="Y31" s="20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</row>
    <row r="32" spans="1:39" s="8" customFormat="1">
      <c r="A32" s="20"/>
      <c r="B32" s="155"/>
      <c r="C32" s="40" t="s">
        <v>79</v>
      </c>
      <c r="D32" s="72"/>
      <c r="E32" s="51">
        <f>2*Materials!$E$10+4*Materials!$E$11+2*Materials!$E$12+2*Materials!$E$14+1*Materials!$J$8</f>
        <v>400</v>
      </c>
      <c r="F32" s="1">
        <f t="shared" si="20"/>
        <v>-400</v>
      </c>
      <c r="G32" s="34">
        <f t="shared" ref="G32:G33" si="23">IF(E32&gt;0,F32/E32,"N/A")</f>
        <v>-1</v>
      </c>
      <c r="H32" s="20"/>
      <c r="I32" s="20"/>
      <c r="J32" s="155"/>
      <c r="K32" s="40" t="s">
        <v>79</v>
      </c>
      <c r="L32" s="72"/>
      <c r="M32" s="51">
        <f>2*Materials!$E$10+4*Materials!$E$11+2*Materials!$E$12+2*Materials!$E$14+1*Materials!$J$8</f>
        <v>400</v>
      </c>
      <c r="N32" s="1">
        <f t="shared" si="21"/>
        <v>-400</v>
      </c>
      <c r="O32" s="34">
        <f t="shared" ref="O32:O33" si="24">IF(M32&gt;0,N32/M32,"N/A")</f>
        <v>-1</v>
      </c>
      <c r="P32" s="20"/>
      <c r="Q32" s="20"/>
      <c r="R32" s="155"/>
      <c r="S32" s="40" t="s">
        <v>79</v>
      </c>
      <c r="T32" s="72"/>
      <c r="U32" s="51">
        <f>2*Materials!$E$10+4*Materials!$E$11+2*Materials!$E$12+2*Materials!$E$14+1*Materials!$J$8</f>
        <v>400</v>
      </c>
      <c r="V32" s="1">
        <f t="shared" si="22"/>
        <v>-400</v>
      </c>
      <c r="W32" s="34">
        <f t="shared" ref="W32:W33" si="25">IF(U32&gt;0,V32/U32,"N/A")</f>
        <v>-1</v>
      </c>
      <c r="X32" s="20"/>
      <c r="Y32" s="20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</row>
    <row r="33" spans="1:39" s="8" customFormat="1">
      <c r="A33" s="20"/>
      <c r="B33" s="155"/>
      <c r="C33" s="40" t="s">
        <v>80</v>
      </c>
      <c r="D33" s="72"/>
      <c r="E33" s="51">
        <f>2*Materials!$E$5+4*Materials!$E$10+2*Materials!$E$11+2*Materials!$E$14+1*Materials!$J$8</f>
        <v>400</v>
      </c>
      <c r="F33" s="1">
        <f t="shared" si="20"/>
        <v>-400</v>
      </c>
      <c r="G33" s="34">
        <f t="shared" si="23"/>
        <v>-1</v>
      </c>
      <c r="H33" s="20"/>
      <c r="I33" s="20"/>
      <c r="J33" s="155"/>
      <c r="K33" s="40" t="s">
        <v>80</v>
      </c>
      <c r="L33" s="72"/>
      <c r="M33" s="51">
        <f>2*Materials!$E$5+4*Materials!$E$10+2*Materials!$E$11+2*Materials!$E$14+1*Materials!$J$8</f>
        <v>400</v>
      </c>
      <c r="N33" s="1">
        <f t="shared" si="21"/>
        <v>-400</v>
      </c>
      <c r="O33" s="34">
        <f t="shared" si="24"/>
        <v>-1</v>
      </c>
      <c r="P33" s="20"/>
      <c r="Q33" s="20"/>
      <c r="R33" s="155"/>
      <c r="S33" s="40" t="s">
        <v>80</v>
      </c>
      <c r="T33" s="72"/>
      <c r="U33" s="51">
        <f>2*Materials!$E$5+4*Materials!$E$10+2*Materials!$E$11+2*Materials!$E$14+1*Materials!$J$8</f>
        <v>400</v>
      </c>
      <c r="V33" s="1">
        <f t="shared" si="22"/>
        <v>-400</v>
      </c>
      <c r="W33" s="34">
        <f t="shared" si="25"/>
        <v>-1</v>
      </c>
      <c r="X33" s="20"/>
      <c r="Y33" s="20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</row>
    <row r="34" spans="1:39" s="8" customFormat="1">
      <c r="A34" s="20"/>
      <c r="B34" s="155"/>
      <c r="C34" s="40" t="s">
        <v>81</v>
      </c>
      <c r="D34" s="72"/>
      <c r="E34" s="51">
        <f>2*Materials!$E$10+4*Materials!$E$11+2*Materials!$E$12+2*Materials!$E$14+1*Materials!$J$8</f>
        <v>400</v>
      </c>
      <c r="F34" s="1">
        <f t="shared" si="20"/>
        <v>-400</v>
      </c>
      <c r="G34" s="34">
        <f>IF(E34&gt;0,F34/E34,"N/A")</f>
        <v>-1</v>
      </c>
      <c r="H34" s="20"/>
      <c r="I34" s="20"/>
      <c r="J34" s="155"/>
      <c r="K34" s="40" t="s">
        <v>81</v>
      </c>
      <c r="L34" s="72"/>
      <c r="M34" s="51">
        <f>2*Materials!$E$10+4*Materials!$E$11+2*Materials!$E$12+2*Materials!$E$14+1*Materials!$J$8</f>
        <v>400</v>
      </c>
      <c r="N34" s="1">
        <f t="shared" si="21"/>
        <v>-400</v>
      </c>
      <c r="O34" s="34">
        <f>IF(M34&gt;0,N34/M34,"N/A")</f>
        <v>-1</v>
      </c>
      <c r="P34" s="20"/>
      <c r="Q34" s="20"/>
      <c r="R34" s="155"/>
      <c r="S34" s="40" t="s">
        <v>81</v>
      </c>
      <c r="T34" s="72"/>
      <c r="U34" s="51">
        <f>2*Materials!$E$10+4*Materials!$E$11+2*Materials!$E$12+2*Materials!$E$14+1*Materials!$J$8</f>
        <v>400</v>
      </c>
      <c r="V34" s="1">
        <f t="shared" si="22"/>
        <v>-400</v>
      </c>
      <c r="W34" s="34">
        <f>IF(U34&gt;0,V34/U34,"N/A")</f>
        <v>-1</v>
      </c>
      <c r="X34" s="20"/>
      <c r="Y34" s="20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</row>
    <row r="35" spans="1:39" s="8" customFormat="1" ht="13.5" thickBot="1">
      <c r="A35" s="20"/>
      <c r="B35" s="156"/>
      <c r="C35" s="41" t="s">
        <v>82</v>
      </c>
      <c r="D35" s="73"/>
      <c r="E35" s="52">
        <f>2*Materials!$E$5+4*Materials!$E$10+2*Materials!$E$11+2*Materials!$E$14+1*Materials!$J$8</f>
        <v>400</v>
      </c>
      <c r="F35" s="6">
        <f t="shared" si="20"/>
        <v>-400</v>
      </c>
      <c r="G35" s="35">
        <f>IF(E35&gt;0,F35/E35,"N/A")</f>
        <v>-1</v>
      </c>
      <c r="H35" s="20"/>
      <c r="I35" s="20"/>
      <c r="J35" s="156"/>
      <c r="K35" s="41" t="s">
        <v>82</v>
      </c>
      <c r="L35" s="73"/>
      <c r="M35" s="52">
        <f>2*Materials!$E$5+4*Materials!$E$10+2*Materials!$E$11+2*Materials!$E$14+1*Materials!$J$8</f>
        <v>400</v>
      </c>
      <c r="N35" s="6">
        <f t="shared" si="21"/>
        <v>-400</v>
      </c>
      <c r="O35" s="35">
        <f>IF(M35&gt;0,N35/M35,"N/A")</f>
        <v>-1</v>
      </c>
      <c r="P35" s="20"/>
      <c r="Q35" s="20"/>
      <c r="R35" s="156"/>
      <c r="S35" s="41" t="s">
        <v>82</v>
      </c>
      <c r="T35" s="73"/>
      <c r="U35" s="52">
        <f>2*Materials!$E$5+4*Materials!$E$10+2*Materials!$E$11+2*Materials!$E$14+1*Materials!$J$8</f>
        <v>400</v>
      </c>
      <c r="V35" s="6">
        <f t="shared" si="22"/>
        <v>-400</v>
      </c>
      <c r="W35" s="35">
        <f>IF(U35&gt;0,V35/U35,"N/A")</f>
        <v>-1</v>
      </c>
      <c r="X35" s="20"/>
      <c r="Y35" s="20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</row>
    <row r="36" spans="1:39" s="8" customFormat="1" ht="12.75" customHeight="1">
      <c r="A36" s="20"/>
      <c r="B36" s="160" t="s">
        <v>117</v>
      </c>
      <c r="C36" s="39" t="s">
        <v>73</v>
      </c>
      <c r="D36" s="71"/>
      <c r="E36" s="50">
        <f>2*Materials!$E$5+4*Materials!$E$10+2*Materials!$E$11+2*Materials!$E$14+1*Materials!$J$8</f>
        <v>400</v>
      </c>
      <c r="F36" s="4">
        <f>(D36-E36)-(D36)*0.03</f>
        <v>-400</v>
      </c>
      <c r="G36" s="33">
        <f>IF(E36&gt;0,F36/E36,"N/A")</f>
        <v>-1</v>
      </c>
      <c r="H36" s="20"/>
      <c r="I36" s="20"/>
      <c r="J36" s="160" t="s">
        <v>86</v>
      </c>
      <c r="K36" s="39" t="s">
        <v>73</v>
      </c>
      <c r="L36" s="71"/>
      <c r="M36" s="50">
        <f>2*Materials!$E$5+4*Materials!$E$10+2*Materials!$E$11+2*Materials!$E$14+1*Materials!$J$8</f>
        <v>400</v>
      </c>
      <c r="N36" s="4">
        <f>(L36-M36)-(L36)*0.03</f>
        <v>-400</v>
      </c>
      <c r="O36" s="33">
        <f>IF(M36&gt;0,N36/M36,"N/A")</f>
        <v>-1</v>
      </c>
      <c r="P36" s="20"/>
      <c r="Q36" s="20"/>
      <c r="R36" s="160" t="s">
        <v>91</v>
      </c>
      <c r="S36" s="39" t="s">
        <v>73</v>
      </c>
      <c r="T36" s="71"/>
      <c r="U36" s="50">
        <f>2*Materials!$E$5+4*Materials!$E$10+2*Materials!$E$11+2*Materials!$E$14+1*Materials!$J$8</f>
        <v>400</v>
      </c>
      <c r="V36" s="4">
        <f>(T36-U36)-(T36)*0.03</f>
        <v>-400</v>
      </c>
      <c r="W36" s="33">
        <f>IF(U36&gt;0,V36/U36,"N/A")</f>
        <v>-1</v>
      </c>
      <c r="X36" s="20"/>
      <c r="Y36" s="20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</row>
    <row r="37" spans="1:39" s="8" customFormat="1">
      <c r="A37" s="20"/>
      <c r="B37" s="155"/>
      <c r="C37" s="40" t="s">
        <v>74</v>
      </c>
      <c r="D37" s="72"/>
      <c r="E37" s="51">
        <f>2*Materials!$E$10+4*Materials!$E$11+2*Materials!$E$12+2*Materials!$E$14+1*Materials!$J$8</f>
        <v>400</v>
      </c>
      <c r="F37" s="1">
        <f>(D37-E37)-(D37)*0.03</f>
        <v>-400</v>
      </c>
      <c r="G37" s="34">
        <f t="shared" ref="G37:G40" si="26">IF(E37&gt;0,F37/E37,"N/A")</f>
        <v>-1</v>
      </c>
      <c r="H37" s="20"/>
      <c r="I37" s="20"/>
      <c r="J37" s="155"/>
      <c r="K37" s="40" t="s">
        <v>74</v>
      </c>
      <c r="L37" s="72"/>
      <c r="M37" s="51">
        <f>2*Materials!$E$10+4*Materials!$E$11+2*Materials!$E$12+2*Materials!$E$14+1*Materials!$J$8</f>
        <v>400</v>
      </c>
      <c r="N37" s="1">
        <f>(L37-M37)-(L37)*0.03</f>
        <v>-400</v>
      </c>
      <c r="O37" s="34">
        <f t="shared" ref="O37:O40" si="27">IF(M37&gt;0,N37/M37,"N/A")</f>
        <v>-1</v>
      </c>
      <c r="P37" s="20"/>
      <c r="Q37" s="20"/>
      <c r="R37" s="155"/>
      <c r="S37" s="40" t="s">
        <v>74</v>
      </c>
      <c r="T37" s="72"/>
      <c r="U37" s="51">
        <f>2*Materials!$E$10+4*Materials!$E$11+2*Materials!$E$12+2*Materials!$E$14+1*Materials!$J$8</f>
        <v>400</v>
      </c>
      <c r="V37" s="1">
        <f>(T37-U37)-(T37)*0.03</f>
        <v>-400</v>
      </c>
      <c r="W37" s="34">
        <f t="shared" ref="W37:W40" si="28">IF(U37&gt;0,V37/U37,"N/A")</f>
        <v>-1</v>
      </c>
      <c r="X37" s="20"/>
      <c r="Y37" s="20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</row>
    <row r="38" spans="1:39" s="8" customFormat="1">
      <c r="A38" s="20"/>
      <c r="B38" s="155"/>
      <c r="C38" s="40" t="s">
        <v>75</v>
      </c>
      <c r="D38" s="72"/>
      <c r="E38" s="51">
        <f>2*Materials!$E$5+4*Materials!$E$10+2*Materials!$E$11+2*Materials!$E$14+1*Materials!$J$8</f>
        <v>400</v>
      </c>
      <c r="F38" s="1">
        <f t="shared" ref="F38:F45" si="29">(D38-E38)-(D38)*0.03</f>
        <v>-400</v>
      </c>
      <c r="G38" s="34">
        <f t="shared" si="26"/>
        <v>-1</v>
      </c>
      <c r="H38" s="20"/>
      <c r="I38" s="20"/>
      <c r="J38" s="155"/>
      <c r="K38" s="40" t="s">
        <v>75</v>
      </c>
      <c r="L38" s="72"/>
      <c r="M38" s="51">
        <f>2*Materials!$E$5+4*Materials!$E$10+2*Materials!$E$11+2*Materials!$E$14+1*Materials!$J$8</f>
        <v>400</v>
      </c>
      <c r="N38" s="1">
        <f t="shared" ref="N38:N45" si="30">(L38-M38)-(L38)*0.03</f>
        <v>-400</v>
      </c>
      <c r="O38" s="34">
        <f t="shared" si="27"/>
        <v>-1</v>
      </c>
      <c r="P38" s="20"/>
      <c r="Q38" s="20"/>
      <c r="R38" s="155"/>
      <c r="S38" s="40" t="s">
        <v>75</v>
      </c>
      <c r="T38" s="72"/>
      <c r="U38" s="51">
        <f>2*Materials!$E$5+4*Materials!$E$10+2*Materials!$E$11+2*Materials!$E$14+1*Materials!$J$8</f>
        <v>400</v>
      </c>
      <c r="V38" s="1">
        <f t="shared" ref="V38:V45" si="31">(T38-U38)-(T38)*0.03</f>
        <v>-400</v>
      </c>
      <c r="W38" s="34">
        <f t="shared" si="28"/>
        <v>-1</v>
      </c>
      <c r="X38" s="20"/>
      <c r="Y38" s="20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</row>
    <row r="39" spans="1:39" s="8" customFormat="1">
      <c r="A39" s="20"/>
      <c r="B39" s="155"/>
      <c r="C39" s="40" t="s">
        <v>76</v>
      </c>
      <c r="D39" s="72"/>
      <c r="E39" s="51">
        <f>2*Materials!$E$10+4*Materials!$E$11+2*Materials!$E$12+2*Materials!$E$14+1*Materials!$J$8</f>
        <v>400</v>
      </c>
      <c r="F39" s="1">
        <f t="shared" si="29"/>
        <v>-400</v>
      </c>
      <c r="G39" s="34">
        <f t="shared" si="26"/>
        <v>-1</v>
      </c>
      <c r="H39" s="20"/>
      <c r="I39" s="20"/>
      <c r="J39" s="155"/>
      <c r="K39" s="40" t="s">
        <v>76</v>
      </c>
      <c r="L39" s="72"/>
      <c r="M39" s="51">
        <f>2*Materials!$E$10+4*Materials!$E$11+2*Materials!$E$12+2*Materials!$E$14+1*Materials!$J$8</f>
        <v>400</v>
      </c>
      <c r="N39" s="1">
        <f t="shared" si="30"/>
        <v>-400</v>
      </c>
      <c r="O39" s="34">
        <f t="shared" si="27"/>
        <v>-1</v>
      </c>
      <c r="P39" s="20"/>
      <c r="Q39" s="20"/>
      <c r="R39" s="155"/>
      <c r="S39" s="40" t="s">
        <v>76</v>
      </c>
      <c r="T39" s="72"/>
      <c r="U39" s="51">
        <f>2*Materials!$E$10+4*Materials!$E$11+2*Materials!$E$12+2*Materials!$E$14+1*Materials!$J$8</f>
        <v>400</v>
      </c>
      <c r="V39" s="1">
        <f t="shared" si="31"/>
        <v>-400</v>
      </c>
      <c r="W39" s="34">
        <f t="shared" si="28"/>
        <v>-1</v>
      </c>
      <c r="X39" s="20"/>
      <c r="Y39" s="20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</row>
    <row r="40" spans="1:39" s="8" customFormat="1">
      <c r="A40" s="20"/>
      <c r="B40" s="155"/>
      <c r="C40" s="40" t="s">
        <v>77</v>
      </c>
      <c r="D40" s="72"/>
      <c r="E40" s="51">
        <f>2*Materials!$E$5+4*Materials!$E$10+2*Materials!$E$11+2*Materials!$E$14+1*Materials!$J$8</f>
        <v>400</v>
      </c>
      <c r="F40" s="1">
        <f t="shared" si="29"/>
        <v>-400</v>
      </c>
      <c r="G40" s="34">
        <f t="shared" si="26"/>
        <v>-1</v>
      </c>
      <c r="H40" s="20"/>
      <c r="I40" s="20"/>
      <c r="J40" s="155"/>
      <c r="K40" s="40" t="s">
        <v>77</v>
      </c>
      <c r="L40" s="72"/>
      <c r="M40" s="51">
        <f>2*Materials!$E$5+4*Materials!$E$10+2*Materials!$E$11+2*Materials!$E$14+1*Materials!$J$8</f>
        <v>400</v>
      </c>
      <c r="N40" s="1">
        <f t="shared" si="30"/>
        <v>-400</v>
      </c>
      <c r="O40" s="34">
        <f t="shared" si="27"/>
        <v>-1</v>
      </c>
      <c r="P40" s="20"/>
      <c r="Q40" s="20"/>
      <c r="R40" s="155"/>
      <c r="S40" s="40" t="s">
        <v>77</v>
      </c>
      <c r="T40" s="72"/>
      <c r="U40" s="51">
        <f>2*Materials!$E$5+4*Materials!$E$10+2*Materials!$E$11+2*Materials!$E$14+1*Materials!$J$8</f>
        <v>400</v>
      </c>
      <c r="V40" s="1">
        <f t="shared" si="31"/>
        <v>-400</v>
      </c>
      <c r="W40" s="34">
        <f t="shared" si="28"/>
        <v>-1</v>
      </c>
      <c r="X40" s="20"/>
      <c r="Y40" s="20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</row>
    <row r="41" spans="1:39" s="8" customFormat="1">
      <c r="A41" s="20"/>
      <c r="B41" s="155"/>
      <c r="C41" s="40" t="s">
        <v>78</v>
      </c>
      <c r="D41" s="72"/>
      <c r="E41" s="51">
        <f>2*Materials!$E$10+4*Materials!$E$11+2*Materials!$E$12+2*Materials!$E$14+1*Materials!$J$8</f>
        <v>400</v>
      </c>
      <c r="F41" s="1">
        <f t="shared" si="29"/>
        <v>-400</v>
      </c>
      <c r="G41" s="34">
        <f>IF(E41&gt;0,F41/E41,"N/A")</f>
        <v>-1</v>
      </c>
      <c r="H41" s="20"/>
      <c r="I41" s="20"/>
      <c r="J41" s="155"/>
      <c r="K41" s="40" t="s">
        <v>78</v>
      </c>
      <c r="L41" s="72"/>
      <c r="M41" s="51">
        <f>2*Materials!$E$10+4*Materials!$E$11+2*Materials!$E$12+2*Materials!$E$14+1*Materials!$J$8</f>
        <v>400</v>
      </c>
      <c r="N41" s="1">
        <f t="shared" si="30"/>
        <v>-400</v>
      </c>
      <c r="O41" s="34">
        <f>IF(M41&gt;0,N41/M41,"N/A")</f>
        <v>-1</v>
      </c>
      <c r="P41" s="20"/>
      <c r="Q41" s="20"/>
      <c r="R41" s="155"/>
      <c r="S41" s="40" t="s">
        <v>78</v>
      </c>
      <c r="T41" s="72"/>
      <c r="U41" s="51">
        <f>2*Materials!$E$10+4*Materials!$E$11+2*Materials!$E$12+2*Materials!$E$14+1*Materials!$J$8</f>
        <v>400</v>
      </c>
      <c r="V41" s="1">
        <f t="shared" si="31"/>
        <v>-400</v>
      </c>
      <c r="W41" s="34">
        <f>IF(U41&gt;0,V41/U41,"N/A")</f>
        <v>-1</v>
      </c>
      <c r="X41" s="20"/>
      <c r="Y41" s="20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</row>
    <row r="42" spans="1:39" s="8" customFormat="1">
      <c r="A42" s="20"/>
      <c r="B42" s="155"/>
      <c r="C42" s="40" t="s">
        <v>79</v>
      </c>
      <c r="D42" s="72"/>
      <c r="E42" s="51">
        <f>2*Materials!$E$10+4*Materials!$E$11+2*Materials!$E$12+2*Materials!$E$14+1*Materials!$J$8</f>
        <v>400</v>
      </c>
      <c r="F42" s="1">
        <f t="shared" si="29"/>
        <v>-400</v>
      </c>
      <c r="G42" s="34">
        <f t="shared" ref="G42:G43" si="32">IF(E42&gt;0,F42/E42,"N/A")</f>
        <v>-1</v>
      </c>
      <c r="H42" s="20"/>
      <c r="I42" s="20"/>
      <c r="J42" s="155"/>
      <c r="K42" s="40" t="s">
        <v>79</v>
      </c>
      <c r="L42" s="72"/>
      <c r="M42" s="51">
        <f>2*Materials!$E$10+4*Materials!$E$11+2*Materials!$E$12+2*Materials!$E$14+1*Materials!$J$8</f>
        <v>400</v>
      </c>
      <c r="N42" s="1">
        <f t="shared" si="30"/>
        <v>-400</v>
      </c>
      <c r="O42" s="34">
        <f t="shared" ref="O42:O43" si="33">IF(M42&gt;0,N42/M42,"N/A")</f>
        <v>-1</v>
      </c>
      <c r="P42" s="20"/>
      <c r="Q42" s="20"/>
      <c r="R42" s="155"/>
      <c r="S42" s="40" t="s">
        <v>79</v>
      </c>
      <c r="T42" s="72"/>
      <c r="U42" s="51">
        <f>2*Materials!$E$10+4*Materials!$E$11+2*Materials!$E$12+2*Materials!$E$14+1*Materials!$J$8</f>
        <v>400</v>
      </c>
      <c r="V42" s="1">
        <f t="shared" si="31"/>
        <v>-400</v>
      </c>
      <c r="W42" s="34">
        <f t="shared" ref="W42:W43" si="34">IF(U42&gt;0,V42/U42,"N/A")</f>
        <v>-1</v>
      </c>
      <c r="X42" s="20"/>
      <c r="Y42" s="20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</row>
    <row r="43" spans="1:39" s="8" customFormat="1">
      <c r="A43" s="20"/>
      <c r="B43" s="155"/>
      <c r="C43" s="40" t="s">
        <v>80</v>
      </c>
      <c r="D43" s="72"/>
      <c r="E43" s="51">
        <f>2*Materials!$E$5+4*Materials!$E$10+2*Materials!$E$11+2*Materials!$E$14+1*Materials!$J$8</f>
        <v>400</v>
      </c>
      <c r="F43" s="1">
        <f t="shared" si="29"/>
        <v>-400</v>
      </c>
      <c r="G43" s="34">
        <f t="shared" si="32"/>
        <v>-1</v>
      </c>
      <c r="H43" s="20"/>
      <c r="I43" s="20"/>
      <c r="J43" s="155"/>
      <c r="K43" s="40" t="s">
        <v>80</v>
      </c>
      <c r="L43" s="72"/>
      <c r="M43" s="51">
        <f>2*Materials!$E$5+4*Materials!$E$10+2*Materials!$E$11+2*Materials!$E$14+1*Materials!$J$8</f>
        <v>400</v>
      </c>
      <c r="N43" s="1">
        <f t="shared" si="30"/>
        <v>-400</v>
      </c>
      <c r="O43" s="34">
        <f t="shared" si="33"/>
        <v>-1</v>
      </c>
      <c r="P43" s="20"/>
      <c r="Q43" s="20"/>
      <c r="R43" s="155"/>
      <c r="S43" s="40" t="s">
        <v>80</v>
      </c>
      <c r="T43" s="72"/>
      <c r="U43" s="51">
        <f>2*Materials!$E$5+4*Materials!$E$10+2*Materials!$E$11+2*Materials!$E$14+1*Materials!$J$8</f>
        <v>400</v>
      </c>
      <c r="V43" s="1">
        <f t="shared" si="31"/>
        <v>-400</v>
      </c>
      <c r="W43" s="34">
        <f t="shared" si="34"/>
        <v>-1</v>
      </c>
      <c r="X43" s="20"/>
      <c r="Y43" s="20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</row>
    <row r="44" spans="1:39" s="8" customFormat="1">
      <c r="A44" s="20"/>
      <c r="B44" s="155"/>
      <c r="C44" s="40" t="s">
        <v>81</v>
      </c>
      <c r="D44" s="72"/>
      <c r="E44" s="51">
        <f>2*Materials!$E$10+4*Materials!$E$11+2*Materials!$E$12+2*Materials!$E$14+1*Materials!$J$8</f>
        <v>400</v>
      </c>
      <c r="F44" s="1">
        <f t="shared" si="29"/>
        <v>-400</v>
      </c>
      <c r="G44" s="34">
        <f>IF(E44&gt;0,F44/E44,"N/A")</f>
        <v>-1</v>
      </c>
      <c r="H44" s="20"/>
      <c r="I44" s="20"/>
      <c r="J44" s="155"/>
      <c r="K44" s="40" t="s">
        <v>81</v>
      </c>
      <c r="L44" s="72"/>
      <c r="M44" s="51">
        <f>2*Materials!$E$10+4*Materials!$E$11+2*Materials!$E$12+2*Materials!$E$14+1*Materials!$J$8</f>
        <v>400</v>
      </c>
      <c r="N44" s="1">
        <f t="shared" si="30"/>
        <v>-400</v>
      </c>
      <c r="O44" s="34">
        <f>IF(M44&gt;0,N44/M44,"N/A")</f>
        <v>-1</v>
      </c>
      <c r="P44" s="20"/>
      <c r="Q44" s="20"/>
      <c r="R44" s="155"/>
      <c r="S44" s="40" t="s">
        <v>81</v>
      </c>
      <c r="T44" s="72"/>
      <c r="U44" s="51">
        <f>2*Materials!$E$10+4*Materials!$E$11+2*Materials!$E$12+2*Materials!$E$14+1*Materials!$J$8</f>
        <v>400</v>
      </c>
      <c r="V44" s="1">
        <f t="shared" si="31"/>
        <v>-400</v>
      </c>
      <c r="W44" s="34">
        <f>IF(U44&gt;0,V44/U44,"N/A")</f>
        <v>-1</v>
      </c>
      <c r="X44" s="20"/>
      <c r="Y44" s="20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</row>
    <row r="45" spans="1:39" s="8" customFormat="1" ht="13.5" thickBot="1">
      <c r="A45" s="20"/>
      <c r="B45" s="156"/>
      <c r="C45" s="41" t="s">
        <v>82</v>
      </c>
      <c r="D45" s="73"/>
      <c r="E45" s="52">
        <f>2*Materials!$E$5+4*Materials!$E$10+2*Materials!$E$11+2*Materials!$E$14+1*Materials!$J$8</f>
        <v>400</v>
      </c>
      <c r="F45" s="6">
        <f t="shared" si="29"/>
        <v>-400</v>
      </c>
      <c r="G45" s="35">
        <f>IF(E45&gt;0,F45/E45,"N/A")</f>
        <v>-1</v>
      </c>
      <c r="H45" s="20"/>
      <c r="I45" s="20"/>
      <c r="J45" s="156"/>
      <c r="K45" s="41" t="s">
        <v>82</v>
      </c>
      <c r="L45" s="73"/>
      <c r="M45" s="52">
        <f>2*Materials!$E$5+4*Materials!$E$10+2*Materials!$E$11+2*Materials!$E$14+1*Materials!$J$8</f>
        <v>400</v>
      </c>
      <c r="N45" s="6">
        <f t="shared" si="30"/>
        <v>-400</v>
      </c>
      <c r="O45" s="35">
        <f>IF(M45&gt;0,N45/M45,"N/A")</f>
        <v>-1</v>
      </c>
      <c r="P45" s="20"/>
      <c r="Q45" s="20"/>
      <c r="R45" s="156"/>
      <c r="S45" s="41" t="s">
        <v>82</v>
      </c>
      <c r="T45" s="73"/>
      <c r="U45" s="52">
        <f>2*Materials!$E$5+4*Materials!$E$10+2*Materials!$E$11+2*Materials!$E$14+1*Materials!$J$8</f>
        <v>400</v>
      </c>
      <c r="V45" s="6">
        <f t="shared" si="31"/>
        <v>-400</v>
      </c>
      <c r="W45" s="35">
        <f>IF(U45&gt;0,V45/U45,"N/A")</f>
        <v>-1</v>
      </c>
      <c r="X45" s="20"/>
      <c r="Y45" s="20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</row>
    <row r="46" spans="1:39" s="8" customFormat="1" ht="12.75" customHeight="1">
      <c r="A46" s="20"/>
      <c r="B46" s="160" t="s">
        <v>72</v>
      </c>
      <c r="C46" s="39" t="s">
        <v>73</v>
      </c>
      <c r="D46" s="71"/>
      <c r="E46" s="50">
        <f>2*Materials!$E$5+4*Materials!$E$10+2*Materials!$E$11+2*Materials!$E$14+1*Materials!$J$8</f>
        <v>400</v>
      </c>
      <c r="F46" s="4">
        <f>(D46-E46)-(D46)*0.03</f>
        <v>-400</v>
      </c>
      <c r="G46" s="33">
        <f>IF(E46&gt;0,F46/E46,"N/A")</f>
        <v>-1</v>
      </c>
      <c r="H46" s="20"/>
      <c r="I46" s="20"/>
      <c r="J46" s="160" t="s">
        <v>87</v>
      </c>
      <c r="K46" s="39" t="s">
        <v>73</v>
      </c>
      <c r="L46" s="71"/>
      <c r="M46" s="50">
        <f>2*Materials!$E$5+4*Materials!$E$10+2*Materials!$E$11+2*Materials!$E$14+1*Materials!$J$8</f>
        <v>400</v>
      </c>
      <c r="N46" s="4">
        <f>(L46-M46)-(L46)*0.03</f>
        <v>-400</v>
      </c>
      <c r="O46" s="33">
        <f>IF(M46&gt;0,N46/M46,"N/A")</f>
        <v>-1</v>
      </c>
      <c r="P46" s="20"/>
      <c r="Q46" s="20"/>
      <c r="R46" s="20"/>
      <c r="S46" s="20"/>
      <c r="T46" s="7"/>
      <c r="U46" s="7"/>
      <c r="V46" s="7"/>
      <c r="W46" s="7"/>
      <c r="X46" s="20"/>
      <c r="Y46" s="20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</row>
    <row r="47" spans="1:39" s="8" customFormat="1">
      <c r="A47" s="20"/>
      <c r="B47" s="155"/>
      <c r="C47" s="40" t="s">
        <v>74</v>
      </c>
      <c r="D47" s="72"/>
      <c r="E47" s="51">
        <f>2*Materials!$E$10+4*Materials!$E$11+2*Materials!$E$12+2*Materials!$E$14+1*Materials!$J$8</f>
        <v>400</v>
      </c>
      <c r="F47" s="1">
        <f>(D47-E47)-(D47)*0.03</f>
        <v>-400</v>
      </c>
      <c r="G47" s="34">
        <f t="shared" ref="G47:G50" si="35">IF(E47&gt;0,F47/E47,"N/A")</f>
        <v>-1</v>
      </c>
      <c r="H47" s="20"/>
      <c r="I47" s="20"/>
      <c r="J47" s="155"/>
      <c r="K47" s="40" t="s">
        <v>74</v>
      </c>
      <c r="L47" s="72"/>
      <c r="M47" s="51">
        <f>2*Materials!$E$10+4*Materials!$E$11+2*Materials!$E$12+2*Materials!$E$14+1*Materials!$J$8</f>
        <v>400</v>
      </c>
      <c r="N47" s="1">
        <f>(L47-M47)-(L47)*0.03</f>
        <v>-400</v>
      </c>
      <c r="O47" s="34">
        <f t="shared" ref="O47:O50" si="36">IF(M47&gt;0,N47/M47,"N/A")</f>
        <v>-1</v>
      </c>
      <c r="P47" s="20"/>
      <c r="Q47" s="20"/>
      <c r="R47" s="20"/>
      <c r="S47" s="20"/>
      <c r="T47" s="7"/>
      <c r="U47" s="7"/>
      <c r="V47" s="7"/>
      <c r="W47" s="7"/>
      <c r="X47" s="20"/>
      <c r="Y47" s="20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</row>
    <row r="48" spans="1:39" s="8" customFormat="1">
      <c r="A48" s="20"/>
      <c r="B48" s="155"/>
      <c r="C48" s="40" t="s">
        <v>75</v>
      </c>
      <c r="D48" s="72"/>
      <c r="E48" s="51">
        <f>2*Materials!$E$5+4*Materials!$E$10+2*Materials!$E$11+2*Materials!$E$14+1*Materials!$J$8</f>
        <v>400</v>
      </c>
      <c r="F48" s="1">
        <f t="shared" ref="F48:F55" si="37">(D48-E48)-(D48)*0.03</f>
        <v>-400</v>
      </c>
      <c r="G48" s="34">
        <f t="shared" si="35"/>
        <v>-1</v>
      </c>
      <c r="H48" s="20"/>
      <c r="I48" s="20"/>
      <c r="J48" s="155"/>
      <c r="K48" s="40" t="s">
        <v>75</v>
      </c>
      <c r="L48" s="72"/>
      <c r="M48" s="51">
        <f>2*Materials!$E$5+4*Materials!$E$10+2*Materials!$E$11+2*Materials!$E$14+1*Materials!$J$8</f>
        <v>400</v>
      </c>
      <c r="N48" s="1">
        <f t="shared" ref="N48:N55" si="38">(L48-M48)-(L48)*0.03</f>
        <v>-400</v>
      </c>
      <c r="O48" s="34">
        <f t="shared" si="36"/>
        <v>-1</v>
      </c>
      <c r="P48" s="20"/>
      <c r="T48" s="14"/>
      <c r="U48" s="14"/>
      <c r="V48" s="14"/>
      <c r="W48" s="14"/>
      <c r="Y48" s="20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</row>
    <row r="49" spans="1:39" s="8" customFormat="1">
      <c r="A49" s="20"/>
      <c r="B49" s="155"/>
      <c r="C49" s="40" t="s">
        <v>76</v>
      </c>
      <c r="D49" s="72"/>
      <c r="E49" s="51">
        <f>2*Materials!$E$10+4*Materials!$E$11+2*Materials!$E$12+2*Materials!$E$14+1*Materials!$J$8</f>
        <v>400</v>
      </c>
      <c r="F49" s="1">
        <f t="shared" si="37"/>
        <v>-400</v>
      </c>
      <c r="G49" s="34">
        <f t="shared" si="35"/>
        <v>-1</v>
      </c>
      <c r="H49" s="20"/>
      <c r="I49" s="20"/>
      <c r="J49" s="155"/>
      <c r="K49" s="40" t="s">
        <v>76</v>
      </c>
      <c r="L49" s="72"/>
      <c r="M49" s="51">
        <f>2*Materials!$E$10+4*Materials!$E$11+2*Materials!$E$12+2*Materials!$E$14+1*Materials!$J$8</f>
        <v>400</v>
      </c>
      <c r="N49" s="1">
        <f t="shared" si="38"/>
        <v>-400</v>
      </c>
      <c r="O49" s="34">
        <f t="shared" si="36"/>
        <v>-1</v>
      </c>
      <c r="P49" s="20"/>
      <c r="T49" s="14"/>
      <c r="U49" s="14"/>
      <c r="V49" s="14"/>
      <c r="W49" s="14"/>
      <c r="Y49" s="20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</row>
    <row r="50" spans="1:39" s="8" customFormat="1">
      <c r="A50" s="20"/>
      <c r="B50" s="155"/>
      <c r="C50" s="40" t="s">
        <v>77</v>
      </c>
      <c r="D50" s="72"/>
      <c r="E50" s="51">
        <f>2*Materials!$E$5+4*Materials!$E$10+2*Materials!$E$11+2*Materials!$E$14+1*Materials!$J$8</f>
        <v>400</v>
      </c>
      <c r="F50" s="1">
        <f t="shared" si="37"/>
        <v>-400</v>
      </c>
      <c r="G50" s="34">
        <f t="shared" si="35"/>
        <v>-1</v>
      </c>
      <c r="H50" s="20"/>
      <c r="I50" s="20"/>
      <c r="J50" s="155"/>
      <c r="K50" s="40" t="s">
        <v>77</v>
      </c>
      <c r="L50" s="72"/>
      <c r="M50" s="51">
        <f>2*Materials!$E$5+4*Materials!$E$10+2*Materials!$E$11+2*Materials!$E$14+1*Materials!$J$8</f>
        <v>400</v>
      </c>
      <c r="N50" s="1">
        <f t="shared" si="38"/>
        <v>-400</v>
      </c>
      <c r="O50" s="34">
        <f t="shared" si="36"/>
        <v>-1</v>
      </c>
      <c r="P50" s="20"/>
      <c r="T50" s="14"/>
      <c r="U50" s="14"/>
      <c r="V50" s="14"/>
      <c r="W50" s="14"/>
      <c r="Y50" s="20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</row>
    <row r="51" spans="1:39" s="8" customFormat="1">
      <c r="A51" s="20"/>
      <c r="B51" s="155"/>
      <c r="C51" s="40" t="s">
        <v>78</v>
      </c>
      <c r="D51" s="72"/>
      <c r="E51" s="51">
        <f>2*Materials!$E$10+4*Materials!$E$11+2*Materials!$E$12+2*Materials!$E$14+1*Materials!$J$8</f>
        <v>400</v>
      </c>
      <c r="F51" s="1">
        <f t="shared" si="37"/>
        <v>-400</v>
      </c>
      <c r="G51" s="34">
        <f>IF(E51&gt;0,F51/E51,"N/A")</f>
        <v>-1</v>
      </c>
      <c r="H51" s="20"/>
      <c r="I51" s="20"/>
      <c r="J51" s="155"/>
      <c r="K51" s="40" t="s">
        <v>78</v>
      </c>
      <c r="L51" s="72"/>
      <c r="M51" s="51">
        <f>2*Materials!$E$10+4*Materials!$E$11+2*Materials!$E$12+2*Materials!$E$14+1*Materials!$J$8</f>
        <v>400</v>
      </c>
      <c r="N51" s="1">
        <f t="shared" si="38"/>
        <v>-400</v>
      </c>
      <c r="O51" s="34">
        <f>IF(M51&gt;0,N51/M51,"N/A")</f>
        <v>-1</v>
      </c>
      <c r="P51" s="20"/>
      <c r="T51" s="14"/>
      <c r="U51" s="14"/>
      <c r="V51" s="14"/>
      <c r="W51" s="14"/>
      <c r="Y51" s="20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</row>
    <row r="52" spans="1:39" s="8" customFormat="1">
      <c r="A52" s="20"/>
      <c r="B52" s="155"/>
      <c r="C52" s="40" t="s">
        <v>79</v>
      </c>
      <c r="D52" s="72"/>
      <c r="E52" s="51">
        <f>2*Materials!$E$10+4*Materials!$E$11+2*Materials!$E$12+2*Materials!$E$14+1*Materials!$J$8</f>
        <v>400</v>
      </c>
      <c r="F52" s="1">
        <f t="shared" si="37"/>
        <v>-400</v>
      </c>
      <c r="G52" s="34">
        <f t="shared" ref="G52:G53" si="39">IF(E52&gt;0,F52/E52,"N/A")</f>
        <v>-1</v>
      </c>
      <c r="H52" s="20"/>
      <c r="I52" s="20"/>
      <c r="J52" s="155"/>
      <c r="K52" s="40" t="s">
        <v>79</v>
      </c>
      <c r="L52" s="72"/>
      <c r="M52" s="51">
        <f>2*Materials!$E$10+4*Materials!$E$11+2*Materials!$E$12+2*Materials!$E$14+1*Materials!$J$8</f>
        <v>400</v>
      </c>
      <c r="N52" s="1">
        <f t="shared" si="38"/>
        <v>-400</v>
      </c>
      <c r="O52" s="34">
        <f t="shared" ref="O52:O53" si="40">IF(M52&gt;0,N52/M52,"N/A")</f>
        <v>-1</v>
      </c>
      <c r="P52" s="20"/>
      <c r="T52" s="14"/>
      <c r="U52" s="14"/>
      <c r="V52" s="14"/>
      <c r="W52" s="14"/>
      <c r="Y52" s="20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</row>
    <row r="53" spans="1:39" s="8" customFormat="1">
      <c r="A53" s="20"/>
      <c r="B53" s="155"/>
      <c r="C53" s="40" t="s">
        <v>80</v>
      </c>
      <c r="D53" s="72"/>
      <c r="E53" s="51">
        <f>2*Materials!$E$5+4*Materials!$E$10+2*Materials!$E$11+2*Materials!$E$14+1*Materials!$J$8</f>
        <v>400</v>
      </c>
      <c r="F53" s="1">
        <f t="shared" si="37"/>
        <v>-400</v>
      </c>
      <c r="G53" s="34">
        <f t="shared" si="39"/>
        <v>-1</v>
      </c>
      <c r="H53" s="20"/>
      <c r="I53" s="20"/>
      <c r="J53" s="155"/>
      <c r="K53" s="40" t="s">
        <v>80</v>
      </c>
      <c r="L53" s="72"/>
      <c r="M53" s="51">
        <f>2*Materials!$E$5+4*Materials!$E$10+2*Materials!$E$11+2*Materials!$E$14+1*Materials!$J$8</f>
        <v>400</v>
      </c>
      <c r="N53" s="1">
        <f t="shared" si="38"/>
        <v>-400</v>
      </c>
      <c r="O53" s="34">
        <f t="shared" si="40"/>
        <v>-1</v>
      </c>
      <c r="P53" s="20"/>
      <c r="T53" s="14"/>
      <c r="U53" s="14"/>
      <c r="V53" s="14"/>
      <c r="W53" s="14"/>
      <c r="Y53" s="20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</row>
    <row r="54" spans="1:39" s="8" customFormat="1">
      <c r="A54" s="20"/>
      <c r="B54" s="155"/>
      <c r="C54" s="40" t="s">
        <v>81</v>
      </c>
      <c r="D54" s="72"/>
      <c r="E54" s="51">
        <f>2*Materials!$E$10+4*Materials!$E$11+2*Materials!$E$12+2*Materials!$E$14+1*Materials!$J$8</f>
        <v>400</v>
      </c>
      <c r="F54" s="1">
        <f t="shared" si="37"/>
        <v>-400</v>
      </c>
      <c r="G54" s="34">
        <f>IF(E54&gt;0,F54/E54,"N/A")</f>
        <v>-1</v>
      </c>
      <c r="H54" s="20"/>
      <c r="I54" s="20"/>
      <c r="J54" s="155"/>
      <c r="K54" s="40" t="s">
        <v>81</v>
      </c>
      <c r="L54" s="72"/>
      <c r="M54" s="51">
        <f>2*Materials!$E$10+4*Materials!$E$11+2*Materials!$E$12+2*Materials!$E$14+1*Materials!$J$8</f>
        <v>400</v>
      </c>
      <c r="N54" s="1">
        <f t="shared" si="38"/>
        <v>-400</v>
      </c>
      <c r="O54" s="34">
        <f>IF(M54&gt;0,N54/M54,"N/A")</f>
        <v>-1</v>
      </c>
      <c r="P54" s="20"/>
      <c r="T54" s="14"/>
      <c r="U54" s="14"/>
      <c r="V54" s="14"/>
      <c r="W54" s="14"/>
      <c r="Y54" s="20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</row>
    <row r="55" spans="1:39" s="8" customFormat="1" ht="13.5" thickBot="1">
      <c r="A55" s="20"/>
      <c r="B55" s="156"/>
      <c r="C55" s="41" t="s">
        <v>82</v>
      </c>
      <c r="D55" s="73"/>
      <c r="E55" s="52">
        <f>2*Materials!$E$5+4*Materials!$E$10+2*Materials!$E$11+2*Materials!$E$14+1*Materials!$J$8</f>
        <v>400</v>
      </c>
      <c r="F55" s="6">
        <f t="shared" si="37"/>
        <v>-400</v>
      </c>
      <c r="G55" s="35">
        <f>IF(E55&gt;0,F55/E55,"N/A")</f>
        <v>-1</v>
      </c>
      <c r="H55" s="20"/>
      <c r="I55" s="20"/>
      <c r="J55" s="156"/>
      <c r="K55" s="41" t="s">
        <v>82</v>
      </c>
      <c r="L55" s="73"/>
      <c r="M55" s="52">
        <f>2*Materials!$E$5+4*Materials!$E$10+2*Materials!$E$11+2*Materials!$E$14+1*Materials!$J$8</f>
        <v>400</v>
      </c>
      <c r="N55" s="6">
        <f t="shared" si="38"/>
        <v>-400</v>
      </c>
      <c r="O55" s="35">
        <f>IF(M55&gt;0,N55/M55,"N/A")</f>
        <v>-1</v>
      </c>
      <c r="P55" s="20"/>
      <c r="T55" s="14"/>
      <c r="U55" s="14"/>
      <c r="V55" s="14"/>
      <c r="W55" s="14"/>
      <c r="Y55" s="20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</row>
    <row r="56" spans="1:39" s="8" customFormat="1" ht="12.75" customHeight="1">
      <c r="A56" s="20"/>
      <c r="B56" s="20"/>
      <c r="C56" s="20"/>
      <c r="D56" s="7"/>
      <c r="E56" s="7"/>
      <c r="F56" s="7"/>
      <c r="G56" s="7"/>
      <c r="H56" s="20"/>
      <c r="I56" s="20"/>
      <c r="J56" s="20"/>
      <c r="K56" s="20"/>
      <c r="L56" s="7"/>
      <c r="M56" s="7"/>
      <c r="N56" s="7"/>
      <c r="O56" s="7"/>
      <c r="P56" s="20"/>
      <c r="T56" s="14"/>
      <c r="U56" s="14"/>
      <c r="V56" s="14"/>
      <c r="W56" s="14"/>
      <c r="Y56" s="20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</row>
    <row r="57" spans="1:39" s="20" customFormat="1">
      <c r="D57" s="7"/>
      <c r="E57" s="7"/>
      <c r="F57" s="7"/>
      <c r="G57" s="7"/>
      <c r="L57" s="7"/>
      <c r="M57" s="7"/>
      <c r="N57" s="7"/>
      <c r="O57" s="7"/>
      <c r="T57" s="7"/>
      <c r="U57" s="7"/>
      <c r="V57" s="7"/>
      <c r="W57" s="7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</row>
    <row r="58" spans="1:39" s="8" customFormat="1">
      <c r="A58" s="20"/>
      <c r="D58" s="14"/>
      <c r="E58" s="14"/>
      <c r="F58" s="14"/>
      <c r="G58" s="14"/>
      <c r="L58" s="14"/>
      <c r="M58" s="14"/>
      <c r="N58" s="14"/>
      <c r="O58" s="14"/>
      <c r="T58" s="14"/>
      <c r="U58" s="14"/>
      <c r="V58" s="14"/>
      <c r="W58" s="14"/>
      <c r="Y58" s="20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</row>
    <row r="59" spans="1:39" s="8" customFormat="1">
      <c r="A59" s="20"/>
      <c r="D59" s="14"/>
      <c r="E59" s="14"/>
      <c r="F59" s="14"/>
      <c r="G59" s="14"/>
      <c r="L59" s="14"/>
      <c r="M59" s="14"/>
      <c r="N59" s="14"/>
      <c r="O59" s="14"/>
      <c r="T59" s="14"/>
      <c r="U59" s="14"/>
      <c r="V59" s="14"/>
      <c r="W59" s="14"/>
      <c r="Y59" s="20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</row>
    <row r="60" spans="1:39" s="8" customFormat="1">
      <c r="A60" s="20"/>
      <c r="D60" s="14"/>
      <c r="E60" s="14"/>
      <c r="F60" s="14"/>
      <c r="G60" s="14"/>
      <c r="L60" s="14"/>
      <c r="M60" s="14"/>
      <c r="N60" s="14"/>
      <c r="O60" s="14"/>
      <c r="T60" s="14"/>
      <c r="U60" s="14"/>
      <c r="V60" s="14"/>
      <c r="W60" s="14"/>
      <c r="Y60" s="20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</row>
    <row r="61" spans="1:39" s="8" customFormat="1">
      <c r="A61" s="20"/>
      <c r="D61" s="14"/>
      <c r="E61" s="14"/>
      <c r="F61" s="14"/>
      <c r="G61" s="14"/>
      <c r="L61" s="14"/>
      <c r="M61" s="14"/>
      <c r="N61" s="14"/>
      <c r="O61" s="14"/>
      <c r="T61" s="14"/>
      <c r="U61" s="14"/>
      <c r="V61" s="14"/>
      <c r="W61" s="14"/>
      <c r="Y61" s="20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</row>
    <row r="62" spans="1:39" s="8" customFormat="1">
      <c r="A62" s="20"/>
      <c r="D62" s="14"/>
      <c r="E62" s="14"/>
      <c r="F62" s="14"/>
      <c r="G62" s="14"/>
      <c r="L62" s="14"/>
      <c r="M62" s="14"/>
      <c r="N62" s="14"/>
      <c r="O62" s="14"/>
      <c r="T62" s="14"/>
      <c r="U62" s="14"/>
      <c r="V62" s="14"/>
      <c r="W62" s="14"/>
      <c r="Y62" s="20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</row>
    <row r="63" spans="1:39" s="8" customFormat="1">
      <c r="A63" s="20"/>
      <c r="D63" s="14"/>
      <c r="E63" s="14"/>
      <c r="F63" s="14"/>
      <c r="G63" s="14"/>
      <c r="L63" s="14"/>
      <c r="M63" s="14"/>
      <c r="N63" s="14"/>
      <c r="O63" s="14"/>
      <c r="T63" s="14"/>
      <c r="U63" s="14"/>
      <c r="V63" s="14"/>
      <c r="W63" s="14"/>
      <c r="Y63" s="20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</row>
    <row r="64" spans="1:39" s="8" customFormat="1">
      <c r="A64" s="20"/>
      <c r="D64" s="14"/>
      <c r="E64" s="14"/>
      <c r="F64" s="14"/>
      <c r="G64" s="14"/>
      <c r="L64" s="14"/>
      <c r="M64" s="14"/>
      <c r="N64" s="14"/>
      <c r="O64" s="14"/>
      <c r="T64" s="14"/>
      <c r="U64" s="14"/>
      <c r="V64" s="14"/>
      <c r="W64" s="14"/>
      <c r="Y64" s="20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</row>
    <row r="65" spans="1:39" s="8" customFormat="1">
      <c r="A65" s="20"/>
      <c r="D65" s="14"/>
      <c r="E65" s="14"/>
      <c r="F65" s="14"/>
      <c r="G65" s="14"/>
      <c r="L65" s="14"/>
      <c r="M65" s="14"/>
      <c r="N65" s="14"/>
      <c r="O65" s="14"/>
      <c r="T65" s="14"/>
      <c r="U65" s="14"/>
      <c r="V65" s="14"/>
      <c r="W65" s="14"/>
      <c r="Y65" s="20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</row>
    <row r="66" spans="1:39" s="8" customFormat="1">
      <c r="A66" s="20"/>
      <c r="D66" s="14"/>
      <c r="E66" s="14"/>
      <c r="F66" s="14"/>
      <c r="G66" s="14"/>
      <c r="L66" s="14"/>
      <c r="M66" s="14"/>
      <c r="N66" s="14"/>
      <c r="O66" s="14"/>
      <c r="T66" s="14"/>
      <c r="U66" s="14"/>
      <c r="V66" s="14"/>
      <c r="W66" s="14"/>
      <c r="Y66" s="20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</row>
    <row r="67" spans="1:39" s="8" customFormat="1">
      <c r="A67" s="20"/>
      <c r="D67" s="14"/>
      <c r="E67" s="14"/>
      <c r="F67" s="14"/>
      <c r="G67" s="14"/>
      <c r="L67" s="14"/>
      <c r="M67" s="14"/>
      <c r="N67" s="14"/>
      <c r="O67" s="14"/>
      <c r="T67" s="14"/>
      <c r="U67" s="14"/>
      <c r="V67" s="14"/>
      <c r="W67" s="14"/>
      <c r="Y67" s="20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</row>
    <row r="68" spans="1:39" s="8" customFormat="1">
      <c r="A68" s="20"/>
      <c r="D68" s="14"/>
      <c r="E68" s="14"/>
      <c r="F68" s="14"/>
      <c r="G68" s="14"/>
      <c r="L68" s="14"/>
      <c r="M68" s="14"/>
      <c r="N68" s="14"/>
      <c r="O68" s="14"/>
      <c r="T68" s="14"/>
      <c r="U68" s="14"/>
      <c r="V68" s="14"/>
      <c r="W68" s="14"/>
      <c r="Y68" s="20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</row>
    <row r="69" spans="1:39" s="8" customFormat="1">
      <c r="A69" s="20"/>
      <c r="D69" s="14"/>
      <c r="E69" s="14"/>
      <c r="F69" s="14"/>
      <c r="G69" s="14"/>
      <c r="L69" s="14"/>
      <c r="M69" s="14"/>
      <c r="N69" s="14"/>
      <c r="O69" s="14"/>
      <c r="T69" s="14"/>
      <c r="U69" s="14"/>
      <c r="V69" s="14"/>
      <c r="W69" s="14"/>
      <c r="Y69" s="20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</row>
    <row r="70" spans="1:39" s="8" customFormat="1">
      <c r="A70" s="20"/>
      <c r="D70" s="14"/>
      <c r="E70" s="14"/>
      <c r="F70" s="14"/>
      <c r="G70" s="14"/>
      <c r="L70" s="14"/>
      <c r="M70" s="14"/>
      <c r="N70" s="14"/>
      <c r="O70" s="14"/>
      <c r="T70" s="14"/>
      <c r="U70" s="14"/>
      <c r="V70" s="14"/>
      <c r="W70" s="14"/>
      <c r="Y70" s="20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</row>
    <row r="71" spans="1:39" s="8" customFormat="1">
      <c r="A71" s="20"/>
      <c r="D71" s="14"/>
      <c r="E71" s="14"/>
      <c r="F71" s="14"/>
      <c r="G71" s="14"/>
      <c r="L71" s="14"/>
      <c r="M71" s="14"/>
      <c r="N71" s="14"/>
      <c r="O71" s="14"/>
      <c r="T71" s="14"/>
      <c r="U71" s="14"/>
      <c r="V71" s="14"/>
      <c r="W71" s="14"/>
      <c r="Y71" s="20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</row>
    <row r="72" spans="1:39" s="8" customFormat="1">
      <c r="A72" s="20"/>
      <c r="D72" s="14"/>
      <c r="E72" s="14"/>
      <c r="F72" s="14"/>
      <c r="G72" s="14"/>
      <c r="L72" s="14"/>
      <c r="M72" s="14"/>
      <c r="N72" s="14"/>
      <c r="O72" s="14"/>
      <c r="T72" s="14"/>
      <c r="U72" s="14"/>
      <c r="V72" s="14"/>
      <c r="W72" s="14"/>
      <c r="Y72" s="20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</row>
    <row r="73" spans="1:39" s="8" customFormat="1">
      <c r="A73" s="20"/>
      <c r="D73" s="14"/>
      <c r="E73" s="14"/>
      <c r="F73" s="14"/>
      <c r="G73" s="14"/>
      <c r="L73" s="14"/>
      <c r="M73" s="14"/>
      <c r="N73" s="14"/>
      <c r="O73" s="14"/>
      <c r="T73" s="14"/>
      <c r="U73" s="14"/>
      <c r="V73" s="14"/>
      <c r="W73" s="14"/>
      <c r="Y73" s="20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</row>
    <row r="74" spans="1:39" s="8" customFormat="1">
      <c r="A74" s="20"/>
      <c r="D74" s="14"/>
      <c r="E74" s="14"/>
      <c r="F74" s="14"/>
      <c r="G74" s="14"/>
      <c r="L74" s="14"/>
      <c r="M74" s="14"/>
      <c r="N74" s="14"/>
      <c r="O74" s="14"/>
      <c r="T74" s="14"/>
      <c r="U74" s="14"/>
      <c r="V74" s="14"/>
      <c r="W74" s="14"/>
      <c r="Y74" s="20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</row>
    <row r="75" spans="1:39" s="8" customFormat="1">
      <c r="A75" s="20"/>
      <c r="D75" s="14"/>
      <c r="E75" s="14"/>
      <c r="F75" s="14"/>
      <c r="G75" s="14"/>
      <c r="L75" s="14"/>
      <c r="M75" s="14"/>
      <c r="N75" s="14"/>
      <c r="O75" s="14"/>
      <c r="T75" s="14"/>
      <c r="U75" s="14"/>
      <c r="V75" s="14"/>
      <c r="W75" s="14"/>
      <c r="Y75" s="20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</row>
    <row r="76" spans="1:39" s="8" customFormat="1">
      <c r="A76" s="20"/>
      <c r="D76" s="14"/>
      <c r="E76" s="14"/>
      <c r="F76" s="14"/>
      <c r="G76" s="14"/>
      <c r="L76" s="14"/>
      <c r="M76" s="14"/>
      <c r="N76" s="14"/>
      <c r="O76" s="14"/>
      <c r="T76" s="14"/>
      <c r="U76" s="14"/>
      <c r="V76" s="14"/>
      <c r="W76" s="14"/>
      <c r="Y76" s="20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</row>
    <row r="77" spans="1:39" s="8" customFormat="1">
      <c r="A77" s="20"/>
      <c r="D77" s="14"/>
      <c r="E77" s="14"/>
      <c r="F77" s="14"/>
      <c r="G77" s="14"/>
      <c r="L77" s="14"/>
      <c r="M77" s="14"/>
      <c r="N77" s="14"/>
      <c r="O77" s="14"/>
      <c r="T77" s="14"/>
      <c r="U77" s="14"/>
      <c r="V77" s="14"/>
      <c r="W77" s="14"/>
      <c r="Y77" s="20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</row>
    <row r="78" spans="1:39" s="8" customFormat="1">
      <c r="A78" s="20"/>
      <c r="D78" s="14"/>
      <c r="E78" s="14"/>
      <c r="F78" s="14"/>
      <c r="G78" s="14"/>
      <c r="L78" s="14"/>
      <c r="M78" s="14"/>
      <c r="N78" s="14"/>
      <c r="O78" s="14"/>
      <c r="T78" s="14"/>
      <c r="U78" s="14"/>
      <c r="V78" s="14"/>
      <c r="W78" s="14"/>
      <c r="Y78" s="20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</row>
    <row r="79" spans="1:39" s="8" customFormat="1">
      <c r="A79" s="20"/>
      <c r="D79" s="14"/>
      <c r="E79" s="14"/>
      <c r="F79" s="14"/>
      <c r="G79" s="14"/>
      <c r="L79" s="14"/>
      <c r="M79" s="14"/>
      <c r="N79" s="14"/>
      <c r="O79" s="14"/>
      <c r="T79" s="14"/>
      <c r="U79" s="14"/>
      <c r="V79" s="14"/>
      <c r="W79" s="14"/>
      <c r="Y79" s="20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</row>
    <row r="80" spans="1:39" s="8" customFormat="1">
      <c r="A80" s="20"/>
      <c r="D80" s="14"/>
      <c r="E80" s="14"/>
      <c r="F80" s="14"/>
      <c r="G80" s="14"/>
      <c r="L80" s="14"/>
      <c r="M80" s="14"/>
      <c r="N80" s="14"/>
      <c r="O80" s="14"/>
      <c r="T80" s="14"/>
      <c r="U80" s="14"/>
      <c r="V80" s="14"/>
      <c r="W80" s="14"/>
      <c r="Y80" s="20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</row>
    <row r="81" spans="1:39" s="8" customFormat="1">
      <c r="A81" s="20"/>
      <c r="D81" s="14"/>
      <c r="E81" s="14"/>
      <c r="F81" s="14"/>
      <c r="G81" s="14"/>
      <c r="L81" s="14"/>
      <c r="M81" s="14"/>
      <c r="N81" s="14"/>
      <c r="O81" s="14"/>
      <c r="R81" s="15"/>
      <c r="S81" s="15"/>
      <c r="T81" s="30"/>
      <c r="U81" s="30"/>
      <c r="V81" s="30"/>
      <c r="W81" s="30"/>
      <c r="Y81" s="20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</row>
    <row r="82" spans="1:39" s="8" customFormat="1">
      <c r="A82" s="20"/>
      <c r="D82" s="14"/>
      <c r="E82" s="14"/>
      <c r="F82" s="14"/>
      <c r="G82" s="14"/>
      <c r="L82" s="14"/>
      <c r="M82" s="14"/>
      <c r="N82" s="14"/>
      <c r="O82" s="14"/>
      <c r="R82" s="15"/>
      <c r="S82" s="15"/>
      <c r="T82" s="30"/>
      <c r="U82" s="30"/>
      <c r="V82" s="30"/>
      <c r="W82" s="30"/>
      <c r="Y82" s="20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</row>
    <row r="83" spans="1:39" s="8" customFormat="1">
      <c r="A83" s="20"/>
      <c r="D83" s="14"/>
      <c r="E83" s="14"/>
      <c r="F83" s="14"/>
      <c r="G83" s="14"/>
      <c r="L83" s="14"/>
      <c r="M83" s="14"/>
      <c r="N83" s="14"/>
      <c r="O83" s="14"/>
      <c r="R83" s="15"/>
      <c r="S83" s="15"/>
      <c r="T83" s="30"/>
      <c r="U83" s="30"/>
      <c r="V83" s="30"/>
      <c r="W83" s="30"/>
      <c r="Y83" s="20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</row>
    <row r="84" spans="1:39" s="8" customFormat="1">
      <c r="A84" s="20"/>
      <c r="D84" s="14"/>
      <c r="E84" s="14"/>
      <c r="F84" s="14"/>
      <c r="G84" s="14"/>
      <c r="L84" s="14"/>
      <c r="M84" s="14"/>
      <c r="N84" s="14"/>
      <c r="O84" s="14"/>
      <c r="R84" s="15"/>
      <c r="S84" s="15"/>
      <c r="T84" s="30"/>
      <c r="U84" s="30"/>
      <c r="V84" s="30"/>
      <c r="W84" s="30"/>
      <c r="Y84" s="20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</row>
    <row r="85" spans="1:39" s="8" customFormat="1">
      <c r="A85" s="20"/>
      <c r="D85" s="14"/>
      <c r="E85" s="14"/>
      <c r="F85" s="14"/>
      <c r="G85" s="14"/>
      <c r="L85" s="14"/>
      <c r="M85" s="14"/>
      <c r="N85" s="14"/>
      <c r="O85" s="14"/>
      <c r="R85" s="15"/>
      <c r="S85" s="15"/>
      <c r="T85" s="30"/>
      <c r="U85" s="30"/>
      <c r="V85" s="30"/>
      <c r="W85" s="30"/>
      <c r="Y85" s="20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</row>
    <row r="86" spans="1:39" s="8" customFormat="1">
      <c r="A86" s="20"/>
      <c r="D86" s="14"/>
      <c r="E86" s="14"/>
      <c r="F86" s="14"/>
      <c r="G86" s="14"/>
      <c r="L86" s="14"/>
      <c r="M86" s="14"/>
      <c r="N86" s="14"/>
      <c r="O86" s="14"/>
      <c r="R86" s="15"/>
      <c r="S86" s="15"/>
      <c r="T86" s="30"/>
      <c r="U86" s="30"/>
      <c r="V86" s="30"/>
      <c r="W86" s="30"/>
      <c r="Y86" s="20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</row>
    <row r="87" spans="1:39" s="8" customFormat="1">
      <c r="A87" s="20"/>
      <c r="D87" s="14"/>
      <c r="E87" s="14"/>
      <c r="F87" s="14"/>
      <c r="G87" s="14"/>
      <c r="L87" s="14"/>
      <c r="M87" s="14"/>
      <c r="N87" s="14"/>
      <c r="O87" s="14"/>
      <c r="R87" s="15"/>
      <c r="S87" s="15"/>
      <c r="T87" s="30"/>
      <c r="U87" s="30"/>
      <c r="V87" s="30"/>
      <c r="W87" s="30"/>
      <c r="Y87" s="20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</row>
    <row r="88" spans="1:39" s="8" customFormat="1">
      <c r="A88" s="20"/>
      <c r="D88" s="14"/>
      <c r="E88" s="14"/>
      <c r="F88" s="14"/>
      <c r="G88" s="14"/>
      <c r="L88" s="14"/>
      <c r="M88" s="14"/>
      <c r="N88" s="14"/>
      <c r="O88" s="14"/>
      <c r="R88" s="15"/>
      <c r="S88" s="15"/>
      <c r="T88" s="30"/>
      <c r="U88" s="30"/>
      <c r="V88" s="30"/>
      <c r="W88" s="30"/>
      <c r="Y88" s="20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</row>
    <row r="89" spans="1:39" s="8" customFormat="1">
      <c r="A89" s="20"/>
      <c r="D89" s="14"/>
      <c r="E89" s="14"/>
      <c r="F89" s="14"/>
      <c r="G89" s="14"/>
      <c r="L89" s="14"/>
      <c r="M89" s="14"/>
      <c r="N89" s="14"/>
      <c r="O89" s="14"/>
      <c r="R89" s="15"/>
      <c r="S89" s="15"/>
      <c r="T89" s="30"/>
      <c r="U89" s="30"/>
      <c r="V89" s="30"/>
      <c r="W89" s="30"/>
      <c r="Y89" s="20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</row>
    <row r="90" spans="1:39" s="8" customFormat="1">
      <c r="A90" s="20"/>
      <c r="D90" s="14"/>
      <c r="E90" s="14"/>
      <c r="F90" s="14"/>
      <c r="G90" s="14"/>
      <c r="L90" s="14"/>
      <c r="M90" s="14"/>
      <c r="N90" s="14"/>
      <c r="O90" s="14"/>
      <c r="R90" s="15"/>
      <c r="S90" s="15"/>
      <c r="T90" s="30"/>
      <c r="U90" s="30"/>
      <c r="V90" s="30"/>
      <c r="W90" s="30"/>
      <c r="Y90" s="20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</row>
    <row r="91" spans="1:39" s="8" customFormat="1">
      <c r="A91" s="20"/>
      <c r="B91" s="15"/>
      <c r="C91" s="15"/>
      <c r="D91" s="30"/>
      <c r="E91" s="30"/>
      <c r="F91" s="30"/>
      <c r="G91" s="30"/>
      <c r="J91" s="15"/>
      <c r="K91" s="15"/>
      <c r="L91" s="30"/>
      <c r="M91" s="30"/>
      <c r="N91" s="30"/>
      <c r="O91" s="30"/>
      <c r="R91" s="15"/>
      <c r="S91" s="15"/>
      <c r="T91" s="30"/>
      <c r="U91" s="30"/>
      <c r="V91" s="30"/>
      <c r="W91" s="30"/>
      <c r="Y91" s="20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</row>
    <row r="92" spans="1:39" s="8" customFormat="1">
      <c r="A92" s="20"/>
      <c r="B92" s="15"/>
      <c r="C92" s="15"/>
      <c r="D92" s="30"/>
      <c r="E92" s="30"/>
      <c r="F92" s="30"/>
      <c r="G92" s="30"/>
      <c r="J92" s="15"/>
      <c r="K92" s="15"/>
      <c r="L92" s="30"/>
      <c r="M92" s="30"/>
      <c r="N92" s="30"/>
      <c r="O92" s="30"/>
      <c r="R92" s="15"/>
      <c r="S92" s="15"/>
      <c r="T92" s="30"/>
      <c r="U92" s="30"/>
      <c r="V92" s="30"/>
      <c r="W92" s="30"/>
      <c r="Y92" s="20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</row>
    <row r="93" spans="1:39" s="8" customFormat="1">
      <c r="A93" s="20"/>
      <c r="B93" s="15"/>
      <c r="C93" s="15"/>
      <c r="D93" s="30"/>
      <c r="E93" s="30"/>
      <c r="F93" s="30"/>
      <c r="G93" s="30"/>
      <c r="J93" s="15"/>
      <c r="K93" s="15"/>
      <c r="L93" s="30"/>
      <c r="M93" s="30"/>
      <c r="N93" s="30"/>
      <c r="O93" s="30"/>
      <c r="R93" s="15"/>
      <c r="S93" s="15"/>
      <c r="T93" s="30"/>
      <c r="U93" s="30"/>
      <c r="V93" s="30"/>
      <c r="W93" s="30"/>
      <c r="Y93" s="20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</row>
    <row r="94" spans="1:39" s="8" customFormat="1">
      <c r="A94" s="20"/>
      <c r="B94" s="15"/>
      <c r="C94" s="15"/>
      <c r="D94" s="30"/>
      <c r="E94" s="30"/>
      <c r="F94" s="30"/>
      <c r="G94" s="30"/>
      <c r="J94" s="15"/>
      <c r="K94" s="15"/>
      <c r="L94" s="30"/>
      <c r="M94" s="30"/>
      <c r="N94" s="30"/>
      <c r="O94" s="30"/>
      <c r="R94" s="15"/>
      <c r="S94" s="15"/>
      <c r="T94" s="30"/>
      <c r="U94" s="30"/>
      <c r="V94" s="30"/>
      <c r="W94" s="30"/>
      <c r="Y94" s="20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</row>
    <row r="95" spans="1:39" s="8" customFormat="1">
      <c r="A95" s="20"/>
      <c r="B95" s="15"/>
      <c r="C95" s="15"/>
      <c r="D95" s="30"/>
      <c r="E95" s="30"/>
      <c r="F95" s="30"/>
      <c r="G95" s="30"/>
      <c r="J95" s="15"/>
      <c r="K95" s="15"/>
      <c r="L95" s="30"/>
      <c r="M95" s="30"/>
      <c r="N95" s="30"/>
      <c r="O95" s="30"/>
      <c r="R95" s="15"/>
      <c r="S95" s="15"/>
      <c r="T95" s="30"/>
      <c r="U95" s="30"/>
      <c r="V95" s="30"/>
      <c r="W95" s="30"/>
      <c r="Y95" s="20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</row>
    <row r="96" spans="1:39" s="8" customFormat="1">
      <c r="A96" s="20"/>
      <c r="B96" s="15"/>
      <c r="C96" s="15"/>
      <c r="D96" s="30"/>
      <c r="E96" s="30"/>
      <c r="F96" s="30"/>
      <c r="G96" s="30"/>
      <c r="J96" s="15"/>
      <c r="K96" s="15"/>
      <c r="L96" s="30"/>
      <c r="M96" s="30"/>
      <c r="N96" s="30"/>
      <c r="O96" s="30"/>
      <c r="R96" s="15"/>
      <c r="S96" s="15"/>
      <c r="T96" s="30"/>
      <c r="U96" s="30"/>
      <c r="V96" s="30"/>
      <c r="W96" s="30"/>
      <c r="Y96" s="20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</row>
    <row r="97" spans="1:39" s="8" customFormat="1">
      <c r="A97" s="20"/>
      <c r="B97" s="15"/>
      <c r="C97" s="15"/>
      <c r="D97" s="30"/>
      <c r="E97" s="30"/>
      <c r="F97" s="30"/>
      <c r="G97" s="30"/>
      <c r="J97" s="15"/>
      <c r="K97" s="15"/>
      <c r="L97" s="30"/>
      <c r="M97" s="30"/>
      <c r="N97" s="30"/>
      <c r="O97" s="30"/>
      <c r="R97" s="15"/>
      <c r="S97" s="15"/>
      <c r="T97" s="30"/>
      <c r="U97" s="30"/>
      <c r="V97" s="30"/>
      <c r="W97" s="30"/>
      <c r="Y97" s="20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</row>
    <row r="98" spans="1:39" s="8" customFormat="1">
      <c r="A98" s="20"/>
      <c r="B98" s="15"/>
      <c r="C98" s="15"/>
      <c r="D98" s="30"/>
      <c r="E98" s="30"/>
      <c r="F98" s="30"/>
      <c r="G98" s="30"/>
      <c r="J98" s="15"/>
      <c r="K98" s="15"/>
      <c r="L98" s="30"/>
      <c r="M98" s="30"/>
      <c r="N98" s="30"/>
      <c r="O98" s="30"/>
      <c r="R98" s="15"/>
      <c r="S98" s="15"/>
      <c r="T98" s="30"/>
      <c r="U98" s="30"/>
      <c r="V98" s="30"/>
      <c r="W98" s="30"/>
      <c r="Y98" s="20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 spans="1:39" s="8" customFormat="1">
      <c r="A99" s="20"/>
      <c r="B99" s="15"/>
      <c r="C99" s="15"/>
      <c r="D99" s="30"/>
      <c r="E99" s="30"/>
      <c r="F99" s="30"/>
      <c r="G99" s="30"/>
      <c r="J99" s="15"/>
      <c r="K99" s="15"/>
      <c r="L99" s="30"/>
      <c r="M99" s="30"/>
      <c r="N99" s="30"/>
      <c r="O99" s="30"/>
      <c r="R99" s="15"/>
      <c r="S99" s="15"/>
      <c r="T99" s="30"/>
      <c r="U99" s="30"/>
      <c r="V99" s="30"/>
      <c r="W99" s="30"/>
      <c r="Y99" s="20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</row>
    <row r="100" spans="1:39" s="8" customFormat="1">
      <c r="A100" s="20"/>
      <c r="B100" s="15"/>
      <c r="C100" s="15"/>
      <c r="D100" s="30"/>
      <c r="E100" s="30"/>
      <c r="F100" s="30"/>
      <c r="G100" s="30"/>
      <c r="J100" s="15"/>
      <c r="K100" s="15"/>
      <c r="L100" s="30"/>
      <c r="M100" s="30"/>
      <c r="N100" s="30"/>
      <c r="O100" s="30"/>
      <c r="R100" s="15"/>
      <c r="S100" s="15"/>
      <c r="T100" s="30"/>
      <c r="U100" s="30"/>
      <c r="V100" s="30"/>
      <c r="W100" s="30"/>
      <c r="Y100" s="20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</row>
    <row r="101" spans="1:39" s="8" customFormat="1">
      <c r="A101" s="20"/>
      <c r="B101" s="15"/>
      <c r="C101" s="15"/>
      <c r="D101" s="30"/>
      <c r="E101" s="30"/>
      <c r="F101" s="30"/>
      <c r="G101" s="30"/>
      <c r="J101" s="15"/>
      <c r="K101" s="15"/>
      <c r="L101" s="30"/>
      <c r="M101" s="30"/>
      <c r="N101" s="30"/>
      <c r="O101" s="30"/>
      <c r="Q101" s="15"/>
      <c r="R101" s="15"/>
      <c r="S101" s="15"/>
      <c r="T101" s="30"/>
      <c r="U101" s="30"/>
      <c r="V101" s="30"/>
      <c r="W101" s="30"/>
      <c r="X101" s="15"/>
      <c r="Y101" s="20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</row>
    <row r="102" spans="1:39" s="8" customFormat="1">
      <c r="A102" s="20"/>
      <c r="B102" s="15"/>
      <c r="C102" s="15"/>
      <c r="D102" s="30"/>
      <c r="E102" s="30"/>
      <c r="F102" s="30"/>
      <c r="G102" s="30"/>
      <c r="J102" s="15"/>
      <c r="K102" s="15"/>
      <c r="L102" s="30"/>
      <c r="M102" s="30"/>
      <c r="N102" s="30"/>
      <c r="O102" s="30"/>
      <c r="Q102" s="15"/>
      <c r="R102" s="15"/>
      <c r="S102" s="15"/>
      <c r="T102" s="30"/>
      <c r="U102" s="30"/>
      <c r="V102" s="30"/>
      <c r="W102" s="30"/>
      <c r="X102" s="15"/>
      <c r="Y102" s="20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</row>
    <row r="103" spans="1:39" s="8" customFormat="1">
      <c r="A103" s="20"/>
      <c r="B103" s="15"/>
      <c r="C103" s="15"/>
      <c r="D103" s="30"/>
      <c r="E103" s="30"/>
      <c r="F103" s="30"/>
      <c r="G103" s="30"/>
      <c r="J103" s="15"/>
      <c r="K103" s="15"/>
      <c r="L103" s="30"/>
      <c r="M103" s="30"/>
      <c r="N103" s="30"/>
      <c r="O103" s="30"/>
      <c r="Q103" s="15"/>
      <c r="R103" s="15"/>
      <c r="S103" s="15"/>
      <c r="T103" s="30"/>
      <c r="U103" s="30"/>
      <c r="V103" s="30"/>
      <c r="W103" s="30"/>
      <c r="X103" s="15"/>
      <c r="Y103" s="20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</row>
    <row r="104" spans="1:39" s="8" customFormat="1">
      <c r="A104" s="20"/>
      <c r="B104" s="15"/>
      <c r="C104" s="15"/>
      <c r="D104" s="30"/>
      <c r="E104" s="30"/>
      <c r="F104" s="30"/>
      <c r="G104" s="30"/>
      <c r="J104" s="15"/>
      <c r="K104" s="15"/>
      <c r="L104" s="30"/>
      <c r="M104" s="30"/>
      <c r="N104" s="30"/>
      <c r="O104" s="30"/>
      <c r="Q104" s="15"/>
      <c r="R104" s="15"/>
      <c r="S104" s="15"/>
      <c r="T104" s="30"/>
      <c r="U104" s="30"/>
      <c r="V104" s="30"/>
      <c r="W104" s="30"/>
      <c r="X104" s="15"/>
      <c r="Y104" s="20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</row>
    <row r="105" spans="1:39" s="8" customFormat="1">
      <c r="A105" s="20"/>
      <c r="B105" s="15"/>
      <c r="C105" s="15"/>
      <c r="D105" s="30"/>
      <c r="E105" s="30"/>
      <c r="F105" s="30"/>
      <c r="G105" s="30"/>
      <c r="J105" s="15"/>
      <c r="K105" s="15"/>
      <c r="L105" s="30"/>
      <c r="M105" s="30"/>
      <c r="N105" s="30"/>
      <c r="O105" s="30"/>
      <c r="Q105" s="15"/>
      <c r="R105" s="15"/>
      <c r="S105" s="15"/>
      <c r="T105" s="30"/>
      <c r="U105" s="30"/>
      <c r="V105" s="30"/>
      <c r="W105" s="30"/>
      <c r="X105" s="15"/>
      <c r="Y105" s="20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</row>
    <row r="106" spans="1:39" s="8" customFormat="1">
      <c r="A106" s="20"/>
      <c r="B106" s="15"/>
      <c r="C106" s="15"/>
      <c r="D106" s="30"/>
      <c r="E106" s="30"/>
      <c r="F106" s="30"/>
      <c r="G106" s="30"/>
      <c r="J106" s="15"/>
      <c r="K106" s="15"/>
      <c r="L106" s="30"/>
      <c r="M106" s="30"/>
      <c r="N106" s="30"/>
      <c r="O106" s="30"/>
      <c r="Q106" s="15"/>
      <c r="R106" s="15"/>
      <c r="S106" s="15"/>
      <c r="T106" s="30"/>
      <c r="U106" s="30"/>
      <c r="V106" s="30"/>
      <c r="W106" s="30"/>
      <c r="X106" s="15"/>
      <c r="Y106" s="20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</row>
    <row r="107" spans="1:39" s="8" customFormat="1">
      <c r="A107" s="20"/>
      <c r="B107" s="15"/>
      <c r="C107" s="15"/>
      <c r="D107" s="30"/>
      <c r="E107" s="30"/>
      <c r="F107" s="30"/>
      <c r="G107" s="30"/>
      <c r="J107" s="15"/>
      <c r="K107" s="15"/>
      <c r="L107" s="30"/>
      <c r="M107" s="30"/>
      <c r="N107" s="30"/>
      <c r="O107" s="30"/>
      <c r="Q107" s="15"/>
      <c r="R107" s="15"/>
      <c r="S107" s="15"/>
      <c r="T107" s="30"/>
      <c r="U107" s="30"/>
      <c r="V107" s="30"/>
      <c r="W107" s="30"/>
      <c r="X107" s="15"/>
      <c r="Y107" s="20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</row>
    <row r="108" spans="1:39" s="8" customFormat="1">
      <c r="A108" s="20"/>
      <c r="B108" s="15"/>
      <c r="C108" s="15"/>
      <c r="D108" s="30"/>
      <c r="E108" s="30"/>
      <c r="F108" s="30"/>
      <c r="G108" s="30"/>
      <c r="J108" s="15"/>
      <c r="K108" s="15"/>
      <c r="L108" s="30"/>
      <c r="M108" s="30"/>
      <c r="N108" s="30"/>
      <c r="O108" s="30"/>
      <c r="Q108" s="15"/>
      <c r="R108" s="15"/>
      <c r="S108" s="15"/>
      <c r="T108" s="30"/>
      <c r="U108" s="30"/>
      <c r="V108" s="30"/>
      <c r="W108" s="30"/>
      <c r="X108" s="15"/>
      <c r="Y108" s="20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</row>
    <row r="109" spans="1:39" s="8" customFormat="1">
      <c r="A109" s="20"/>
      <c r="B109" s="15"/>
      <c r="C109" s="15"/>
      <c r="D109" s="30"/>
      <c r="E109" s="30"/>
      <c r="F109" s="30"/>
      <c r="G109" s="30"/>
      <c r="J109" s="15"/>
      <c r="K109" s="15"/>
      <c r="L109" s="30"/>
      <c r="M109" s="30"/>
      <c r="N109" s="30"/>
      <c r="O109" s="30"/>
      <c r="Q109" s="15"/>
      <c r="R109" s="15"/>
      <c r="S109" s="15"/>
      <c r="T109" s="30"/>
      <c r="U109" s="30"/>
      <c r="V109" s="30"/>
      <c r="W109" s="30"/>
      <c r="X109" s="15"/>
      <c r="Y109" s="20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</row>
    <row r="110" spans="1:39" s="8" customFormat="1">
      <c r="A110" s="20"/>
      <c r="B110" s="15"/>
      <c r="C110" s="15"/>
      <c r="D110" s="30"/>
      <c r="E110" s="30"/>
      <c r="F110" s="30"/>
      <c r="G110" s="30"/>
      <c r="J110" s="15"/>
      <c r="K110" s="15"/>
      <c r="L110" s="30"/>
      <c r="M110" s="30"/>
      <c r="N110" s="30"/>
      <c r="O110" s="30"/>
      <c r="Q110" s="15"/>
      <c r="R110" s="15"/>
      <c r="S110" s="15"/>
      <c r="T110" s="30"/>
      <c r="U110" s="30"/>
      <c r="V110" s="30"/>
      <c r="W110" s="30"/>
      <c r="X110" s="15"/>
      <c r="Y110" s="20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</row>
  </sheetData>
  <mergeCells count="17">
    <mergeCell ref="J2:K4"/>
    <mergeCell ref="B2:C4"/>
    <mergeCell ref="J16:J25"/>
    <mergeCell ref="J26:J35"/>
    <mergeCell ref="B16:B25"/>
    <mergeCell ref="B26:B35"/>
    <mergeCell ref="R6:R15"/>
    <mergeCell ref="R16:R25"/>
    <mergeCell ref="R26:R35"/>
    <mergeCell ref="R36:R45"/>
    <mergeCell ref="R2:S4"/>
    <mergeCell ref="B36:B45"/>
    <mergeCell ref="B46:B55"/>
    <mergeCell ref="B6:B15"/>
    <mergeCell ref="J6:J15"/>
    <mergeCell ref="J36:J45"/>
    <mergeCell ref="J46:J55"/>
  </mergeCells>
  <conditionalFormatting sqref="V6:W45 N6:O55 F6:G55">
    <cfRule type="cellIs" dxfId="8" priority="19" stopIfTrue="1" operator="lessThan">
      <formula>0</formula>
    </cfRule>
    <cfRule type="cellIs" dxfId="7" priority="20" stopIfTrue="1" operator="greaterThan">
      <formula>0</formula>
    </cfRule>
    <cfRule type="cellIs" dxfId="6" priority="21" stopIfTrue="1" operator="equal">
      <formula>0</formula>
    </cfRule>
  </conditionalFormatting>
  <pageMargins left="0.75" right="0.75" top="1" bottom="1" header="0.5" footer="0.5"/>
  <pageSetup paperSize="9" orientation="portrait" verticalDpi="2" r:id="rId1"/>
  <headerFooter alignWithMargins="0"/>
  <ignoredErrors>
    <ignoredError sqref="E7 E9 E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Materials</vt:lpstr>
      <vt:lpstr>Adrenals &amp; Stims</vt:lpstr>
      <vt:lpstr>Implants by stat</vt:lpstr>
      <vt:lpstr>Implants by bonus</vt:lpstr>
    </vt:vector>
  </TitlesOfParts>
  <Company>BetasIRC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Onsberg</dc:creator>
  <cp:lastModifiedBy>Mads</cp:lastModifiedBy>
  <dcterms:created xsi:type="dcterms:W3CDTF">2012-01-10T12:36:26Z</dcterms:created>
  <dcterms:modified xsi:type="dcterms:W3CDTF">2012-01-16T22:27:29Z</dcterms:modified>
</cp:coreProperties>
</file>