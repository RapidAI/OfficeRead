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5" yWindow="6135" windowWidth="25260" windowHeight="6195" tabRatio="889" activeTab="10"/>
  </bookViews>
  <sheets>
    <sheet name="A. Organization Chart" sheetId="2" r:id="rId1"/>
    <sheet name="B. Summary of Requirements " sheetId="3" r:id="rId2"/>
    <sheet name="C. Increases Offsets" sheetId="4" r:id="rId3"/>
    <sheet name="D. Strategic Goals &amp; Objectives" sheetId="5" r:id="rId4"/>
    <sheet name="E. ATB Justification" sheetId="6" r:id="rId5"/>
    <sheet name="F. 2011 Crosswalk" sheetId="7" r:id="rId6"/>
    <sheet name="G. 2012 Crosswalk" sheetId="8" r:id="rId7"/>
    <sheet name="I. Permanent Positions" sheetId="10" r:id="rId8"/>
    <sheet name="J. Financial Analysis" sheetId="11" r:id="rId9"/>
    <sheet name="K. Summary by Grade" sheetId="12" r:id="rId10"/>
    <sheet name="L. Summary by Object Class" sheetId="13" r:id="rId11"/>
  </sheets>
  <externalReferences>
    <externalReference r:id="rId12"/>
  </externalReferences>
  <definedNames>
    <definedName name="_10POS_BY_CAT" localSheetId="8">'[1]Summ Atty Agt'!#REF!</definedName>
    <definedName name="_11POS_BY_CAT">#REF!</definedName>
    <definedName name="_1ATTORNEY_SUPP" localSheetId="1">#REF!</definedName>
    <definedName name="_2ATTORNEY_SUPP">#REF!</definedName>
    <definedName name="_3GA_ROLLUP" localSheetId="1">'B. Summary of Requirements '!#REF!</definedName>
    <definedName name="_4GA_ROLLUP" localSheetId="3">#REF!</definedName>
    <definedName name="_6GA_ROLLUP" localSheetId="8">'[1]Sum of Req'!#REF!</definedName>
    <definedName name="_7GA_ROLLUP">#REF!</definedName>
    <definedName name="_8POS_BY_CAT" localSheetId="1">#REF!</definedName>
    <definedName name="_9POS_BY_CAT" localSheetId="3">#REF!</definedName>
    <definedName name="DL" localSheetId="1">'B. Summary of Requirements '!$A$3:$X$55</definedName>
    <definedName name="DL">#REF!</definedName>
    <definedName name="EXECSUPP" localSheetId="1">'B. Summary of Requirements '!#REF!</definedName>
    <definedName name="EXECSUPP" localSheetId="3">#REF!</definedName>
    <definedName name="EXECSUPP" localSheetId="8">'[1]Sum of Req'!#REF!</definedName>
    <definedName name="EXECSUPP">#REF!</definedName>
    <definedName name="FY0711.1">#REF!</definedName>
    <definedName name="FY0711.5">#REF!</definedName>
    <definedName name="FY0712.1">#REF!</definedName>
    <definedName name="FY0721.0">#REF!</definedName>
    <definedName name="FY0722.0">#REF!</definedName>
    <definedName name="FY0723.1">#REF!</definedName>
    <definedName name="FY0723.2">#REF!</definedName>
    <definedName name="FY0723.3">#REF!</definedName>
    <definedName name="FY0724.0">#REF!</definedName>
    <definedName name="FY0725.2">#REF!</definedName>
    <definedName name="FY0725.3">#REF!</definedName>
    <definedName name="FY0725.6">#REF!</definedName>
    <definedName name="FY0726.0">#REF!</definedName>
    <definedName name="FY0731.0">#REF!</definedName>
    <definedName name="FY0732.0">#REF!</definedName>
    <definedName name="FY07Ling">#REF!</definedName>
    <definedName name="FY07Mult">#REF!</definedName>
    <definedName name="FY07PEPI">#REF!</definedName>
    <definedName name="FY07Tot">#REF!</definedName>
    <definedName name="FY07Train">#REF!</definedName>
    <definedName name="FY0811.1">#REF!</definedName>
    <definedName name="FY0811.5">#REF!</definedName>
    <definedName name="FY0812.1">#REF!</definedName>
    <definedName name="FY0821.0">#REF!</definedName>
    <definedName name="FY0822.0">#REF!</definedName>
    <definedName name="FY0823.1">#REF!</definedName>
    <definedName name="FY0823.2">#REF!</definedName>
    <definedName name="FY0823.3">#REF!</definedName>
    <definedName name="FY0824.0">#REF!</definedName>
    <definedName name="FY0825.2">#REF!</definedName>
    <definedName name="FY0825.3">#REF!</definedName>
    <definedName name="FY0825.6">#REF!</definedName>
    <definedName name="FY0826.0">#REF!</definedName>
    <definedName name="FY0831.0">#REF!</definedName>
    <definedName name="FY0832.0">#REF!</definedName>
    <definedName name="FY08Ling">#REF!</definedName>
    <definedName name="FY08Mult">#REF!</definedName>
    <definedName name="FY08PEPI">#REF!</definedName>
    <definedName name="FY08Tot">#REF!</definedName>
    <definedName name="FY08Train">#REF!</definedName>
    <definedName name="FY0911.1">#REF!</definedName>
    <definedName name="FY0911.5">#REF!</definedName>
    <definedName name="FY0912.1">#REF!</definedName>
    <definedName name="FY0921.0">#REF!</definedName>
    <definedName name="FY0922.0">#REF!</definedName>
    <definedName name="FY0923.1">#REF!</definedName>
    <definedName name="FY0923.2">#REF!</definedName>
    <definedName name="FY0923.3">#REF!</definedName>
    <definedName name="FY0924.0">#REF!</definedName>
    <definedName name="FY0925.2">#REF!</definedName>
    <definedName name="FY0925.3">#REF!</definedName>
    <definedName name="FY0925.6">#REF!</definedName>
    <definedName name="FY0926.0">#REF!</definedName>
    <definedName name="FY0931.0">#REF!</definedName>
    <definedName name="FY0932.0">#REF!</definedName>
    <definedName name="FY09Ling">#REF!</definedName>
    <definedName name="FY09Mult">#REF!</definedName>
    <definedName name="FY09PEPI">#REF!</definedName>
    <definedName name="FY09Tot">#REF!</definedName>
    <definedName name="FY09Train">#REF!</definedName>
    <definedName name="hlhl0" localSheetId="4">'E. ATB Justification'!#REF!</definedName>
    <definedName name="INTEL" localSheetId="1">'B. Summary of Requirements '!#REF!</definedName>
    <definedName name="INTEL" localSheetId="3">#REF!</definedName>
    <definedName name="INTEL" localSheetId="8">'[1]Sum of Req'!#REF!</definedName>
    <definedName name="INTEL">#REF!</definedName>
    <definedName name="JMD" localSheetId="1">'B. Summary of Requirements '!#REF!</definedName>
    <definedName name="JMD" localSheetId="3">#REF!</definedName>
    <definedName name="JMD" localSheetId="8">'[1]Sum of Req'!#REF!</definedName>
    <definedName name="JMD">#REF!</definedName>
    <definedName name="OLE_LINK7" localSheetId="4">'E. ATB Justification'!#REF!</definedName>
    <definedName name="PART">#REF!</definedName>
    <definedName name="_xlnm.Print_Area" localSheetId="0">'A. Organization Chart'!$A$1:$N$29</definedName>
    <definedName name="_xlnm.Print_Area" localSheetId="1">'B. Summary of Requirements '!$A$1:$X$66</definedName>
    <definedName name="_xlnm.Print_Area" localSheetId="2">'C. Increases Offsets'!$A$1:$G$14</definedName>
    <definedName name="_xlnm.Print_Area" localSheetId="3">'D. Strategic Goals &amp; Objectives'!$A$1:$P$18</definedName>
    <definedName name="_xlnm.Print_Area" localSheetId="4">'E. ATB Justification'!$A$1:$D$44</definedName>
    <definedName name="_xlnm.Print_Area" localSheetId="5">'F. 2011 Crosswalk'!$A$1:$O$27</definedName>
    <definedName name="_xlnm.Print_Area" localSheetId="6">'G. 2012 Crosswalk'!$A$1:$R$23</definedName>
    <definedName name="_xlnm.Print_Area" localSheetId="7">'I. Permanent Positions'!$A$1:$K$23</definedName>
    <definedName name="_xlnm.Print_Area" localSheetId="8">'J. Financial Analysis'!$A$1:$E$24</definedName>
    <definedName name="_xlnm.Print_Area" localSheetId="9">'K. Summary by Grade'!$A$1:$I$27</definedName>
    <definedName name="_xlnm.Print_Area" localSheetId="10">'L. Summary by Object Class'!$A$1:$J$44</definedName>
    <definedName name="_xlnm.Print_Area">#REF!</definedName>
    <definedName name="REIMPRO">#REF!</definedName>
    <definedName name="REIMSOR">#REF!</definedName>
    <definedName name="Z_12C66D54_5067_4346_818B_6EAB1C8A9183_.wvu.Cols" localSheetId="6" hidden="1">'G. 2012 Crosswalk'!$H:$J</definedName>
    <definedName name="Z_12C66D54_5067_4346_818B_6EAB1C8A9183_.wvu.Cols" localSheetId="10" hidden="1">'L. Summary by Object Class'!$J:$L</definedName>
    <definedName name="Z_12C66D54_5067_4346_818B_6EAB1C8A9183_.wvu.PrintArea" localSheetId="0" hidden="1">'A. Organization Chart'!$A$1:$N$29</definedName>
    <definedName name="Z_12C66D54_5067_4346_818B_6EAB1C8A9183_.wvu.PrintArea" localSheetId="1" hidden="1">'B. Summary of Requirements '!$A$1:$X$64</definedName>
    <definedName name="Z_12C66D54_5067_4346_818B_6EAB1C8A9183_.wvu.PrintArea" localSheetId="2" hidden="1">'C. Increases Offsets'!$A$1:$G$14</definedName>
    <definedName name="Z_12C66D54_5067_4346_818B_6EAB1C8A9183_.wvu.PrintArea" localSheetId="3" hidden="1">'D. Strategic Goals &amp; Objectives'!$A$1:$P$18</definedName>
    <definedName name="Z_12C66D54_5067_4346_818B_6EAB1C8A9183_.wvu.PrintArea" localSheetId="4" hidden="1">'E. ATB Justification'!$A$1:$D$44</definedName>
    <definedName name="Z_12C66D54_5067_4346_818B_6EAB1C8A9183_.wvu.PrintArea" localSheetId="5" hidden="1">'F. 2011 Crosswalk'!$A$1:$O$27</definedName>
    <definedName name="Z_12C66D54_5067_4346_818B_6EAB1C8A9183_.wvu.PrintArea" localSheetId="6" hidden="1">'G. 2012 Crosswalk'!$A$1:$R$20</definedName>
    <definedName name="Z_12C66D54_5067_4346_818B_6EAB1C8A9183_.wvu.PrintArea" localSheetId="7" hidden="1">'I. Permanent Positions'!$A$1:$K$23</definedName>
    <definedName name="Z_12C66D54_5067_4346_818B_6EAB1C8A9183_.wvu.PrintArea" localSheetId="8" hidden="1">'J. Financial Analysis'!$A$1:$E$24</definedName>
    <definedName name="Z_12C66D54_5067_4346_818B_6EAB1C8A9183_.wvu.PrintArea" localSheetId="9" hidden="1">'K. Summary by Grade'!$A$1:$I$27</definedName>
    <definedName name="Z_12C66D54_5067_4346_818B_6EAB1C8A9183_.wvu.PrintArea" localSheetId="10" hidden="1">'L. Summary by Object Class'!$A$1:$K$44</definedName>
    <definedName name="Z_12C66D54_5067_4346_818B_6EAB1C8A9183_.wvu.Rows" localSheetId="3" hidden="1">'D. Strategic Goals &amp; Objectives'!$10:$10</definedName>
    <definedName name="Z_3118AF25_8423_420A_806A_487665220C68_.wvu.Cols" localSheetId="6" hidden="1">'G. 2012 Crosswalk'!$H:$J</definedName>
    <definedName name="Z_3118AF25_8423_420A_806A_487665220C68_.wvu.Cols" localSheetId="10" hidden="1">'L. Summary by Object Class'!$J:$L</definedName>
    <definedName name="Z_3118AF25_8423_420A_806A_487665220C68_.wvu.PrintArea" localSheetId="0" hidden="1">'A. Organization Chart'!$A$1:$N$29</definedName>
    <definedName name="Z_3118AF25_8423_420A_806A_487665220C68_.wvu.PrintArea" localSheetId="1" hidden="1">'B. Summary of Requirements '!$A$1:$X$64</definedName>
    <definedName name="Z_3118AF25_8423_420A_806A_487665220C68_.wvu.PrintArea" localSheetId="2" hidden="1">'C. Increases Offsets'!$A$1:$G$14</definedName>
    <definedName name="Z_3118AF25_8423_420A_806A_487665220C68_.wvu.PrintArea" localSheetId="3" hidden="1">'D. Strategic Goals &amp; Objectives'!$A$1:$P$18</definedName>
    <definedName name="Z_3118AF25_8423_420A_806A_487665220C68_.wvu.PrintArea" localSheetId="4" hidden="1">'E. ATB Justification'!$A$1:$D$44</definedName>
    <definedName name="Z_3118AF25_8423_420A_806A_487665220C68_.wvu.PrintArea" localSheetId="5" hidden="1">'F. 2011 Crosswalk'!$A$1:$O$27</definedName>
    <definedName name="Z_3118AF25_8423_420A_806A_487665220C68_.wvu.PrintArea" localSheetId="6" hidden="1">'G. 2012 Crosswalk'!$A$1:$R$20</definedName>
    <definedName name="Z_3118AF25_8423_420A_806A_487665220C68_.wvu.PrintArea" localSheetId="7" hidden="1">'I. Permanent Positions'!$A$1:$K$23</definedName>
    <definedName name="Z_3118AF25_8423_420A_806A_487665220C68_.wvu.PrintArea" localSheetId="8" hidden="1">'J. Financial Analysis'!$A$1:$E$24</definedName>
    <definedName name="Z_3118AF25_8423_420A_806A_487665220C68_.wvu.PrintArea" localSheetId="9" hidden="1">'K. Summary by Grade'!$A$1:$I$27</definedName>
    <definedName name="Z_3118AF25_8423_420A_806A_487665220C68_.wvu.PrintArea" localSheetId="10" hidden="1">'L. Summary by Object Class'!$A$1:$K$44</definedName>
    <definedName name="Z_3118AF25_8423_420A_806A_487665220C68_.wvu.Rows" localSheetId="3" hidden="1">'D. Strategic Goals &amp; Objectives'!$10:$10</definedName>
    <definedName name="Z_4148B88B_8ED7_4FDE_9459_DEB244AD0552_.wvu.Cols" localSheetId="5" hidden="1">'F. 2011 Crosswalk'!#REF!</definedName>
    <definedName name="Z_4148B88B_8ED7_4FDE_9459_DEB244AD0552_.wvu.Cols" localSheetId="6" hidden="1">'G. 2012 Crosswalk'!$H:$J</definedName>
    <definedName name="Z_4148B88B_8ED7_4FDE_9459_DEB244AD0552_.wvu.Cols" localSheetId="10" hidden="1">'L. Summary by Object Class'!$J:$L</definedName>
    <definedName name="Z_4148B88B_8ED7_4FDE_9459_DEB244AD0552_.wvu.PrintArea" localSheetId="0" hidden="1">'A. Organization Chart'!$A$1:$N$29</definedName>
    <definedName name="Z_4148B88B_8ED7_4FDE_9459_DEB244AD0552_.wvu.PrintArea" localSheetId="1" hidden="1">'B. Summary of Requirements '!$A$1:$X$64</definedName>
    <definedName name="Z_4148B88B_8ED7_4FDE_9459_DEB244AD0552_.wvu.PrintArea" localSheetId="2" hidden="1">'C. Increases Offsets'!$A$1:$G$14</definedName>
    <definedName name="Z_4148B88B_8ED7_4FDE_9459_DEB244AD0552_.wvu.PrintArea" localSheetId="3" hidden="1">'D. Strategic Goals &amp; Objectives'!$A$1:$P$18</definedName>
    <definedName name="Z_4148B88B_8ED7_4FDE_9459_DEB244AD0552_.wvu.PrintArea" localSheetId="4" hidden="1">'E. ATB Justification'!$A$1:$D$44</definedName>
    <definedName name="Z_4148B88B_8ED7_4FDE_9459_DEB244AD0552_.wvu.PrintArea" localSheetId="5" hidden="1">'F. 2011 Crosswalk'!$A$1:$O$27</definedName>
    <definedName name="Z_4148B88B_8ED7_4FDE_9459_DEB244AD0552_.wvu.PrintArea" localSheetId="6" hidden="1">'G. 2012 Crosswalk'!$A$1:$R$20</definedName>
    <definedName name="Z_4148B88B_8ED7_4FDE_9459_DEB244AD0552_.wvu.PrintArea" localSheetId="7" hidden="1">'I. Permanent Positions'!$A$1:$K$23</definedName>
    <definedName name="Z_4148B88B_8ED7_4FDE_9459_DEB244AD0552_.wvu.PrintArea" localSheetId="8" hidden="1">'J. Financial Analysis'!$A$1:$E$24</definedName>
    <definedName name="Z_4148B88B_8ED7_4FDE_9459_DEB244AD0552_.wvu.PrintArea" localSheetId="9" hidden="1">'K. Summary by Grade'!$A$1:$I$27</definedName>
    <definedName name="Z_4148B88B_8ED7_4FDE_9459_DEB244AD0552_.wvu.PrintArea" localSheetId="10" hidden="1">'L. Summary by Object Class'!$A$1:$K$44</definedName>
    <definedName name="Z_4148B88B_8ED7_4FDE_9459_DEB244AD0552_.wvu.Rows" localSheetId="3" hidden="1">'D. Strategic Goals &amp; Objectives'!$10:$10</definedName>
    <definedName name="Z_56C0A34E_45B4_448B_85E5_70B3A8E63333_.wvu.Cols" localSheetId="10" hidden="1">'L. Summary by Object Class'!$J:$L</definedName>
    <definedName name="Z_56C0A34E_45B4_448B_85E5_70B3A8E63333_.wvu.PrintArea" localSheetId="0" hidden="1">'A. Organization Chart'!$A$1:$N$29</definedName>
    <definedName name="Z_56C0A34E_45B4_448B_85E5_70B3A8E63333_.wvu.PrintArea" localSheetId="1" hidden="1">'B. Summary of Requirements '!$A$1:$X$64</definedName>
    <definedName name="Z_56C0A34E_45B4_448B_85E5_70B3A8E63333_.wvu.PrintArea" localSheetId="2" hidden="1">'C. Increases Offsets'!$A$1:$G$14</definedName>
    <definedName name="Z_56C0A34E_45B4_448B_85E5_70B3A8E63333_.wvu.PrintArea" localSheetId="3" hidden="1">'D. Strategic Goals &amp; Objectives'!$A$1:$P$18</definedName>
    <definedName name="Z_56C0A34E_45B4_448B_85E5_70B3A8E63333_.wvu.PrintArea" localSheetId="4" hidden="1">'E. ATB Justification'!$A$1:$D$44</definedName>
    <definedName name="Z_56C0A34E_45B4_448B_85E5_70B3A8E63333_.wvu.PrintArea" localSheetId="5" hidden="1">'F. 2011 Crosswalk'!$A$1:$O$27</definedName>
    <definedName name="Z_56C0A34E_45B4_448B_85E5_70B3A8E63333_.wvu.PrintArea" localSheetId="6" hidden="1">'G. 2012 Crosswalk'!$A$1:$R$20</definedName>
    <definedName name="Z_56C0A34E_45B4_448B_85E5_70B3A8E63333_.wvu.PrintArea" localSheetId="7" hidden="1">'I. Permanent Positions'!$A$1:$K$23</definedName>
    <definedName name="Z_56C0A34E_45B4_448B_85E5_70B3A8E63333_.wvu.PrintArea" localSheetId="8" hidden="1">'J. Financial Analysis'!$A$1:$E$24</definedName>
    <definedName name="Z_56C0A34E_45B4_448B_85E5_70B3A8E63333_.wvu.PrintArea" localSheetId="9" hidden="1">'K. Summary by Grade'!$A$1:$I$27</definedName>
    <definedName name="Z_56C0A34E_45B4_448B_85E5_70B3A8E63333_.wvu.PrintArea" localSheetId="10" hidden="1">'L. Summary by Object Class'!$A$1:$K$44</definedName>
    <definedName name="Z_56C0A34E_45B4_448B_85E5_70B3A8E63333_.wvu.Rows" localSheetId="3" hidden="1">'D. Strategic Goals &amp; Objectives'!$10:$10</definedName>
    <definedName name="Z_68D6E89C_5B15_4C35_9CD8_F5F4F27258FD_.wvu.Cols" localSheetId="6" hidden="1">'G. 2012 Crosswalk'!$H:$J</definedName>
    <definedName name="Z_68D6E89C_5B15_4C35_9CD8_F5F4F27258FD_.wvu.Cols" localSheetId="10" hidden="1">'L. Summary by Object Class'!$J:$L</definedName>
    <definedName name="Z_68D6E89C_5B15_4C35_9CD8_F5F4F27258FD_.wvu.PrintArea" localSheetId="0" hidden="1">'A. Organization Chart'!$A$1:$N$29</definedName>
    <definedName name="Z_68D6E89C_5B15_4C35_9CD8_F5F4F27258FD_.wvu.PrintArea" localSheetId="1" hidden="1">'B. Summary of Requirements '!$A$1:$X$64</definedName>
    <definedName name="Z_68D6E89C_5B15_4C35_9CD8_F5F4F27258FD_.wvu.PrintArea" localSheetId="2" hidden="1">'C. Increases Offsets'!$A$1:$G$14</definedName>
    <definedName name="Z_68D6E89C_5B15_4C35_9CD8_F5F4F27258FD_.wvu.PrintArea" localSheetId="3" hidden="1">'D. Strategic Goals &amp; Objectives'!$A$1:$P$18</definedName>
    <definedName name="Z_68D6E89C_5B15_4C35_9CD8_F5F4F27258FD_.wvu.PrintArea" localSheetId="4" hidden="1">'E. ATB Justification'!$A$1:$D$44</definedName>
    <definedName name="Z_68D6E89C_5B15_4C35_9CD8_F5F4F27258FD_.wvu.PrintArea" localSheetId="5" hidden="1">'F. 2011 Crosswalk'!$A$1:$O$27</definedName>
    <definedName name="Z_68D6E89C_5B15_4C35_9CD8_F5F4F27258FD_.wvu.PrintArea" localSheetId="6" hidden="1">'G. 2012 Crosswalk'!$A$1:$R$23</definedName>
    <definedName name="Z_68D6E89C_5B15_4C35_9CD8_F5F4F27258FD_.wvu.PrintArea" localSheetId="7" hidden="1">'I. Permanent Positions'!$A$1:$K$23</definedName>
    <definedName name="Z_68D6E89C_5B15_4C35_9CD8_F5F4F27258FD_.wvu.PrintArea" localSheetId="8" hidden="1">'J. Financial Analysis'!$A$1:$E$24</definedName>
    <definedName name="Z_68D6E89C_5B15_4C35_9CD8_F5F4F27258FD_.wvu.PrintArea" localSheetId="9" hidden="1">'K. Summary by Grade'!$A$1:$I$27</definedName>
    <definedName name="Z_68D6E89C_5B15_4C35_9CD8_F5F4F27258FD_.wvu.PrintArea" localSheetId="10" hidden="1">'L. Summary by Object Class'!$A$1:$J$44</definedName>
    <definedName name="Z_68D6E89C_5B15_4C35_9CD8_F5F4F27258FD_.wvu.Rows" localSheetId="3" hidden="1">'D. Strategic Goals &amp; Objectives'!$10:$10</definedName>
  </definedNames>
  <calcPr calcId="125725"/>
  <customWorkbookViews>
    <customWorkbookView name="sdunklin - Personal View" guid="{68D6E89C-5B15-4C35-9CD8-F5F4F27258FD}" mergeInterval="0" personalView="1" maximized="1" xWindow="1" yWindow="1" windowWidth="1600" windowHeight="924" tabRatio="889" activeSheetId="2"/>
    <customWorkbookView name="matsatt - Personal View" guid="{4148B88B-8ED7-4FDE-9459-DEB244AD0552}" mergeInterval="0" personalView="1" maximized="1" xWindow="1" yWindow="1" windowWidth="1246" windowHeight="743" tabRatio="889" activeSheetId="3"/>
    <customWorkbookView name="debjones - Personal View" guid="{56C0A34E-45B4-448B-85E5-70B3A8E63333}" mergeInterval="0" personalView="1" maximized="1" xWindow="1" yWindow="1" windowWidth="1680" windowHeight="820" tabRatio="889" activeSheetId="3" showComments="commIndAndComment"/>
    <customWorkbookView name="mschneck - Personal View" guid="{3118AF25-8423-420A-806A-487665220C68}" mergeInterval="0" personalView="1" maximized="1" xWindow="1" yWindow="1" windowWidth="1680" windowHeight="797" tabRatio="889" activeSheetId="14" showComments="commIndAndComment"/>
    <customWorkbookView name="mcupertino - Personal View" guid="{12C66D54-5067-4346-818B-6EAB1C8A9183}" mergeInterval="0" personalView="1" maximized="1" xWindow="1" yWindow="1" windowWidth="1280" windowHeight="833" tabRatio="889" activeSheetId="1"/>
  </customWorkbookViews>
</workbook>
</file>

<file path=xl/calcChain.xml><?xml version="1.0" encoding="utf-8"?>
<calcChain xmlns="http://schemas.openxmlformats.org/spreadsheetml/2006/main">
  <c r="I55" i="3"/>
  <c r="H55"/>
  <c r="G55"/>
  <c r="X34"/>
  <c r="W34"/>
  <c r="V34"/>
  <c r="X27"/>
  <c r="W27"/>
  <c r="V27"/>
  <c r="E26" i="13"/>
  <c r="J18" i="5"/>
  <c r="E34" i="13" l="1"/>
  <c r="I30" l="1"/>
  <c r="L30"/>
  <c r="E23" i="11"/>
  <c r="E22"/>
  <c r="E21"/>
  <c r="E20"/>
  <c r="E19"/>
  <c r="E18"/>
  <c r="E17"/>
  <c r="E16"/>
  <c r="E15"/>
  <c r="E14"/>
  <c r="E13"/>
  <c r="E12"/>
  <c r="E11"/>
  <c r="D23"/>
  <c r="D22"/>
  <c r="D21"/>
  <c r="D20"/>
  <c r="D19"/>
  <c r="D18"/>
  <c r="D17"/>
  <c r="D16"/>
  <c r="D15"/>
  <c r="D14"/>
  <c r="D13"/>
  <c r="D12"/>
  <c r="D11"/>
  <c r="O13" i="8"/>
  <c r="N13"/>
  <c r="M13"/>
  <c r="L13"/>
  <c r="K13"/>
  <c r="G13"/>
  <c r="F13"/>
  <c r="E13"/>
  <c r="D13"/>
  <c r="C13"/>
  <c r="B13"/>
  <c r="L13" i="7"/>
  <c r="K13"/>
  <c r="J13"/>
  <c r="I13"/>
  <c r="H13"/>
  <c r="G13"/>
  <c r="F13"/>
  <c r="E13"/>
  <c r="D13"/>
  <c r="C13"/>
  <c r="B13"/>
  <c r="G12" i="4" l="1"/>
  <c r="F55" i="3"/>
  <c r="E55"/>
  <c r="D55"/>
  <c r="R56"/>
  <c r="Q56"/>
  <c r="P56"/>
  <c r="F56"/>
  <c r="E56"/>
  <c r="D56"/>
  <c r="X21"/>
  <c r="W21"/>
  <c r="V21"/>
  <c r="R12" i="8"/>
  <c r="R13" s="1"/>
  <c r="O12" i="7"/>
  <c r="O13" s="1"/>
  <c r="W58" i="3"/>
  <c r="W63"/>
  <c r="W62"/>
  <c r="I33" i="13"/>
  <c r="I32"/>
  <c r="I31"/>
  <c r="I29"/>
  <c r="I28"/>
  <c r="I27"/>
  <c r="I26"/>
  <c r="I25"/>
  <c r="I24"/>
  <c r="I23"/>
  <c r="I22"/>
  <c r="I21"/>
  <c r="I20"/>
  <c r="I19"/>
  <c r="I18"/>
  <c r="H15"/>
  <c r="H14"/>
  <c r="H13"/>
  <c r="H10"/>
  <c r="H11"/>
  <c r="I15"/>
  <c r="I14"/>
  <c r="I13"/>
  <c r="I11"/>
  <c r="I10"/>
  <c r="H13" i="12"/>
  <c r="H14"/>
  <c r="H15"/>
  <c r="H16"/>
  <c r="H17"/>
  <c r="H18"/>
  <c r="H19"/>
  <c r="H20"/>
  <c r="H21"/>
  <c r="H12"/>
  <c r="N18" i="7"/>
  <c r="N17"/>
  <c r="N14"/>
  <c r="N12"/>
  <c r="N13" s="1"/>
  <c r="M12"/>
  <c r="M13" s="1"/>
  <c r="H22" i="12" l="1"/>
  <c r="V31" i="3"/>
  <c r="V32" s="1"/>
  <c r="S55" s="1"/>
  <c r="S56" s="1"/>
  <c r="W31" l="1"/>
  <c r="W32" s="1"/>
  <c r="T55" s="1"/>
  <c r="T56" s="1"/>
  <c r="X31"/>
  <c r="X32" s="1"/>
  <c r="U55" s="1"/>
  <c r="U56" s="1"/>
  <c r="Q18" i="8"/>
  <c r="Q17"/>
  <c r="Q14"/>
  <c r="Q12"/>
  <c r="Q13" s="1"/>
  <c r="P12"/>
  <c r="P13" s="1"/>
  <c r="A44" i="3"/>
  <c r="F12" i="13" l="1"/>
  <c r="E16"/>
  <c r="D12"/>
  <c r="D16" s="1"/>
  <c r="C16"/>
  <c r="C34" s="1"/>
  <c r="C38" s="1"/>
  <c r="B12"/>
  <c r="B16" s="1"/>
  <c r="L15" i="8"/>
  <c r="L19" s="1"/>
  <c r="J13"/>
  <c r="I13"/>
  <c r="I15" s="1"/>
  <c r="I19" s="1"/>
  <c r="H13"/>
  <c r="F15"/>
  <c r="F19" s="1"/>
  <c r="C15"/>
  <c r="C19" s="1"/>
  <c r="A5"/>
  <c r="A4"/>
  <c r="W25" i="3"/>
  <c r="W26" s="1"/>
  <c r="K55" s="1"/>
  <c r="K56" s="1"/>
  <c r="K59" s="1"/>
  <c r="K64" s="1"/>
  <c r="V25"/>
  <c r="V26" s="1"/>
  <c r="J55" s="1"/>
  <c r="J56" s="1"/>
  <c r="X25"/>
  <c r="X26" s="1"/>
  <c r="L55" s="1"/>
  <c r="L56" s="1"/>
  <c r="N17" i="5"/>
  <c r="N18" s="1"/>
  <c r="M17"/>
  <c r="M18" s="1"/>
  <c r="L17"/>
  <c r="L18" s="1"/>
  <c r="K17"/>
  <c r="K18" s="1"/>
  <c r="J17"/>
  <c r="I17"/>
  <c r="I18" s="1"/>
  <c r="G17"/>
  <c r="G18" s="1"/>
  <c r="F17"/>
  <c r="F18" s="1"/>
  <c r="D17"/>
  <c r="D18" s="1"/>
  <c r="C17"/>
  <c r="C18" s="1"/>
  <c r="P16"/>
  <c r="O16"/>
  <c r="P15"/>
  <c r="O15"/>
  <c r="P14"/>
  <c r="O14"/>
  <c r="G56" i="3"/>
  <c r="H56"/>
  <c r="H59" s="1"/>
  <c r="H64" s="1"/>
  <c r="I56"/>
  <c r="E59"/>
  <c r="E64" s="1"/>
  <c r="Q59"/>
  <c r="Q64" s="1"/>
  <c r="T59"/>
  <c r="T64" s="1"/>
  <c r="L28" i="13"/>
  <c r="L22"/>
  <c r="H23" i="10"/>
  <c r="F22" i="12"/>
  <c r="I21" i="10"/>
  <c r="I23" s="1"/>
  <c r="G23"/>
  <c r="C13" i="4"/>
  <c r="D13"/>
  <c r="E13"/>
  <c r="F13"/>
  <c r="B22" i="12"/>
  <c r="B24" i="11"/>
  <c r="B23" i="10"/>
  <c r="B20"/>
  <c r="I20"/>
  <c r="E20"/>
  <c r="A5" i="13"/>
  <c r="A4"/>
  <c r="D23" i="10"/>
  <c r="D22" i="12"/>
  <c r="K20" i="10"/>
  <c r="J20"/>
  <c r="H20"/>
  <c r="G20"/>
  <c r="F20"/>
  <c r="D20"/>
  <c r="C20"/>
  <c r="A6" i="12"/>
  <c r="A5" i="11"/>
  <c r="A6" i="10"/>
  <c r="A5"/>
  <c r="A5" i="7"/>
  <c r="A4"/>
  <c r="J16" i="13"/>
  <c r="K16"/>
  <c r="K18"/>
  <c r="L18"/>
  <c r="L19"/>
  <c r="L20"/>
  <c r="J21"/>
  <c r="L21"/>
  <c r="L23"/>
  <c r="L24"/>
  <c r="L25"/>
  <c r="L26"/>
  <c r="L27"/>
  <c r="L29"/>
  <c r="L31"/>
  <c r="L32"/>
  <c r="L33"/>
  <c r="C23" i="10"/>
  <c r="E23"/>
  <c r="F23"/>
  <c r="C15" i="7"/>
  <c r="C19" s="1"/>
  <c r="F15"/>
  <c r="F19" s="1"/>
  <c r="I15"/>
  <c r="I19" s="1"/>
  <c r="N15"/>
  <c r="N19" s="1"/>
  <c r="K21" i="10" l="1"/>
  <c r="K23" s="1"/>
  <c r="N55" i="3"/>
  <c r="M55"/>
  <c r="H12" i="13"/>
  <c r="H16" s="1"/>
  <c r="I12"/>
  <c r="I16" s="1"/>
  <c r="I34" s="1"/>
  <c r="K34"/>
  <c r="F16"/>
  <c r="G16"/>
  <c r="G34" s="1"/>
  <c r="J34"/>
  <c r="J23" i="10"/>
  <c r="P17" i="5"/>
  <c r="P18" s="1"/>
  <c r="O17"/>
  <c r="O18" s="1"/>
  <c r="G13" i="4"/>
  <c r="Q15" i="8"/>
  <c r="Q19" s="1"/>
  <c r="E38" i="13"/>
  <c r="C24" i="11"/>
  <c r="D24"/>
  <c r="X33" i="3" l="1"/>
  <c r="O55"/>
  <c r="N56"/>
  <c r="N59" s="1"/>
  <c r="N64" s="1"/>
  <c r="W55"/>
  <c r="W56" s="1"/>
  <c r="W59" s="1"/>
  <c r="W64" s="1"/>
  <c r="M56"/>
  <c r="V55"/>
  <c r="V56" s="1"/>
  <c r="L16" i="13"/>
  <c r="G38"/>
  <c r="L34"/>
  <c r="E24" i="11"/>
  <c r="W33" i="3"/>
  <c r="V33"/>
  <c r="O56" l="1"/>
  <c r="X55"/>
  <c r="X56" s="1"/>
</calcChain>
</file>

<file path=xl/sharedStrings.xml><?xml version="1.0" encoding="utf-8"?>
<sst xmlns="http://schemas.openxmlformats.org/spreadsheetml/2006/main" count="669" uniqueCount="211">
  <si>
    <t>end of line</t>
  </si>
  <si>
    <t xml:space="preserve">          Total DIRECT requirements</t>
  </si>
  <si>
    <t>23.1  GSA rent (Reimbursable)</t>
  </si>
  <si>
    <t>25.3 DHS Security (Reimbursable)</t>
  </si>
  <si>
    <t>Financial Analysis of Program Changes</t>
  </si>
  <si>
    <t>Agt./Atty.</t>
  </si>
  <si>
    <t>Program Offsets</t>
  </si>
  <si>
    <t>Adjustments to Base</t>
  </si>
  <si>
    <t>Domestic Rent and Facilities</t>
  </si>
  <si>
    <t>ATBs</t>
  </si>
  <si>
    <t>11.1  Direct FTE &amp; personnel compensation</t>
  </si>
  <si>
    <t xml:space="preserve">       Total </t>
  </si>
  <si>
    <t>Average SES Salary</t>
  </si>
  <si>
    <t>Perm. Pos.</t>
  </si>
  <si>
    <t>Location of Description by Decision Unit</t>
  </si>
  <si>
    <t>Reprogrammings / Transfers</t>
  </si>
  <si>
    <t>end of sheet</t>
  </si>
  <si>
    <t>Program Decreases</t>
  </si>
  <si>
    <t>Total Pr. Changes</t>
  </si>
  <si>
    <t>Total Authorized</t>
  </si>
  <si>
    <t>Total Reimbursable</t>
  </si>
  <si>
    <t xml:space="preserve">   J: Financial Analysis of Program Changes</t>
  </si>
  <si>
    <t>I: Detail of Permanent Positions by Category</t>
  </si>
  <si>
    <t>Intelligence Series (132)</t>
  </si>
  <si>
    <t>23.2 Moving/Lease Expirations/Contract Parking</t>
  </si>
  <si>
    <t>[list all - if applicable]</t>
  </si>
  <si>
    <t>Transfers:</t>
  </si>
  <si>
    <t xml:space="preserve">Total Adjustments to Base </t>
  </si>
  <si>
    <t>Increase/Decrease</t>
  </si>
  <si>
    <t>Decision Unit</t>
  </si>
  <si>
    <t xml:space="preserve">     Total</t>
  </si>
  <si>
    <t>atb</t>
  </si>
  <si>
    <t>enhance</t>
  </si>
  <si>
    <t>FTE</t>
  </si>
  <si>
    <t>Total</t>
  </si>
  <si>
    <t>Detail of Permanent Positions by Category</t>
  </si>
  <si>
    <t>Category</t>
  </si>
  <si>
    <t>Transfers</t>
  </si>
  <si>
    <t>Grades and Salary Ranges</t>
  </si>
  <si>
    <t>LEAP</t>
  </si>
  <si>
    <t>11.5  Total, Other personnel compensation</t>
  </si>
  <si>
    <t xml:space="preserve">     Other Compensation</t>
  </si>
  <si>
    <t xml:space="preserve">     Overtime</t>
  </si>
  <si>
    <t>11.8  Special personal services payments</t>
  </si>
  <si>
    <t xml:space="preserve">    Full-time permanent</t>
  </si>
  <si>
    <t>12.0  Personnel benefits</t>
  </si>
  <si>
    <t>21.0  Travel and transportation of persons</t>
  </si>
  <si>
    <t>22.0  Transportation of things</t>
  </si>
  <si>
    <t>23.3  Comm., util., &amp; other misc. charges</t>
  </si>
  <si>
    <t>24.0  Printing and reproduction</t>
  </si>
  <si>
    <t>25.1  Advisory and assistance services</t>
  </si>
  <si>
    <t>25.2 Other services</t>
  </si>
  <si>
    <t>26.0  Supplies and materials</t>
  </si>
  <si>
    <t>31.0  Equipment</t>
  </si>
  <si>
    <t xml:space="preserve">          Total obligations</t>
  </si>
  <si>
    <t>Unobligated balance, start of year</t>
  </si>
  <si>
    <t>Unobligated balance, end of year</t>
  </si>
  <si>
    <t>Recoveries of prior year obligations</t>
  </si>
  <si>
    <t>11.3  Other than full-time permanent</t>
  </si>
  <si>
    <t>Personnel benefits</t>
  </si>
  <si>
    <t>Transportation of things</t>
  </si>
  <si>
    <t>Printing</t>
  </si>
  <si>
    <t>Equipment</t>
  </si>
  <si>
    <t>Purchases of goods &amp; services from Government accounts</t>
  </si>
  <si>
    <t>Travel and transportation of persons</t>
  </si>
  <si>
    <t>GSA rent</t>
  </si>
  <si>
    <t>Communication, rents, and utilities</t>
  </si>
  <si>
    <t>Advisory and assistance services</t>
  </si>
  <si>
    <t>Other services</t>
  </si>
  <si>
    <t>Research and development contracts</t>
  </si>
  <si>
    <t>Supplies and materials</t>
  </si>
  <si>
    <t>Operation and maintenance of equipment</t>
  </si>
  <si>
    <t>Average GS Salary</t>
  </si>
  <si>
    <t>Average GS Grade</t>
  </si>
  <si>
    <t>Object Classes</t>
  </si>
  <si>
    <t>Other Object Classes:</t>
  </si>
  <si>
    <t>Summary of Requirements by Object Class</t>
  </si>
  <si>
    <t>Overtime</t>
  </si>
  <si>
    <t>Program Changes</t>
  </si>
  <si>
    <t>Total Program Changes</t>
  </si>
  <si>
    <t>Attorneys (905)</t>
  </si>
  <si>
    <t>Paralegals / Other Law (900-998)</t>
  </si>
  <si>
    <t>Business &amp; Industry (1100-1199)</t>
  </si>
  <si>
    <t>Security Specialists (080)</t>
  </si>
  <si>
    <t>GS-7, $42,209 - 54,875</t>
  </si>
  <si>
    <t>GS-8, $46,745 - 60,765</t>
  </si>
  <si>
    <t>GS-9, $51,630 - 67,114</t>
  </si>
  <si>
    <t>GS-10, $56,857 - 73,917</t>
  </si>
  <si>
    <t>GS-11, $62,467 - 81,204</t>
  </si>
  <si>
    <t>GS-12, $74,872 - 97,333</t>
  </si>
  <si>
    <t>GS-13, $89,033 - 115,742</t>
  </si>
  <si>
    <t>GS-14, $105,211 - 136,771</t>
  </si>
  <si>
    <t>GS-15, $123,758 - 155,500</t>
  </si>
  <si>
    <t>SES, $119,554 - 179,700</t>
  </si>
  <si>
    <t>2012 template</t>
  </si>
  <si>
    <t>Information Technology Mgmt  (2210)</t>
  </si>
  <si>
    <t>FY 2011 CJ Submission</t>
  </si>
  <si>
    <t>23.1  GSA rent</t>
  </si>
  <si>
    <t>25.4  Operation and maintenance of facilities</t>
  </si>
  <si>
    <t>L: Summary of Requirements by Object Class</t>
  </si>
  <si>
    <t>K: Summary of Requirements by Grade</t>
  </si>
  <si>
    <t>Program Increases</t>
  </si>
  <si>
    <t>25.5 Research and development contracts</t>
  </si>
  <si>
    <t>25.7 Operation and maintenance of equipment</t>
  </si>
  <si>
    <t>Justification for Base Adjustments</t>
  </si>
  <si>
    <t>Pay and Benefits</t>
  </si>
  <si>
    <t>POS</t>
  </si>
  <si>
    <t>Total Increase:</t>
  </si>
  <si>
    <t>Total ATB:</t>
  </si>
  <si>
    <t xml:space="preserve">Amount  </t>
  </si>
  <si>
    <t>Grades:</t>
  </si>
  <si>
    <t>(Dollars in Thousands)</t>
  </si>
  <si>
    <t>Salaries and Expenses</t>
  </si>
  <si>
    <t>Total Offsets</t>
  </si>
  <si>
    <t>Other FTE:</t>
  </si>
  <si>
    <t>Total Comp. FTE</t>
  </si>
  <si>
    <t>Total FTE</t>
  </si>
  <si>
    <t>Reimbursable FTE</t>
  </si>
  <si>
    <t>Other FTE</t>
  </si>
  <si>
    <t>Total Compensable FTE</t>
  </si>
  <si>
    <t>Headquarters (Washington, D.C.)</t>
  </si>
  <si>
    <t>Summary of Requirements</t>
  </si>
  <si>
    <t>Reimbursable FTE:</t>
  </si>
  <si>
    <t>Rescissions</t>
  </si>
  <si>
    <t>Supplementals</t>
  </si>
  <si>
    <t xml:space="preserve">     Subtotal Increases</t>
  </si>
  <si>
    <t>Estimates by budget activity</t>
  </si>
  <si>
    <t>Pos.</t>
  </si>
  <si>
    <t xml:space="preserve"> </t>
  </si>
  <si>
    <t>Amount</t>
  </si>
  <si>
    <t>Increases</t>
  </si>
  <si>
    <t>Clerical and Office Services (300-399)</t>
  </si>
  <si>
    <t>Accounting and Budget (500-599)</t>
  </si>
  <si>
    <t>U.S. Field</t>
  </si>
  <si>
    <t>TOTAL</t>
  </si>
  <si>
    <t>Summary of Requirements by Grade</t>
  </si>
  <si>
    <t>Resources by Department of Justice Strategic Goal/Objective</t>
  </si>
  <si>
    <t>Offsets</t>
  </si>
  <si>
    <t>Strategic Goal and Strategic Objective</t>
  </si>
  <si>
    <t>Direct, Reimb. Other FTE</t>
  </si>
  <si>
    <t>Direct Amount $000s</t>
  </si>
  <si>
    <r>
      <t xml:space="preserve">   1.1 Prevent, disrupt, and defeat terrorist operations before they occur</t>
    </r>
    <r>
      <rPr>
        <b/>
        <sz val="10"/>
        <rFont val="Times New Roman"/>
        <family val="1"/>
      </rPr>
      <t xml:space="preserve"> </t>
    </r>
  </si>
  <si>
    <t>Subtotal, Goal 1</t>
  </si>
  <si>
    <t>GRAND TOTAL</t>
  </si>
  <si>
    <t>Crosswalk of 2011 Availability</t>
  </si>
  <si>
    <t>2011 Availability</t>
  </si>
  <si>
    <t>Carryover</t>
  </si>
  <si>
    <t>Recoveries</t>
  </si>
  <si>
    <t xml:space="preserve">Increase/Decrease </t>
  </si>
  <si>
    <t>A: Organizational Chart</t>
  </si>
  <si>
    <t>B: Summary of Requirements</t>
  </si>
  <si>
    <t>C: Program Increases/Offsets By Decision Unit</t>
  </si>
  <si>
    <t>D: Resources by DOJ Strategic Goal and Strategic Objective</t>
  </si>
  <si>
    <t>E.  Justification for Base Adjustments</t>
  </si>
  <si>
    <t>FY 2013 Request</t>
  </si>
  <si>
    <t>2013 Current Services</t>
  </si>
  <si>
    <t>2013 Total Request</t>
  </si>
  <si>
    <t>2012 - 2013 Total Change</t>
  </si>
  <si>
    <t>2013 Adjustments to Base and Technical Adjustments</t>
  </si>
  <si>
    <t>2013 Increases</t>
  </si>
  <si>
    <t>2013 Offsets</t>
  </si>
  <si>
    <t>2013 Request</t>
  </si>
  <si>
    <t>Subtotal Offsets</t>
  </si>
  <si>
    <t>F: Crosswalk of 2011 Availability</t>
  </si>
  <si>
    <t>2012 Availability</t>
  </si>
  <si>
    <t>Crosswalk of 2012 Availability</t>
  </si>
  <si>
    <t xml:space="preserve">  Total, 2013 Program Changes Requested</t>
  </si>
  <si>
    <t xml:space="preserve">     Total, Appropriated Positions</t>
  </si>
  <si>
    <t>2011 Actuals</t>
  </si>
  <si>
    <t>25.3 Purchases of goods &amp; services from Government accounts (Antennas, DHS Sec. Etc.)</t>
  </si>
  <si>
    <t>Increases:</t>
  </si>
  <si>
    <t>2012 
Enacted</t>
  </si>
  <si>
    <t>2012 Enacted</t>
  </si>
  <si>
    <t>FY 2012 Enacted Without Rescissions</t>
  </si>
  <si>
    <t>FY 2013 Program Increases/Offsets By Decision Unit</t>
  </si>
  <si>
    <t>2011 Enacted w/Rescissions</t>
  </si>
  <si>
    <t>2011 Appropriation Enacted</t>
  </si>
  <si>
    <t>2011
Enacted</t>
  </si>
  <si>
    <t xml:space="preserve">   1.2  Prosecute those involved in terrorist acts</t>
  </si>
  <si>
    <t xml:space="preserve">    1.3  Combat espionage against the United States </t>
  </si>
  <si>
    <t>Goal 1: Prevent Terrorism and Promote the Nation's Security
            Consistent with the Rule of Law</t>
  </si>
  <si>
    <t>G: Crosswalk of 2012 Availability</t>
  </si>
  <si>
    <t>25.6 Medical care</t>
  </si>
  <si>
    <t>JCON and JCON S/TS</t>
  </si>
  <si>
    <t>Office of Information Policy (OIP)</t>
  </si>
  <si>
    <t>Professional Responsibility Advisory Office (PRAO)</t>
  </si>
  <si>
    <t xml:space="preserve">     Subtotal Transfers</t>
  </si>
  <si>
    <t>Offsets:</t>
  </si>
  <si>
    <t>IT Savings</t>
  </si>
  <si>
    <t>National Security Division</t>
  </si>
  <si>
    <t>Program Offset - IT Savings</t>
  </si>
  <si>
    <r>
      <t>JCON and JCON S/TS.</t>
    </r>
    <r>
      <rPr>
        <sz val="12"/>
        <rFont val="Times New Roman"/>
        <family val="1"/>
      </rPr>
      <t xml:space="preserve">  A transfer of $</t>
    </r>
    <r>
      <rPr>
        <u/>
        <sz val="12"/>
        <rFont val="Times New Roman"/>
        <family val="1"/>
      </rPr>
      <t>1,182,000</t>
    </r>
    <r>
      <rPr>
        <sz val="12"/>
        <rFont val="Times New Roman"/>
        <family val="1"/>
      </rPr>
      <t xml:space="preserve"> is included in support of the Department's Justice Consolidated Office Network (JCON) and JCON S/TS programs which will be moved to the Working Capital Fund and provided as a billable service in FY 2013.</t>
    </r>
  </si>
  <si>
    <r>
      <t>Office of Information Policy.</t>
    </r>
    <r>
      <rPr>
        <sz val="12"/>
        <rFont val="Times New Roman"/>
        <family val="1"/>
      </rPr>
      <t xml:space="preserve">  The National Security Division transfers for the Office of Information Policy (OIP) into the General Administration appropriation will centralize appropriated funding and eliminate the current reimbursable financing process.  The centralization of the funding is administratively advantageous because it eliminates the paper-intensive reimbursement process.</t>
    </r>
  </si>
  <si>
    <r>
      <t>Professional Responsibility Advisory Office.</t>
    </r>
    <r>
      <rPr>
        <sz val="12"/>
        <rFont val="Times New Roman"/>
        <family val="1"/>
      </rPr>
      <t xml:space="preserve">  The National Security Division transfers for the Professional Responsibility Advisory Office (PRAO) into the General Administration appropriation will centralize appropriated funding and eliminate the current reimbursable financing process.  The centralization of the funding is administratively advantageous because it eliminates the paper-intensive reimbursement process.</t>
    </r>
  </si>
  <si>
    <r>
      <t>Retirement.</t>
    </r>
    <r>
      <rPr>
        <sz val="12"/>
        <rFont val="Times New Roman"/>
        <family val="1"/>
      </rPr>
      <t xml:space="preserve">  Agency retirement contributions increase as employees under CSRS retire and are replaced by FERS employees.  Based on OPM government-wide estimates, we project that the DOJ workforce will convert from CSRS to FERS at a rate of</t>
    </r>
    <r>
      <rPr>
        <sz val="12"/>
        <color indexed="10"/>
        <rFont val="Times New Roman"/>
        <family val="1"/>
      </rPr>
      <t xml:space="preserve"> </t>
    </r>
    <r>
      <rPr>
        <sz val="12"/>
        <rFont val="Times New Roman"/>
        <family val="1"/>
      </rPr>
      <t>1.3 percent per year.  The requested increase of  $</t>
    </r>
    <r>
      <rPr>
        <u/>
        <sz val="12"/>
        <rFont val="Times New Roman"/>
        <family val="1"/>
      </rPr>
      <t>85,000</t>
    </r>
    <r>
      <rPr>
        <sz val="12"/>
        <rFont val="Times New Roman"/>
        <family val="1"/>
      </rPr>
      <t xml:space="preserve"> is necessary to meet our increased retirement obligations as a result of this conversion.</t>
    </r>
  </si>
  <si>
    <r>
      <t>Employees Compensation Fund.</t>
    </r>
    <r>
      <rPr>
        <sz val="12"/>
        <rFont val="Times New Roman"/>
        <family val="1"/>
      </rPr>
      <t xml:space="preserve">  The $</t>
    </r>
    <r>
      <rPr>
        <u/>
        <sz val="12"/>
        <rFont val="Times New Roman"/>
        <family val="1"/>
      </rPr>
      <t>1,000</t>
    </r>
    <r>
      <rPr>
        <sz val="12"/>
        <rFont val="Times New Roman"/>
        <family val="1"/>
      </rPr>
      <t xml:space="preserve"> increase reflects payments to the Department of Labor for injury benefits paid in the past year under the Federal Employee Compensation Act.  This estimate is based on the first quarter of prior year billing and current year estimates.</t>
    </r>
  </si>
  <si>
    <r>
      <t>Health Insurance.</t>
    </r>
    <r>
      <rPr>
        <sz val="12"/>
        <rFont val="Times New Roman"/>
        <family val="1"/>
      </rPr>
      <t xml:space="preserve">  Effective January 2013, the National Security Division's contribution to Federal employees' health insurance premiums increased by </t>
    </r>
    <r>
      <rPr>
        <u/>
        <sz val="12"/>
        <rFont val="Times New Roman"/>
        <family val="1"/>
      </rPr>
      <t>7.9</t>
    </r>
    <r>
      <rPr>
        <sz val="12"/>
        <rFont val="Times New Roman"/>
        <family val="1"/>
      </rPr>
      <t xml:space="preserve"> percent.  Applied against the 2011 estimate of $</t>
    </r>
    <r>
      <rPr>
        <u/>
        <sz val="12"/>
        <rFont val="Times New Roman"/>
        <family val="1"/>
      </rPr>
      <t>2,685,000</t>
    </r>
    <r>
      <rPr>
        <sz val="12"/>
        <rFont val="Times New Roman"/>
        <family val="1"/>
      </rPr>
      <t>, the additional amount required is $</t>
    </r>
    <r>
      <rPr>
        <u/>
        <sz val="12"/>
        <rFont val="Times New Roman"/>
        <family val="1"/>
      </rPr>
      <t>213,000</t>
    </r>
    <r>
      <rPr>
        <sz val="12"/>
        <rFont val="Times New Roman"/>
        <family val="1"/>
      </rPr>
      <t>.</t>
    </r>
  </si>
  <si>
    <r>
      <t>Changes in Compensable Days.</t>
    </r>
    <r>
      <rPr>
        <sz val="12"/>
        <rFont val="Times New Roman"/>
        <family val="1"/>
      </rPr>
      <t xml:space="preserve">  The increase cost for one more compensable day in FY 2013 compared to FY 2012 is calculated by dividing the FY 2012 estimated personnel compensation $</t>
    </r>
    <r>
      <rPr>
        <u/>
        <sz val="12"/>
        <rFont val="Times New Roman"/>
        <family val="1"/>
      </rPr>
      <t>174,000</t>
    </r>
    <r>
      <rPr>
        <sz val="12"/>
        <rFont val="Times New Roman"/>
        <family val="1"/>
      </rPr>
      <t xml:space="preserve"> and applicable benefits $</t>
    </r>
    <r>
      <rPr>
        <u/>
        <sz val="12"/>
        <rFont val="Times New Roman"/>
        <family val="1"/>
      </rPr>
      <t>38,000</t>
    </r>
    <r>
      <rPr>
        <sz val="12"/>
        <rFont val="Times New Roman"/>
        <family val="1"/>
      </rPr>
      <t xml:space="preserve"> by 260 compensable days.</t>
    </r>
  </si>
  <si>
    <r>
      <t>General Services Administration (GSA) Rent.</t>
    </r>
    <r>
      <rPr>
        <sz val="12"/>
        <color indexed="8"/>
        <rFont val="Times New Roman"/>
        <family val="1"/>
      </rPr>
      <t xml:space="preserve">  GSA will continue to charge rental rates that approximate those charged to commercial tenants for equivalent space and related services.  The requested increase of $</t>
    </r>
    <r>
      <rPr>
        <u/>
        <sz val="12"/>
        <color indexed="8"/>
        <rFont val="Times New Roman"/>
        <family val="1"/>
      </rPr>
      <t>310,000</t>
    </r>
    <r>
      <rPr>
        <sz val="12"/>
        <color indexed="8"/>
        <rFont val="Times New Roman"/>
        <family val="1"/>
      </rPr>
      <t xml:space="preserve"> is required to meet our commitment to GSA.  The costs associated with GSA rent were derived through the use of an automated system, which uses the latest inventory data, including rate increases to be effective in FY 2013 for each building currently occupied by Department of Justice components, as well as the costs of new space to be occupied.  GSA provided data on the rate increases.</t>
    </r>
  </si>
  <si>
    <t>National Security Division                         IT Savings Offset</t>
  </si>
  <si>
    <r>
      <t>Non-GSA.</t>
    </r>
    <r>
      <rPr>
        <sz val="12"/>
        <rFont val="Times New Roman"/>
        <family val="1"/>
      </rPr>
      <t xml:space="preserve">  The requested increase of $</t>
    </r>
    <r>
      <rPr>
        <u/>
        <sz val="12"/>
        <rFont val="Times New Roman"/>
        <family val="1"/>
      </rPr>
      <t>1,000,000</t>
    </r>
    <r>
      <rPr>
        <sz val="12"/>
        <rFont val="Times New Roman"/>
        <family val="1"/>
      </rPr>
      <t xml:space="preserve"> is required to meet our commitment for locations which are not provided by GSA.</t>
    </r>
  </si>
  <si>
    <r>
      <rPr>
        <u/>
        <sz val="12"/>
        <rFont val="Times New Roman"/>
        <family val="1"/>
      </rPr>
      <t>2013 Pay Raise</t>
    </r>
    <r>
      <rPr>
        <sz val="12"/>
        <rFont val="Times New Roman"/>
        <family val="1"/>
      </rPr>
      <t>.  This request provides for a proposed 0.5 percent pay raise to be effective in January of 2013.  This increase only includes the general pay raise.  The amount requested, $</t>
    </r>
    <r>
      <rPr>
        <u/>
        <sz val="12"/>
        <rFont val="Times New Roman"/>
        <family val="1"/>
      </rPr>
      <t>204,000</t>
    </r>
    <r>
      <rPr>
        <sz val="12"/>
        <rFont val="Times New Roman"/>
        <family val="1"/>
      </rPr>
      <t>, represents the pay amounts for 3/4 of the fiscal year plus appropriate benefits ($</t>
    </r>
    <r>
      <rPr>
        <u/>
        <sz val="12"/>
        <rFont val="Times New Roman"/>
        <family val="1"/>
      </rPr>
      <t>149,000</t>
    </r>
    <r>
      <rPr>
        <sz val="12"/>
        <rFont val="Times New Roman"/>
        <family val="1"/>
      </rPr>
      <t xml:space="preserve"> for pay and $</t>
    </r>
    <r>
      <rPr>
        <u/>
        <sz val="12"/>
        <rFont val="Times New Roman"/>
        <family val="1"/>
      </rPr>
      <t>55,000</t>
    </r>
    <r>
      <rPr>
        <sz val="12"/>
        <rFont val="Times New Roman"/>
        <family val="1"/>
      </rPr>
      <t xml:space="preserve"> for benefits).</t>
    </r>
  </si>
  <si>
    <r>
      <t>FERS Regular/Law Enforcement Retirement Contribution.</t>
    </r>
    <r>
      <rPr>
        <sz val="12"/>
        <rFont val="Times New Roman"/>
        <family val="1"/>
      </rPr>
      <t xml:space="preserve">  On June 11, 2010, the Board of Actuaries of the Civil Service Retirement System recommended a new set of economic assumptions for the Civil Service Retirement System (CSRS) and the Federal Employees Retirement System (FERS).  In accordance with this change, effective October 1, 2011 (FY 2012), the total normal cost of regular retirement under FERS will increase from the current level of 12.5 percent of pay to 12.7 percent.  The total FERS contribution for Law Enforcement retirement will increase from 27.0 percent to 27.6 percent. This will result in new agency contribution rates of 11.9 percent for normal costsl (up from the current 11.7 percent) and 26.3 percent for law enforcement personnel (up from the current 25.7 percent).  The amount requested, </t>
    </r>
    <r>
      <rPr>
        <u/>
        <sz val="12"/>
        <rFont val="Times New Roman"/>
        <family val="1"/>
      </rPr>
      <t>87,000</t>
    </r>
    <r>
      <rPr>
        <sz val="12"/>
        <rFont val="Times New Roman"/>
        <family val="1"/>
      </rPr>
      <t xml:space="preserve">, represents the funds needed to cover this increase. </t>
    </r>
  </si>
  <si>
    <r>
      <t>Security Charges.</t>
    </r>
    <r>
      <rPr>
        <sz val="12"/>
        <color indexed="8"/>
        <rFont val="Times New Roman"/>
        <family val="1"/>
      </rPr>
      <t xml:space="preserve">  Guard Service includes those costs paid directly by DOJ and those paid to Department of Homeland Security (DHS).  The requested increase of $</t>
    </r>
    <r>
      <rPr>
        <u/>
        <sz val="12"/>
        <color indexed="8"/>
        <rFont val="Times New Roman"/>
        <family val="1"/>
      </rPr>
      <t>27,000</t>
    </r>
    <r>
      <rPr>
        <sz val="12"/>
        <color indexed="8"/>
        <rFont val="Times New Roman"/>
        <family val="1"/>
      </rPr>
      <t xml:space="preserve"> is required to meet our commitment to DHS and other security costs.</t>
    </r>
  </si>
  <si>
    <t>2011 Enacted</t>
  </si>
  <si>
    <t xml:space="preserve">2011 Appropriation Enacted </t>
  </si>
  <si>
    <t>Balance Rescissions</t>
  </si>
  <si>
    <t>Transfer/Carryover/Recovery:  FY 2011 funds totaling $7,822,000 represents a $5,000,000 transfer and $1,981,000 carryover for IT related projects and $841,000 in recoveries.</t>
  </si>
  <si>
    <t>Carryover/Recovery:  FY 2012 funds totaling $7,744,000 represents a $7,659,000 carryover for IT related projects and $85,000 in recoveries.</t>
  </si>
  <si>
    <t>FY 2011 Without Balance Rescissions</t>
  </si>
  <si>
    <t xml:space="preserve">NOTE:  All FTE numbers in this table reflect authorized FTE, which is the total number of FTE available to a component. Because the FY 2013 President’s Budget Appendix builds the FTE request using actual FTE rather than authorized, it may not match the FY 2012 FTE enacted and FY 2013 FTE request reflected in this table.  </t>
  </si>
</sst>
</file>

<file path=xl/styles.xml><?xml version="1.0" encoding="utf-8"?>
<styleSheet xmlns="http://schemas.openxmlformats.org/spreadsheetml/2006/main">
  <numFmts count="9">
    <numFmt numFmtId="5" formatCode="&quot;$&quot;#,##0_);\(&quot;$&quot;#,##0\)"/>
    <numFmt numFmtId="44" formatCode="_(&quot;$&quot;* #,##0.00_);_(&quot;$&quot;* \(#,##0.00\);_(&quot;$&quot;* &quot;-&quot;??_);_(@_)"/>
    <numFmt numFmtId="43" formatCode="_(* #,##0.00_);_(* \(#,##0.00\);_(* &quot;-&quot;??_);_(@_)"/>
    <numFmt numFmtId="164" formatCode="&quot;$&quot;#,##0"/>
    <numFmt numFmtId="165" formatCode="_(* #,##0_);_(* \(#,##0\);_(* &quot;....&quot;_);_(@_)"/>
    <numFmt numFmtId="167" formatCode="_(* #,##0_);_(* \(#,##0\);_(* &quot;-&quot;??_);_(@_)"/>
    <numFmt numFmtId="168" formatCode="_(&quot;$&quot;* #,##0_);_(&quot;$&quot;* \(#,##0\);_(&quot;$&quot;* &quot;-&quot;??_);_(@_)"/>
    <numFmt numFmtId="170" formatCode="0_);\(0\)"/>
    <numFmt numFmtId="171" formatCode="_(* #,##0.00_);_(* \(#,##0.00\);_(* &quot;....&quot;_);_(@_)"/>
  </numFmts>
  <fonts count="71">
    <font>
      <sz val="12"/>
      <name val="Arial"/>
    </font>
    <font>
      <sz val="12"/>
      <name val="TimesNewRomanPS"/>
    </font>
    <font>
      <sz val="12"/>
      <name val="Times New Roman"/>
      <family val="1"/>
    </font>
    <font>
      <sz val="12"/>
      <name val="Times New Roman"/>
      <family val="1"/>
    </font>
    <font>
      <sz val="10"/>
      <color indexed="8"/>
      <name val="TMS"/>
    </font>
    <font>
      <sz val="12"/>
      <name val="Times New Roman"/>
      <family val="1"/>
    </font>
    <font>
      <sz val="10"/>
      <color indexed="8"/>
      <name val="Times New Roman"/>
      <family val="1"/>
    </font>
    <font>
      <i/>
      <sz val="10"/>
      <color indexed="8"/>
      <name val="Times New Roman"/>
      <family val="1"/>
    </font>
    <font>
      <sz val="10"/>
      <name val="Times New Roman"/>
      <family val="1"/>
    </font>
    <font>
      <b/>
      <sz val="14"/>
      <name val="Times New Roman"/>
      <family val="1"/>
    </font>
    <font>
      <sz val="13"/>
      <name val="Times New Roman"/>
      <family val="1"/>
    </font>
    <font>
      <sz val="8"/>
      <color indexed="8"/>
      <name val="Times New Roman"/>
      <family val="1"/>
    </font>
    <font>
      <b/>
      <sz val="12"/>
      <name val="Arial"/>
      <family val="2"/>
    </font>
    <font>
      <sz val="12"/>
      <name val="Arial"/>
      <family val="2"/>
    </font>
    <font>
      <sz val="10"/>
      <name val="Arial"/>
      <family val="2"/>
    </font>
    <font>
      <b/>
      <sz val="12"/>
      <name val="Times New Roman"/>
      <family val="1"/>
    </font>
    <font>
      <b/>
      <sz val="16"/>
      <name val="Times New Roman"/>
      <family val="1"/>
    </font>
    <font>
      <sz val="10"/>
      <name val="Arial"/>
      <family val="2"/>
    </font>
    <font>
      <b/>
      <u/>
      <sz val="12"/>
      <name val="Arial"/>
      <family val="2"/>
    </font>
    <font>
      <b/>
      <sz val="10"/>
      <name val="Times New Roman"/>
      <family val="1"/>
    </font>
    <font>
      <sz val="14"/>
      <name val="Times New Roman"/>
      <family val="1"/>
    </font>
    <font>
      <sz val="12"/>
      <color indexed="8"/>
      <name val="Times New Roman"/>
      <family val="1"/>
    </font>
    <font>
      <b/>
      <sz val="12"/>
      <color indexed="8"/>
      <name val="Times New Roman"/>
      <family val="1"/>
    </font>
    <font>
      <b/>
      <sz val="10"/>
      <color indexed="8"/>
      <name val="Times New Roman"/>
      <family val="1"/>
    </font>
    <font>
      <b/>
      <sz val="11"/>
      <color indexed="8"/>
      <name val="Times New Roman"/>
      <family val="1"/>
    </font>
    <font>
      <b/>
      <sz val="11"/>
      <name val="Times New Roman"/>
      <family val="1"/>
    </font>
    <font>
      <sz val="8"/>
      <name val="Arial"/>
      <family val="2"/>
    </font>
    <font>
      <sz val="9"/>
      <name val="Times New Roman"/>
      <family val="1"/>
    </font>
    <font>
      <b/>
      <sz val="18"/>
      <name val="Times New Roman"/>
      <family val="1"/>
    </font>
    <font>
      <sz val="18"/>
      <name val="Times New Roman"/>
      <family val="1"/>
    </font>
    <font>
      <b/>
      <sz val="14"/>
      <color indexed="8"/>
      <name val="Times New Roman"/>
      <family val="1"/>
    </font>
    <font>
      <b/>
      <sz val="16"/>
      <color indexed="8"/>
      <name val="Times New Roman"/>
      <family val="1"/>
    </font>
    <font>
      <sz val="14"/>
      <color indexed="8"/>
      <name val="Times New Roman"/>
      <family val="1"/>
    </font>
    <font>
      <b/>
      <i/>
      <sz val="10"/>
      <name val="Arial"/>
      <family val="2"/>
    </font>
    <font>
      <i/>
      <sz val="10"/>
      <name val="Arial"/>
      <family val="2"/>
    </font>
    <font>
      <sz val="14"/>
      <name val="Arial"/>
      <family val="2"/>
    </font>
    <font>
      <sz val="20"/>
      <name val="Arial"/>
      <family val="2"/>
    </font>
    <font>
      <sz val="8"/>
      <name val="Arial"/>
      <family val="2"/>
    </font>
    <font>
      <sz val="12"/>
      <color indexed="9"/>
      <name val="Arial"/>
      <family val="2"/>
    </font>
    <font>
      <sz val="12"/>
      <color indexed="9"/>
      <name val="Times New Roman"/>
      <family val="1"/>
    </font>
    <font>
      <sz val="10"/>
      <color indexed="9"/>
      <name val="Times New Roman"/>
      <family val="1"/>
    </font>
    <font>
      <sz val="10"/>
      <color indexed="9"/>
      <name val="Arial"/>
      <family val="2"/>
    </font>
    <font>
      <sz val="10"/>
      <color indexed="9"/>
      <name val="TMS"/>
    </font>
    <font>
      <sz val="8"/>
      <color indexed="9"/>
      <name val="Arial"/>
      <family val="2"/>
    </font>
    <font>
      <sz val="8"/>
      <color indexed="9"/>
      <name val="Arial"/>
      <family val="2"/>
    </font>
    <font>
      <sz val="8"/>
      <name val="Times New Roman"/>
      <family val="1"/>
    </font>
    <font>
      <sz val="8"/>
      <color indexed="9"/>
      <name val="Times New Roman"/>
      <family val="1"/>
    </font>
    <font>
      <sz val="8"/>
      <color indexed="8"/>
      <name val="Arial"/>
      <family val="2"/>
    </font>
    <font>
      <sz val="8"/>
      <color indexed="9"/>
      <name val="Times New Roman"/>
      <family val="1"/>
    </font>
    <font>
      <sz val="8"/>
      <name val="Times New Roman"/>
      <family val="1"/>
    </font>
    <font>
      <sz val="12"/>
      <name val="Arial"/>
      <family val="2"/>
    </font>
    <font>
      <sz val="16"/>
      <name val="Arial"/>
      <family val="2"/>
    </font>
    <font>
      <b/>
      <sz val="12"/>
      <color indexed="9"/>
      <name val="Arial"/>
      <family val="2"/>
    </font>
    <font>
      <u/>
      <sz val="12"/>
      <name val="Times New Roman"/>
      <family val="1"/>
    </font>
    <font>
      <b/>
      <sz val="9"/>
      <name val="Times New Roman"/>
      <family val="1"/>
    </font>
    <font>
      <sz val="16"/>
      <name val="Times New Roman"/>
      <family val="1"/>
    </font>
    <font>
      <u/>
      <sz val="10"/>
      <name val="Times New Roman"/>
      <family val="1"/>
    </font>
    <font>
      <b/>
      <sz val="10"/>
      <name val="Arial"/>
      <family val="2"/>
    </font>
    <font>
      <i/>
      <sz val="10"/>
      <name val="Times New Roman"/>
      <family val="1"/>
    </font>
    <font>
      <b/>
      <u/>
      <sz val="12"/>
      <name val="Times New Roman"/>
      <family val="1"/>
    </font>
    <font>
      <sz val="10"/>
      <name val="Arial"/>
      <family val="2"/>
    </font>
    <font>
      <sz val="11"/>
      <name val="Times New Roman"/>
      <family val="1"/>
    </font>
    <font>
      <sz val="12"/>
      <color theme="0"/>
      <name val="Arial"/>
      <family val="2"/>
    </font>
    <font>
      <b/>
      <u/>
      <sz val="14"/>
      <name val="Times New Roman"/>
      <family val="1"/>
    </font>
    <font>
      <u/>
      <sz val="11"/>
      <name val="Times New Roman"/>
      <family val="1"/>
    </font>
    <font>
      <sz val="11"/>
      <name val="Arial"/>
      <family val="2"/>
    </font>
    <font>
      <b/>
      <u/>
      <sz val="11"/>
      <name val="Times New Roman"/>
      <family val="1"/>
    </font>
    <font>
      <sz val="12"/>
      <color indexed="10"/>
      <name val="Times New Roman"/>
      <family val="1"/>
    </font>
    <font>
      <u/>
      <sz val="12"/>
      <color indexed="8"/>
      <name val="Times New Roman"/>
      <family val="1"/>
    </font>
    <font>
      <b/>
      <sz val="16"/>
      <color rgb="FF00B050"/>
      <name val="Calibri"/>
      <family val="2"/>
    </font>
    <font>
      <sz val="12"/>
      <color rgb="FF000000"/>
      <name val="Calibri"/>
      <family val="2"/>
    </font>
  </fonts>
  <fills count="6">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43"/>
        <bgColor indexed="64"/>
      </patternFill>
    </fill>
    <fill>
      <patternFill patternType="solid">
        <fgColor rgb="FFFFFF00"/>
        <bgColor indexed="64"/>
      </patternFill>
    </fill>
  </fills>
  <borders count="119">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8"/>
      </bottom>
      <diagonal/>
    </border>
    <border>
      <left style="thin">
        <color indexed="64"/>
      </left>
      <right style="thin">
        <color indexed="64"/>
      </right>
      <top/>
      <bottom style="thin">
        <color indexed="23"/>
      </bottom>
      <diagonal/>
    </border>
    <border>
      <left style="thin">
        <color indexed="23"/>
      </left>
      <right style="thin">
        <color indexed="64"/>
      </right>
      <top style="thin">
        <color indexed="23"/>
      </top>
      <bottom style="thin">
        <color indexed="23"/>
      </bottom>
      <diagonal/>
    </border>
    <border>
      <left/>
      <right style="thin">
        <color indexed="64"/>
      </right>
      <top style="thin">
        <color indexed="64"/>
      </top>
      <bottom style="thin">
        <color indexed="64"/>
      </bottom>
      <diagonal/>
    </border>
    <border>
      <left style="thin">
        <color indexed="8"/>
      </left>
      <right/>
      <top/>
      <bottom style="hair">
        <color indexed="8"/>
      </bottom>
      <diagonal/>
    </border>
    <border>
      <left/>
      <right/>
      <top/>
      <bottom style="hair">
        <color indexed="8"/>
      </bottom>
      <diagonal/>
    </border>
    <border>
      <left style="thin">
        <color indexed="64"/>
      </left>
      <right/>
      <top/>
      <bottom style="hair">
        <color indexed="8"/>
      </bottom>
      <diagonal/>
    </border>
    <border>
      <left/>
      <right style="medium">
        <color indexed="64"/>
      </right>
      <top/>
      <bottom style="hair">
        <color indexed="8"/>
      </bottom>
      <diagonal/>
    </border>
    <border>
      <left style="thin">
        <color indexed="8"/>
      </left>
      <right/>
      <top style="thin">
        <color indexed="8"/>
      </top>
      <bottom/>
      <diagonal/>
    </border>
    <border>
      <left/>
      <right style="thin">
        <color indexed="8"/>
      </right>
      <top style="thin">
        <color indexed="8"/>
      </top>
      <bottom/>
      <diagonal/>
    </border>
    <border>
      <left/>
      <right style="medium">
        <color indexed="8"/>
      </right>
      <top style="thin">
        <color indexed="8"/>
      </top>
      <bottom/>
      <diagonal/>
    </border>
    <border>
      <left/>
      <right style="thin">
        <color indexed="8"/>
      </right>
      <top/>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medium">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style="thin">
        <color indexed="23"/>
      </bottom>
      <diagonal/>
    </border>
    <border>
      <left/>
      <right/>
      <top style="hair">
        <color indexed="64"/>
      </top>
      <bottom style="medium">
        <color indexed="64"/>
      </bottom>
      <diagonal/>
    </border>
    <border>
      <left style="thin">
        <color indexed="64"/>
      </left>
      <right/>
      <top style="thin">
        <color indexed="8"/>
      </top>
      <bottom style="thin">
        <color indexed="23"/>
      </bottom>
      <diagonal/>
    </border>
    <border>
      <left style="thin">
        <color indexed="8"/>
      </left>
      <right/>
      <top/>
      <bottom style="medium">
        <color indexed="8"/>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style="thin">
        <color indexed="64"/>
      </left>
      <right/>
      <top style="thin">
        <color indexed="64"/>
      </top>
      <bottom style="medium">
        <color indexed="64"/>
      </bottom>
      <diagonal/>
    </border>
    <border>
      <left/>
      <right style="medium">
        <color indexed="8"/>
      </right>
      <top style="thin">
        <color indexed="8"/>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hair">
        <color indexed="64"/>
      </bottom>
      <diagonal/>
    </border>
    <border>
      <left style="thin">
        <color indexed="64"/>
      </left>
      <right/>
      <top style="thin">
        <color indexed="64"/>
      </top>
      <bottom style="hair">
        <color indexed="64"/>
      </bottom>
      <diagonal/>
    </border>
    <border>
      <left style="thin">
        <color indexed="64"/>
      </left>
      <right/>
      <top style="thin">
        <color indexed="64"/>
      </top>
      <bottom/>
      <diagonal/>
    </border>
    <border>
      <left style="thin">
        <color indexed="64"/>
      </left>
      <right/>
      <top style="hair">
        <color indexed="64"/>
      </top>
      <bottom/>
      <diagonal/>
    </border>
    <border>
      <left/>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diagonal/>
    </border>
    <border>
      <left style="thin">
        <color indexed="64"/>
      </left>
      <right/>
      <top/>
      <bottom style="thin">
        <color indexed="23"/>
      </bottom>
      <diagonal/>
    </border>
    <border>
      <left/>
      <right/>
      <top/>
      <bottom style="thin">
        <color indexed="23"/>
      </bottom>
      <diagonal/>
    </border>
    <border>
      <left style="thin">
        <color indexed="64"/>
      </left>
      <right style="thin">
        <color indexed="64"/>
      </right>
      <top/>
      <bottom style="medium">
        <color indexed="64"/>
      </bottom>
      <diagonal/>
    </border>
    <border>
      <left style="thin">
        <color indexed="64"/>
      </left>
      <right/>
      <top/>
      <bottom style="thin">
        <color indexed="8"/>
      </bottom>
      <diagonal/>
    </border>
    <border>
      <left/>
      <right/>
      <top/>
      <bottom style="thin">
        <color indexed="8"/>
      </bottom>
      <diagonal/>
    </border>
    <border>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8"/>
      </top>
      <bottom/>
      <diagonal/>
    </border>
    <border>
      <left style="thin">
        <color indexed="8"/>
      </left>
      <right style="thin">
        <color indexed="64"/>
      </right>
      <top style="thin">
        <color indexed="8"/>
      </top>
      <bottom/>
      <diagonal/>
    </border>
    <border>
      <left style="thin">
        <color indexed="8"/>
      </left>
      <right style="thin">
        <color indexed="64"/>
      </right>
      <top/>
      <bottom style="thin">
        <color indexed="23"/>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
      <left style="thin">
        <color indexed="64"/>
      </left>
      <right/>
      <top style="thin">
        <color indexed="8"/>
      </top>
      <bottom/>
      <diagonal/>
    </border>
    <border>
      <left style="thin">
        <color indexed="8"/>
      </left>
      <right/>
      <top/>
      <bottom style="thin">
        <color indexed="8"/>
      </bottom>
      <diagonal/>
    </border>
    <border>
      <left/>
      <right style="medium">
        <color indexed="8"/>
      </right>
      <top/>
      <bottom style="thin">
        <color indexed="8"/>
      </bottom>
      <diagonal/>
    </border>
    <border>
      <left/>
      <right/>
      <top style="medium">
        <color indexed="8"/>
      </top>
      <bottom/>
      <diagonal/>
    </border>
    <border>
      <left style="thin">
        <color indexed="64"/>
      </left>
      <right style="thin">
        <color indexed="64"/>
      </right>
      <top style="medium">
        <color indexed="64"/>
      </top>
      <bottom/>
      <diagonal/>
    </border>
    <border>
      <left/>
      <right/>
      <top style="thin">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thin">
        <color indexed="64"/>
      </left>
      <right/>
      <top style="hair">
        <color indexed="23"/>
      </top>
      <bottom style="hair">
        <color indexed="23"/>
      </bottom>
      <diagonal/>
    </border>
    <border>
      <left style="thin">
        <color indexed="23"/>
      </left>
      <right style="thin">
        <color indexed="23"/>
      </right>
      <top style="hair">
        <color indexed="23"/>
      </top>
      <bottom style="hair">
        <color indexed="23"/>
      </bottom>
      <diagonal/>
    </border>
    <border>
      <left style="thin">
        <color indexed="23"/>
      </left>
      <right style="thin">
        <color indexed="64"/>
      </right>
      <top style="hair">
        <color indexed="23"/>
      </top>
      <bottom style="hair">
        <color indexed="23"/>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8"/>
      </left>
      <right style="thin">
        <color indexed="8"/>
      </right>
      <top style="thin">
        <color indexed="64"/>
      </top>
      <bottom/>
      <diagonal/>
    </border>
    <border>
      <left style="thin">
        <color indexed="8"/>
      </left>
      <right style="thin">
        <color indexed="8"/>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medium">
        <color indexed="64"/>
      </bottom>
      <diagonal/>
    </border>
    <border>
      <left style="thin">
        <color indexed="64"/>
      </left>
      <right/>
      <top style="thin">
        <color indexed="8"/>
      </top>
      <bottom style="medium">
        <color indexed="8"/>
      </bottom>
      <diagonal/>
    </border>
    <border>
      <left style="thin">
        <color indexed="8"/>
      </left>
      <right/>
      <top/>
      <bottom/>
      <diagonal/>
    </border>
    <border>
      <left style="thin">
        <color indexed="8"/>
      </left>
      <right/>
      <top/>
      <bottom style="medium">
        <color indexed="64"/>
      </bottom>
      <diagonal/>
    </border>
    <border>
      <left style="thin">
        <color indexed="8"/>
      </left>
      <right/>
      <top style="hair">
        <color indexed="8"/>
      </top>
      <bottom style="thin">
        <color indexed="64"/>
      </bottom>
      <diagonal/>
    </border>
  </borders>
  <cellStyleXfs count="15">
    <xf numFmtId="0" fontId="0" fillId="0" borderId="0"/>
    <xf numFmtId="43" fontId="17" fillId="0" borderId="0" applyFont="0" applyFill="0" applyBorder="0" applyAlignment="0" applyProtection="0"/>
    <xf numFmtId="43" fontId="14" fillId="0" borderId="0" applyFont="0" applyFill="0" applyBorder="0" applyAlignment="0" applyProtection="0"/>
    <xf numFmtId="44" fontId="17" fillId="0" borderId="0" applyFont="0" applyFill="0" applyBorder="0" applyAlignment="0" applyProtection="0"/>
    <xf numFmtId="44" fontId="14" fillId="0" borderId="0" applyFont="0" applyFill="0" applyBorder="0" applyAlignment="0" applyProtection="0"/>
    <xf numFmtId="0" fontId="13" fillId="0" borderId="0"/>
    <xf numFmtId="0" fontId="60" fillId="0" borderId="0"/>
    <xf numFmtId="0" fontId="17" fillId="0" borderId="0"/>
    <xf numFmtId="0" fontId="17" fillId="0" borderId="0"/>
    <xf numFmtId="43"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cellStyleXfs>
  <cellXfs count="710">
    <xf numFmtId="0" fontId="0" fillId="0" borderId="0" xfId="0"/>
    <xf numFmtId="165" fontId="1" fillId="0" borderId="0" xfId="0" applyNumberFormat="1" applyFont="1" applyAlignment="1"/>
    <xf numFmtId="165" fontId="1" fillId="0" borderId="0" xfId="0" applyNumberFormat="1" applyFont="1" applyBorder="1" applyAlignment="1"/>
    <xf numFmtId="165" fontId="5" fillId="0" borderId="0" xfId="0" applyNumberFormat="1" applyFont="1"/>
    <xf numFmtId="3" fontId="5" fillId="0" borderId="0" xfId="0" applyNumberFormat="1" applyFont="1" applyAlignment="1"/>
    <xf numFmtId="3" fontId="5" fillId="0" borderId="0" xfId="0" applyNumberFormat="1" applyFont="1" applyAlignment="1">
      <alignment horizontal="fill"/>
    </xf>
    <xf numFmtId="165" fontId="8" fillId="0" borderId="0" xfId="0" applyNumberFormat="1" applyFont="1" applyAlignment="1"/>
    <xf numFmtId="165" fontId="5" fillId="0" borderId="0" xfId="0" applyNumberFormat="1" applyFont="1" applyAlignment="1"/>
    <xf numFmtId="165" fontId="3" fillId="0" borderId="0" xfId="0" applyNumberFormat="1" applyFont="1" applyAlignment="1"/>
    <xf numFmtId="165" fontId="3" fillId="0" borderId="0" xfId="0" applyNumberFormat="1" applyFont="1" applyBorder="1" applyAlignment="1"/>
    <xf numFmtId="165" fontId="0" fillId="0" borderId="0" xfId="0" applyNumberFormat="1"/>
    <xf numFmtId="165" fontId="0" fillId="0" borderId="0" xfId="0" applyNumberFormat="1" applyBorder="1"/>
    <xf numFmtId="165" fontId="6" fillId="2" borderId="0" xfId="0" applyNumberFormat="1" applyFont="1" applyFill="1" applyAlignment="1"/>
    <xf numFmtId="165" fontId="6" fillId="2" borderId="0" xfId="0" applyNumberFormat="1" applyFont="1" applyFill="1" applyBorder="1" applyAlignment="1"/>
    <xf numFmtId="165" fontId="7" fillId="2" borderId="0" xfId="0" applyNumberFormat="1" applyFont="1" applyFill="1" applyBorder="1" applyAlignment="1"/>
    <xf numFmtId="165" fontId="11" fillId="2" borderId="0" xfId="0" applyNumberFormat="1" applyFont="1" applyFill="1" applyAlignment="1"/>
    <xf numFmtId="165" fontId="5" fillId="0" borderId="0" xfId="0" applyNumberFormat="1" applyFont="1" applyAlignment="1">
      <alignment horizontal="right"/>
    </xf>
    <xf numFmtId="0" fontId="0" fillId="0" borderId="0" xfId="0" applyBorder="1"/>
    <xf numFmtId="3" fontId="4" fillId="2" borderId="0" xfId="0" applyNumberFormat="1" applyFont="1" applyFill="1" applyBorder="1" applyAlignment="1"/>
    <xf numFmtId="165" fontId="2" fillId="0" borderId="0" xfId="0" applyNumberFormat="1" applyFont="1" applyAlignment="1"/>
    <xf numFmtId="165" fontId="5" fillId="0" borderId="0" xfId="0" applyNumberFormat="1" applyFont="1" applyBorder="1"/>
    <xf numFmtId="0" fontId="17" fillId="0" borderId="0" xfId="7"/>
    <xf numFmtId="0" fontId="19" fillId="0" borderId="2" xfId="7" applyFont="1" applyBorder="1" applyAlignment="1">
      <alignment horizontal="center"/>
    </xf>
    <xf numFmtId="0" fontId="19" fillId="0" borderId="3" xfId="7" applyFont="1" applyBorder="1" applyAlignment="1">
      <alignment horizontal="center"/>
    </xf>
    <xf numFmtId="0" fontId="19" fillId="0" borderId="4" xfId="7" applyFont="1" applyBorder="1" applyAlignment="1">
      <alignment horizontal="center"/>
    </xf>
    <xf numFmtId="0" fontId="8" fillId="0" borderId="5" xfId="7" applyFont="1" applyBorder="1"/>
    <xf numFmtId="0" fontId="8" fillId="0" borderId="3" xfId="7" applyFont="1" applyBorder="1"/>
    <xf numFmtId="5" fontId="19" fillId="0" borderId="0" xfId="7" applyNumberFormat="1" applyFont="1" applyBorder="1"/>
    <xf numFmtId="5" fontId="19" fillId="0" borderId="6" xfId="7" applyNumberFormat="1" applyFont="1" applyBorder="1"/>
    <xf numFmtId="0" fontId="8" fillId="0" borderId="7" xfId="7" applyFont="1" applyBorder="1"/>
    <xf numFmtId="0" fontId="8" fillId="0" borderId="4" xfId="7" applyFont="1" applyBorder="1"/>
    <xf numFmtId="0" fontId="19" fillId="0" borderId="8" xfId="7" applyFont="1" applyBorder="1" applyAlignment="1">
      <alignment horizontal="left"/>
    </xf>
    <xf numFmtId="0" fontId="0" fillId="0" borderId="0" xfId="0" applyBorder="1" applyAlignment="1">
      <alignment vertical="top" wrapText="1"/>
    </xf>
    <xf numFmtId="165" fontId="14" fillId="3" borderId="0" xfId="0" applyNumberFormat="1" applyFont="1" applyFill="1" applyBorder="1"/>
    <xf numFmtId="0" fontId="27" fillId="0" borderId="0" xfId="0" applyFont="1"/>
    <xf numFmtId="165" fontId="1" fillId="0" borderId="0" xfId="0" applyNumberFormat="1" applyFont="1" applyFill="1" applyAlignment="1"/>
    <xf numFmtId="0" fontId="8" fillId="0" borderId="9" xfId="7" applyFont="1" applyBorder="1"/>
    <xf numFmtId="0" fontId="8" fillId="0" borderId="9" xfId="7" applyFont="1" applyBorder="1" applyAlignment="1">
      <alignment horizontal="center"/>
    </xf>
    <xf numFmtId="3" fontId="5" fillId="0" borderId="11" xfId="0" applyNumberFormat="1" applyFont="1" applyBorder="1" applyAlignment="1"/>
    <xf numFmtId="0" fontId="17" fillId="0" borderId="0" xfId="7" applyBorder="1"/>
    <xf numFmtId="165" fontId="26" fillId="0" borderId="0" xfId="0" applyNumberFormat="1" applyFont="1" applyFill="1" applyBorder="1"/>
    <xf numFmtId="165" fontId="0" fillId="0" borderId="0" xfId="0" applyNumberFormat="1" applyFill="1" applyBorder="1"/>
    <xf numFmtId="165" fontId="5" fillId="0" borderId="0" xfId="0" applyNumberFormat="1" applyFont="1" applyFill="1" applyAlignment="1"/>
    <xf numFmtId="165" fontId="6" fillId="4" borderId="0" xfId="0" applyNumberFormat="1" applyFont="1" applyFill="1" applyAlignment="1">
      <alignment horizontal="right"/>
    </xf>
    <xf numFmtId="165" fontId="6" fillId="4" borderId="0" xfId="0" applyNumberFormat="1" applyFont="1" applyFill="1" applyAlignment="1"/>
    <xf numFmtId="5" fontId="23" fillId="2" borderId="12" xfId="0" applyNumberFormat="1" applyFont="1" applyFill="1" applyBorder="1" applyAlignment="1"/>
    <xf numFmtId="5" fontId="23" fillId="2" borderId="11" xfId="0" applyNumberFormat="1" applyFont="1" applyFill="1" applyBorder="1" applyAlignment="1"/>
    <xf numFmtId="0" fontId="0" fillId="0" borderId="0" xfId="0" applyBorder="1" applyAlignment="1">
      <alignment horizontal="center"/>
    </xf>
    <xf numFmtId="0" fontId="0" fillId="0" borderId="0" xfId="0" applyAlignment="1">
      <alignment horizontal="center"/>
    </xf>
    <xf numFmtId="3" fontId="15" fillId="0" borderId="0" xfId="0" applyNumberFormat="1" applyFont="1" applyAlignment="1">
      <alignment horizontal="centerContinuous"/>
    </xf>
    <xf numFmtId="165" fontId="15" fillId="0" borderId="0" xfId="0" applyNumberFormat="1" applyFont="1" applyAlignment="1">
      <alignment horizontal="centerContinuous"/>
    </xf>
    <xf numFmtId="165" fontId="13" fillId="4" borderId="0" xfId="0" applyNumberFormat="1" applyFont="1" applyFill="1"/>
    <xf numFmtId="165" fontId="13" fillId="4" borderId="0" xfId="0" applyNumberFormat="1" applyFont="1" applyFill="1" applyAlignment="1">
      <alignment horizontal="centerContinuous"/>
    </xf>
    <xf numFmtId="0" fontId="13" fillId="4" borderId="0" xfId="0" applyFont="1" applyFill="1" applyBorder="1" applyAlignment="1">
      <alignment vertical="top" wrapText="1"/>
    </xf>
    <xf numFmtId="165" fontId="6" fillId="0" borderId="0" xfId="0" applyNumberFormat="1" applyFont="1" applyFill="1" applyBorder="1" applyAlignment="1"/>
    <xf numFmtId="0" fontId="0" fillId="0" borderId="0" xfId="0" applyFill="1" applyBorder="1" applyAlignment="1">
      <alignment vertical="top" wrapText="1"/>
    </xf>
    <xf numFmtId="165" fontId="13" fillId="4" borderId="0" xfId="0" applyNumberFormat="1" applyFont="1" applyFill="1" applyAlignment="1"/>
    <xf numFmtId="0" fontId="20" fillId="0" borderId="0" xfId="0" applyFont="1" applyFill="1" applyAlignment="1">
      <alignment horizontal="centerContinuous"/>
    </xf>
    <xf numFmtId="0" fontId="13" fillId="4" borderId="0" xfId="0" applyFont="1" applyFill="1"/>
    <xf numFmtId="0" fontId="13" fillId="4" borderId="0" xfId="0" applyFont="1" applyFill="1" applyAlignment="1"/>
    <xf numFmtId="0" fontId="14" fillId="4" borderId="0" xfId="7" applyFont="1" applyFill="1"/>
    <xf numFmtId="0" fontId="13" fillId="0" borderId="0" xfId="0" applyFont="1" applyFill="1" applyBorder="1" applyAlignment="1">
      <alignment vertical="top" wrapText="1"/>
    </xf>
    <xf numFmtId="0" fontId="13" fillId="0" borderId="0" xfId="0" applyFont="1" applyFill="1" applyBorder="1" applyAlignment="1"/>
    <xf numFmtId="165" fontId="18" fillId="4" borderId="0" xfId="0" applyNumberFormat="1" applyFont="1" applyFill="1" applyAlignment="1">
      <alignment horizontal="centerContinuous"/>
    </xf>
    <xf numFmtId="165" fontId="18" fillId="4" borderId="0" xfId="0" applyNumberFormat="1" applyFont="1" applyFill="1" applyBorder="1" applyAlignment="1">
      <alignment horizontal="centerContinuous"/>
    </xf>
    <xf numFmtId="165" fontId="13" fillId="4" borderId="0" xfId="0" applyNumberFormat="1" applyFont="1" applyFill="1" applyBorder="1" applyAlignment="1">
      <alignment horizontal="centerContinuous"/>
    </xf>
    <xf numFmtId="0" fontId="36" fillId="0" borderId="0" xfId="0" applyFont="1" applyFill="1" applyBorder="1" applyAlignment="1">
      <alignment vertical="top" wrapText="1"/>
    </xf>
    <xf numFmtId="0" fontId="34" fillId="0" borderId="0" xfId="7" applyFont="1" applyFill="1" applyAlignment="1"/>
    <xf numFmtId="0" fontId="33" fillId="0" borderId="0" xfId="7" applyFont="1" applyFill="1" applyAlignment="1"/>
    <xf numFmtId="165" fontId="5" fillId="0" borderId="0" xfId="0" applyNumberFormat="1" applyFont="1" applyBorder="1" applyAlignment="1"/>
    <xf numFmtId="164" fontId="22" fillId="2" borderId="11" xfId="0" applyNumberFormat="1" applyFont="1" applyFill="1" applyBorder="1" applyAlignment="1"/>
    <xf numFmtId="165" fontId="38" fillId="0" borderId="0" xfId="0" applyNumberFormat="1" applyFont="1"/>
    <xf numFmtId="165" fontId="39" fillId="0" borderId="0" xfId="0" applyNumberFormat="1" applyFont="1" applyAlignment="1"/>
    <xf numFmtId="165" fontId="40" fillId="2" borderId="0" xfId="0" applyNumberFormat="1" applyFont="1" applyFill="1" applyAlignment="1"/>
    <xf numFmtId="0" fontId="41" fillId="0" borderId="0" xfId="7" applyFont="1"/>
    <xf numFmtId="170" fontId="23" fillId="2" borderId="15" xfId="0" applyNumberFormat="1" applyFont="1" applyFill="1" applyBorder="1" applyAlignment="1"/>
    <xf numFmtId="0" fontId="44" fillId="0" borderId="0" xfId="0" applyFont="1"/>
    <xf numFmtId="165" fontId="43" fillId="0" borderId="0" xfId="0" applyNumberFormat="1" applyFont="1"/>
    <xf numFmtId="165" fontId="26" fillId="0" borderId="0" xfId="0" applyNumberFormat="1" applyFont="1"/>
    <xf numFmtId="165" fontId="26" fillId="0" borderId="0" xfId="0" applyNumberFormat="1" applyFont="1" applyAlignment="1"/>
    <xf numFmtId="3" fontId="43" fillId="2" borderId="0" xfId="0" applyNumberFormat="1" applyFont="1" applyFill="1" applyAlignment="1"/>
    <xf numFmtId="3" fontId="47" fillId="2" borderId="0" xfId="0" applyNumberFormat="1" applyFont="1" applyFill="1" applyAlignment="1"/>
    <xf numFmtId="3" fontId="47" fillId="2" borderId="0" xfId="0" applyNumberFormat="1" applyFont="1" applyFill="1" applyBorder="1" applyAlignment="1"/>
    <xf numFmtId="0" fontId="26" fillId="0" borderId="0" xfId="0" applyFont="1"/>
    <xf numFmtId="165" fontId="44" fillId="0" borderId="0" xfId="0" applyNumberFormat="1" applyFont="1"/>
    <xf numFmtId="165" fontId="44" fillId="0" borderId="0" xfId="0" applyNumberFormat="1" applyFont="1" applyBorder="1"/>
    <xf numFmtId="165" fontId="48" fillId="0" borderId="0" xfId="0" applyNumberFormat="1" applyFont="1" applyAlignment="1"/>
    <xf numFmtId="165" fontId="49" fillId="0" borderId="0" xfId="0" applyNumberFormat="1" applyFont="1" applyAlignment="1"/>
    <xf numFmtId="3" fontId="46" fillId="0" borderId="0" xfId="0" applyNumberFormat="1" applyFont="1" applyAlignment="1"/>
    <xf numFmtId="3" fontId="45" fillId="0" borderId="0" xfId="0" applyNumberFormat="1" applyFont="1" applyAlignment="1"/>
    <xf numFmtId="0" fontId="44" fillId="0" borderId="0" xfId="7" applyFont="1"/>
    <xf numFmtId="0" fontId="37" fillId="0" borderId="0" xfId="7" applyFont="1"/>
    <xf numFmtId="37" fontId="5" fillId="0" borderId="9" xfId="0" applyNumberFormat="1" applyFont="1" applyBorder="1" applyAlignment="1"/>
    <xf numFmtId="37" fontId="5" fillId="0" borderId="12" xfId="0" applyNumberFormat="1" applyFont="1" applyBorder="1" applyAlignment="1"/>
    <xf numFmtId="37" fontId="5" fillId="0" borderId="5" xfId="0" applyNumberFormat="1" applyFont="1" applyBorder="1" applyAlignment="1"/>
    <xf numFmtId="37" fontId="5" fillId="0" borderId="11" xfId="0" applyNumberFormat="1" applyFont="1" applyBorder="1"/>
    <xf numFmtId="37" fontId="5" fillId="0" borderId="12" xfId="0" applyNumberFormat="1" applyFont="1" applyBorder="1"/>
    <xf numFmtId="37" fontId="19" fillId="0" borderId="8" xfId="7" applyNumberFormat="1" applyFont="1" applyBorder="1"/>
    <xf numFmtId="37" fontId="19" fillId="0" borderId="0" xfId="7" applyNumberFormat="1" applyFont="1" applyBorder="1"/>
    <xf numFmtId="37" fontId="6" fillId="2" borderId="1" xfId="0" applyNumberFormat="1" applyFont="1" applyFill="1" applyBorder="1" applyAlignment="1"/>
    <xf numFmtId="37" fontId="6" fillId="2" borderId="18" xfId="0" applyNumberFormat="1" applyFont="1" applyFill="1" applyBorder="1" applyAlignment="1"/>
    <xf numFmtId="37" fontId="6" fillId="2" borderId="12" xfId="0" applyNumberFormat="1" applyFont="1" applyFill="1" applyBorder="1" applyAlignment="1"/>
    <xf numFmtId="37" fontId="0" fillId="3" borderId="0" xfId="0" applyNumberFormat="1" applyFill="1" applyBorder="1"/>
    <xf numFmtId="37" fontId="21" fillId="2" borderId="22" xfId="0" applyNumberFormat="1" applyFont="1" applyFill="1" applyBorder="1" applyAlignment="1"/>
    <xf numFmtId="37" fontId="21" fillId="2" borderId="15" xfId="0" applyNumberFormat="1" applyFont="1" applyFill="1" applyBorder="1" applyAlignment="1"/>
    <xf numFmtId="37" fontId="21" fillId="2" borderId="11" xfId="0" applyNumberFormat="1" applyFont="1" applyFill="1" applyBorder="1" applyAlignment="1"/>
    <xf numFmtId="37" fontId="22" fillId="2" borderId="29" xfId="0" applyNumberFormat="1" applyFont="1" applyFill="1" applyBorder="1" applyAlignment="1"/>
    <xf numFmtId="4" fontId="21" fillId="2" borderId="15" xfId="0" applyNumberFormat="1" applyFont="1" applyFill="1" applyBorder="1" applyAlignment="1"/>
    <xf numFmtId="4" fontId="21" fillId="2" borderId="15" xfId="0" applyNumberFormat="1" applyFont="1" applyFill="1" applyBorder="1" applyAlignment="1">
      <alignment horizontal="right"/>
    </xf>
    <xf numFmtId="4" fontId="21" fillId="2" borderId="30" xfId="0" applyNumberFormat="1" applyFont="1" applyFill="1" applyBorder="1" applyAlignment="1">
      <alignment horizontal="right"/>
    </xf>
    <xf numFmtId="4" fontId="21" fillId="2" borderId="30" xfId="0" applyNumberFormat="1" applyFont="1" applyFill="1" applyBorder="1" applyAlignment="1"/>
    <xf numFmtId="4" fontId="5" fillId="0" borderId="15" xfId="0" applyNumberFormat="1" applyFont="1" applyBorder="1" applyAlignment="1"/>
    <xf numFmtId="37" fontId="6" fillId="2" borderId="15" xfId="0" applyNumberFormat="1" applyFont="1" applyFill="1" applyBorder="1" applyAlignment="1"/>
    <xf numFmtId="37" fontId="6" fillId="2" borderId="11" xfId="0" applyNumberFormat="1" applyFont="1" applyFill="1" applyBorder="1" applyAlignment="1"/>
    <xf numFmtId="37" fontId="6" fillId="2" borderId="15" xfId="0" applyNumberFormat="1" applyFont="1" applyFill="1" applyBorder="1" applyAlignment="1">
      <alignment horizontal="right"/>
    </xf>
    <xf numFmtId="37" fontId="6" fillId="0" borderId="15" xfId="0" applyNumberFormat="1" applyFont="1" applyFill="1" applyBorder="1" applyAlignment="1"/>
    <xf numFmtId="37" fontId="6" fillId="0" borderId="11" xfId="0" applyNumberFormat="1" applyFont="1" applyFill="1" applyBorder="1" applyAlignment="1"/>
    <xf numFmtId="37" fontId="6" fillId="0" borderId="12" xfId="0" applyNumberFormat="1" applyFont="1" applyFill="1" applyBorder="1" applyAlignment="1"/>
    <xf numFmtId="37" fontId="7" fillId="2" borderId="15" xfId="0" applyNumberFormat="1" applyFont="1" applyFill="1" applyBorder="1" applyAlignment="1"/>
    <xf numFmtId="37" fontId="7" fillId="2" borderId="11" xfId="0" applyNumberFormat="1" applyFont="1" applyFill="1" applyBorder="1" applyAlignment="1"/>
    <xf numFmtId="37" fontId="7" fillId="2" borderId="12" xfId="0" applyNumberFormat="1" applyFont="1" applyFill="1" applyBorder="1" applyAlignment="1"/>
    <xf numFmtId="37" fontId="6" fillId="2" borderId="8" xfId="0" applyNumberFormat="1" applyFont="1" applyFill="1" applyBorder="1" applyAlignment="1"/>
    <xf numFmtId="37" fontId="6" fillId="2" borderId="0" xfId="0" applyNumberFormat="1" applyFont="1" applyFill="1" applyBorder="1" applyAlignment="1"/>
    <xf numFmtId="37" fontId="6" fillId="2" borderId="29" xfId="0" applyNumberFormat="1" applyFont="1" applyFill="1" applyBorder="1" applyAlignment="1"/>
    <xf numFmtId="37" fontId="6" fillId="2" borderId="32" xfId="0" applyNumberFormat="1" applyFont="1" applyFill="1" applyBorder="1" applyAlignment="1"/>
    <xf numFmtId="0" fontId="16" fillId="0" borderId="0" xfId="0" applyFont="1"/>
    <xf numFmtId="0" fontId="0" fillId="0" borderId="0" xfId="0" applyAlignment="1">
      <alignment vertical="top"/>
    </xf>
    <xf numFmtId="37" fontId="22" fillId="2" borderId="34" xfId="0" applyNumberFormat="1" applyFont="1" applyFill="1" applyBorder="1" applyAlignment="1"/>
    <xf numFmtId="37" fontId="6" fillId="2" borderId="37" xfId="0" applyNumberFormat="1" applyFont="1" applyFill="1" applyBorder="1" applyAlignment="1"/>
    <xf numFmtId="37" fontId="6" fillId="0" borderId="37" xfId="0" applyNumberFormat="1" applyFont="1" applyFill="1" applyBorder="1" applyAlignment="1"/>
    <xf numFmtId="37" fontId="15" fillId="0" borderId="14" xfId="0" applyNumberFormat="1" applyFont="1" applyBorder="1" applyAlignment="1">
      <alignment horizontal="right"/>
    </xf>
    <xf numFmtId="37" fontId="22" fillId="2" borderId="32" xfId="0" applyNumberFormat="1" applyFont="1" applyFill="1" applyBorder="1" applyAlignment="1"/>
    <xf numFmtId="165" fontId="35" fillId="0" borderId="0" xfId="0" applyNumberFormat="1" applyFont="1" applyAlignment="1"/>
    <xf numFmtId="0" fontId="52" fillId="2" borderId="0" xfId="0" applyFont="1" applyFill="1" applyProtection="1">
      <protection hidden="1"/>
    </xf>
    <xf numFmtId="164" fontId="15" fillId="0" borderId="40" xfId="0" applyNumberFormat="1" applyFont="1" applyBorder="1" applyAlignment="1"/>
    <xf numFmtId="3" fontId="22" fillId="2" borderId="41" xfId="0" applyNumberFormat="1" applyFont="1" applyFill="1" applyBorder="1" applyAlignment="1"/>
    <xf numFmtId="165" fontId="13" fillId="3" borderId="0" xfId="0" applyNumberFormat="1" applyFont="1" applyFill="1" applyBorder="1"/>
    <xf numFmtId="1" fontId="15" fillId="0" borderId="17" xfId="0" applyNumberFormat="1" applyFont="1" applyBorder="1" applyAlignment="1">
      <alignment horizontal="right"/>
    </xf>
    <xf numFmtId="0" fontId="12" fillId="0" borderId="0" xfId="0" applyFont="1"/>
    <xf numFmtId="37" fontId="5" fillId="0" borderId="15" xfId="0" applyNumberFormat="1" applyFont="1" applyBorder="1" applyAlignment="1">
      <alignment horizontal="center"/>
    </xf>
    <xf numFmtId="37" fontId="5" fillId="0" borderId="11" xfId="0" applyNumberFormat="1" applyFont="1" applyBorder="1" applyAlignment="1">
      <alignment horizontal="center"/>
    </xf>
    <xf numFmtId="37" fontId="5" fillId="0" borderId="11" xfId="0" applyNumberFormat="1" applyFont="1" applyBorder="1" applyAlignment="1"/>
    <xf numFmtId="3" fontId="5" fillId="0" borderId="12" xfId="0" applyNumberFormat="1" applyFont="1" applyBorder="1" applyAlignment="1"/>
    <xf numFmtId="164" fontId="15" fillId="0" borderId="3" xfId="0" applyNumberFormat="1" applyFont="1" applyBorder="1" applyAlignment="1"/>
    <xf numFmtId="164" fontId="15" fillId="0" borderId="4" xfId="0" applyNumberFormat="1" applyFont="1" applyBorder="1" applyAlignment="1"/>
    <xf numFmtId="3" fontId="5" fillId="0" borderId="3" xfId="0" applyNumberFormat="1" applyFont="1" applyBorder="1" applyAlignment="1"/>
    <xf numFmtId="37" fontId="5" fillId="0" borderId="8" xfId="0" applyNumberFormat="1" applyFont="1" applyBorder="1"/>
    <xf numFmtId="37" fontId="5" fillId="0" borderId="13" xfId="0" applyNumberFormat="1" applyFont="1" applyBorder="1"/>
    <xf numFmtId="0" fontId="6" fillId="2" borderId="42" xfId="0" applyNumberFormat="1" applyFont="1" applyFill="1" applyBorder="1" applyAlignment="1"/>
    <xf numFmtId="0" fontId="22" fillId="2" borderId="44" xfId="0" applyNumberFormat="1" applyFont="1" applyFill="1" applyBorder="1" applyAlignment="1">
      <alignment horizontal="right"/>
    </xf>
    <xf numFmtId="0" fontId="22" fillId="2" borderId="46" xfId="0" applyNumberFormat="1" applyFont="1" applyFill="1" applyBorder="1" applyAlignment="1">
      <alignment horizontal="right"/>
    </xf>
    <xf numFmtId="0" fontId="16" fillId="0" borderId="0" xfId="0" applyNumberFormat="1" applyFont="1" applyAlignment="1"/>
    <xf numFmtId="0" fontId="21" fillId="0" borderId="15" xfId="0" applyNumberFormat="1" applyFont="1" applyFill="1" applyBorder="1" applyAlignment="1">
      <alignment horizontal="left"/>
    </xf>
    <xf numFmtId="0" fontId="21" fillId="2" borderId="15" xfId="0" applyNumberFormat="1" applyFont="1" applyFill="1" applyBorder="1" applyAlignment="1">
      <alignment horizontal="left"/>
    </xf>
    <xf numFmtId="0" fontId="22" fillId="2" borderId="29" xfId="0" applyNumberFormat="1" applyFont="1" applyFill="1" applyBorder="1" applyAlignment="1">
      <alignment horizontal="left"/>
    </xf>
    <xf numFmtId="0" fontId="22" fillId="2" borderId="15" xfId="0" applyNumberFormat="1" applyFont="1" applyFill="1" applyBorder="1" applyAlignment="1">
      <alignment horizontal="left"/>
    </xf>
    <xf numFmtId="0" fontId="22" fillId="2" borderId="30" xfId="0" applyNumberFormat="1" applyFont="1" applyFill="1" applyBorder="1" applyAlignment="1">
      <alignment horizontal="left"/>
    </xf>
    <xf numFmtId="0" fontId="22" fillId="2" borderId="48" xfId="0" applyNumberFormat="1" applyFont="1" applyFill="1" applyBorder="1" applyAlignment="1">
      <alignment horizontal="right"/>
    </xf>
    <xf numFmtId="0" fontId="22" fillId="2" borderId="49" xfId="0" applyNumberFormat="1" applyFont="1" applyFill="1" applyBorder="1" applyAlignment="1">
      <alignment horizontal="right"/>
    </xf>
    <xf numFmtId="0" fontId="6" fillId="2" borderId="51" xfId="0" applyNumberFormat="1" applyFont="1" applyFill="1" applyBorder="1" applyAlignment="1">
      <alignment horizontal="left" indent="1"/>
    </xf>
    <xf numFmtId="0" fontId="6" fillId="2" borderId="13" xfId="0" applyNumberFormat="1" applyFont="1" applyFill="1" applyBorder="1" applyAlignment="1">
      <alignment horizontal="left" indent="1"/>
    </xf>
    <xf numFmtId="0" fontId="7" fillId="2" borderId="13" xfId="0" applyNumberFormat="1" applyFont="1" applyFill="1" applyBorder="1" applyAlignment="1">
      <alignment horizontal="left" indent="2"/>
    </xf>
    <xf numFmtId="0" fontId="6" fillId="2" borderId="37" xfId="0" applyNumberFormat="1" applyFont="1" applyFill="1" applyBorder="1" applyAlignment="1">
      <alignment horizontal="left" indent="1"/>
    </xf>
    <xf numFmtId="0" fontId="6" fillId="2" borderId="52" xfId="0" applyNumberFormat="1" applyFont="1" applyFill="1" applyBorder="1" applyAlignment="1">
      <alignment horizontal="left" indent="2"/>
    </xf>
    <xf numFmtId="0" fontId="6" fillId="2" borderId="13" xfId="0" applyNumberFormat="1" applyFont="1" applyFill="1" applyBorder="1" applyAlignment="1">
      <alignment horizontal="left" indent="2"/>
    </xf>
    <xf numFmtId="0" fontId="23" fillId="2" borderId="13" xfId="0" applyNumberFormat="1" applyFont="1" applyFill="1" applyBorder="1" applyAlignment="1">
      <alignment horizontal="left" indent="3"/>
    </xf>
    <xf numFmtId="0" fontId="6" fillId="0" borderId="13" xfId="0" applyNumberFormat="1" applyFont="1" applyFill="1" applyBorder="1" applyAlignment="1">
      <alignment horizontal="left" indent="2"/>
    </xf>
    <xf numFmtId="0" fontId="23" fillId="2" borderId="48" xfId="0" applyNumberFormat="1" applyFont="1" applyFill="1" applyBorder="1" applyAlignment="1">
      <alignment horizontal="right"/>
    </xf>
    <xf numFmtId="0" fontId="23" fillId="2" borderId="49" xfId="0" applyNumberFormat="1" applyFont="1" applyFill="1" applyBorder="1" applyAlignment="1">
      <alignment horizontal="right"/>
    </xf>
    <xf numFmtId="0" fontId="23" fillId="2" borderId="50" xfId="0" applyNumberFormat="1" applyFont="1" applyFill="1" applyBorder="1" applyAlignment="1">
      <alignment horizontal="right"/>
    </xf>
    <xf numFmtId="0" fontId="5" fillId="0" borderId="15" xfId="0" applyNumberFormat="1" applyFont="1" applyBorder="1" applyAlignment="1"/>
    <xf numFmtId="0" fontId="5" fillId="0" borderId="11" xfId="0" applyNumberFormat="1" applyFont="1" applyBorder="1" applyAlignment="1"/>
    <xf numFmtId="0" fontId="5" fillId="0" borderId="7" xfId="0" applyNumberFormat="1" applyFont="1" applyBorder="1" applyAlignment="1"/>
    <xf numFmtId="0" fontId="15" fillId="0" borderId="3" xfId="0" applyNumberFormat="1" applyFont="1" applyBorder="1" applyAlignment="1"/>
    <xf numFmtId="0" fontId="5" fillId="0" borderId="53" xfId="0" applyNumberFormat="1" applyFont="1" applyBorder="1" applyAlignment="1"/>
    <xf numFmtId="0" fontId="5" fillId="0" borderId="54" xfId="0" applyNumberFormat="1" applyFont="1" applyBorder="1" applyAlignment="1"/>
    <xf numFmtId="0" fontId="5" fillId="0" borderId="11" xfId="0" applyNumberFormat="1" applyFont="1" applyBorder="1" applyAlignment="1">
      <alignment horizontal="fill"/>
    </xf>
    <xf numFmtId="0" fontId="5" fillId="0" borderId="3" xfId="0" applyNumberFormat="1" applyFont="1" applyBorder="1" applyAlignment="1">
      <alignment horizontal="fill"/>
    </xf>
    <xf numFmtId="0" fontId="5" fillId="0" borderId="3" xfId="0" applyNumberFormat="1" applyFont="1" applyBorder="1" applyAlignment="1"/>
    <xf numFmtId="0" fontId="5" fillId="0" borderId="48" xfId="0" applyNumberFormat="1" applyFont="1" applyBorder="1" applyAlignment="1">
      <alignment horizontal="right"/>
    </xf>
    <xf numFmtId="0" fontId="5" fillId="0" borderId="49" xfId="0" applyNumberFormat="1" applyFont="1" applyBorder="1" applyAlignment="1">
      <alignment horizontal="center"/>
    </xf>
    <xf numFmtId="0" fontId="5" fillId="0" borderId="49" xfId="0" applyNumberFormat="1" applyFont="1" applyBorder="1" applyAlignment="1">
      <alignment horizontal="right"/>
    </xf>
    <xf numFmtId="0" fontId="5" fillId="0" borderId="48" xfId="0" applyNumberFormat="1" applyFont="1" applyBorder="1" applyAlignment="1">
      <alignment horizontal="center"/>
    </xf>
    <xf numFmtId="0" fontId="5" fillId="0" borderId="50" xfId="0" applyNumberFormat="1" applyFont="1" applyBorder="1" applyAlignment="1">
      <alignment horizontal="right"/>
    </xf>
    <xf numFmtId="37" fontId="15" fillId="0" borderId="37" xfId="0" applyNumberFormat="1" applyFont="1" applyBorder="1" applyAlignment="1">
      <alignment horizontal="center"/>
    </xf>
    <xf numFmtId="37" fontId="15" fillId="0" borderId="3" xfId="0" applyNumberFormat="1" applyFont="1" applyBorder="1" applyAlignment="1">
      <alignment horizontal="center"/>
    </xf>
    <xf numFmtId="37" fontId="5" fillId="0" borderId="8" xfId="0" applyNumberFormat="1" applyFont="1" applyBorder="1" applyAlignment="1">
      <alignment horizontal="center"/>
    </xf>
    <xf numFmtId="37" fontId="5" fillId="0" borderId="0" xfId="0" applyNumberFormat="1" applyFont="1" applyAlignment="1">
      <alignment horizontal="center"/>
    </xf>
    <xf numFmtId="37" fontId="5" fillId="0" borderId="7" xfId="0" applyNumberFormat="1" applyFont="1" applyBorder="1" applyAlignment="1">
      <alignment horizontal="center"/>
    </xf>
    <xf numFmtId="37" fontId="5" fillId="0" borderId="3" xfId="0" applyNumberFormat="1" applyFont="1" applyBorder="1" applyAlignment="1">
      <alignment horizontal="center"/>
    </xf>
    <xf numFmtId="37" fontId="5" fillId="0" borderId="8" xfId="0" applyNumberFormat="1" applyFont="1" applyBorder="1" applyAlignment="1"/>
    <xf numFmtId="37" fontId="5" fillId="0" borderId="0" xfId="0" applyNumberFormat="1" applyFont="1" applyAlignment="1"/>
    <xf numFmtId="37" fontId="5" fillId="0" borderId="7" xfId="0" applyNumberFormat="1" applyFont="1" applyBorder="1" applyAlignment="1"/>
    <xf numFmtId="37" fontId="5" fillId="0" borderId="3" xfId="0" applyNumberFormat="1" applyFont="1" applyBorder="1" applyAlignment="1"/>
    <xf numFmtId="37" fontId="5" fillId="0" borderId="15" xfId="0" applyNumberFormat="1" applyFont="1" applyBorder="1" applyAlignment="1"/>
    <xf numFmtId="37" fontId="5" fillId="0" borderId="55" xfId="0" applyNumberFormat="1" applyFont="1" applyBorder="1" applyAlignment="1">
      <alignment horizontal="center"/>
    </xf>
    <xf numFmtId="37" fontId="5" fillId="0" borderId="0" xfId="0" applyNumberFormat="1" applyFont="1" applyBorder="1" applyAlignment="1"/>
    <xf numFmtId="5" fontId="6" fillId="2" borderId="11" xfId="0" applyNumberFormat="1" applyFont="1" applyFill="1" applyBorder="1" applyAlignment="1"/>
    <xf numFmtId="5" fontId="6" fillId="2" borderId="12" xfId="0" applyNumberFormat="1" applyFont="1" applyFill="1" applyBorder="1" applyAlignment="1"/>
    <xf numFmtId="0" fontId="24" fillId="2" borderId="56" xfId="0" applyNumberFormat="1" applyFont="1" applyFill="1" applyBorder="1" applyAlignment="1">
      <alignment horizontal="left" indent="5"/>
    </xf>
    <xf numFmtId="165" fontId="1" fillId="0" borderId="0" xfId="0" applyNumberFormat="1" applyFont="1" applyBorder="1"/>
    <xf numFmtId="0" fontId="5" fillId="0" borderId="29" xfId="0" applyNumberFormat="1" applyFont="1" applyBorder="1" applyAlignment="1"/>
    <xf numFmtId="0" fontId="15" fillId="0" borderId="48" xfId="0" applyNumberFormat="1" applyFont="1" applyBorder="1" applyAlignment="1">
      <alignment horizontal="right"/>
    </xf>
    <xf numFmtId="0" fontId="15" fillId="0" borderId="49" xfId="0" applyNumberFormat="1" applyFont="1" applyBorder="1" applyAlignment="1">
      <alignment horizontal="right"/>
    </xf>
    <xf numFmtId="0" fontId="15" fillId="0" borderId="50" xfId="0" applyNumberFormat="1" applyFont="1" applyBorder="1" applyAlignment="1">
      <alignment horizontal="right"/>
    </xf>
    <xf numFmtId="0" fontId="15" fillId="0" borderId="29" xfId="0" applyNumberFormat="1" applyFont="1" applyBorder="1" applyAlignment="1">
      <alignment horizontal="left" indent="3"/>
    </xf>
    <xf numFmtId="37" fontId="15" fillId="0" borderId="7" xfId="0" applyNumberFormat="1" applyFont="1" applyBorder="1" applyAlignment="1"/>
    <xf numFmtId="37" fontId="15" fillId="0" borderId="3" xfId="0" applyNumberFormat="1" applyFont="1" applyBorder="1" applyAlignment="1"/>
    <xf numFmtId="5" fontId="15" fillId="0" borderId="3" xfId="0" applyNumberFormat="1" applyFont="1" applyBorder="1" applyAlignment="1"/>
    <xf numFmtId="5" fontId="15" fillId="0" borderId="32" xfId="0" applyNumberFormat="1" applyFont="1" applyBorder="1" applyAlignment="1"/>
    <xf numFmtId="5" fontId="15" fillId="0" borderId="4" xfId="0" applyNumberFormat="1" applyFont="1" applyBorder="1" applyAlignment="1"/>
    <xf numFmtId="37" fontId="5" fillId="0" borderId="4" xfId="0" applyNumberFormat="1" applyFont="1" applyBorder="1" applyAlignment="1"/>
    <xf numFmtId="37" fontId="5" fillId="0" borderId="29" xfId="0" applyNumberFormat="1" applyFont="1" applyBorder="1" applyAlignment="1"/>
    <xf numFmtId="37" fontId="5" fillId="0" borderId="32" xfId="0" applyNumberFormat="1" applyFont="1" applyBorder="1" applyAlignment="1"/>
    <xf numFmtId="37" fontId="5" fillId="0" borderId="19" xfId="0" applyNumberFormat="1" applyFont="1" applyBorder="1" applyAlignment="1"/>
    <xf numFmtId="0" fontId="5" fillId="0" borderId="52" xfId="0" applyNumberFormat="1" applyFont="1" applyBorder="1" applyAlignment="1"/>
    <xf numFmtId="0" fontId="5" fillId="0" borderId="13" xfId="0" applyNumberFormat="1" applyFont="1" applyBorder="1" applyAlignment="1">
      <alignment horizontal="left" indent="3"/>
    </xf>
    <xf numFmtId="0" fontId="5" fillId="0" borderId="37" xfId="0" applyNumberFormat="1" applyFont="1" applyBorder="1" applyAlignment="1">
      <alignment horizontal="left" indent="3"/>
    </xf>
    <xf numFmtId="5" fontId="5" fillId="0" borderId="3" xfId="0" applyNumberFormat="1" applyFont="1" applyBorder="1" applyAlignment="1"/>
    <xf numFmtId="5" fontId="5" fillId="0" borderId="4" xfId="0" applyNumberFormat="1" applyFont="1" applyBorder="1" applyAlignment="1"/>
    <xf numFmtId="3" fontId="6" fillId="2" borderId="0" xfId="0" applyNumberFormat="1" applyFont="1" applyFill="1" applyAlignment="1"/>
    <xf numFmtId="165" fontId="46" fillId="0" borderId="0" xfId="0" applyNumberFormat="1" applyFont="1" applyAlignment="1"/>
    <xf numFmtId="165" fontId="45" fillId="0" borderId="0" xfId="0" applyNumberFormat="1" applyFont="1" applyAlignment="1"/>
    <xf numFmtId="37" fontId="5" fillId="0" borderId="31" xfId="0" applyNumberFormat="1" applyFont="1" applyBorder="1" applyAlignment="1"/>
    <xf numFmtId="0" fontId="41" fillId="0" borderId="0" xfId="8" applyFont="1"/>
    <xf numFmtId="0" fontId="0" fillId="0" borderId="0" xfId="0" applyAlignment="1"/>
    <xf numFmtId="0" fontId="17" fillId="0" borderId="0" xfId="8"/>
    <xf numFmtId="0" fontId="15" fillId="0" borderId="0" xfId="8" applyFont="1"/>
    <xf numFmtId="0" fontId="19" fillId="0" borderId="0" xfId="8" applyFont="1"/>
    <xf numFmtId="0" fontId="8" fillId="0" borderId="0" xfId="8" applyFont="1"/>
    <xf numFmtId="0" fontId="8" fillId="0" borderId="0" xfId="8" applyFont="1" applyFill="1" applyAlignment="1">
      <alignment vertical="center"/>
    </xf>
    <xf numFmtId="0" fontId="19" fillId="0" borderId="0" xfId="8" applyFont="1" applyFill="1" applyBorder="1" applyAlignment="1">
      <alignment horizontal="centerContinuous"/>
    </xf>
    <xf numFmtId="0" fontId="8" fillId="0" borderId="8" xfId="8" applyFont="1" applyFill="1" applyBorder="1" applyAlignment="1">
      <alignment horizontal="center"/>
    </xf>
    <xf numFmtId="0" fontId="8" fillId="0" borderId="31" xfId="8" applyFont="1" applyFill="1" applyBorder="1" applyAlignment="1">
      <alignment horizontal="center"/>
    </xf>
    <xf numFmtId="0" fontId="8" fillId="0" borderId="0" xfId="8" applyFont="1" applyFill="1"/>
    <xf numFmtId="0" fontId="8" fillId="0" borderId="0" xfId="8" applyFont="1" applyFill="1" applyBorder="1" applyAlignment="1">
      <alignment horizontal="center"/>
    </xf>
    <xf numFmtId="0" fontId="8" fillId="0" borderId="7" xfId="8" applyFont="1" applyFill="1" applyBorder="1" applyAlignment="1">
      <alignment horizontal="center" wrapText="1"/>
    </xf>
    <xf numFmtId="0" fontId="8" fillId="0" borderId="4" xfId="8" applyFont="1" applyFill="1" applyBorder="1" applyAlignment="1">
      <alignment horizontal="center" wrapText="1"/>
    </xf>
    <xf numFmtId="0" fontId="56" fillId="0" borderId="0" xfId="8" applyFont="1" applyFill="1" applyBorder="1" applyAlignment="1">
      <alignment horizontal="center"/>
    </xf>
    <xf numFmtId="0" fontId="8" fillId="0" borderId="2" xfId="8" applyFont="1" applyBorder="1"/>
    <xf numFmtId="37" fontId="8" fillId="0" borderId="8" xfId="8" applyNumberFormat="1" applyFont="1" applyBorder="1"/>
    <xf numFmtId="37" fontId="8" fillId="0" borderId="31" xfId="8" applyNumberFormat="1" applyFont="1" applyBorder="1"/>
    <xf numFmtId="3" fontId="8" fillId="0" borderId="0" xfId="8" applyNumberFormat="1" applyFont="1"/>
    <xf numFmtId="37" fontId="8" fillId="0" borderId="0" xfId="8" applyNumberFormat="1" applyFont="1" applyBorder="1"/>
    <xf numFmtId="37" fontId="8" fillId="0" borderId="53" xfId="8" applyNumberFormat="1" applyFont="1" applyBorder="1"/>
    <xf numFmtId="0" fontId="8" fillId="0" borderId="0" xfId="8" applyFont="1" applyBorder="1"/>
    <xf numFmtId="0" fontId="19" fillId="0" borderId="6" xfId="8" applyFont="1" applyBorder="1"/>
    <xf numFmtId="37" fontId="8" fillId="0" borderId="31" xfId="3" applyNumberFormat="1" applyFont="1" applyBorder="1"/>
    <xf numFmtId="168" fontId="19" fillId="0" borderId="0" xfId="3" applyNumberFormat="1" applyFont="1" applyBorder="1"/>
    <xf numFmtId="0" fontId="8" fillId="0" borderId="6" xfId="8" applyFont="1" applyBorder="1"/>
    <xf numFmtId="3" fontId="8" fillId="0" borderId="8" xfId="1" applyNumberFormat="1" applyFont="1" applyBorder="1"/>
    <xf numFmtId="3" fontId="8" fillId="0" borderId="6" xfId="1" applyNumberFormat="1" applyFont="1" applyBorder="1"/>
    <xf numFmtId="167" fontId="8" fillId="0" borderId="0" xfId="1" applyNumberFormat="1" applyFont="1" applyBorder="1"/>
    <xf numFmtId="167" fontId="19" fillId="0" borderId="0" xfId="1" applyNumberFormat="1" applyFont="1" applyBorder="1"/>
    <xf numFmtId="0" fontId="57" fillId="0" borderId="0" xfId="8" applyFont="1"/>
    <xf numFmtId="37" fontId="19" fillId="0" borderId="29" xfId="1" applyNumberFormat="1" applyFont="1" applyBorder="1"/>
    <xf numFmtId="0" fontId="19" fillId="0" borderId="58" xfId="8" applyFont="1" applyBorder="1" applyAlignment="1">
      <alignment horizontal="left"/>
    </xf>
    <xf numFmtId="0" fontId="19" fillId="0" borderId="59" xfId="8" applyFont="1" applyBorder="1" applyAlignment="1">
      <alignment horizontal="left"/>
    </xf>
    <xf numFmtId="167" fontId="19" fillId="0" borderId="0" xfId="8" applyNumberFormat="1" applyFont="1" applyBorder="1" applyAlignment="1">
      <alignment horizontal="left"/>
    </xf>
    <xf numFmtId="168" fontId="19" fillId="0" borderId="0" xfId="3" applyNumberFormat="1" applyFont="1" applyBorder="1" applyAlignment="1">
      <alignment horizontal="left"/>
    </xf>
    <xf numFmtId="0" fontId="57" fillId="0" borderId="0" xfId="8" applyFont="1" applyAlignment="1">
      <alignment horizontal="left"/>
    </xf>
    <xf numFmtId="0" fontId="57" fillId="0" borderId="0" xfId="8" applyFont="1" applyBorder="1" applyAlignment="1">
      <alignment horizontal="left"/>
    </xf>
    <xf numFmtId="0" fontId="19" fillId="0" borderId="0" xfId="8" applyFont="1" applyBorder="1" applyAlignment="1">
      <alignment horizontal="left"/>
    </xf>
    <xf numFmtId="0" fontId="14" fillId="0" borderId="0" xfId="8" applyFont="1" applyFill="1"/>
    <xf numFmtId="0" fontId="13" fillId="0" borderId="0" xfId="0" applyFont="1" applyFill="1" applyBorder="1" applyAlignment="1">
      <alignment wrapText="1"/>
    </xf>
    <xf numFmtId="0" fontId="13" fillId="5" borderId="0" xfId="0" applyFont="1" applyFill="1" applyBorder="1" applyAlignment="1">
      <alignment vertical="top" wrapText="1"/>
    </xf>
    <xf numFmtId="0" fontId="13" fillId="5" borderId="0" xfId="0" applyFont="1" applyFill="1" applyBorder="1" applyAlignment="1"/>
    <xf numFmtId="0" fontId="14" fillId="5" borderId="0" xfId="8" applyFont="1" applyFill="1"/>
    <xf numFmtId="0" fontId="62" fillId="0" borderId="0" xfId="0" applyFont="1"/>
    <xf numFmtId="0" fontId="6" fillId="2" borderId="15" xfId="0" applyNumberFormat="1" applyFont="1" applyFill="1" applyBorder="1" applyAlignment="1">
      <alignment horizontal="left" indent="1"/>
    </xf>
    <xf numFmtId="0" fontId="23" fillId="0" borderId="54" xfId="0" applyNumberFormat="1" applyFont="1" applyFill="1" applyBorder="1" applyAlignment="1">
      <alignment horizontal="left" indent="2"/>
    </xf>
    <xf numFmtId="37" fontId="23" fillId="0" borderId="54" xfId="0" applyNumberFormat="1" applyFont="1" applyFill="1" applyBorder="1" applyAlignment="1"/>
    <xf numFmtId="37" fontId="23" fillId="0" borderId="62" xfId="0" applyNumberFormat="1" applyFont="1" applyFill="1" applyBorder="1" applyAlignment="1"/>
    <xf numFmtId="37" fontId="23" fillId="0" borderId="63" xfId="0" applyNumberFormat="1" applyFont="1" applyFill="1" applyBorder="1" applyAlignment="1"/>
    <xf numFmtId="0" fontId="23" fillId="0" borderId="64" xfId="0" applyNumberFormat="1" applyFont="1" applyFill="1" applyBorder="1" applyAlignment="1">
      <alignment horizontal="left" indent="2"/>
    </xf>
    <xf numFmtId="37" fontId="23" fillId="0" borderId="51" xfId="0" applyNumberFormat="1" applyFont="1" applyFill="1" applyBorder="1" applyAlignment="1"/>
    <xf numFmtId="37" fontId="23" fillId="0" borderId="65" xfId="0" applyNumberFormat="1" applyFont="1" applyFill="1" applyBorder="1" applyAlignment="1"/>
    <xf numFmtId="37" fontId="23" fillId="0" borderId="66" xfId="0" applyNumberFormat="1" applyFont="1" applyFill="1" applyBorder="1" applyAlignment="1"/>
    <xf numFmtId="37" fontId="6" fillId="2" borderId="19" xfId="0" applyNumberFormat="1" applyFont="1" applyFill="1" applyBorder="1" applyAlignment="1"/>
    <xf numFmtId="37" fontId="6" fillId="2" borderId="13" xfId="0" applyNumberFormat="1" applyFont="1" applyFill="1" applyBorder="1" applyAlignment="1"/>
    <xf numFmtId="3" fontId="13" fillId="0" borderId="0" xfId="0" applyNumberFormat="1" applyFont="1" applyAlignment="1"/>
    <xf numFmtId="165" fontId="13" fillId="0" borderId="0" xfId="0" applyNumberFormat="1" applyFont="1" applyAlignment="1"/>
    <xf numFmtId="3" fontId="26" fillId="0" borderId="0" xfId="0" applyNumberFormat="1" applyFont="1" applyAlignment="1"/>
    <xf numFmtId="3" fontId="13" fillId="4" borderId="0" xfId="0" applyNumberFormat="1" applyFont="1" applyFill="1" applyAlignment="1"/>
    <xf numFmtId="165" fontId="13" fillId="0" borderId="0" xfId="0" applyNumberFormat="1" applyFont="1" applyFill="1" applyAlignment="1"/>
    <xf numFmtId="0" fontId="13" fillId="4" borderId="0" xfId="0" applyFont="1" applyFill="1" applyBorder="1" applyAlignment="1">
      <alignment wrapText="1"/>
    </xf>
    <xf numFmtId="0" fontId="13" fillId="4" borderId="0" xfId="0" applyFont="1" applyFill="1" applyBorder="1" applyAlignment="1"/>
    <xf numFmtId="0" fontId="18" fillId="4" borderId="0" xfId="0" applyFont="1" applyFill="1" applyBorder="1" applyAlignment="1">
      <alignment horizontal="center"/>
    </xf>
    <xf numFmtId="165" fontId="13" fillId="0" borderId="0" xfId="0" applyNumberFormat="1" applyFont="1"/>
    <xf numFmtId="0" fontId="0" fillId="0" borderId="0" xfId="0" applyBorder="1" applyAlignment="1">
      <alignment vertical="top" wrapText="1"/>
    </xf>
    <xf numFmtId="0" fontId="13" fillId="4" borderId="0" xfId="0" applyFont="1" applyFill="1" applyBorder="1" applyAlignment="1">
      <alignment wrapText="1"/>
    </xf>
    <xf numFmtId="0" fontId="18" fillId="4" borderId="0" xfId="0" applyFont="1" applyFill="1" applyBorder="1" applyAlignment="1">
      <alignment horizontal="center"/>
    </xf>
    <xf numFmtId="3" fontId="6" fillId="2" borderId="0" xfId="0" applyNumberFormat="1" applyFont="1" applyFill="1" applyAlignment="1">
      <alignment horizontal="center"/>
    </xf>
    <xf numFmtId="3" fontId="6" fillId="2" borderId="0" xfId="0" applyNumberFormat="1" applyFont="1" applyFill="1" applyBorder="1" applyAlignment="1">
      <alignment horizontal="center"/>
    </xf>
    <xf numFmtId="37" fontId="5" fillId="0" borderId="5" xfId="0" applyNumberFormat="1" applyFont="1" applyFill="1" applyBorder="1" applyAlignment="1"/>
    <xf numFmtId="5" fontId="15" fillId="0" borderId="5" xfId="0" applyNumberFormat="1" applyFont="1" applyBorder="1" applyAlignment="1"/>
    <xf numFmtId="37" fontId="5" fillId="0" borderId="33" xfId="0" applyNumberFormat="1" applyFont="1" applyBorder="1" applyAlignment="1"/>
    <xf numFmtId="5" fontId="5" fillId="0" borderId="5" xfId="0" applyNumberFormat="1" applyFont="1" applyBorder="1" applyAlignment="1"/>
    <xf numFmtId="0" fontId="15" fillId="0" borderId="71" xfId="0" applyNumberFormat="1" applyFont="1" applyBorder="1" applyAlignment="1">
      <alignment horizontal="center"/>
    </xf>
    <xf numFmtId="0" fontId="15" fillId="0" borderId="49" xfId="0" applyNumberFormat="1" applyFont="1" applyBorder="1" applyAlignment="1">
      <alignment horizontal="center"/>
    </xf>
    <xf numFmtId="37" fontId="15" fillId="0" borderId="29" xfId="0" applyNumberFormat="1" applyFont="1" applyBorder="1" applyAlignment="1"/>
    <xf numFmtId="37" fontId="15" fillId="0" borderId="32" xfId="0" applyNumberFormat="1" applyFont="1" applyBorder="1" applyAlignment="1"/>
    <xf numFmtId="0" fontId="22" fillId="2" borderId="45" xfId="0" applyNumberFormat="1" applyFont="1" applyFill="1" applyBorder="1" applyAlignment="1">
      <alignment horizontal="center"/>
    </xf>
    <xf numFmtId="3" fontId="4" fillId="2" borderId="0" xfId="0" applyNumberFormat="1" applyFont="1" applyFill="1" applyBorder="1" applyAlignment="1">
      <alignment horizontal="center"/>
    </xf>
    <xf numFmtId="37" fontId="21" fillId="2" borderId="21" xfId="0" applyNumberFormat="1" applyFont="1" applyFill="1" applyBorder="1" applyAlignment="1">
      <alignment horizontal="center"/>
    </xf>
    <xf numFmtId="37" fontId="21" fillId="2" borderId="0" xfId="0" applyNumberFormat="1" applyFont="1" applyFill="1" applyBorder="1" applyAlignment="1">
      <alignment horizontal="center"/>
    </xf>
    <xf numFmtId="5" fontId="22" fillId="2" borderId="35" xfId="0" applyNumberFormat="1" applyFont="1" applyFill="1" applyBorder="1" applyAlignment="1">
      <alignment horizontal="center"/>
    </xf>
    <xf numFmtId="0" fontId="20" fillId="0" borderId="0" xfId="0" applyFont="1" applyFill="1" applyAlignment="1">
      <alignment horizontal="center"/>
    </xf>
    <xf numFmtId="0" fontId="0" fillId="0" borderId="0" xfId="0" applyFill="1" applyBorder="1" applyAlignment="1">
      <alignment horizontal="center" vertical="top" wrapText="1"/>
    </xf>
    <xf numFmtId="0" fontId="22" fillId="2" borderId="47" xfId="0" applyNumberFormat="1" applyFont="1" applyFill="1" applyBorder="1" applyAlignment="1">
      <alignment horizontal="center"/>
    </xf>
    <xf numFmtId="37" fontId="21" fillId="2" borderId="23" xfId="0" applyNumberFormat="1" applyFont="1" applyFill="1" applyBorder="1" applyAlignment="1">
      <alignment horizontal="center"/>
    </xf>
    <xf numFmtId="5" fontId="22" fillId="2" borderId="36" xfId="0" applyNumberFormat="1" applyFont="1" applyFill="1" applyBorder="1" applyAlignment="1">
      <alignment horizontal="center"/>
    </xf>
    <xf numFmtId="0" fontId="38" fillId="0" borderId="0" xfId="0" applyFont="1" applyAlignment="1">
      <alignment horizontal="center"/>
    </xf>
    <xf numFmtId="5" fontId="6" fillId="2" borderId="38" xfId="0" applyNumberFormat="1" applyFont="1" applyFill="1" applyBorder="1" applyAlignment="1"/>
    <xf numFmtId="5" fontId="6" fillId="2" borderId="39" xfId="0" applyNumberFormat="1" applyFont="1" applyFill="1" applyBorder="1" applyAlignment="1"/>
    <xf numFmtId="3" fontId="2" fillId="0" borderId="0" xfId="0" applyNumberFormat="1" applyFont="1" applyAlignment="1"/>
    <xf numFmtId="3" fontId="13" fillId="5" borderId="0" xfId="0" applyNumberFormat="1" applyFont="1" applyFill="1" applyAlignment="1"/>
    <xf numFmtId="165" fontId="13" fillId="5" borderId="0" xfId="0" applyNumberFormat="1" applyFont="1" applyFill="1" applyAlignment="1"/>
    <xf numFmtId="0" fontId="19" fillId="0" borderId="0" xfId="7" applyFont="1" applyBorder="1"/>
    <xf numFmtId="0" fontId="14" fillId="0" borderId="0" xfId="7" applyFont="1" applyAlignment="1">
      <alignment horizontal="left" vertical="top" wrapText="1"/>
    </xf>
    <xf numFmtId="0" fontId="14" fillId="0" borderId="0" xfId="8" applyFont="1" applyAlignment="1">
      <alignment horizontal="left" vertical="top" wrapText="1"/>
    </xf>
    <xf numFmtId="0" fontId="14" fillId="0" borderId="0" xfId="8" applyFont="1" applyAlignment="1">
      <alignment vertical="top" wrapText="1"/>
    </xf>
    <xf numFmtId="0" fontId="0" fillId="0" borderId="55" xfId="0" applyNumberFormat="1" applyBorder="1" applyAlignment="1">
      <alignment horizontal="left" indent="4"/>
    </xf>
    <xf numFmtId="0" fontId="13" fillId="4" borderId="0" xfId="0" applyFont="1" applyFill="1" applyBorder="1" applyAlignment="1">
      <alignment wrapText="1"/>
    </xf>
    <xf numFmtId="37" fontId="5" fillId="0" borderId="6" xfId="0" applyNumberFormat="1" applyFont="1" applyBorder="1" applyAlignment="1"/>
    <xf numFmtId="0" fontId="2" fillId="0" borderId="13" xfId="0" applyNumberFormat="1" applyFont="1" applyBorder="1" applyAlignment="1">
      <alignment horizontal="left" indent="4"/>
    </xf>
    <xf numFmtId="0" fontId="24" fillId="2" borderId="46" xfId="0" applyNumberFormat="1" applyFont="1" applyFill="1" applyBorder="1" applyAlignment="1">
      <alignment horizontal="left" indent="5"/>
    </xf>
    <xf numFmtId="37" fontId="24" fillId="2" borderId="98" xfId="0" applyNumberFormat="1" applyFont="1" applyFill="1" applyBorder="1" applyAlignment="1"/>
    <xf numFmtId="37" fontId="25" fillId="0" borderId="32" xfId="0" applyNumberFormat="1" applyFont="1" applyBorder="1"/>
    <xf numFmtId="37" fontId="24" fillId="2" borderId="97" xfId="0" applyNumberFormat="1" applyFont="1" applyFill="1" applyBorder="1" applyAlignment="1"/>
    <xf numFmtId="37" fontId="25" fillId="0" borderId="33" xfId="0" applyNumberFormat="1" applyFont="1" applyBorder="1"/>
    <xf numFmtId="37" fontId="24" fillId="2" borderId="57" xfId="0" applyNumberFormat="1" applyFont="1" applyFill="1" applyBorder="1" applyAlignment="1"/>
    <xf numFmtId="0" fontId="6" fillId="2" borderId="100" xfId="0" applyNumberFormat="1" applyFont="1" applyFill="1" applyBorder="1" applyAlignment="1">
      <alignment horizontal="left"/>
    </xf>
    <xf numFmtId="37" fontId="8" fillId="0" borderId="78" xfId="0" applyNumberFormat="1" applyFont="1" applyBorder="1"/>
    <xf numFmtId="37" fontId="8" fillId="0" borderId="99" xfId="0" applyNumberFormat="1" applyFont="1" applyBorder="1"/>
    <xf numFmtId="37" fontId="6" fillId="2" borderId="99" xfId="0" applyNumberFormat="1" applyFont="1" applyFill="1" applyBorder="1" applyAlignment="1"/>
    <xf numFmtId="37" fontId="6" fillId="2" borderId="78" xfId="0" applyNumberFormat="1" applyFont="1" applyFill="1" applyBorder="1" applyAlignment="1"/>
    <xf numFmtId="0" fontId="6" fillId="2" borderId="101" xfId="0" applyNumberFormat="1" applyFont="1" applyFill="1" applyBorder="1" applyAlignment="1">
      <alignment horizontal="left"/>
    </xf>
    <xf numFmtId="37" fontId="6" fillId="2" borderId="102" xfId="0" applyNumberFormat="1" applyFont="1" applyFill="1" applyBorder="1" applyAlignment="1"/>
    <xf numFmtId="37" fontId="6" fillId="2" borderId="103" xfId="0" applyNumberFormat="1" applyFont="1" applyFill="1" applyBorder="1" applyAlignment="1"/>
    <xf numFmtId="0" fontId="8" fillId="0" borderId="101" xfId="0" applyNumberFormat="1" applyFont="1" applyBorder="1" applyAlignment="1"/>
    <xf numFmtId="0" fontId="6" fillId="2" borderId="104" xfId="0" applyNumberFormat="1" applyFont="1" applyFill="1" applyBorder="1" applyAlignment="1">
      <alignment horizontal="left"/>
    </xf>
    <xf numFmtId="37" fontId="8" fillId="0" borderId="96" xfId="0" applyNumberFormat="1" applyFont="1" applyBorder="1"/>
    <xf numFmtId="37" fontId="8" fillId="0" borderId="105" xfId="0" applyNumberFormat="1" applyFont="1" applyBorder="1"/>
    <xf numFmtId="37" fontId="6" fillId="2" borderId="105" xfId="0" applyNumberFormat="1" applyFont="1" applyFill="1" applyBorder="1" applyAlignment="1"/>
    <xf numFmtId="37" fontId="6" fillId="2" borderId="96" xfId="0" applyNumberFormat="1" applyFont="1" applyFill="1" applyBorder="1" applyAlignment="1"/>
    <xf numFmtId="165" fontId="2" fillId="0" borderId="0" xfId="0" applyNumberFormat="1" applyFont="1"/>
    <xf numFmtId="165" fontId="45" fillId="0" borderId="0" xfId="0" applyNumberFormat="1" applyFont="1"/>
    <xf numFmtId="0" fontId="2" fillId="0" borderId="0" xfId="0" applyFont="1"/>
    <xf numFmtId="165" fontId="2" fillId="4" borderId="0" xfId="0" applyNumberFormat="1" applyFont="1" applyFill="1" applyAlignment="1"/>
    <xf numFmtId="0" fontId="2" fillId="0" borderId="0" xfId="0" applyFont="1" applyAlignment="1"/>
    <xf numFmtId="165" fontId="2" fillId="4" borderId="0" xfId="0" applyNumberFormat="1" applyFont="1" applyFill="1"/>
    <xf numFmtId="0" fontId="22" fillId="2" borderId="109" xfId="0" applyNumberFormat="1" applyFont="1" applyFill="1" applyBorder="1" applyAlignment="1">
      <alignment horizontal="right"/>
    </xf>
    <xf numFmtId="5" fontId="21" fillId="2" borderId="110" xfId="0" applyNumberFormat="1" applyFont="1" applyFill="1" applyBorder="1" applyAlignment="1"/>
    <xf numFmtId="5" fontId="21" fillId="2" borderId="111" xfId="0" applyNumberFormat="1" applyFont="1" applyFill="1" applyBorder="1" applyAlignment="1"/>
    <xf numFmtId="5" fontId="22" fillId="2" borderId="112" xfId="0" applyNumberFormat="1" applyFont="1" applyFill="1" applyBorder="1" applyAlignment="1"/>
    <xf numFmtId="5" fontId="21" fillId="2" borderId="113" xfId="0" applyNumberFormat="1" applyFont="1" applyFill="1" applyBorder="1" applyAlignment="1"/>
    <xf numFmtId="5" fontId="21" fillId="2" borderId="114" xfId="0" applyNumberFormat="1" applyFont="1" applyFill="1" applyBorder="1" applyAlignment="1"/>
    <xf numFmtId="0" fontId="19" fillId="0" borderId="6" xfId="8" applyFont="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top"/>
    </xf>
    <xf numFmtId="0" fontId="19" fillId="0" borderId="5" xfId="8" applyFont="1" applyBorder="1" applyAlignment="1">
      <alignment vertical="top"/>
    </xf>
    <xf numFmtId="37" fontId="8" fillId="0" borderId="8" xfId="1" applyNumberFormat="1" applyFont="1" applyBorder="1"/>
    <xf numFmtId="37" fontId="8" fillId="0" borderId="31" xfId="1" applyNumberFormat="1" applyFont="1" applyBorder="1"/>
    <xf numFmtId="37" fontId="8" fillId="0" borderId="0" xfId="1" applyNumberFormat="1" applyFont="1" applyBorder="1"/>
    <xf numFmtId="37" fontId="19" fillId="0" borderId="19" xfId="1" applyNumberFormat="1" applyFont="1" applyBorder="1"/>
    <xf numFmtId="3" fontId="19" fillId="0" borderId="53" xfId="1" applyNumberFormat="1" applyFont="1" applyBorder="1"/>
    <xf numFmtId="3" fontId="19" fillId="0" borderId="2" xfId="1" applyNumberFormat="1" applyFont="1" applyBorder="1"/>
    <xf numFmtId="0" fontId="0" fillId="0" borderId="0" xfId="0"/>
    <xf numFmtId="0" fontId="5" fillId="0" borderId="13" xfId="0" applyNumberFormat="1" applyFont="1" applyFill="1" applyBorder="1" applyAlignment="1">
      <alignment horizontal="left" indent="4"/>
    </xf>
    <xf numFmtId="0" fontId="0" fillId="0" borderId="55" xfId="0" applyNumberFormat="1" applyBorder="1" applyAlignment="1">
      <alignment horizontal="left" indent="2"/>
    </xf>
    <xf numFmtId="37" fontId="5" fillId="0" borderId="10" xfId="0" applyNumberFormat="1" applyFont="1" applyFill="1" applyBorder="1" applyAlignment="1"/>
    <xf numFmtId="37" fontId="15" fillId="0" borderId="5" xfId="0" applyNumberFormat="1" applyFont="1" applyFill="1" applyBorder="1" applyAlignment="1">
      <alignment horizontal="right"/>
    </xf>
    <xf numFmtId="0" fontId="0" fillId="0" borderId="0" xfId="0"/>
    <xf numFmtId="165" fontId="1" fillId="0" borderId="0" xfId="0" applyNumberFormat="1" applyFont="1" applyAlignment="1"/>
    <xf numFmtId="0" fontId="0" fillId="0" borderId="0" xfId="0" applyBorder="1" applyAlignment="1">
      <alignment horizontal="center"/>
    </xf>
    <xf numFmtId="0" fontId="27" fillId="0" borderId="0" xfId="0" applyFont="1" applyBorder="1" applyAlignment="1">
      <alignment horizontal="center"/>
    </xf>
    <xf numFmtId="0" fontId="0" fillId="0" borderId="0" xfId="0" applyAlignment="1">
      <alignment horizontal="center"/>
    </xf>
    <xf numFmtId="0" fontId="43" fillId="0" borderId="0" xfId="0" applyFont="1"/>
    <xf numFmtId="0" fontId="26" fillId="0" borderId="0" xfId="0" applyFont="1"/>
    <xf numFmtId="0" fontId="0" fillId="0" borderId="0" xfId="0" applyAlignment="1">
      <alignment vertical="top"/>
    </xf>
    <xf numFmtId="0" fontId="27" fillId="0" borderId="0" xfId="0" applyFont="1" applyAlignment="1">
      <alignment vertical="top"/>
    </xf>
    <xf numFmtId="0" fontId="43" fillId="0" borderId="0" xfId="0" applyFont="1" applyAlignment="1"/>
    <xf numFmtId="0" fontId="2" fillId="0" borderId="51" xfId="0" applyNumberFormat="1" applyFont="1" applyBorder="1" applyAlignment="1">
      <alignment horizontal="left"/>
    </xf>
    <xf numFmtId="0" fontId="26" fillId="0" borderId="0" xfId="0" applyFont="1" applyAlignment="1">
      <alignment wrapText="1"/>
    </xf>
    <xf numFmtId="0" fontId="66" fillId="0" borderId="0" xfId="0" applyFont="1" applyBorder="1" applyAlignment="1">
      <alignment horizontal="center"/>
    </xf>
    <xf numFmtId="0" fontId="61" fillId="0" borderId="0" xfId="0" applyFont="1" applyBorder="1" applyAlignment="1">
      <alignment horizontal="center" vertical="top"/>
    </xf>
    <xf numFmtId="0" fontId="61" fillId="0" borderId="0" xfId="0" applyFont="1" applyBorder="1" applyAlignment="1">
      <alignment vertical="top" wrapText="1"/>
    </xf>
    <xf numFmtId="3" fontId="61" fillId="0" borderId="0" xfId="0" applyNumberFormat="1" applyFont="1" applyBorder="1" applyAlignment="1">
      <alignment vertical="top" wrapText="1"/>
    </xf>
    <xf numFmtId="0" fontId="61" fillId="0" borderId="0" xfId="0" applyFont="1" applyAlignment="1">
      <alignment vertical="top"/>
    </xf>
    <xf numFmtId="0" fontId="61" fillId="0" borderId="0" xfId="0" applyFont="1" applyBorder="1" applyAlignment="1">
      <alignment vertical="top"/>
    </xf>
    <xf numFmtId="0" fontId="64" fillId="0" borderId="0" xfId="0" applyFont="1" applyBorder="1" applyAlignment="1">
      <alignment horizontal="center" vertical="top" wrapText="1"/>
    </xf>
    <xf numFmtId="0" fontId="64" fillId="0" borderId="0" xfId="0" applyFont="1" applyBorder="1" applyAlignment="1">
      <alignment vertical="top" wrapText="1"/>
    </xf>
    <xf numFmtId="0" fontId="61" fillId="0" borderId="0" xfId="0" applyFont="1" applyBorder="1" applyAlignment="1">
      <alignment horizontal="right" vertical="top" wrapText="1"/>
    </xf>
    <xf numFmtId="164" fontId="61" fillId="0" borderId="0" xfId="0" applyNumberFormat="1" applyFont="1" applyBorder="1" applyAlignment="1">
      <alignment horizontal="right" vertical="top" wrapText="1"/>
    </xf>
    <xf numFmtId="37" fontId="61" fillId="0" borderId="0" xfId="0" applyNumberFormat="1" applyFont="1" applyBorder="1" applyAlignment="1">
      <alignment vertical="top" wrapText="1"/>
    </xf>
    <xf numFmtId="3" fontId="61" fillId="0" borderId="0" xfId="0" applyNumberFormat="1" applyFont="1" applyBorder="1" applyAlignment="1">
      <alignment vertical="top"/>
    </xf>
    <xf numFmtId="3" fontId="61" fillId="0" borderId="0" xfId="0" applyNumberFormat="1" applyFont="1" applyAlignment="1">
      <alignment vertical="top"/>
    </xf>
    <xf numFmtId="0" fontId="65" fillId="0" borderId="0" xfId="0" applyFont="1" applyBorder="1" applyAlignment="1">
      <alignment horizontal="center" vertical="top"/>
    </xf>
    <xf numFmtId="0" fontId="2" fillId="0" borderId="0" xfId="0" applyFont="1" applyBorder="1" applyAlignment="1">
      <alignment horizontal="center"/>
    </xf>
    <xf numFmtId="0" fontId="0" fillId="0" borderId="0" xfId="0" applyFill="1" applyAlignment="1">
      <alignment vertical="top"/>
    </xf>
    <xf numFmtId="0" fontId="61" fillId="0" borderId="0" xfId="0" applyFont="1" applyFill="1" applyBorder="1" applyAlignment="1">
      <alignment vertical="top" wrapText="1"/>
    </xf>
    <xf numFmtId="164" fontId="61" fillId="0" borderId="0" xfId="0" applyNumberFormat="1" applyFont="1" applyFill="1" applyBorder="1" applyAlignment="1">
      <alignment vertical="top" wrapText="1"/>
    </xf>
    <xf numFmtId="0" fontId="43" fillId="0" borderId="0" xfId="0" applyFont="1" applyFill="1"/>
    <xf numFmtId="0" fontId="27" fillId="0" borderId="0" xfId="0" applyFont="1" applyFill="1" applyAlignment="1">
      <alignment vertical="top"/>
    </xf>
    <xf numFmtId="3" fontId="61" fillId="0" borderId="0" xfId="0" applyNumberFormat="1" applyFont="1" applyBorder="1" applyAlignment="1">
      <alignment horizontal="right" vertical="top"/>
    </xf>
    <xf numFmtId="0" fontId="53" fillId="0" borderId="0" xfId="0" applyFont="1" applyBorder="1" applyAlignment="1">
      <alignment horizontal="center"/>
    </xf>
    <xf numFmtId="0" fontId="53" fillId="0" borderId="0" xfId="0" applyFont="1" applyBorder="1" applyAlignment="1">
      <alignment vertical="top" wrapText="1"/>
    </xf>
    <xf numFmtId="0" fontId="53" fillId="0" borderId="0" xfId="0" applyFont="1" applyBorder="1" applyAlignment="1">
      <alignment horizontal="center" vertical="top"/>
    </xf>
    <xf numFmtId="0" fontId="2" fillId="0" borderId="0" xfId="0" applyFont="1" applyAlignment="1">
      <alignment vertical="top" wrapText="1"/>
    </xf>
    <xf numFmtId="0" fontId="2" fillId="0" borderId="0" xfId="0" applyFont="1" applyBorder="1" applyAlignment="1">
      <alignment horizontal="center" vertical="top" wrapText="1"/>
    </xf>
    <xf numFmtId="0" fontId="53" fillId="0" borderId="0" xfId="0" applyFont="1" applyBorder="1" applyAlignment="1">
      <alignment horizontal="center" vertical="top" wrapText="1"/>
    </xf>
    <xf numFmtId="0" fontId="53" fillId="0" borderId="0" xfId="0" applyNumberFormat="1" applyFont="1" applyBorder="1" applyAlignment="1">
      <alignment vertical="top" wrapText="1"/>
    </xf>
    <xf numFmtId="0" fontId="2" fillId="0" borderId="0" xfId="0" applyFont="1" applyBorder="1" applyAlignment="1">
      <alignment horizontal="center" vertical="top"/>
    </xf>
    <xf numFmtId="0" fontId="53" fillId="0" borderId="0" xfId="0" applyFont="1" applyFill="1" applyBorder="1" applyAlignment="1">
      <alignment vertical="top" wrapText="1"/>
    </xf>
    <xf numFmtId="0" fontId="68" fillId="0" borderId="0" xfId="0" applyFont="1" applyBorder="1" applyAlignment="1">
      <alignment vertical="top" wrapText="1"/>
    </xf>
    <xf numFmtId="0" fontId="53" fillId="0" borderId="0" xfId="0" applyFont="1" applyBorder="1" applyAlignment="1">
      <alignment horizontal="left" vertical="top" wrapText="1"/>
    </xf>
    <xf numFmtId="0" fontId="13" fillId="0" borderId="0" xfId="0" applyFont="1" applyAlignment="1">
      <alignment vertical="top"/>
    </xf>
    <xf numFmtId="0" fontId="13" fillId="0" borderId="0" xfId="0" applyFont="1" applyFill="1" applyAlignment="1">
      <alignment vertical="top"/>
    </xf>
    <xf numFmtId="0" fontId="13" fillId="0" borderId="0" xfId="0" applyFont="1"/>
    <xf numFmtId="0" fontId="2" fillId="0" borderId="0" xfId="0" applyFont="1" applyBorder="1" applyAlignment="1">
      <alignment horizontal="right" vertical="top" wrapText="1"/>
    </xf>
    <xf numFmtId="0" fontId="2" fillId="0" borderId="0" xfId="0" applyFont="1" applyAlignment="1">
      <alignment horizontal="right" vertical="top"/>
    </xf>
    <xf numFmtId="0" fontId="0" fillId="0" borderId="0" xfId="0"/>
    <xf numFmtId="37" fontId="21" fillId="2" borderId="8" xfId="0" applyNumberFormat="1" applyFont="1" applyFill="1" applyBorder="1" applyAlignment="1"/>
    <xf numFmtId="170" fontId="22" fillId="2" borderId="115" xfId="0" applyNumberFormat="1" applyFont="1" applyFill="1" applyBorder="1" applyAlignment="1"/>
    <xf numFmtId="0" fontId="21" fillId="2" borderId="20" xfId="0" applyNumberFormat="1" applyFont="1" applyFill="1" applyBorder="1" applyAlignment="1">
      <alignment horizontal="left"/>
    </xf>
    <xf numFmtId="0" fontId="21" fillId="2" borderId="118" xfId="0" applyNumberFormat="1" applyFont="1" applyFill="1" applyBorder="1" applyAlignment="1">
      <alignment horizontal="left"/>
    </xf>
    <xf numFmtId="0" fontId="22" fillId="2" borderId="43" xfId="0" applyNumberFormat="1" applyFont="1" applyFill="1" applyBorder="1" applyAlignment="1">
      <alignment horizontal="left"/>
    </xf>
    <xf numFmtId="3" fontId="5" fillId="0" borderId="0" xfId="0" applyNumberFormat="1" applyFont="1"/>
    <xf numFmtId="37" fontId="19" fillId="0" borderId="60" xfId="8" applyNumberFormat="1" applyFont="1" applyBorder="1" applyAlignment="1">
      <alignment horizontal="right"/>
    </xf>
    <xf numFmtId="5" fontId="19" fillId="0" borderId="61" xfId="3" applyNumberFormat="1" applyFont="1" applyBorder="1" applyAlignment="1">
      <alignment horizontal="right"/>
    </xf>
    <xf numFmtId="0" fontId="19" fillId="0" borderId="59" xfId="8" applyFont="1" applyBorder="1" applyAlignment="1">
      <alignment horizontal="right"/>
    </xf>
    <xf numFmtId="165" fontId="69" fillId="0" borderId="0" xfId="5" applyNumberFormat="1" applyFont="1" applyAlignment="1"/>
    <xf numFmtId="171" fontId="5" fillId="0" borderId="0" xfId="0" applyNumberFormat="1" applyFont="1" applyAlignment="1"/>
    <xf numFmtId="37" fontId="15" fillId="0" borderId="17" xfId="0" applyNumberFormat="1" applyFont="1" applyBorder="1" applyAlignment="1">
      <alignment horizontal="right"/>
    </xf>
    <xf numFmtId="37" fontId="15" fillId="0" borderId="17" xfId="0" applyNumberFormat="1" applyFont="1" applyBorder="1" applyAlignment="1"/>
    <xf numFmtId="0" fontId="59" fillId="4" borderId="0" xfId="0" applyFont="1" applyFill="1" applyBorder="1" applyAlignment="1">
      <alignment horizontal="center" vertical="top"/>
    </xf>
    <xf numFmtId="0" fontId="2" fillId="5" borderId="0" xfId="0" applyFont="1" applyFill="1" applyBorder="1" applyAlignment="1">
      <alignment vertical="top" wrapText="1"/>
    </xf>
    <xf numFmtId="0" fontId="40" fillId="0" borderId="0" xfId="0" applyFont="1" applyBorder="1" applyAlignment="1"/>
    <xf numFmtId="0" fontId="50" fillId="0" borderId="0" xfId="0" applyFont="1" applyBorder="1" applyAlignment="1"/>
    <xf numFmtId="0" fontId="2" fillId="0" borderId="53" xfId="0" applyNumberFormat="1" applyFont="1" applyBorder="1" applyAlignment="1">
      <alignment horizontal="center" vertical="center" wrapText="1"/>
    </xf>
    <xf numFmtId="0" fontId="50" fillId="0" borderId="74" xfId="0" applyNumberFormat="1" applyFont="1" applyBorder="1" applyAlignment="1">
      <alignment horizontal="center" vertical="center" wrapText="1"/>
    </xf>
    <xf numFmtId="0" fontId="50" fillId="0" borderId="68" xfId="0" applyNumberFormat="1" applyFont="1" applyBorder="1" applyAlignment="1">
      <alignment horizontal="center" vertical="center" wrapText="1"/>
    </xf>
    <xf numFmtId="0" fontId="50" fillId="0" borderId="7" xfId="0" applyNumberFormat="1" applyFont="1" applyBorder="1" applyAlignment="1">
      <alignment horizontal="center" vertical="center" wrapText="1"/>
    </xf>
    <xf numFmtId="0" fontId="50" fillId="0" borderId="3" xfId="0" applyNumberFormat="1" applyFont="1" applyBorder="1" applyAlignment="1">
      <alignment horizontal="center" vertical="center" wrapText="1"/>
    </xf>
    <xf numFmtId="0" fontId="50" fillId="0" borderId="4" xfId="0" applyNumberFormat="1" applyFont="1" applyBorder="1" applyAlignment="1">
      <alignment horizontal="center" vertical="center" wrapText="1"/>
    </xf>
    <xf numFmtId="165" fontId="15" fillId="0" borderId="2" xfId="0" applyNumberFormat="1" applyFont="1" applyBorder="1" applyAlignment="1">
      <alignment horizontal="center" wrapText="1"/>
    </xf>
    <xf numFmtId="0" fontId="0" fillId="0" borderId="71" xfId="0" applyBorder="1" applyAlignment="1">
      <alignment horizontal="center" wrapText="1"/>
    </xf>
    <xf numFmtId="3" fontId="29" fillId="0" borderId="0" xfId="0" applyNumberFormat="1" applyFont="1" applyAlignment="1">
      <alignment horizontal="center"/>
    </xf>
    <xf numFmtId="3" fontId="8" fillId="0" borderId="0" xfId="0" applyNumberFormat="1" applyFont="1" applyAlignment="1">
      <alignment horizontal="center"/>
    </xf>
    <xf numFmtId="3" fontId="8" fillId="0" borderId="31" xfId="0" applyNumberFormat="1" applyFont="1" applyBorder="1" applyAlignment="1">
      <alignment horizontal="center"/>
    </xf>
    <xf numFmtId="3" fontId="8" fillId="0" borderId="49" xfId="0" applyNumberFormat="1" applyFont="1" applyBorder="1" applyAlignment="1">
      <alignment horizontal="center"/>
    </xf>
    <xf numFmtId="3" fontId="8" fillId="0" borderId="50" xfId="0" applyNumberFormat="1" applyFont="1" applyBorder="1" applyAlignment="1">
      <alignment horizontal="center"/>
    </xf>
    <xf numFmtId="0" fontId="2" fillId="0" borderId="29" xfId="0" applyNumberFormat="1" applyFont="1" applyBorder="1" applyAlignment="1"/>
    <xf numFmtId="0" fontId="0" fillId="0" borderId="32" xfId="0" applyNumberFormat="1" applyBorder="1" applyAlignment="1"/>
    <xf numFmtId="0" fontId="50" fillId="0" borderId="74" xfId="0" applyNumberFormat="1" applyFont="1" applyBorder="1" applyAlignment="1">
      <alignment vertical="center"/>
    </xf>
    <xf numFmtId="0" fontId="50" fillId="0" borderId="68" xfId="0" applyNumberFormat="1" applyFont="1" applyBorder="1" applyAlignment="1">
      <alignment vertical="center"/>
    </xf>
    <xf numFmtId="0" fontId="50" fillId="0" borderId="7" xfId="0" applyNumberFormat="1" applyFont="1" applyBorder="1" applyAlignment="1">
      <alignment vertical="center"/>
    </xf>
    <xf numFmtId="0" fontId="50" fillId="0" borderId="3" xfId="0" applyNumberFormat="1" applyFont="1" applyBorder="1" applyAlignment="1">
      <alignment vertical="center"/>
    </xf>
    <xf numFmtId="0" fontId="50" fillId="0" borderId="4" xfId="0" applyNumberFormat="1" applyFont="1" applyBorder="1" applyAlignment="1">
      <alignment vertical="center"/>
    </xf>
    <xf numFmtId="0" fontId="15" fillId="0" borderId="69" xfId="0" applyNumberFormat="1" applyFont="1" applyBorder="1" applyAlignment="1"/>
    <xf numFmtId="0" fontId="0" fillId="0" borderId="70" xfId="0" applyNumberFormat="1" applyBorder="1" applyAlignment="1"/>
    <xf numFmtId="0" fontId="2" fillId="0" borderId="13" xfId="0" applyNumberFormat="1" applyFont="1" applyBorder="1" applyAlignment="1">
      <alignment horizontal="left" indent="2"/>
    </xf>
    <xf numFmtId="0" fontId="0" fillId="0" borderId="55" xfId="0" applyNumberFormat="1" applyBorder="1" applyAlignment="1">
      <alignment horizontal="left" indent="2"/>
    </xf>
    <xf numFmtId="0" fontId="5" fillId="0" borderId="15" xfId="0" applyNumberFormat="1" applyFont="1" applyBorder="1" applyAlignment="1">
      <alignment horizontal="left" indent="4"/>
    </xf>
    <xf numFmtId="0" fontId="0" fillId="0" borderId="11" xfId="0" applyNumberFormat="1" applyBorder="1" applyAlignment="1">
      <alignment horizontal="left" indent="4"/>
    </xf>
    <xf numFmtId="0" fontId="5" fillId="0" borderId="13" xfId="0" applyNumberFormat="1" applyFont="1" applyBorder="1" applyAlignment="1">
      <alignment horizontal="left" indent="2"/>
    </xf>
    <xf numFmtId="0" fontId="15" fillId="0" borderId="13" xfId="0" applyNumberFormat="1" applyFont="1" applyBorder="1" applyAlignment="1">
      <alignment horizontal="left"/>
    </xf>
    <xf numFmtId="0" fontId="15" fillId="0" borderId="55" xfId="0" applyNumberFormat="1" applyFont="1" applyBorder="1" applyAlignment="1">
      <alignment horizontal="left"/>
    </xf>
    <xf numFmtId="0" fontId="15" fillId="0" borderId="67" xfId="0" applyNumberFormat="1" applyFont="1" applyBorder="1" applyAlignment="1">
      <alignment horizontal="left"/>
    </xf>
    <xf numFmtId="0" fontId="5" fillId="0" borderId="13" xfId="0" applyNumberFormat="1" applyFont="1" applyBorder="1" applyAlignment="1"/>
    <xf numFmtId="0" fontId="0" fillId="0" borderId="55" xfId="0" applyNumberFormat="1" applyBorder="1" applyAlignment="1"/>
    <xf numFmtId="0" fontId="50" fillId="0" borderId="74" xfId="0" applyNumberFormat="1" applyFont="1" applyBorder="1" applyAlignment="1">
      <alignment vertical="center" wrapText="1"/>
    </xf>
    <xf numFmtId="0" fontId="50" fillId="0" borderId="7" xfId="0" applyNumberFormat="1" applyFont="1" applyBorder="1" applyAlignment="1">
      <alignment vertical="center" wrapText="1"/>
    </xf>
    <xf numFmtId="0" fontId="50" fillId="0" borderId="3" xfId="0" applyNumberFormat="1" applyFont="1" applyBorder="1" applyAlignment="1">
      <alignment vertical="center" wrapText="1"/>
    </xf>
    <xf numFmtId="0" fontId="15" fillId="0" borderId="53" xfId="0" applyNumberFormat="1" applyFont="1" applyBorder="1" applyAlignment="1"/>
    <xf numFmtId="0" fontId="50" fillId="0" borderId="74" xfId="0" applyNumberFormat="1" applyFont="1" applyBorder="1" applyAlignment="1"/>
    <xf numFmtId="0" fontId="50" fillId="0" borderId="8" xfId="0" applyNumberFormat="1" applyFont="1" applyBorder="1" applyAlignment="1"/>
    <xf numFmtId="0" fontId="50" fillId="0" borderId="0" xfId="0" applyNumberFormat="1" applyFont="1" applyBorder="1" applyAlignment="1"/>
    <xf numFmtId="0" fontId="50" fillId="0" borderId="48" xfId="0" applyNumberFormat="1" applyFont="1" applyBorder="1" applyAlignment="1"/>
    <xf numFmtId="0" fontId="50" fillId="0" borderId="49" xfId="0" applyNumberFormat="1" applyFont="1" applyBorder="1" applyAlignment="1"/>
    <xf numFmtId="0" fontId="16" fillId="0" borderId="0" xfId="0" applyNumberFormat="1" applyFont="1" applyAlignment="1"/>
    <xf numFmtId="0" fontId="51" fillId="0" borderId="0" xfId="0" applyNumberFormat="1" applyFont="1" applyAlignment="1"/>
    <xf numFmtId="3" fontId="5" fillId="0" borderId="0" xfId="0" applyNumberFormat="1" applyFont="1" applyAlignment="1">
      <alignment horizontal="center"/>
    </xf>
    <xf numFmtId="165" fontId="15" fillId="0" borderId="2" xfId="0" applyNumberFormat="1" applyFont="1" applyBorder="1" applyAlignment="1">
      <alignment horizontal="right"/>
    </xf>
    <xf numFmtId="0" fontId="0" fillId="0" borderId="71" xfId="0" applyBorder="1" applyAlignment="1"/>
    <xf numFmtId="165" fontId="15" fillId="0" borderId="2" xfId="0" applyNumberFormat="1" applyFont="1" applyBorder="1" applyAlignment="1">
      <alignment horizontal="center"/>
    </xf>
    <xf numFmtId="0" fontId="28" fillId="0" borderId="0" xfId="0" applyNumberFormat="1" applyFont="1" applyAlignment="1">
      <alignment horizontal="center"/>
    </xf>
    <xf numFmtId="0" fontId="0" fillId="0" borderId="0" xfId="0" applyNumberFormat="1" applyAlignment="1">
      <alignment horizontal="center"/>
    </xf>
    <xf numFmtId="0" fontId="29" fillId="0" borderId="0" xfId="0" applyNumberFormat="1" applyFont="1" applyAlignment="1">
      <alignment horizontal="center"/>
    </xf>
    <xf numFmtId="0" fontId="0" fillId="0" borderId="0" xfId="0" applyNumberFormat="1" applyBorder="1" applyAlignment="1">
      <alignment horizontal="center"/>
    </xf>
    <xf numFmtId="165" fontId="15" fillId="0" borderId="29" xfId="0" applyNumberFormat="1" applyFont="1" applyBorder="1" applyAlignment="1">
      <alignment horizontal="center"/>
    </xf>
    <xf numFmtId="165" fontId="15" fillId="0" borderId="32" xfId="0" applyNumberFormat="1" applyFont="1" applyBorder="1" applyAlignment="1">
      <alignment horizontal="center"/>
    </xf>
    <xf numFmtId="165" fontId="15" fillId="0" borderId="19" xfId="0" applyNumberFormat="1" applyFont="1" applyBorder="1" applyAlignment="1">
      <alignment horizontal="center"/>
    </xf>
    <xf numFmtId="0" fontId="2" fillId="0" borderId="13" xfId="0" applyNumberFormat="1" applyFont="1" applyBorder="1" applyAlignment="1">
      <alignment horizontal="left" indent="4"/>
    </xf>
    <xf numFmtId="0" fontId="0" fillId="0" borderId="55" xfId="0" applyNumberFormat="1" applyBorder="1" applyAlignment="1">
      <alignment horizontal="left" indent="4"/>
    </xf>
    <xf numFmtId="0" fontId="0" fillId="0" borderId="0" xfId="0"/>
    <xf numFmtId="0" fontId="15" fillId="0" borderId="29" xfId="0" applyNumberFormat="1" applyFont="1" applyBorder="1" applyAlignment="1"/>
    <xf numFmtId="0" fontId="70" fillId="0" borderId="0" xfId="0" applyFont="1" applyAlignment="1">
      <alignment wrapText="1"/>
    </xf>
    <xf numFmtId="0" fontId="5" fillId="0" borderId="13" xfId="0" applyNumberFormat="1" applyFont="1" applyBorder="1" applyAlignment="1">
      <alignment horizontal="left" indent="4"/>
    </xf>
    <xf numFmtId="0" fontId="5" fillId="0" borderId="13" xfId="0" applyNumberFormat="1" applyFont="1" applyFill="1" applyBorder="1" applyAlignment="1">
      <alignment horizontal="left" indent="4"/>
    </xf>
    <xf numFmtId="0" fontId="12" fillId="4" borderId="0" xfId="0" applyFont="1" applyFill="1" applyAlignment="1">
      <alignment vertical="top" wrapText="1"/>
    </xf>
    <xf numFmtId="165" fontId="2" fillId="0" borderId="0" xfId="0" applyNumberFormat="1" applyFont="1" applyAlignment="1">
      <alignment horizontal="left" wrapText="1"/>
    </xf>
    <xf numFmtId="165" fontId="5" fillId="0" borderId="0" xfId="0" applyNumberFormat="1" applyFont="1" applyAlignment="1">
      <alignment horizontal="left" wrapText="1"/>
    </xf>
    <xf numFmtId="3" fontId="2" fillId="0" borderId="0" xfId="0" applyNumberFormat="1" applyFont="1" applyAlignment="1">
      <alignment horizontal="left" vertical="top" wrapText="1"/>
    </xf>
    <xf numFmtId="165" fontId="2" fillId="0" borderId="0" xfId="0" applyNumberFormat="1" applyFont="1" applyAlignment="1">
      <alignment horizontal="left" vertical="top" wrapText="1"/>
    </xf>
    <xf numFmtId="165" fontId="5" fillId="0" borderId="0" xfId="0" applyNumberFormat="1" applyFont="1" applyAlignment="1">
      <alignment horizontal="left" vertical="top" wrapText="1"/>
    </xf>
    <xf numFmtId="0" fontId="5" fillId="0" borderId="11" xfId="0" applyNumberFormat="1" applyFont="1" applyBorder="1" applyAlignment="1">
      <alignment horizontal="left"/>
    </xf>
    <xf numFmtId="0" fontId="5" fillId="0" borderId="12" xfId="0" applyNumberFormat="1" applyFont="1" applyBorder="1" applyAlignment="1">
      <alignment horizontal="left"/>
    </xf>
    <xf numFmtId="0" fontId="5" fillId="0" borderId="32" xfId="0" applyNumberFormat="1" applyFont="1" applyBorder="1" applyAlignment="1">
      <alignment horizontal="left"/>
    </xf>
    <xf numFmtId="0" fontId="5" fillId="0" borderId="19" xfId="0" applyNumberFormat="1" applyFont="1" applyBorder="1" applyAlignment="1">
      <alignment horizontal="left"/>
    </xf>
    <xf numFmtId="0" fontId="2" fillId="0" borderId="11" xfId="0" applyNumberFormat="1" applyFont="1" applyBorder="1" applyAlignment="1"/>
    <xf numFmtId="0" fontId="5" fillId="0" borderId="11" xfId="0" applyNumberFormat="1" applyFont="1" applyBorder="1" applyAlignment="1"/>
    <xf numFmtId="0" fontId="5" fillId="0" borderId="74" xfId="0" applyNumberFormat="1" applyFont="1" applyBorder="1" applyAlignment="1">
      <alignment horizontal="center"/>
    </xf>
    <xf numFmtId="0" fontId="5" fillId="0" borderId="68" xfId="0" applyNumberFormat="1" applyFont="1" applyBorder="1" applyAlignment="1">
      <alignment horizontal="center"/>
    </xf>
    <xf numFmtId="0" fontId="5" fillId="0" borderId="3" xfId="0" applyNumberFormat="1" applyFont="1" applyBorder="1" applyAlignment="1">
      <alignment horizontal="left"/>
    </xf>
    <xf numFmtId="0" fontId="5" fillId="0" borderId="4" xfId="0" applyNumberFormat="1" applyFont="1" applyBorder="1" applyAlignment="1">
      <alignment horizontal="left"/>
    </xf>
    <xf numFmtId="0" fontId="5" fillId="0" borderId="62" xfId="0" applyNumberFormat="1" applyFont="1" applyBorder="1" applyAlignment="1">
      <alignment horizontal="center"/>
    </xf>
    <xf numFmtId="0" fontId="5" fillId="0" borderId="63" xfId="0" applyNumberFormat="1" applyFont="1" applyBorder="1" applyAlignment="1">
      <alignment horizontal="center"/>
    </xf>
    <xf numFmtId="0" fontId="14" fillId="0" borderId="0" xfId="7" applyFont="1" applyAlignment="1">
      <alignment horizontal="center"/>
    </xf>
    <xf numFmtId="0" fontId="17" fillId="0" borderId="3" xfId="7" applyBorder="1" applyAlignment="1">
      <alignment horizontal="center"/>
    </xf>
    <xf numFmtId="0" fontId="19" fillId="0" borderId="2" xfId="7" applyFont="1" applyBorder="1" applyAlignment="1">
      <alignment horizontal="center" wrapText="1"/>
    </xf>
    <xf numFmtId="0" fontId="0" fillId="0" borderId="5" xfId="0" applyBorder="1" applyAlignment="1">
      <alignment horizontal="center" wrapText="1"/>
    </xf>
    <xf numFmtId="3" fontId="15" fillId="0" borderId="0" xfId="0" applyNumberFormat="1" applyFont="1" applyAlignment="1"/>
    <xf numFmtId="0" fontId="13" fillId="0" borderId="0" xfId="0" applyFont="1" applyAlignment="1"/>
    <xf numFmtId="0" fontId="15" fillId="0" borderId="0" xfId="7" applyFont="1" applyAlignment="1">
      <alignment horizontal="center"/>
    </xf>
    <xf numFmtId="0" fontId="13" fillId="0" borderId="0" xfId="0" applyFont="1" applyAlignment="1">
      <alignment horizontal="center"/>
    </xf>
    <xf numFmtId="3" fontId="2" fillId="0" borderId="0" xfId="7" applyNumberFormat="1" applyFont="1" applyAlignment="1">
      <alignment horizontal="center"/>
    </xf>
    <xf numFmtId="0" fontId="13" fillId="0" borderId="0" xfId="0" applyFont="1" applyBorder="1" applyAlignment="1">
      <alignment horizontal="center"/>
    </xf>
    <xf numFmtId="0" fontId="2" fillId="0" borderId="0" xfId="7" applyFont="1" applyAlignment="1">
      <alignment horizontal="center"/>
    </xf>
    <xf numFmtId="3" fontId="15" fillId="0" borderId="0" xfId="0" applyNumberFormat="1" applyFont="1" applyAlignment="1">
      <alignment horizontal="center"/>
    </xf>
    <xf numFmtId="0" fontId="13" fillId="0" borderId="0" xfId="7" applyFont="1" applyAlignment="1">
      <alignment horizontal="center"/>
    </xf>
    <xf numFmtId="0" fontId="13" fillId="4" borderId="0" xfId="0" applyFont="1" applyFill="1" applyBorder="1" applyAlignment="1">
      <alignment vertical="top" wrapText="1"/>
    </xf>
    <xf numFmtId="0" fontId="0" fillId="4" borderId="0" xfId="0" applyFill="1" applyBorder="1" applyAlignment="1"/>
    <xf numFmtId="0" fontId="13" fillId="4" borderId="0" xfId="7" applyFont="1" applyFill="1" applyAlignment="1">
      <alignment horizontal="left" wrapText="1"/>
    </xf>
    <xf numFmtId="0" fontId="0" fillId="4" borderId="0" xfId="0" applyFill="1" applyAlignment="1"/>
    <xf numFmtId="0" fontId="13" fillId="4" borderId="0" xfId="7" applyFont="1" applyFill="1" applyAlignment="1">
      <alignment horizontal="left"/>
    </xf>
    <xf numFmtId="0" fontId="19" fillId="0" borderId="2" xfId="7" applyFont="1" applyBorder="1" applyAlignment="1">
      <alignment wrapText="1"/>
    </xf>
    <xf numFmtId="0" fontId="19" fillId="0" borderId="6" xfId="7" applyFont="1" applyBorder="1" applyAlignment="1">
      <alignment wrapText="1"/>
    </xf>
    <xf numFmtId="0" fontId="19" fillId="0" borderId="29" xfId="7" applyFont="1" applyBorder="1" applyAlignment="1">
      <alignment horizontal="center"/>
    </xf>
    <xf numFmtId="0" fontId="0" fillId="0" borderId="32" xfId="0" applyBorder="1" applyAlignment="1">
      <alignment horizontal="center"/>
    </xf>
    <xf numFmtId="0" fontId="0" fillId="0" borderId="19" xfId="0" applyBorder="1" applyAlignment="1">
      <alignment horizontal="center"/>
    </xf>
    <xf numFmtId="0" fontId="14" fillId="0" borderId="0" xfId="7" applyFont="1" applyAlignment="1">
      <alignment horizontal="left" vertical="top" wrapText="1"/>
    </xf>
    <xf numFmtId="0" fontId="17" fillId="0" borderId="0" xfId="7" applyAlignment="1">
      <alignment horizontal="left" vertical="top" wrapText="1"/>
    </xf>
    <xf numFmtId="0" fontId="58" fillId="0" borderId="0" xfId="0" applyFont="1" applyFill="1" applyBorder="1" applyAlignment="1">
      <alignment vertical="top" wrapText="1"/>
    </xf>
    <xf numFmtId="0" fontId="0" fillId="0" borderId="0" xfId="0" applyFill="1" applyBorder="1" applyAlignment="1">
      <alignment vertical="top" wrapText="1"/>
    </xf>
    <xf numFmtId="0" fontId="0" fillId="0" borderId="0" xfId="0" applyFill="1" applyBorder="1" applyAlignment="1">
      <alignment wrapText="1"/>
    </xf>
    <xf numFmtId="0" fontId="19" fillId="0" borderId="29" xfId="8" applyFont="1" applyFill="1" applyBorder="1" applyAlignment="1">
      <alignment horizontal="center"/>
    </xf>
    <xf numFmtId="0" fontId="19" fillId="0" borderId="74" xfId="8" applyFont="1" applyFill="1" applyBorder="1" applyAlignment="1"/>
    <xf numFmtId="0" fontId="8" fillId="0" borderId="3" xfId="8" applyFont="1" applyFill="1" applyBorder="1" applyAlignment="1"/>
    <xf numFmtId="0" fontId="54" fillId="0" borderId="75" xfId="8" applyFont="1" applyFill="1" applyBorder="1" applyAlignment="1">
      <alignment horizontal="center" vertical="center" wrapText="1"/>
    </xf>
    <xf numFmtId="0" fontId="0" fillId="0" borderId="76"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1" fontId="19" fillId="0" borderId="75" xfId="8" applyNumberFormat="1" applyFont="1" applyFill="1" applyBorder="1" applyAlignment="1">
      <alignment horizontal="center" vertical="center" wrapText="1"/>
    </xf>
    <xf numFmtId="1" fontId="19" fillId="0" borderId="77" xfId="8" applyNumberFormat="1" applyFont="1" applyFill="1"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19" fillId="0" borderId="7" xfId="8" applyFont="1" applyFill="1" applyBorder="1" applyAlignment="1">
      <alignment horizontal="center"/>
    </xf>
    <xf numFmtId="0" fontId="19" fillId="0" borderId="4" xfId="8" applyFont="1" applyFill="1" applyBorder="1" applyAlignment="1">
      <alignment horizontal="center"/>
    </xf>
    <xf numFmtId="0" fontId="14" fillId="5" borderId="0" xfId="0" applyFont="1" applyFill="1" applyBorder="1" applyAlignment="1"/>
    <xf numFmtId="0" fontId="0" fillId="5" borderId="0" xfId="0" applyFill="1" applyBorder="1" applyAlignment="1"/>
    <xf numFmtId="0" fontId="14" fillId="5" borderId="0" xfId="0" applyFont="1" applyFill="1" applyBorder="1" applyAlignment="1">
      <alignment vertical="top" wrapText="1"/>
    </xf>
    <xf numFmtId="0" fontId="0" fillId="5" borderId="0" xfId="0" applyFill="1" applyBorder="1" applyAlignment="1">
      <alignment vertical="top" wrapText="1"/>
    </xf>
    <xf numFmtId="0" fontId="16" fillId="0" borderId="0" xfId="8" applyFont="1" applyAlignment="1"/>
    <xf numFmtId="0" fontId="55" fillId="0" borderId="0" xfId="0" applyFont="1" applyBorder="1" applyAlignment="1"/>
    <xf numFmtId="0" fontId="15" fillId="0" borderId="0" xfId="8" applyFont="1" applyAlignment="1">
      <alignment horizontal="center"/>
    </xf>
    <xf numFmtId="0" fontId="0" fillId="0" borderId="0" xfId="0" applyBorder="1" applyAlignment="1">
      <alignment horizontal="center"/>
    </xf>
    <xf numFmtId="3" fontId="15" fillId="0" borderId="0" xfId="8" applyNumberFormat="1" applyFont="1" applyAlignment="1">
      <alignment horizontal="center"/>
    </xf>
    <xf numFmtId="0" fontId="8" fillId="0" borderId="0" xfId="8" applyFont="1" applyAlignment="1">
      <alignment horizontal="center"/>
    </xf>
    <xf numFmtId="0" fontId="0" fillId="0" borderId="7" xfId="0" applyBorder="1" applyAlignment="1">
      <alignment vertical="center" wrapText="1"/>
    </xf>
    <xf numFmtId="0" fontId="0" fillId="0" borderId="4" xfId="0" applyBorder="1" applyAlignment="1">
      <alignment vertical="center" wrapText="1"/>
    </xf>
    <xf numFmtId="0" fontId="64" fillId="0" borderId="0" xfId="0" applyFont="1" applyBorder="1" applyAlignment="1">
      <alignment horizontal="center" vertical="top"/>
    </xf>
    <xf numFmtId="0" fontId="65" fillId="0" borderId="0" xfId="0" applyFont="1" applyBorder="1" applyAlignment="1">
      <alignment horizontal="center" vertical="top"/>
    </xf>
    <xf numFmtId="0" fontId="64" fillId="0" borderId="0" xfId="0" applyFont="1" applyBorder="1" applyAlignment="1">
      <alignment horizontal="center"/>
    </xf>
    <xf numFmtId="0" fontId="65" fillId="0" borderId="0" xfId="0" applyFont="1" applyBorder="1" applyAlignment="1">
      <alignment horizontal="center"/>
    </xf>
    <xf numFmtId="0" fontId="27" fillId="0" borderId="0" xfId="11" applyFont="1" applyBorder="1" applyAlignment="1">
      <alignment horizontal="center"/>
    </xf>
    <xf numFmtId="0" fontId="16" fillId="0" borderId="0" xfId="11" applyFont="1" applyAlignment="1">
      <alignment horizontal="left"/>
    </xf>
    <xf numFmtId="0" fontId="0" fillId="0" borderId="0" xfId="0" applyBorder="1" applyAlignment="1">
      <alignment horizontal="left"/>
    </xf>
    <xf numFmtId="0" fontId="15" fillId="0" borderId="0" xfId="11" applyFont="1" applyAlignment="1">
      <alignment horizontal="center"/>
    </xf>
    <xf numFmtId="3" fontId="15" fillId="0" borderId="0" xfId="11" applyNumberFormat="1" applyFont="1" applyAlignment="1">
      <alignment horizontal="center"/>
    </xf>
    <xf numFmtId="0" fontId="2" fillId="0" borderId="0" xfId="11" applyFont="1" applyAlignment="1">
      <alignment horizontal="center"/>
    </xf>
    <xf numFmtId="0" fontId="2" fillId="0" borderId="0" xfId="11" applyFont="1" applyBorder="1" applyAlignment="1">
      <alignment horizontal="center"/>
    </xf>
    <xf numFmtId="165" fontId="5" fillId="0" borderId="0" xfId="0" applyNumberFormat="1" applyFont="1" applyAlignment="1">
      <alignment horizontal="center"/>
    </xf>
    <xf numFmtId="165" fontId="5" fillId="0" borderId="3" xfId="0" applyNumberFormat="1" applyFont="1" applyBorder="1" applyAlignment="1">
      <alignment horizontal="center"/>
    </xf>
    <xf numFmtId="165" fontId="8" fillId="0" borderId="0" xfId="0" applyNumberFormat="1" applyFont="1" applyAlignment="1">
      <alignment horizontal="center"/>
    </xf>
    <xf numFmtId="0" fontId="5" fillId="0" borderId="0" xfId="0" applyFont="1" applyBorder="1" applyAlignment="1">
      <alignment horizontal="center"/>
    </xf>
    <xf numFmtId="3" fontId="16" fillId="0" borderId="0" xfId="0" applyNumberFormat="1" applyFont="1" applyAlignment="1"/>
    <xf numFmtId="0" fontId="51" fillId="0" borderId="0" xfId="0" applyFont="1" applyAlignment="1"/>
    <xf numFmtId="165" fontId="9" fillId="0" borderId="0" xfId="0" applyNumberFormat="1" applyFont="1" applyAlignment="1">
      <alignment horizontal="center"/>
    </xf>
    <xf numFmtId="0" fontId="5" fillId="0" borderId="0" xfId="0" applyFont="1" applyAlignment="1">
      <alignment horizontal="center"/>
    </xf>
    <xf numFmtId="165" fontId="10" fillId="0" borderId="0" xfId="0" applyNumberFormat="1" applyFont="1" applyAlignment="1">
      <alignment horizontal="center"/>
    </xf>
    <xf numFmtId="165" fontId="12" fillId="0" borderId="0" xfId="0" applyNumberFormat="1" applyFont="1" applyAlignment="1">
      <alignment wrapText="1"/>
    </xf>
    <xf numFmtId="0" fontId="13" fillId="0" borderId="0" xfId="0" applyFont="1" applyAlignment="1">
      <alignment wrapText="1"/>
    </xf>
    <xf numFmtId="0" fontId="15" fillId="0" borderId="53" xfId="0" applyNumberFormat="1" applyFont="1" applyBorder="1" applyAlignment="1">
      <alignment horizontal="center" vertical="center" wrapText="1"/>
    </xf>
    <xf numFmtId="0" fontId="5" fillId="0" borderId="74" xfId="0" applyNumberFormat="1" applyFont="1" applyBorder="1" applyAlignment="1">
      <alignment horizontal="center" vertical="center" wrapText="1"/>
    </xf>
    <xf numFmtId="0" fontId="5" fillId="0" borderId="68" xfId="0" applyNumberFormat="1" applyFont="1" applyBorder="1" applyAlignment="1">
      <alignment horizontal="center" vertical="center" wrapText="1"/>
    </xf>
    <xf numFmtId="0" fontId="5" fillId="0" borderId="8" xfId="0" applyNumberFormat="1" applyFont="1" applyBorder="1" applyAlignment="1">
      <alignment horizontal="center" vertical="center" wrapText="1"/>
    </xf>
    <xf numFmtId="0" fontId="5" fillId="0" borderId="0" xfId="0" applyNumberFormat="1" applyFont="1" applyBorder="1" applyAlignment="1">
      <alignment horizontal="center" vertical="center" wrapText="1"/>
    </xf>
    <xf numFmtId="0" fontId="5" fillId="0" borderId="31" xfId="0" applyNumberFormat="1" applyFont="1" applyBorder="1" applyAlignment="1">
      <alignment horizontal="center" vertical="center" wrapText="1"/>
    </xf>
    <xf numFmtId="0" fontId="13" fillId="4" borderId="0" xfId="0" applyFont="1" applyFill="1" applyBorder="1" applyAlignment="1">
      <alignment wrapText="1"/>
    </xf>
    <xf numFmtId="0" fontId="13" fillId="0" borderId="0" xfId="0" applyFont="1" applyBorder="1" applyAlignment="1">
      <alignment wrapText="1"/>
    </xf>
    <xf numFmtId="165" fontId="18" fillId="4" borderId="0" xfId="0" applyNumberFormat="1" applyFont="1" applyFill="1" applyAlignment="1">
      <alignment horizontal="center" wrapText="1"/>
    </xf>
    <xf numFmtId="165" fontId="13" fillId="4" borderId="0" xfId="0" applyNumberFormat="1" applyFont="1" applyFill="1" applyAlignment="1">
      <alignment wrapText="1"/>
    </xf>
    <xf numFmtId="0" fontId="15" fillId="0" borderId="2" xfId="0" applyNumberFormat="1" applyFont="1" applyBorder="1" applyAlignment="1">
      <alignment horizontal="center" vertical="center" wrapText="1"/>
    </xf>
    <xf numFmtId="0" fontId="15" fillId="0" borderId="6" xfId="0" applyNumberFormat="1" applyFont="1" applyBorder="1" applyAlignment="1">
      <alignment horizontal="center" vertical="center" wrapText="1"/>
    </xf>
    <xf numFmtId="0" fontId="15" fillId="0" borderId="53" xfId="0" applyNumberFormat="1" applyFont="1" applyBorder="1" applyAlignment="1">
      <alignment horizontal="center" vertical="center"/>
    </xf>
    <xf numFmtId="0" fontId="5" fillId="0" borderId="74" xfId="0" applyNumberFormat="1" applyFont="1" applyBorder="1" applyAlignment="1">
      <alignment horizontal="center" vertical="center"/>
    </xf>
    <xf numFmtId="0" fontId="5" fillId="0" borderId="68"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0" xfId="0" applyNumberFormat="1" applyFont="1" applyBorder="1" applyAlignment="1">
      <alignment horizontal="center" vertical="center"/>
    </xf>
    <xf numFmtId="0" fontId="5" fillId="0" borderId="31" xfId="0" applyNumberFormat="1" applyFont="1" applyBorder="1" applyAlignment="1">
      <alignment horizontal="center" vertical="center"/>
    </xf>
    <xf numFmtId="0" fontId="15" fillId="0" borderId="53" xfId="0" applyNumberFormat="1" applyFont="1" applyBorder="1" applyAlignment="1">
      <alignment horizontal="center"/>
    </xf>
    <xf numFmtId="0" fontId="15" fillId="0" borderId="8" xfId="0" applyNumberFormat="1" applyFont="1" applyBorder="1" applyAlignment="1">
      <alignment horizontal="center"/>
    </xf>
    <xf numFmtId="0" fontId="15" fillId="0" borderId="48" xfId="0" applyNumberFormat="1" applyFont="1" applyBorder="1" applyAlignment="1">
      <alignment horizontal="center"/>
    </xf>
    <xf numFmtId="165" fontId="12" fillId="4" borderId="0" xfId="0" applyNumberFormat="1" applyFont="1" applyFill="1" applyAlignment="1">
      <alignment horizontal="center" wrapText="1"/>
    </xf>
    <xf numFmtId="0" fontId="15" fillId="0" borderId="68" xfId="0" applyNumberFormat="1" applyFont="1" applyBorder="1" applyAlignment="1">
      <alignment horizontal="center" vertical="center" wrapText="1"/>
    </xf>
    <xf numFmtId="0" fontId="15" fillId="0" borderId="31" xfId="0" applyNumberFormat="1" applyFont="1" applyBorder="1" applyAlignment="1">
      <alignment horizontal="center" vertical="center" wrapText="1"/>
    </xf>
    <xf numFmtId="0" fontId="23" fillId="2" borderId="80" xfId="0" applyNumberFormat="1" applyFont="1" applyFill="1" applyBorder="1" applyAlignment="1">
      <alignment horizontal="center" wrapText="1"/>
    </xf>
    <xf numFmtId="0" fontId="5" fillId="0" borderId="16" xfId="0" applyNumberFormat="1" applyFont="1" applyBorder="1" applyAlignment="1">
      <alignment horizontal="center" wrapText="1"/>
    </xf>
    <xf numFmtId="165" fontId="5" fillId="0" borderId="0" xfId="0" applyNumberFormat="1" applyFont="1" applyBorder="1" applyAlignment="1">
      <alignment horizontal="center"/>
    </xf>
    <xf numFmtId="165" fontId="6" fillId="2" borderId="73" xfId="0" applyNumberFormat="1" applyFont="1" applyFill="1" applyBorder="1" applyAlignment="1">
      <alignment horizontal="center"/>
    </xf>
    <xf numFmtId="0" fontId="23" fillId="2" borderId="106" xfId="0" applyNumberFormat="1" applyFont="1" applyFill="1" applyBorder="1" applyAlignment="1">
      <alignment horizontal="center" wrapText="1"/>
    </xf>
    <xf numFmtId="0" fontId="5" fillId="0" borderId="107" xfId="0" applyNumberFormat="1" applyFont="1" applyBorder="1" applyAlignment="1">
      <alignment horizontal="center" wrapText="1"/>
    </xf>
    <xf numFmtId="0" fontId="23" fillId="2" borderId="81" xfId="0" applyNumberFormat="1" applyFont="1" applyFill="1" applyBorder="1" applyAlignment="1">
      <alignment horizontal="center" wrapText="1"/>
    </xf>
    <xf numFmtId="0" fontId="23" fillId="2" borderId="82" xfId="0" applyNumberFormat="1" applyFont="1" applyFill="1" applyBorder="1" applyAlignment="1">
      <alignment horizontal="center" wrapText="1"/>
    </xf>
    <xf numFmtId="0" fontId="23" fillId="2" borderId="83" xfId="0" applyNumberFormat="1" applyFont="1" applyFill="1" applyBorder="1" applyAlignment="1">
      <alignment horizontal="center" vertical="center"/>
    </xf>
    <xf numFmtId="0" fontId="23" fillId="2" borderId="84" xfId="0" applyNumberFormat="1" applyFont="1" applyFill="1" applyBorder="1" applyAlignment="1">
      <alignment horizontal="center" vertical="center"/>
    </xf>
    <xf numFmtId="0" fontId="23" fillId="2" borderId="85" xfId="0" applyNumberFormat="1" applyFont="1" applyFill="1" applyBorder="1" applyAlignment="1">
      <alignment horizontal="center" vertical="center"/>
    </xf>
    <xf numFmtId="0" fontId="23" fillId="2" borderId="86" xfId="0" applyNumberFormat="1" applyFont="1" applyFill="1" applyBorder="1" applyAlignment="1">
      <alignment horizontal="center" vertical="center" wrapText="1"/>
    </xf>
    <xf numFmtId="0" fontId="5" fillId="0" borderId="87" xfId="0" applyNumberFormat="1" applyFont="1" applyBorder="1" applyAlignment="1">
      <alignment horizontal="center" vertical="center" wrapText="1"/>
    </xf>
    <xf numFmtId="0" fontId="5" fillId="0" borderId="88" xfId="0" applyNumberFormat="1" applyFont="1" applyBorder="1" applyAlignment="1">
      <alignment horizontal="center" wrapText="1"/>
    </xf>
    <xf numFmtId="0" fontId="23" fillId="2" borderId="89" xfId="0" applyNumberFormat="1" applyFont="1" applyFill="1" applyBorder="1" applyAlignment="1">
      <alignment horizontal="center" wrapText="1"/>
    </xf>
    <xf numFmtId="0" fontId="5" fillId="0" borderId="90" xfId="0" applyNumberFormat="1" applyFont="1" applyBorder="1" applyAlignment="1">
      <alignment horizontal="center" wrapText="1"/>
    </xf>
    <xf numFmtId="0" fontId="23" fillId="2" borderId="91" xfId="0" applyNumberFormat="1" applyFont="1" applyFill="1" applyBorder="1" applyAlignment="1">
      <alignment horizontal="center" wrapText="1"/>
    </xf>
    <xf numFmtId="0" fontId="5" fillId="0" borderId="8" xfId="0" applyNumberFormat="1" applyFont="1" applyBorder="1" applyAlignment="1">
      <alignment wrapText="1"/>
    </xf>
    <xf numFmtId="0" fontId="5" fillId="0" borderId="72" xfId="0" applyNumberFormat="1" applyFont="1" applyBorder="1" applyAlignment="1">
      <alignment wrapText="1"/>
    </xf>
    <xf numFmtId="0" fontId="5" fillId="0" borderId="0" xfId="0" applyNumberFormat="1" applyFont="1" applyBorder="1" applyAlignment="1"/>
    <xf numFmtId="0" fontId="9" fillId="0" borderId="0" xfId="0" applyNumberFormat="1" applyFont="1" applyAlignment="1">
      <alignment horizontal="center"/>
    </xf>
    <xf numFmtId="0" fontId="5" fillId="0" borderId="0" xfId="0" applyNumberFormat="1" applyFont="1" applyBorder="1" applyAlignment="1">
      <alignment horizontal="center"/>
    </xf>
    <xf numFmtId="0" fontId="10" fillId="0" borderId="0" xfId="0" applyNumberFormat="1" applyFont="1" applyAlignment="1">
      <alignment horizontal="center"/>
    </xf>
    <xf numFmtId="0" fontId="10" fillId="0" borderId="0" xfId="0" applyNumberFormat="1" applyFont="1" applyBorder="1" applyAlignment="1">
      <alignment horizontal="center"/>
    </xf>
    <xf numFmtId="3" fontId="16" fillId="0" borderId="0" xfId="0" applyNumberFormat="1" applyFont="1" applyAlignment="1">
      <alignment horizontal="center"/>
    </xf>
    <xf numFmtId="3" fontId="16" fillId="0" borderId="0" xfId="0" applyNumberFormat="1" applyFont="1" applyBorder="1" applyAlignment="1">
      <alignment horizontal="center"/>
    </xf>
    <xf numFmtId="165" fontId="38" fillId="0" borderId="74" xfId="0" applyNumberFormat="1" applyFont="1" applyBorder="1" applyAlignment="1">
      <alignment horizontal="center"/>
    </xf>
    <xf numFmtId="0" fontId="18" fillId="4" borderId="0" xfId="0" applyFont="1" applyFill="1" applyBorder="1" applyAlignment="1">
      <alignment horizontal="center"/>
    </xf>
    <xf numFmtId="0" fontId="13" fillId="4" borderId="0" xfId="0" applyFont="1" applyFill="1" applyBorder="1" applyAlignment="1">
      <alignment horizontal="left" vertical="top" wrapText="1"/>
    </xf>
    <xf numFmtId="0" fontId="30" fillId="2" borderId="24" xfId="0" applyNumberFormat="1" applyFont="1" applyFill="1" applyBorder="1" applyAlignment="1">
      <alignment horizontal="center" wrapText="1"/>
    </xf>
    <xf numFmtId="0" fontId="20" fillId="0" borderId="26" xfId="0" applyNumberFormat="1" applyFont="1" applyBorder="1" applyAlignment="1">
      <alignment wrapText="1"/>
    </xf>
    <xf numFmtId="0" fontId="20" fillId="0" borderId="92" xfId="0" applyNumberFormat="1" applyFont="1" applyBorder="1" applyAlignment="1">
      <alignment wrapText="1"/>
    </xf>
    <xf numFmtId="0" fontId="20" fillId="0" borderId="93" xfId="0" applyNumberFormat="1" applyFont="1" applyBorder="1" applyAlignment="1">
      <alignment wrapText="1"/>
    </xf>
    <xf numFmtId="3" fontId="6" fillId="2" borderId="73" xfId="0" applyNumberFormat="1" applyFont="1" applyFill="1" applyBorder="1" applyAlignment="1">
      <alignment horizontal="center"/>
    </xf>
    <xf numFmtId="3" fontId="42" fillId="2" borderId="94" xfId="0" applyNumberFormat="1" applyFont="1" applyFill="1" applyBorder="1" applyAlignment="1">
      <alignment horizontal="center"/>
    </xf>
    <xf numFmtId="0" fontId="38" fillId="0" borderId="94" xfId="0" applyFont="1" applyBorder="1" applyAlignment="1">
      <alignment horizontal="center"/>
    </xf>
    <xf numFmtId="0" fontId="22" fillId="2" borderId="24" xfId="0" applyNumberFormat="1" applyFont="1" applyFill="1" applyBorder="1" applyAlignment="1">
      <alignment wrapText="1"/>
    </xf>
    <xf numFmtId="0" fontId="5" fillId="0" borderId="116" xfId="0" applyNumberFormat="1" applyFont="1" applyBorder="1" applyAlignment="1">
      <alignment wrapText="1"/>
    </xf>
    <xf numFmtId="0" fontId="5" fillId="0" borderId="117" xfId="0" applyNumberFormat="1" applyFont="1" applyBorder="1" applyAlignment="1">
      <alignment wrapText="1"/>
    </xf>
    <xf numFmtId="0" fontId="20" fillId="0" borderId="91" xfId="0" applyNumberFormat="1" applyFont="1" applyBorder="1"/>
    <xf numFmtId="0" fontId="20" fillId="0" borderId="25" xfId="0" applyNumberFormat="1" applyFont="1" applyBorder="1"/>
    <xf numFmtId="0" fontId="30" fillId="2" borderId="8" xfId="0" applyNumberFormat="1" applyFont="1" applyFill="1" applyBorder="1" applyAlignment="1">
      <alignment horizontal="center" wrapText="1"/>
    </xf>
    <xf numFmtId="0" fontId="30" fillId="2" borderId="27" xfId="0" applyNumberFormat="1" applyFont="1" applyFill="1" applyBorder="1" applyAlignment="1">
      <alignment horizontal="center" wrapText="1"/>
    </xf>
    <xf numFmtId="3" fontId="6" fillId="2" borderId="0" xfId="0" applyNumberFormat="1" applyFont="1" applyFill="1" applyAlignment="1">
      <alignment horizontal="center"/>
    </xf>
    <xf numFmtId="3" fontId="6" fillId="2" borderId="0" xfId="0" applyNumberFormat="1" applyFont="1" applyFill="1" applyBorder="1" applyAlignment="1">
      <alignment horizontal="center"/>
    </xf>
    <xf numFmtId="0" fontId="8" fillId="0" borderId="0" xfId="0" applyNumberFormat="1" applyFont="1" applyAlignment="1">
      <alignment horizontal="center"/>
    </xf>
    <xf numFmtId="165" fontId="13" fillId="4" borderId="0" xfId="0" applyNumberFormat="1" applyFont="1" applyFill="1" applyAlignment="1">
      <alignment vertical="top" wrapText="1"/>
    </xf>
    <xf numFmtId="165" fontId="13" fillId="4" borderId="0" xfId="0" applyNumberFormat="1" applyFont="1" applyFill="1" applyBorder="1" applyAlignment="1">
      <alignment vertical="top" wrapText="1"/>
    </xf>
    <xf numFmtId="0" fontId="31" fillId="2" borderId="0" xfId="0" applyNumberFormat="1" applyFont="1" applyFill="1" applyAlignment="1"/>
    <xf numFmtId="0" fontId="5" fillId="0" borderId="0" xfId="0" applyNumberFormat="1" applyFont="1" applyAlignment="1"/>
    <xf numFmtId="165" fontId="30" fillId="2" borderId="0" xfId="0" applyNumberFormat="1" applyFont="1" applyFill="1" applyAlignment="1">
      <alignment horizontal="center"/>
    </xf>
    <xf numFmtId="165" fontId="6" fillId="2" borderId="0" xfId="0" applyNumberFormat="1" applyFont="1" applyFill="1" applyAlignment="1">
      <alignment horizontal="center"/>
    </xf>
    <xf numFmtId="0" fontId="22" fillId="2" borderId="75" xfId="0" applyNumberFormat="1" applyFont="1" applyFill="1" applyBorder="1" applyAlignment="1">
      <alignment horizontal="center" vertical="center" wrapText="1"/>
    </xf>
    <xf numFmtId="0" fontId="5" fillId="0" borderId="76" xfId="0" applyNumberFormat="1" applyFont="1" applyBorder="1" applyAlignment="1">
      <alignment horizontal="center" vertical="center" wrapText="1"/>
    </xf>
    <xf numFmtId="0" fontId="5" fillId="0" borderId="7" xfId="0" applyNumberFormat="1" applyFont="1" applyBorder="1" applyAlignment="1">
      <alignment horizontal="center" vertical="center" wrapText="1"/>
    </xf>
    <xf numFmtId="0" fontId="5" fillId="0" borderId="4" xfId="0" applyNumberFormat="1" applyFont="1" applyBorder="1" applyAlignment="1">
      <alignment horizontal="center" vertical="center" wrapText="1"/>
    </xf>
    <xf numFmtId="0" fontId="5" fillId="0" borderId="108" xfId="0" applyNumberFormat="1" applyFont="1" applyBorder="1" applyAlignment="1">
      <alignment horizontal="center" vertical="center" wrapText="1"/>
    </xf>
    <xf numFmtId="0" fontId="5" fillId="0" borderId="28" xfId="0" applyNumberFormat="1" applyFont="1" applyBorder="1" applyAlignment="1">
      <alignment horizontal="center" vertical="center" wrapText="1"/>
    </xf>
    <xf numFmtId="0" fontId="22" fillId="2" borderId="95" xfId="0" applyNumberFormat="1" applyFont="1" applyFill="1" applyBorder="1" applyAlignment="1">
      <alignment wrapText="1"/>
    </xf>
    <xf numFmtId="0" fontId="5" fillId="0" borderId="6" xfId="0" applyNumberFormat="1" applyFont="1" applyBorder="1" applyAlignment="1">
      <alignment wrapText="1"/>
    </xf>
    <xf numFmtId="0" fontId="5" fillId="0" borderId="71" xfId="0" applyNumberFormat="1" applyFont="1" applyBorder="1" applyAlignment="1">
      <alignment wrapText="1"/>
    </xf>
    <xf numFmtId="165" fontId="40" fillId="2" borderId="0" xfId="0" applyNumberFormat="1" applyFont="1" applyFill="1" applyAlignment="1">
      <alignment horizontal="center"/>
    </xf>
    <xf numFmtId="0" fontId="39" fillId="0" borderId="0" xfId="0" applyFont="1" applyBorder="1" applyAlignment="1">
      <alignment horizontal="center"/>
    </xf>
    <xf numFmtId="165" fontId="6" fillId="2" borderId="49" xfId="0" applyNumberFormat="1" applyFont="1" applyFill="1" applyBorder="1" applyAlignment="1">
      <alignment horizontal="center"/>
    </xf>
    <xf numFmtId="0" fontId="32" fillId="2" borderId="0" xfId="0" applyNumberFormat="1" applyFont="1" applyFill="1" applyAlignment="1">
      <alignment horizontal="center"/>
    </xf>
    <xf numFmtId="0" fontId="5" fillId="0" borderId="0" xfId="0" applyNumberFormat="1" applyFont="1" applyAlignment="1">
      <alignment horizontal="center"/>
    </xf>
    <xf numFmtId="0" fontId="31" fillId="2" borderId="0" xfId="0" applyNumberFormat="1" applyFont="1" applyFill="1" applyAlignment="1">
      <alignment horizontal="center"/>
    </xf>
    <xf numFmtId="0" fontId="2" fillId="4" borderId="0" xfId="0" applyNumberFormat="1" applyFont="1" applyFill="1" applyAlignment="1">
      <alignment horizontal="left" wrapText="1"/>
    </xf>
    <xf numFmtId="0" fontId="0" fillId="0" borderId="0" xfId="0" applyNumberFormat="1" applyBorder="1" applyAlignment="1"/>
    <xf numFmtId="0" fontId="6" fillId="2" borderId="53" xfId="0" applyNumberFormat="1" applyFont="1" applyFill="1" applyBorder="1" applyAlignment="1"/>
    <xf numFmtId="0" fontId="0" fillId="0" borderId="48" xfId="0" applyNumberFormat="1" applyBorder="1" applyAlignment="1"/>
    <xf numFmtId="0" fontId="8" fillId="0" borderId="0" xfId="0" applyNumberFormat="1" applyFont="1" applyBorder="1" applyAlignment="1">
      <alignment horizontal="center"/>
    </xf>
    <xf numFmtId="0" fontId="23" fillId="2" borderId="29" xfId="0" applyNumberFormat="1" applyFont="1" applyFill="1" applyBorder="1" applyAlignment="1">
      <alignment horizontal="center" vertical="center" wrapText="1"/>
    </xf>
    <xf numFmtId="0" fontId="0" fillId="0" borderId="32" xfId="0" applyNumberFormat="1" applyBorder="1" applyAlignment="1">
      <alignment horizontal="center" vertical="center" wrapText="1"/>
    </xf>
    <xf numFmtId="0" fontId="23" fillId="2" borderId="29" xfId="0" applyNumberFormat="1" applyFont="1" applyFill="1" applyBorder="1" applyAlignment="1">
      <alignment horizontal="center" vertical="center"/>
    </xf>
    <xf numFmtId="0" fontId="0" fillId="0" borderId="19" xfId="0" applyNumberFormat="1" applyBorder="1" applyAlignment="1">
      <alignment horizontal="center" vertical="center"/>
    </xf>
    <xf numFmtId="0" fontId="23" fillId="2" borderId="19" xfId="0" applyNumberFormat="1" applyFont="1" applyFill="1" applyBorder="1" applyAlignment="1">
      <alignment horizontal="center" vertical="center"/>
    </xf>
    <xf numFmtId="0" fontId="19" fillId="0" borderId="29" xfId="0" applyNumberFormat="1" applyFont="1" applyBorder="1" applyAlignment="1">
      <alignment horizontal="center" vertical="center" wrapText="1"/>
    </xf>
    <xf numFmtId="0" fontId="19" fillId="0" borderId="19" xfId="0" applyNumberFormat="1" applyFont="1" applyBorder="1" applyAlignment="1">
      <alignment horizontal="center" vertical="center" wrapText="1"/>
    </xf>
    <xf numFmtId="3" fontId="16" fillId="0" borderId="0" xfId="0" applyNumberFormat="1" applyFont="1" applyBorder="1" applyAlignment="1"/>
    <xf numFmtId="0" fontId="0" fillId="0" borderId="0" xfId="0" applyBorder="1" applyAlignment="1"/>
    <xf numFmtId="0" fontId="9" fillId="0" borderId="0" xfId="0" applyNumberFormat="1" applyFont="1" applyBorder="1" applyAlignment="1">
      <alignment horizontal="center"/>
    </xf>
    <xf numFmtId="0" fontId="2" fillId="4" borderId="0" xfId="0" applyFont="1" applyFill="1" applyBorder="1" applyAlignment="1">
      <alignment vertical="top" wrapText="1"/>
    </xf>
    <xf numFmtId="0" fontId="2" fillId="4" borderId="0" xfId="0" applyFont="1" applyFill="1" applyBorder="1" applyAlignment="1">
      <alignment wrapText="1"/>
    </xf>
    <xf numFmtId="0" fontId="2" fillId="4" borderId="0" xfId="0" applyFont="1" applyFill="1" applyBorder="1" applyAlignment="1">
      <alignment horizontal="left" wrapText="1"/>
    </xf>
    <xf numFmtId="0" fontId="2" fillId="4" borderId="0" xfId="0" applyNumberFormat="1" applyFont="1" applyFill="1" applyBorder="1" applyAlignment="1">
      <alignment horizontal="left" wrapText="1"/>
    </xf>
    <xf numFmtId="165" fontId="63" fillId="4" borderId="0" xfId="0" applyNumberFormat="1" applyFont="1" applyFill="1" applyBorder="1" applyAlignment="1">
      <alignment horizontal="center"/>
    </xf>
    <xf numFmtId="165" fontId="2" fillId="4" borderId="0" xfId="0" applyNumberFormat="1" applyFont="1" applyFill="1" applyAlignment="1">
      <alignment wrapText="1"/>
    </xf>
    <xf numFmtId="165" fontId="2" fillId="4" borderId="0" xfId="0" applyNumberFormat="1" applyFont="1" applyFill="1" applyBorder="1" applyAlignment="1">
      <alignment wrapText="1"/>
    </xf>
    <xf numFmtId="165" fontId="39" fillId="0" borderId="0" xfId="0" applyNumberFormat="1" applyFont="1" applyBorder="1" applyAlignment="1">
      <alignment horizontal="center"/>
    </xf>
    <xf numFmtId="0" fontId="38" fillId="0" borderId="0" xfId="0" applyFont="1" applyBorder="1" applyAlignment="1">
      <alignment horizontal="center"/>
    </xf>
    <xf numFmtId="0" fontId="59" fillId="4" borderId="0" xfId="0" applyFont="1" applyFill="1" applyBorder="1" applyAlignment="1">
      <alignment horizontal="left" wrapText="1"/>
    </xf>
  </cellXfs>
  <cellStyles count="15">
    <cellStyle name="Comma" xfId="1" builtinId="3"/>
    <cellStyle name="Comma 2" xfId="2"/>
    <cellStyle name="Comma 3" xfId="9"/>
    <cellStyle name="Currency" xfId="3" builtinId="4"/>
    <cellStyle name="Currency 2" xfId="4"/>
    <cellStyle name="Normal" xfId="0" builtinId="0"/>
    <cellStyle name="Normal 2" xfId="5"/>
    <cellStyle name="Normal 3" xfId="6"/>
    <cellStyle name="Normal 3 2" xfId="10"/>
    <cellStyle name="Normal_Improve by DU" xfId="7"/>
    <cellStyle name="Normal_Rsrcs_X_ DOJ Goal  Obj" xfId="8"/>
    <cellStyle name="Normal_Rsrcs_X_ DOJ Goal  Obj 2" xfId="11"/>
    <cellStyle name="Percent 2" xfId="13"/>
    <cellStyle name="Percent 2 2" xfId="14"/>
    <cellStyle name="Percent 3" xfId="1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2B2B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20321</xdr:rowOff>
    </xdr:from>
    <xdr:to>
      <xdr:col>12</xdr:col>
      <xdr:colOff>558800</xdr:colOff>
      <xdr:row>27</xdr:row>
      <xdr:rowOff>159439</xdr:rowOff>
    </xdr:to>
    <xdr:pic>
      <xdr:nvPicPr>
        <xdr:cNvPr id="716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52400" y="284481"/>
          <a:ext cx="9184640" cy="5168318"/>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NT\Profiles\debjones\Temporary%20Internet%20Files\OLKD\2006%20Perf%20Budget%20Cong%20Submission%20Exhibits%20Template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Org Chart"/>
      <sheetName val="Approp Lang"/>
      <sheetName val="Sum of Req"/>
      <sheetName val="Increases Offsets"/>
      <sheetName val="Strat Goal &amp; Obj"/>
      <sheetName val="ATB Justification"/>
      <sheetName val="2004 XWalk"/>
      <sheetName val="2005 XWalk"/>
      <sheetName val="Reimb Resources"/>
      <sheetName val="Perm Positions"/>
      <sheetName val="Summ Atty Agt"/>
      <sheetName val="Financial Analysis"/>
      <sheetName val="Sum by Grade"/>
      <sheetName val="Sum by OC"/>
      <sheetName val="Cong Reports"/>
      <sheetName val="P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4" Type="http://schemas.openxmlformats.org/officeDocument/2006/relationships/printerSettings" Target="../printerSettings/printerSettings2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6" Type="http://schemas.openxmlformats.org/officeDocument/2006/relationships/printerSettings" Target="../printerSettings/printerSettings54.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6" Type="http://schemas.openxmlformats.org/officeDocument/2006/relationships/printerSettings" Target="../printerSettings/printerSettings60.bin"/><Relationship Id="rId5" Type="http://schemas.openxmlformats.org/officeDocument/2006/relationships/printerSettings" Target="../printerSettings/printerSettings59.bin"/><Relationship Id="rId4" Type="http://schemas.openxmlformats.org/officeDocument/2006/relationships/printerSettings" Target="../printerSettings/printerSettings5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sheetPr codeName="Sheet3">
    <pageSetUpPr fitToPage="1"/>
  </sheetPr>
  <dimension ref="A1:N256"/>
  <sheetViews>
    <sheetView view="pageBreakPreview" zoomScale="75" zoomScaleNormal="75" zoomScaleSheetLayoutView="75" workbookViewId="0">
      <selection activeCell="E35" sqref="E35"/>
    </sheetView>
  </sheetViews>
  <sheetFormatPr defaultRowHeight="15"/>
  <cols>
    <col min="14" max="14" width="1.5546875" style="76" customWidth="1"/>
  </cols>
  <sheetData>
    <row r="1" spans="1:14" ht="20.25">
      <c r="A1" s="125" t="s">
        <v>149</v>
      </c>
      <c r="N1" s="76" t="s">
        <v>0</v>
      </c>
    </row>
    <row r="2" spans="1:14">
      <c r="N2" s="76" t="s">
        <v>0</v>
      </c>
    </row>
    <row r="3" spans="1:14">
      <c r="N3" s="76" t="s">
        <v>0</v>
      </c>
    </row>
    <row r="4" spans="1:14">
      <c r="N4" s="76" t="s">
        <v>0</v>
      </c>
    </row>
    <row r="5" spans="1:14" ht="15.75">
      <c r="B5" s="138"/>
      <c r="N5" s="76" t="s">
        <v>0</v>
      </c>
    </row>
    <row r="6" spans="1:14">
      <c r="N6" s="76" t="s">
        <v>0</v>
      </c>
    </row>
    <row r="7" spans="1:14">
      <c r="N7" s="76" t="s">
        <v>0</v>
      </c>
    </row>
    <row r="8" spans="1:14">
      <c r="N8" s="76" t="s">
        <v>0</v>
      </c>
    </row>
    <row r="9" spans="1:14">
      <c r="N9" s="76" t="s">
        <v>0</v>
      </c>
    </row>
    <row r="10" spans="1:14">
      <c r="N10" s="76" t="s">
        <v>0</v>
      </c>
    </row>
    <row r="11" spans="1:14">
      <c r="N11" s="76" t="s">
        <v>0</v>
      </c>
    </row>
    <row r="12" spans="1:14">
      <c r="N12" s="76" t="s">
        <v>0</v>
      </c>
    </row>
    <row r="13" spans="1:14">
      <c r="N13" s="76" t="s">
        <v>0</v>
      </c>
    </row>
    <row r="14" spans="1:14">
      <c r="N14" s="76" t="s">
        <v>0</v>
      </c>
    </row>
    <row r="15" spans="1:14">
      <c r="N15" s="76" t="s">
        <v>0</v>
      </c>
    </row>
    <row r="16" spans="1:14">
      <c r="N16" s="76" t="s">
        <v>0</v>
      </c>
    </row>
    <row r="17" spans="1:14">
      <c r="N17" s="76" t="s">
        <v>0</v>
      </c>
    </row>
    <row r="18" spans="1:14">
      <c r="N18" s="76" t="s">
        <v>0</v>
      </c>
    </row>
    <row r="19" spans="1:14">
      <c r="N19" s="76" t="s">
        <v>0</v>
      </c>
    </row>
    <row r="20" spans="1:14">
      <c r="N20" s="76" t="s">
        <v>0</v>
      </c>
    </row>
    <row r="21" spans="1:14">
      <c r="N21" s="76" t="s">
        <v>0</v>
      </c>
    </row>
    <row r="22" spans="1:14">
      <c r="N22" s="76" t="s">
        <v>0</v>
      </c>
    </row>
    <row r="23" spans="1:14">
      <c r="N23" s="76" t="s">
        <v>0</v>
      </c>
    </row>
    <row r="24" spans="1:14">
      <c r="N24" s="76" t="s">
        <v>0</v>
      </c>
    </row>
    <row r="25" spans="1:14">
      <c r="N25" s="76" t="s">
        <v>0</v>
      </c>
    </row>
    <row r="26" spans="1:14">
      <c r="N26" s="76" t="s">
        <v>0</v>
      </c>
    </row>
    <row r="27" spans="1:14">
      <c r="N27" s="76" t="s">
        <v>0</v>
      </c>
    </row>
    <row r="28" spans="1:14">
      <c r="N28" s="76" t="s">
        <v>0</v>
      </c>
    </row>
    <row r="29" spans="1:14">
      <c r="A29" s="438"/>
      <c r="B29" s="439"/>
      <c r="C29" s="439"/>
      <c r="D29" s="439"/>
      <c r="E29" s="439"/>
      <c r="F29" s="439"/>
      <c r="G29" s="439"/>
      <c r="H29" s="439"/>
      <c r="I29" s="439"/>
      <c r="J29" s="439"/>
      <c r="K29" s="439"/>
      <c r="L29" s="439"/>
      <c r="M29" s="439"/>
      <c r="N29" s="76" t="s">
        <v>16</v>
      </c>
    </row>
    <row r="31" spans="1:14" ht="21" customHeight="1">
      <c r="A31" s="436"/>
      <c r="B31" s="436"/>
      <c r="C31" s="436"/>
      <c r="D31" s="436"/>
      <c r="E31" s="436"/>
      <c r="F31" s="436"/>
      <c r="G31" s="436"/>
      <c r="H31" s="436"/>
      <c r="I31" s="436"/>
      <c r="J31" s="436"/>
      <c r="K31" s="59"/>
    </row>
    <row r="32" spans="1:14" ht="72.75" customHeight="1">
      <c r="A32" s="437"/>
      <c r="B32" s="437"/>
      <c r="C32" s="437"/>
      <c r="D32" s="437"/>
      <c r="E32" s="437"/>
      <c r="F32" s="437"/>
      <c r="G32" s="437"/>
      <c r="H32" s="437"/>
      <c r="I32" s="437"/>
      <c r="J32" s="437"/>
      <c r="K32" s="53"/>
    </row>
    <row r="200" spans="1:1">
      <c r="A200" t="s">
        <v>94</v>
      </c>
    </row>
    <row r="256" spans="1:1" ht="15.75">
      <c r="A256" s="133" t="s">
        <v>96</v>
      </c>
    </row>
  </sheetData>
  <customSheetViews>
    <customSheetView guid="{68D6E89C-5B15-4C35-9CD8-F5F4F27258FD}" scale="75" showPageBreaks="1" fitToPage="1" printArea="1" view="pageBreakPreview">
      <selection activeCell="A3" sqref="A3"/>
      <pageMargins left="0.75" right="0.75" top="1" bottom="1" header="0.5" footer="0.5"/>
      <printOptions horizontalCentered="1"/>
      <pageSetup scale="88" orientation="landscape" r:id="rId1"/>
      <headerFooter alignWithMargins="0">
        <oddFooter>&amp;C&amp;"Times New Roman,Regular"Exhibit A - Organizational Chart</oddFooter>
      </headerFooter>
    </customSheetView>
    <customSheetView guid="{4148B88B-8ED7-4FDE-9459-DEB244AD0552}" scale="75" showPageBreaks="1" fitToPage="1" printArea="1" view="pageBreakPreview">
      <pageMargins left="0.75" right="0.75" top="1" bottom="1" header="0.5" footer="0.5"/>
      <printOptions horizontalCentered="1"/>
      <pageSetup scale="86" orientation="landscape" r:id="rId2"/>
      <headerFooter alignWithMargins="0">
        <oddFooter>&amp;C&amp;"Times New Roman,Regular"Exhibit A - Organizational Chart</oddFooter>
      </headerFooter>
    </customSheetView>
    <customSheetView guid="{56C0A34E-45B4-448B-85E5-70B3A8E63333}" scale="75" showPageBreaks="1" fitToPage="1" printArea="1" view="pageBreakPreview">
      <pageMargins left="0.75" right="0.75" top="1" bottom="1" header="0.5" footer="0.5"/>
      <printOptions horizontalCentered="1"/>
      <pageSetup scale="86" orientation="landscape" r:id="rId3"/>
      <headerFooter alignWithMargins="0">
        <oddFooter>&amp;C&amp;"Times New Roman,Regular"Exhibit A - Organizational Chart</oddFooter>
      </headerFooter>
    </customSheetView>
    <customSheetView guid="{3118AF25-8423-420A-806A-487665220C68}" scale="75" showPageBreaks="1" fitToPage="1" printArea="1" view="pageBreakPreview" topLeftCell="A10">
      <selection activeCell="I34" sqref="I34"/>
      <pageMargins left="0.75" right="0.75" top="1" bottom="1" header="0.5" footer="0.5"/>
      <printOptions horizontalCentered="1"/>
      <pageSetup scale="86" orientation="landscape" r:id="rId4"/>
      <headerFooter alignWithMargins="0">
        <oddFooter>&amp;C&amp;"Times New Roman,Regular"Exhibit A - Organizational Chart</oddFooter>
      </headerFooter>
    </customSheetView>
    <customSheetView guid="{12C66D54-5067-4346-818B-6EAB1C8A9183}" scale="75" showPageBreaks="1" fitToPage="1" printArea="1" view="pageBreakPreview">
      <selection activeCell="I34" sqref="I34"/>
      <pageMargins left="0.75" right="0.75" top="1" bottom="1" header="0.5" footer="0.5"/>
      <printOptions horizontalCentered="1"/>
      <pageSetup scale="86" orientation="landscape" r:id="rId5"/>
      <headerFooter alignWithMargins="0">
        <oddFooter>&amp;C&amp;"Times New Roman,Regular"Exhibit A - Organizational Chart</oddFooter>
      </headerFooter>
    </customSheetView>
  </customSheetViews>
  <mergeCells count="3">
    <mergeCell ref="A31:J31"/>
    <mergeCell ref="A32:J32"/>
    <mergeCell ref="A29:M29"/>
  </mergeCells>
  <phoneticPr fontId="0" type="noConversion"/>
  <printOptions horizontalCentered="1"/>
  <pageMargins left="0.75" right="0.75" top="1" bottom="1" header="0.5" footer="0.5"/>
  <pageSetup scale="86" orientation="landscape" r:id="rId6"/>
  <headerFooter alignWithMargins="0">
    <oddFooter>&amp;C&amp;"Times New Roman,Regular"Exhibit A - Organizational Chart</oddFooter>
  </headerFooter>
  <drawing r:id="rId7"/>
</worksheet>
</file>

<file path=xl/worksheets/sheet2.xml><?xml version="1.0" encoding="utf-8"?>
<worksheet xmlns="http://schemas.openxmlformats.org/spreadsheetml/2006/main" xmlns:r="http://schemas.openxmlformats.org/officeDocument/2006/relationships">
  <sheetPr codeName="Sheet4">
    <pageSetUpPr fitToPage="1"/>
  </sheetPr>
  <dimension ref="A1:Z76"/>
  <sheetViews>
    <sheetView showGridLines="0" showOutlineSymbols="0" view="pageBreakPreview" topLeftCell="A43" zoomScale="65" zoomScaleNormal="75" zoomScaleSheetLayoutView="65" workbookViewId="0">
      <selection activeCell="A46" sqref="A46:X46"/>
    </sheetView>
  </sheetViews>
  <sheetFormatPr defaultColWidth="8.88671875" defaultRowHeight="15.75"/>
  <cols>
    <col min="1" max="2" width="2.5546875" style="4" customWidth="1"/>
    <col min="3" max="3" width="25" style="4" customWidth="1"/>
    <col min="4" max="4" width="6.88671875" style="7" customWidth="1"/>
    <col min="5" max="5" width="6.21875" style="7" customWidth="1"/>
    <col min="6" max="6" width="10.21875" style="7" customWidth="1"/>
    <col min="7" max="7" width="8.44140625" style="7" bestFit="1" customWidth="1"/>
    <col min="8" max="8" width="6.21875" style="7" customWidth="1"/>
    <col min="9" max="9" width="9.77734375" style="7" customWidth="1"/>
    <col min="10" max="10" width="6.21875" style="7" bestFit="1" customWidth="1"/>
    <col min="11" max="11" width="5.6640625" style="7" customWidth="1"/>
    <col min="12" max="12" width="9.33203125" style="7" bestFit="1" customWidth="1"/>
    <col min="13" max="13" width="7" style="7" bestFit="1" customWidth="1"/>
    <col min="14" max="14" width="6.109375" style="7" customWidth="1"/>
    <col min="15" max="15" width="9.77734375" style="7" customWidth="1"/>
    <col min="16" max="17" width="5.6640625" style="7" customWidth="1"/>
    <col min="18" max="18" width="8.5546875" style="7" customWidth="1"/>
    <col min="19" max="19" width="6.109375" style="7" customWidth="1"/>
    <col min="20" max="20" width="5.6640625" style="7" customWidth="1"/>
    <col min="21" max="21" width="7" style="7" customWidth="1"/>
    <col min="22" max="22" width="9.5546875" style="7" customWidth="1"/>
    <col min="23" max="23" width="9.77734375" style="7" bestFit="1" customWidth="1"/>
    <col min="24" max="24" width="13.21875" style="7" bestFit="1" customWidth="1"/>
    <col min="25" max="25" width="6.5546875" style="89" customWidth="1"/>
    <col min="26" max="26" width="7.6640625" style="4" customWidth="1"/>
    <col min="27" max="16384" width="8.88671875" style="4"/>
  </cols>
  <sheetData>
    <row r="1" spans="1:25" ht="20.25">
      <c r="A1" s="481" t="s">
        <v>150</v>
      </c>
      <c r="B1" s="482"/>
      <c r="C1" s="482"/>
      <c r="D1" s="482"/>
      <c r="E1" s="482"/>
      <c r="F1" s="482"/>
      <c r="G1" s="482"/>
      <c r="H1" s="482"/>
      <c r="I1" s="482"/>
      <c r="J1" s="482"/>
      <c r="K1" s="482"/>
      <c r="L1" s="482"/>
      <c r="M1" s="482"/>
      <c r="N1" s="482"/>
      <c r="O1" s="482"/>
      <c r="P1" s="482"/>
      <c r="Q1" s="482"/>
      <c r="R1" s="482"/>
      <c r="S1" s="482"/>
      <c r="T1" s="482"/>
      <c r="U1" s="482"/>
      <c r="V1" s="482"/>
      <c r="W1" s="482"/>
      <c r="X1" s="482"/>
      <c r="Y1" s="88" t="s">
        <v>0</v>
      </c>
    </row>
    <row r="2" spans="1:25">
      <c r="A2" s="483"/>
      <c r="B2" s="483"/>
      <c r="C2" s="483"/>
      <c r="D2" s="483"/>
      <c r="E2" s="483"/>
      <c r="F2" s="483"/>
      <c r="G2" s="483"/>
      <c r="H2" s="483"/>
      <c r="I2" s="483"/>
      <c r="J2" s="483"/>
      <c r="K2" s="483"/>
      <c r="L2" s="483"/>
      <c r="M2" s="483"/>
      <c r="N2" s="483"/>
      <c r="O2" s="483"/>
      <c r="P2" s="483"/>
      <c r="Q2" s="483"/>
      <c r="R2" s="483"/>
      <c r="S2" s="483"/>
      <c r="T2" s="483"/>
      <c r="U2" s="483"/>
      <c r="V2" s="483"/>
      <c r="W2" s="483"/>
      <c r="X2" s="483"/>
      <c r="Y2" s="88" t="s">
        <v>0</v>
      </c>
    </row>
    <row r="3" spans="1:25">
      <c r="A3" s="449"/>
      <c r="B3" s="449"/>
      <c r="C3" s="449"/>
      <c r="D3" s="449"/>
      <c r="E3" s="449"/>
      <c r="F3" s="449"/>
      <c r="G3" s="449"/>
      <c r="H3" s="449"/>
      <c r="I3" s="449"/>
      <c r="J3" s="449"/>
      <c r="K3" s="449"/>
      <c r="L3" s="449"/>
      <c r="M3" s="449"/>
      <c r="N3" s="449"/>
      <c r="O3" s="449"/>
      <c r="P3" s="449"/>
      <c r="Q3" s="449"/>
      <c r="R3" s="449"/>
      <c r="S3" s="449"/>
      <c r="T3" s="449"/>
      <c r="U3" s="449"/>
      <c r="V3" s="449"/>
      <c r="W3" s="449"/>
      <c r="X3" s="449"/>
      <c r="Y3" s="88" t="s">
        <v>0</v>
      </c>
    </row>
    <row r="4" spans="1:25" ht="22.5">
      <c r="A4" s="487" t="s">
        <v>121</v>
      </c>
      <c r="B4" s="488"/>
      <c r="C4" s="488"/>
      <c r="D4" s="488"/>
      <c r="E4" s="488"/>
      <c r="F4" s="488"/>
      <c r="G4" s="488"/>
      <c r="H4" s="488"/>
      <c r="I4" s="488"/>
      <c r="J4" s="488"/>
      <c r="K4" s="488"/>
      <c r="L4" s="488"/>
      <c r="M4" s="488"/>
      <c r="N4" s="488"/>
      <c r="O4" s="488"/>
      <c r="P4" s="488"/>
      <c r="Q4" s="488"/>
      <c r="R4" s="488"/>
      <c r="S4" s="488"/>
      <c r="T4" s="488"/>
      <c r="U4" s="488"/>
      <c r="V4" s="488"/>
      <c r="W4" s="488"/>
      <c r="X4" s="488"/>
      <c r="Y4" s="88" t="s">
        <v>0</v>
      </c>
    </row>
    <row r="5" spans="1:25" ht="23.25">
      <c r="A5" s="489" t="s">
        <v>189</v>
      </c>
      <c r="B5" s="490"/>
      <c r="C5" s="490"/>
      <c r="D5" s="490"/>
      <c r="E5" s="490"/>
      <c r="F5" s="490"/>
      <c r="G5" s="490"/>
      <c r="H5" s="490"/>
      <c r="I5" s="490"/>
      <c r="J5" s="490"/>
      <c r="K5" s="490"/>
      <c r="L5" s="490"/>
      <c r="M5" s="490"/>
      <c r="N5" s="490"/>
      <c r="O5" s="490"/>
      <c r="P5" s="490"/>
      <c r="Q5" s="490"/>
      <c r="R5" s="490"/>
      <c r="S5" s="490"/>
      <c r="T5" s="490"/>
      <c r="U5" s="490"/>
      <c r="V5" s="490"/>
      <c r="W5" s="490"/>
      <c r="X5" s="490"/>
      <c r="Y5" s="88" t="s">
        <v>0</v>
      </c>
    </row>
    <row r="6" spans="1:25" ht="23.25">
      <c r="A6" s="489" t="s">
        <v>112</v>
      </c>
      <c r="B6" s="488"/>
      <c r="C6" s="488"/>
      <c r="D6" s="488"/>
      <c r="E6" s="488"/>
      <c r="F6" s="488"/>
      <c r="G6" s="488"/>
      <c r="H6" s="488"/>
      <c r="I6" s="488"/>
      <c r="J6" s="488"/>
      <c r="K6" s="488"/>
      <c r="L6" s="488"/>
      <c r="M6" s="488"/>
      <c r="N6" s="488"/>
      <c r="O6" s="488"/>
      <c r="P6" s="488"/>
      <c r="Q6" s="488"/>
      <c r="R6" s="488"/>
      <c r="S6" s="488"/>
      <c r="T6" s="488"/>
      <c r="U6" s="488"/>
      <c r="V6" s="488"/>
      <c r="W6" s="488"/>
      <c r="X6" s="488"/>
      <c r="Y6" s="88" t="s">
        <v>0</v>
      </c>
    </row>
    <row r="7" spans="1:25" ht="23.25">
      <c r="A7" s="489" t="s">
        <v>111</v>
      </c>
      <c r="B7" s="490"/>
      <c r="C7" s="490"/>
      <c r="D7" s="490"/>
      <c r="E7" s="490"/>
      <c r="F7" s="490"/>
      <c r="G7" s="490"/>
      <c r="H7" s="490"/>
      <c r="I7" s="490"/>
      <c r="J7" s="490"/>
      <c r="K7" s="490"/>
      <c r="L7" s="490"/>
      <c r="M7" s="490"/>
      <c r="N7" s="490"/>
      <c r="O7" s="490"/>
      <c r="P7" s="490"/>
      <c r="Q7" s="490"/>
      <c r="R7" s="490"/>
      <c r="S7" s="490"/>
      <c r="T7" s="490"/>
      <c r="U7" s="490"/>
      <c r="V7" s="490"/>
      <c r="W7" s="490"/>
      <c r="X7" s="490"/>
      <c r="Y7" s="88" t="s">
        <v>0</v>
      </c>
    </row>
    <row r="8" spans="1:25" ht="23.25">
      <c r="A8" s="448"/>
      <c r="B8" s="448"/>
      <c r="C8" s="448"/>
      <c r="D8" s="448"/>
      <c r="E8" s="448"/>
      <c r="F8" s="448"/>
      <c r="G8" s="448"/>
      <c r="H8" s="448"/>
      <c r="I8" s="448"/>
      <c r="J8" s="448"/>
      <c r="K8" s="448"/>
      <c r="L8" s="448"/>
      <c r="M8" s="448"/>
      <c r="N8" s="448"/>
      <c r="O8" s="448"/>
      <c r="P8" s="448"/>
      <c r="Q8" s="448"/>
      <c r="R8" s="448"/>
      <c r="S8" s="448"/>
      <c r="T8" s="448"/>
      <c r="U8" s="448"/>
      <c r="V8" s="448"/>
      <c r="W8" s="448"/>
      <c r="X8" s="448"/>
      <c r="Y8" s="88" t="s">
        <v>0</v>
      </c>
    </row>
    <row r="9" spans="1:25" ht="23.25">
      <c r="A9" s="448"/>
      <c r="B9" s="448"/>
      <c r="C9" s="448"/>
      <c r="D9" s="448"/>
      <c r="E9" s="448"/>
      <c r="F9" s="448"/>
      <c r="G9" s="448"/>
      <c r="H9" s="448"/>
      <c r="I9" s="448"/>
      <c r="J9" s="448"/>
      <c r="K9" s="448"/>
      <c r="L9" s="448"/>
      <c r="M9" s="448"/>
      <c r="N9" s="448"/>
      <c r="O9" s="448"/>
      <c r="P9" s="448"/>
      <c r="Q9" s="448"/>
      <c r="R9" s="448"/>
      <c r="S9" s="448"/>
      <c r="T9" s="448"/>
      <c r="U9" s="448"/>
      <c r="V9" s="448"/>
      <c r="W9" s="448"/>
      <c r="X9" s="448"/>
      <c r="Y9" s="88" t="s">
        <v>0</v>
      </c>
    </row>
    <row r="10" spans="1:25" ht="23.25">
      <c r="A10" s="448"/>
      <c r="B10" s="448"/>
      <c r="C10" s="448"/>
      <c r="D10" s="448"/>
      <c r="E10" s="448"/>
      <c r="F10" s="448"/>
      <c r="G10" s="448"/>
      <c r="H10" s="448"/>
      <c r="I10" s="448"/>
      <c r="J10" s="448"/>
      <c r="K10" s="448"/>
      <c r="L10" s="448"/>
      <c r="M10" s="448"/>
      <c r="N10" s="448"/>
      <c r="O10" s="448"/>
      <c r="P10" s="448"/>
      <c r="Q10" s="448"/>
      <c r="R10" s="448"/>
      <c r="S10" s="448"/>
      <c r="T10" s="448"/>
      <c r="U10" s="448"/>
      <c r="V10" s="448"/>
      <c r="W10" s="448"/>
      <c r="X10" s="448"/>
      <c r="Y10" s="88" t="s">
        <v>0</v>
      </c>
    </row>
    <row r="11" spans="1:25">
      <c r="A11" s="449"/>
      <c r="B11" s="449"/>
      <c r="C11" s="449"/>
      <c r="D11" s="449"/>
      <c r="E11" s="449"/>
      <c r="F11" s="449"/>
      <c r="G11" s="449"/>
      <c r="H11" s="449"/>
      <c r="I11" s="449"/>
      <c r="J11" s="449"/>
      <c r="K11" s="449"/>
      <c r="L11" s="449"/>
      <c r="M11" s="449"/>
      <c r="N11" s="449"/>
      <c r="O11" s="449"/>
      <c r="P11" s="449"/>
      <c r="Q11" s="449"/>
      <c r="R11" s="449"/>
      <c r="S11" s="449"/>
      <c r="T11" s="449"/>
      <c r="U11" s="450"/>
      <c r="V11" s="491" t="s">
        <v>154</v>
      </c>
      <c r="W11" s="492"/>
      <c r="X11" s="493"/>
      <c r="Y11" s="88" t="s">
        <v>0</v>
      </c>
    </row>
    <row r="12" spans="1:25">
      <c r="A12" s="449"/>
      <c r="B12" s="449"/>
      <c r="C12" s="449"/>
      <c r="D12" s="449"/>
      <c r="E12" s="449"/>
      <c r="F12" s="449"/>
      <c r="G12" s="449"/>
      <c r="H12" s="449"/>
      <c r="I12" s="449"/>
      <c r="J12" s="449"/>
      <c r="K12" s="449"/>
      <c r="L12" s="449"/>
      <c r="M12" s="449"/>
      <c r="N12" s="449"/>
      <c r="O12" s="449"/>
      <c r="P12" s="449"/>
      <c r="Q12" s="449"/>
      <c r="R12" s="449"/>
      <c r="S12" s="449"/>
      <c r="T12" s="449"/>
      <c r="U12" s="450"/>
      <c r="V12" s="446" t="s">
        <v>13</v>
      </c>
      <c r="W12" s="486" t="s">
        <v>33</v>
      </c>
      <c r="X12" s="484" t="s">
        <v>129</v>
      </c>
      <c r="Y12" s="88" t="s">
        <v>0</v>
      </c>
    </row>
    <row r="13" spans="1:25" ht="16.5" thickBot="1">
      <c r="A13" s="451"/>
      <c r="B13" s="451"/>
      <c r="C13" s="451"/>
      <c r="D13" s="451"/>
      <c r="E13" s="451"/>
      <c r="F13" s="451"/>
      <c r="G13" s="451"/>
      <c r="H13" s="451"/>
      <c r="I13" s="451"/>
      <c r="J13" s="451"/>
      <c r="K13" s="451"/>
      <c r="L13" s="451"/>
      <c r="M13" s="451"/>
      <c r="N13" s="451"/>
      <c r="O13" s="451"/>
      <c r="P13" s="451"/>
      <c r="Q13" s="451"/>
      <c r="R13" s="451"/>
      <c r="S13" s="451"/>
      <c r="T13" s="451"/>
      <c r="U13" s="452"/>
      <c r="V13" s="447"/>
      <c r="W13" s="485"/>
      <c r="X13" s="485"/>
      <c r="Y13" s="88" t="s">
        <v>0</v>
      </c>
    </row>
    <row r="14" spans="1:25">
      <c r="A14" s="460" t="s">
        <v>204</v>
      </c>
      <c r="B14" s="461"/>
      <c r="C14" s="461"/>
      <c r="D14" s="461"/>
      <c r="E14" s="461"/>
      <c r="F14" s="461"/>
      <c r="G14" s="461"/>
      <c r="H14" s="461"/>
      <c r="I14" s="461"/>
      <c r="J14" s="461"/>
      <c r="K14" s="461"/>
      <c r="L14" s="461"/>
      <c r="M14" s="461"/>
      <c r="N14" s="461"/>
      <c r="O14" s="461"/>
      <c r="P14" s="461"/>
      <c r="Q14" s="461"/>
      <c r="R14" s="461"/>
      <c r="S14" s="461"/>
      <c r="T14" s="461"/>
      <c r="U14" s="461"/>
      <c r="V14" s="137">
        <v>346</v>
      </c>
      <c r="W14" s="137">
        <v>346</v>
      </c>
      <c r="X14" s="134">
        <v>87762</v>
      </c>
      <c r="Y14" s="88" t="s">
        <v>0</v>
      </c>
    </row>
    <row r="15" spans="1:25">
      <c r="A15" s="460" t="s">
        <v>172</v>
      </c>
      <c r="B15" s="461"/>
      <c r="C15" s="461"/>
      <c r="D15" s="461"/>
      <c r="E15" s="461"/>
      <c r="F15" s="461"/>
      <c r="G15" s="461"/>
      <c r="H15" s="461"/>
      <c r="I15" s="461"/>
      <c r="J15" s="461"/>
      <c r="K15" s="461"/>
      <c r="L15" s="461"/>
      <c r="M15" s="461"/>
      <c r="N15" s="461"/>
      <c r="O15" s="461"/>
      <c r="P15" s="461"/>
      <c r="Q15" s="461"/>
      <c r="R15" s="461"/>
      <c r="S15" s="461"/>
      <c r="T15" s="461"/>
      <c r="U15" s="461"/>
      <c r="V15" s="434">
        <v>359</v>
      </c>
      <c r="W15" s="434">
        <v>353</v>
      </c>
      <c r="X15" s="435">
        <v>87000</v>
      </c>
      <c r="Y15" s="88" t="s">
        <v>0</v>
      </c>
    </row>
    <row r="16" spans="1:25">
      <c r="A16" s="470" t="s">
        <v>7</v>
      </c>
      <c r="B16" s="471"/>
      <c r="C16" s="471"/>
      <c r="D16" s="471"/>
      <c r="E16" s="471"/>
      <c r="F16" s="471"/>
      <c r="G16" s="471"/>
      <c r="H16" s="471"/>
      <c r="I16" s="471"/>
      <c r="J16" s="471"/>
      <c r="K16" s="471"/>
      <c r="L16" s="471"/>
      <c r="M16" s="471"/>
      <c r="N16" s="471"/>
      <c r="O16" s="471"/>
      <c r="P16" s="471"/>
      <c r="Q16" s="471"/>
      <c r="R16" s="471"/>
      <c r="S16" s="471"/>
      <c r="T16" s="471"/>
      <c r="U16" s="471"/>
      <c r="V16" s="92"/>
      <c r="W16" s="92"/>
      <c r="X16" s="93"/>
      <c r="Y16" s="88" t="s">
        <v>0</v>
      </c>
    </row>
    <row r="17" spans="1:26">
      <c r="A17" s="466" t="s">
        <v>26</v>
      </c>
      <c r="B17" s="463"/>
      <c r="C17" s="463"/>
      <c r="D17" s="463"/>
      <c r="E17" s="463"/>
      <c r="F17" s="463"/>
      <c r="G17" s="463"/>
      <c r="H17" s="463"/>
      <c r="I17" s="463"/>
      <c r="J17" s="463"/>
      <c r="K17" s="463"/>
      <c r="L17" s="463"/>
      <c r="M17" s="463"/>
      <c r="N17" s="463"/>
      <c r="O17" s="463"/>
      <c r="P17" s="463"/>
      <c r="Q17" s="463"/>
      <c r="R17" s="463"/>
      <c r="S17" s="463"/>
      <c r="T17" s="463"/>
      <c r="U17" s="463"/>
      <c r="V17" s="92"/>
      <c r="W17" s="92"/>
      <c r="X17" s="93"/>
      <c r="Y17" s="88" t="s">
        <v>0</v>
      </c>
      <c r="Z17" s="315"/>
    </row>
    <row r="18" spans="1:26">
      <c r="A18" s="369" t="s">
        <v>25</v>
      </c>
      <c r="B18" s="370" t="s">
        <v>183</v>
      </c>
      <c r="C18" s="370"/>
      <c r="D18" s="370"/>
      <c r="E18" s="370"/>
      <c r="F18" s="370"/>
      <c r="G18" s="370"/>
      <c r="H18" s="370"/>
      <c r="I18" s="370"/>
      <c r="J18" s="370"/>
      <c r="K18" s="370"/>
      <c r="L18" s="370"/>
      <c r="M18" s="370"/>
      <c r="N18" s="370"/>
      <c r="O18" s="370"/>
      <c r="P18" s="370"/>
      <c r="Q18" s="370"/>
      <c r="R18" s="370"/>
      <c r="S18" s="370"/>
      <c r="T18" s="370"/>
      <c r="U18" s="370"/>
      <c r="V18" s="92">
        <v>0</v>
      </c>
      <c r="W18" s="92">
        <v>0</v>
      </c>
      <c r="X18" s="93">
        <v>1182</v>
      </c>
      <c r="Y18" s="88" t="s">
        <v>0</v>
      </c>
    </row>
    <row r="19" spans="1:26">
      <c r="A19" s="369" t="s">
        <v>25</v>
      </c>
      <c r="B19" s="370" t="s">
        <v>184</v>
      </c>
      <c r="C19" s="370"/>
      <c r="D19" s="370"/>
      <c r="E19" s="370"/>
      <c r="F19" s="370"/>
      <c r="G19" s="370"/>
      <c r="H19" s="370"/>
      <c r="I19" s="370"/>
      <c r="J19" s="370"/>
      <c r="K19" s="370"/>
      <c r="L19" s="370"/>
      <c r="M19" s="370"/>
      <c r="N19" s="370"/>
      <c r="O19" s="370"/>
      <c r="P19" s="370"/>
      <c r="Q19" s="370"/>
      <c r="R19" s="370"/>
      <c r="S19" s="370"/>
      <c r="T19" s="370"/>
      <c r="U19" s="370"/>
      <c r="V19" s="92">
        <v>0</v>
      </c>
      <c r="W19" s="92">
        <v>0</v>
      </c>
      <c r="X19" s="93">
        <v>-16</v>
      </c>
      <c r="Y19" s="88" t="s">
        <v>0</v>
      </c>
    </row>
    <row r="20" spans="1:26">
      <c r="A20" s="369" t="s">
        <v>25</v>
      </c>
      <c r="B20" s="370" t="s">
        <v>185</v>
      </c>
      <c r="C20" s="370"/>
      <c r="D20" s="370"/>
      <c r="E20" s="370"/>
      <c r="F20" s="370"/>
      <c r="G20" s="370"/>
      <c r="H20" s="370"/>
      <c r="I20" s="370"/>
      <c r="J20" s="370"/>
      <c r="K20" s="370"/>
      <c r="L20" s="370"/>
      <c r="M20" s="370"/>
      <c r="N20" s="370"/>
      <c r="O20" s="370"/>
      <c r="P20" s="370"/>
      <c r="Q20" s="370"/>
      <c r="R20" s="370"/>
      <c r="S20" s="370"/>
      <c r="T20" s="370"/>
      <c r="U20" s="370"/>
      <c r="V20" s="92">
        <v>0</v>
      </c>
      <c r="W20" s="92">
        <v>0</v>
      </c>
      <c r="X20" s="93">
        <v>-74</v>
      </c>
      <c r="Y20" s="88" t="s">
        <v>0</v>
      </c>
    </row>
    <row r="21" spans="1:26">
      <c r="A21" s="325" t="s">
        <v>186</v>
      </c>
      <c r="B21" s="370"/>
      <c r="C21" s="370"/>
      <c r="D21" s="370"/>
      <c r="E21" s="370"/>
      <c r="F21" s="370"/>
      <c r="G21" s="370"/>
      <c r="H21" s="370"/>
      <c r="I21" s="370"/>
      <c r="J21" s="370"/>
      <c r="K21" s="370"/>
      <c r="L21" s="370"/>
      <c r="M21" s="370"/>
      <c r="N21" s="370"/>
      <c r="O21" s="370"/>
      <c r="P21" s="370"/>
      <c r="Q21" s="370"/>
      <c r="R21" s="370"/>
      <c r="S21" s="370"/>
      <c r="T21" s="370"/>
      <c r="U21" s="370"/>
      <c r="V21" s="92">
        <f>SUM(V17:V20)</f>
        <v>0</v>
      </c>
      <c r="W21" s="92">
        <f>SUM(W17:W20)</f>
        <v>0</v>
      </c>
      <c r="X21" s="92">
        <f>SUM(X17:X20)</f>
        <v>1092</v>
      </c>
      <c r="Y21" s="88" t="s">
        <v>0</v>
      </c>
    </row>
    <row r="22" spans="1:26">
      <c r="A22" s="462" t="s">
        <v>170</v>
      </c>
      <c r="B22" s="463"/>
      <c r="C22" s="463"/>
      <c r="D22" s="463"/>
      <c r="E22" s="463"/>
      <c r="F22" s="463"/>
      <c r="G22" s="463"/>
      <c r="H22" s="463"/>
      <c r="I22" s="463"/>
      <c r="J22" s="463"/>
      <c r="K22" s="463"/>
      <c r="L22" s="463"/>
      <c r="M22" s="463"/>
      <c r="N22" s="463"/>
      <c r="O22" s="463"/>
      <c r="P22" s="463"/>
      <c r="Q22" s="463"/>
      <c r="R22" s="463"/>
      <c r="S22" s="463"/>
      <c r="T22" s="463"/>
      <c r="U22" s="463"/>
      <c r="V22" s="92"/>
      <c r="W22" s="92"/>
      <c r="X22" s="93"/>
      <c r="Y22" s="88" t="s">
        <v>0</v>
      </c>
      <c r="Z22" s="315"/>
    </row>
    <row r="23" spans="1:26">
      <c r="A23" s="500" t="s">
        <v>105</v>
      </c>
      <c r="B23" s="495"/>
      <c r="C23" s="495"/>
      <c r="D23" s="495"/>
      <c r="E23" s="495"/>
      <c r="F23" s="495"/>
      <c r="G23" s="495"/>
      <c r="H23" s="495"/>
      <c r="I23" s="495"/>
      <c r="J23" s="495"/>
      <c r="K23" s="495"/>
      <c r="L23" s="495"/>
      <c r="M23" s="495"/>
      <c r="N23" s="495"/>
      <c r="O23" s="495"/>
      <c r="P23" s="495"/>
      <c r="Q23" s="495"/>
      <c r="R23" s="495"/>
      <c r="S23" s="495"/>
      <c r="T23" s="495"/>
      <c r="U23" s="495"/>
      <c r="V23" s="92">
        <v>0</v>
      </c>
      <c r="W23" s="92">
        <v>6</v>
      </c>
      <c r="X23" s="93">
        <v>802</v>
      </c>
      <c r="Y23" s="88" t="s">
        <v>0</v>
      </c>
      <c r="Z23" s="315"/>
    </row>
    <row r="24" spans="1:26">
      <c r="A24" s="464" t="s">
        <v>8</v>
      </c>
      <c r="B24" s="465"/>
      <c r="C24" s="465"/>
      <c r="D24" s="465"/>
      <c r="E24" s="465"/>
      <c r="F24" s="465"/>
      <c r="G24" s="465"/>
      <c r="H24" s="465"/>
      <c r="I24" s="465"/>
      <c r="J24" s="465"/>
      <c r="K24" s="465"/>
      <c r="L24" s="465"/>
      <c r="M24" s="465"/>
      <c r="N24" s="465"/>
      <c r="O24" s="465"/>
      <c r="P24" s="465"/>
      <c r="Q24" s="465"/>
      <c r="R24" s="465"/>
      <c r="S24" s="465"/>
      <c r="T24" s="465"/>
      <c r="U24" s="465"/>
      <c r="V24" s="92">
        <v>0</v>
      </c>
      <c r="W24" s="92">
        <v>0</v>
      </c>
      <c r="X24" s="93">
        <v>1337</v>
      </c>
      <c r="Y24" s="88" t="s">
        <v>0</v>
      </c>
      <c r="Z24" s="315"/>
    </row>
    <row r="25" spans="1:26">
      <c r="A25" s="499" t="s">
        <v>125</v>
      </c>
      <c r="B25" s="495"/>
      <c r="C25" s="495"/>
      <c r="D25" s="495"/>
      <c r="E25" s="495"/>
      <c r="F25" s="495"/>
      <c r="G25" s="495"/>
      <c r="H25" s="495"/>
      <c r="I25" s="495"/>
      <c r="J25" s="495"/>
      <c r="K25" s="495"/>
      <c r="L25" s="495"/>
      <c r="M25" s="495"/>
      <c r="N25" s="495"/>
      <c r="O25" s="495"/>
      <c r="P25" s="495"/>
      <c r="Q25" s="495"/>
      <c r="R25" s="495"/>
      <c r="S25" s="495"/>
      <c r="T25" s="495"/>
      <c r="U25" s="495"/>
      <c r="V25" s="92">
        <f>SUM(V23:V24)</f>
        <v>0</v>
      </c>
      <c r="W25" s="92">
        <f>SUM(W23:W24)</f>
        <v>6</v>
      </c>
      <c r="X25" s="92">
        <f>SUM(X23:X24)</f>
        <v>2139</v>
      </c>
      <c r="Y25" s="88" t="s">
        <v>0</v>
      </c>
    </row>
    <row r="26" spans="1:26">
      <c r="A26" s="466" t="s">
        <v>27</v>
      </c>
      <c r="B26" s="463"/>
      <c r="C26" s="463"/>
      <c r="D26" s="463"/>
      <c r="E26" s="463"/>
      <c r="F26" s="463"/>
      <c r="G26" s="463"/>
      <c r="H26" s="463"/>
      <c r="I26" s="463"/>
      <c r="J26" s="463"/>
      <c r="K26" s="463"/>
      <c r="L26" s="463"/>
      <c r="M26" s="463"/>
      <c r="N26" s="463"/>
      <c r="O26" s="463"/>
      <c r="P26" s="463"/>
      <c r="Q26" s="463"/>
      <c r="R26" s="463"/>
      <c r="S26" s="463"/>
      <c r="T26" s="463"/>
      <c r="U26" s="463"/>
      <c r="V26" s="92">
        <f>V25</f>
        <v>0</v>
      </c>
      <c r="W26" s="92">
        <f>W25</f>
        <v>6</v>
      </c>
      <c r="X26" s="92">
        <f>+X25+X21</f>
        <v>3231</v>
      </c>
      <c r="Y26" s="88" t="s">
        <v>0</v>
      </c>
    </row>
    <row r="27" spans="1:26">
      <c r="A27" s="467" t="s">
        <v>155</v>
      </c>
      <c r="B27" s="468"/>
      <c r="C27" s="468"/>
      <c r="D27" s="468"/>
      <c r="E27" s="468"/>
      <c r="F27" s="468"/>
      <c r="G27" s="468"/>
      <c r="H27" s="468"/>
      <c r="I27" s="468"/>
      <c r="J27" s="468"/>
      <c r="K27" s="468"/>
      <c r="L27" s="468"/>
      <c r="M27" s="468"/>
      <c r="N27" s="468"/>
      <c r="O27" s="468"/>
      <c r="P27" s="468"/>
      <c r="Q27" s="468"/>
      <c r="R27" s="468"/>
      <c r="S27" s="468"/>
      <c r="T27" s="468"/>
      <c r="U27" s="469"/>
      <c r="V27" s="130">
        <f>+V26+V15</f>
        <v>359</v>
      </c>
      <c r="W27" s="130">
        <f>+W26+W15</f>
        <v>359</v>
      </c>
      <c r="X27" s="130">
        <f>+X26+X15</f>
        <v>90231</v>
      </c>
      <c r="Y27" s="88" t="s">
        <v>0</v>
      </c>
    </row>
    <row r="28" spans="1:26">
      <c r="A28" s="470" t="s">
        <v>78</v>
      </c>
      <c r="B28" s="471"/>
      <c r="C28" s="471"/>
      <c r="D28" s="471"/>
      <c r="E28" s="471"/>
      <c r="F28" s="471"/>
      <c r="G28" s="471"/>
      <c r="H28" s="471"/>
      <c r="I28" s="471"/>
      <c r="J28" s="471"/>
      <c r="K28" s="471"/>
      <c r="L28" s="471"/>
      <c r="M28" s="471"/>
      <c r="N28" s="471"/>
      <c r="O28" s="471"/>
      <c r="P28" s="471"/>
      <c r="Q28" s="471"/>
      <c r="R28" s="471"/>
      <c r="S28" s="471"/>
      <c r="T28" s="471"/>
      <c r="U28" s="471"/>
      <c r="V28" s="92"/>
      <c r="W28" s="92"/>
      <c r="X28" s="93"/>
      <c r="Y28" s="88" t="s">
        <v>0</v>
      </c>
    </row>
    <row r="29" spans="1:26">
      <c r="A29" s="462" t="s">
        <v>187</v>
      </c>
      <c r="B29" s="463"/>
      <c r="C29" s="463"/>
      <c r="D29" s="463"/>
      <c r="E29" s="463"/>
      <c r="F29" s="463"/>
      <c r="G29" s="463"/>
      <c r="H29" s="463"/>
      <c r="I29" s="463"/>
      <c r="J29" s="463"/>
      <c r="K29" s="463"/>
      <c r="L29" s="463"/>
      <c r="M29" s="463"/>
      <c r="N29" s="463"/>
      <c r="O29" s="463"/>
      <c r="P29" s="463"/>
      <c r="Q29" s="463"/>
      <c r="R29" s="463"/>
      <c r="S29" s="463"/>
      <c r="T29" s="463"/>
      <c r="U29" s="463"/>
      <c r="V29" s="92"/>
      <c r="W29" s="92"/>
      <c r="X29" s="93"/>
      <c r="Y29" s="88" t="s">
        <v>0</v>
      </c>
    </row>
    <row r="30" spans="1:26">
      <c r="A30" s="494" t="s">
        <v>188</v>
      </c>
      <c r="B30" s="495"/>
      <c r="C30" s="495"/>
      <c r="D30" s="495"/>
      <c r="E30" s="495"/>
      <c r="F30" s="495"/>
      <c r="G30" s="495"/>
      <c r="H30" s="495"/>
      <c r="I30" s="495"/>
      <c r="J30" s="495"/>
      <c r="K30" s="495"/>
      <c r="L30" s="495"/>
      <c r="M30" s="495"/>
      <c r="N30" s="495"/>
      <c r="O30" s="495"/>
      <c r="P30" s="495"/>
      <c r="Q30" s="495"/>
      <c r="R30" s="495"/>
      <c r="S30" s="495"/>
      <c r="T30" s="495"/>
      <c r="U30" s="495"/>
      <c r="V30" s="92">
        <v>0</v>
      </c>
      <c r="W30" s="92">
        <v>0</v>
      </c>
      <c r="X30" s="93">
        <v>-192</v>
      </c>
      <c r="Y30" s="88" t="s">
        <v>0</v>
      </c>
    </row>
    <row r="31" spans="1:26">
      <c r="A31" s="325" t="s">
        <v>162</v>
      </c>
      <c r="B31" s="322"/>
      <c r="C31" s="322"/>
      <c r="D31" s="322"/>
      <c r="E31" s="322"/>
      <c r="F31" s="322"/>
      <c r="G31" s="322"/>
      <c r="H31" s="322"/>
      <c r="I31" s="322"/>
      <c r="J31" s="322"/>
      <c r="K31" s="322"/>
      <c r="L31" s="322"/>
      <c r="M31" s="322"/>
      <c r="N31" s="322"/>
      <c r="O31" s="322"/>
      <c r="P31" s="322"/>
      <c r="Q31" s="322"/>
      <c r="R31" s="322"/>
      <c r="S31" s="322"/>
      <c r="T31" s="322"/>
      <c r="U31" s="322"/>
      <c r="V31" s="324">
        <f>SUM(V30:V30)</f>
        <v>0</v>
      </c>
      <c r="W31" s="324">
        <f>SUM(W30:W30)</f>
        <v>0</v>
      </c>
      <c r="X31" s="324">
        <f>SUM(X30:X30)</f>
        <v>-192</v>
      </c>
      <c r="Y31" s="88" t="s">
        <v>0</v>
      </c>
    </row>
    <row r="32" spans="1:26" ht="18" customHeight="1">
      <c r="A32" s="466" t="s">
        <v>79</v>
      </c>
      <c r="B32" s="463"/>
      <c r="C32" s="463"/>
      <c r="D32" s="463"/>
      <c r="E32" s="463"/>
      <c r="F32" s="463"/>
      <c r="G32" s="463"/>
      <c r="H32" s="463"/>
      <c r="I32" s="463"/>
      <c r="J32" s="463"/>
      <c r="K32" s="463"/>
      <c r="L32" s="463"/>
      <c r="M32" s="463"/>
      <c r="N32" s="463"/>
      <c r="O32" s="463"/>
      <c r="P32" s="463"/>
      <c r="Q32" s="463"/>
      <c r="R32" s="463"/>
      <c r="S32" s="463"/>
      <c r="T32" s="463"/>
      <c r="U32" s="463"/>
      <c r="V32" s="371">
        <f>V31</f>
        <v>0</v>
      </c>
      <c r="W32" s="371">
        <f>W31</f>
        <v>0</v>
      </c>
      <c r="X32" s="371">
        <f>X31</f>
        <v>-192</v>
      </c>
      <c r="Y32" s="88" t="s">
        <v>0</v>
      </c>
    </row>
    <row r="33" spans="1:25" ht="18" customHeight="1">
      <c r="A33" s="497" t="s">
        <v>156</v>
      </c>
      <c r="B33" s="454"/>
      <c r="C33" s="454"/>
      <c r="D33" s="454"/>
      <c r="E33" s="454"/>
      <c r="F33" s="454"/>
      <c r="G33" s="454"/>
      <c r="H33" s="454"/>
      <c r="I33" s="454"/>
      <c r="J33" s="454"/>
      <c r="K33" s="454"/>
      <c r="L33" s="454"/>
      <c r="M33" s="454"/>
      <c r="N33" s="454"/>
      <c r="O33" s="454"/>
      <c r="P33" s="454"/>
      <c r="Q33" s="454"/>
      <c r="R33" s="454"/>
      <c r="S33" s="454"/>
      <c r="T33" s="454"/>
      <c r="U33" s="454"/>
      <c r="V33" s="372">
        <f>V27+V32</f>
        <v>359</v>
      </c>
      <c r="W33" s="372">
        <f>W27+W32</f>
        <v>359</v>
      </c>
      <c r="X33" s="372">
        <f>X27+X32</f>
        <v>90039</v>
      </c>
      <c r="Y33" s="88" t="s">
        <v>0</v>
      </c>
    </row>
    <row r="34" spans="1:25" ht="18" customHeight="1">
      <c r="A34" s="453" t="s">
        <v>157</v>
      </c>
      <c r="B34" s="454"/>
      <c r="C34" s="454"/>
      <c r="D34" s="454"/>
      <c r="E34" s="454"/>
      <c r="F34" s="454"/>
      <c r="G34" s="454"/>
      <c r="H34" s="454"/>
      <c r="I34" s="454"/>
      <c r="J34" s="454"/>
      <c r="K34" s="454"/>
      <c r="L34" s="454"/>
      <c r="M34" s="454"/>
      <c r="N34" s="454"/>
      <c r="O34" s="454"/>
      <c r="P34" s="454"/>
      <c r="Q34" s="454"/>
      <c r="R34" s="454"/>
      <c r="S34" s="454"/>
      <c r="T34" s="454"/>
      <c r="U34" s="454"/>
      <c r="V34" s="294">
        <f>+V33-V15</f>
        <v>0</v>
      </c>
      <c r="W34" s="294">
        <f>+W33-W15</f>
        <v>6</v>
      </c>
      <c r="X34" s="294">
        <f>+X33-X15</f>
        <v>3039</v>
      </c>
      <c r="Y34" s="88" t="s">
        <v>0</v>
      </c>
    </row>
    <row r="35" spans="1:25">
      <c r="Y35" s="88" t="s">
        <v>0</v>
      </c>
    </row>
    <row r="36" spans="1:25" ht="34.9" customHeight="1">
      <c r="A36" s="498" t="s">
        <v>210</v>
      </c>
      <c r="B36" s="498"/>
      <c r="C36" s="498"/>
      <c r="D36" s="498"/>
      <c r="E36" s="498"/>
      <c r="F36" s="498"/>
      <c r="G36" s="498"/>
      <c r="H36" s="498"/>
      <c r="I36" s="498"/>
      <c r="J36" s="498"/>
      <c r="K36" s="498"/>
      <c r="L36" s="498"/>
      <c r="M36" s="498"/>
      <c r="N36" s="498"/>
      <c r="O36" s="498"/>
      <c r="P36" s="498"/>
      <c r="Q36" s="498"/>
      <c r="R36" s="498"/>
      <c r="S36" s="498"/>
      <c r="T36" s="498"/>
      <c r="U36" s="498"/>
      <c r="V36" s="498"/>
      <c r="W36" s="498"/>
      <c r="X36" s="498"/>
      <c r="Y36" s="88" t="s">
        <v>0</v>
      </c>
    </row>
    <row r="37" spans="1:25" ht="18" customHeight="1">
      <c r="Y37" s="88" t="s">
        <v>0</v>
      </c>
    </row>
    <row r="38" spans="1:25" ht="18" customHeight="1">
      <c r="Y38" s="88" t="s">
        <v>0</v>
      </c>
    </row>
    <row r="39" spans="1:25" ht="18" customHeight="1">
      <c r="Y39" s="88" t="s">
        <v>0</v>
      </c>
    </row>
    <row r="40" spans="1:25" ht="18" customHeight="1">
      <c r="Y40" s="88" t="s">
        <v>0</v>
      </c>
    </row>
    <row r="41" spans="1:25" ht="18" customHeight="1">
      <c r="Y41" s="88" t="s">
        <v>0</v>
      </c>
    </row>
    <row r="42" spans="1:25" ht="18" customHeight="1">
      <c r="Y42" s="88" t="s">
        <v>0</v>
      </c>
    </row>
    <row r="43" spans="1:25" ht="22.5">
      <c r="A43" s="487" t="s">
        <v>121</v>
      </c>
      <c r="B43" s="488"/>
      <c r="C43" s="488"/>
      <c r="D43" s="488"/>
      <c r="E43" s="488"/>
      <c r="F43" s="488"/>
      <c r="G43" s="488"/>
      <c r="H43" s="488"/>
      <c r="I43" s="488"/>
      <c r="J43" s="488"/>
      <c r="K43" s="488"/>
      <c r="L43" s="488"/>
      <c r="M43" s="488"/>
      <c r="N43" s="488"/>
      <c r="O43" s="488"/>
      <c r="P43" s="488"/>
      <c r="Q43" s="488"/>
      <c r="R43" s="488"/>
      <c r="S43" s="488"/>
      <c r="T43" s="488"/>
      <c r="U43" s="488"/>
      <c r="V43" s="488"/>
      <c r="W43" s="488"/>
      <c r="X43" s="488"/>
      <c r="Y43" s="88" t="s">
        <v>0</v>
      </c>
    </row>
    <row r="44" spans="1:25" ht="23.25">
      <c r="A44" s="489" t="str">
        <f>A5</f>
        <v>National Security Division</v>
      </c>
      <c r="B44" s="496"/>
      <c r="C44" s="496"/>
      <c r="D44" s="496"/>
      <c r="E44" s="496"/>
      <c r="F44" s="496"/>
      <c r="G44" s="496"/>
      <c r="H44" s="496"/>
      <c r="I44" s="496"/>
      <c r="J44" s="496"/>
      <c r="K44" s="496"/>
      <c r="L44" s="496"/>
      <c r="M44" s="496"/>
      <c r="N44" s="496"/>
      <c r="O44" s="496"/>
      <c r="P44" s="496"/>
      <c r="Q44" s="496"/>
      <c r="R44" s="496"/>
      <c r="S44" s="496"/>
      <c r="T44" s="496"/>
      <c r="U44" s="496"/>
      <c r="V44" s="496"/>
      <c r="W44" s="496"/>
      <c r="X44" s="496"/>
      <c r="Y44" s="88" t="s">
        <v>0</v>
      </c>
    </row>
    <row r="45" spans="1:25" ht="23.25">
      <c r="A45" s="489" t="s">
        <v>112</v>
      </c>
      <c r="B45" s="488"/>
      <c r="C45" s="488"/>
      <c r="D45" s="488"/>
      <c r="E45" s="488"/>
      <c r="F45" s="488"/>
      <c r="G45" s="488"/>
      <c r="H45" s="488"/>
      <c r="I45" s="488"/>
      <c r="J45" s="488"/>
      <c r="K45" s="488"/>
      <c r="L45" s="488"/>
      <c r="M45" s="488"/>
      <c r="N45" s="488"/>
      <c r="O45" s="488"/>
      <c r="P45" s="488"/>
      <c r="Q45" s="488"/>
      <c r="R45" s="488"/>
      <c r="S45" s="488"/>
      <c r="T45" s="488"/>
      <c r="U45" s="488"/>
      <c r="V45" s="488"/>
      <c r="W45" s="488"/>
      <c r="X45" s="488"/>
      <c r="Y45" s="88" t="s">
        <v>0</v>
      </c>
    </row>
    <row r="46" spans="1:25" ht="23.25">
      <c r="A46" s="489" t="s">
        <v>111</v>
      </c>
      <c r="B46" s="490"/>
      <c r="C46" s="490"/>
      <c r="D46" s="490"/>
      <c r="E46" s="490"/>
      <c r="F46" s="490"/>
      <c r="G46" s="490"/>
      <c r="H46" s="490"/>
      <c r="I46" s="490"/>
      <c r="J46" s="490"/>
      <c r="K46" s="490"/>
      <c r="L46" s="490"/>
      <c r="M46" s="490"/>
      <c r="N46" s="490"/>
      <c r="O46" s="490"/>
      <c r="P46" s="490"/>
      <c r="Q46" s="490"/>
      <c r="R46" s="490"/>
      <c r="S46" s="490"/>
      <c r="T46" s="490"/>
      <c r="U46" s="490"/>
      <c r="V46" s="490"/>
      <c r="W46" s="490"/>
      <c r="X46" s="490"/>
      <c r="Y46" s="88" t="s">
        <v>0</v>
      </c>
    </row>
    <row r="47" spans="1:25" ht="18" customHeight="1">
      <c r="Y47" s="88" t="s">
        <v>0</v>
      </c>
    </row>
    <row r="48" spans="1:25" ht="18" customHeight="1">
      <c r="Y48" s="88" t="s">
        <v>0</v>
      </c>
    </row>
    <row r="49" spans="1:25" ht="18" customHeight="1">
      <c r="Y49" s="88" t="s">
        <v>0</v>
      </c>
    </row>
    <row r="50" spans="1:25" ht="18" customHeight="1">
      <c r="Y50" s="88" t="s">
        <v>0</v>
      </c>
    </row>
    <row r="51" spans="1:25" ht="18" customHeight="1">
      <c r="A51" s="49"/>
      <c r="B51" s="49"/>
      <c r="C51" s="49"/>
      <c r="D51" s="50"/>
      <c r="E51" s="50"/>
      <c r="F51" s="50"/>
      <c r="G51" s="50"/>
      <c r="H51" s="50"/>
      <c r="I51" s="50"/>
      <c r="J51" s="50"/>
      <c r="K51" s="50"/>
      <c r="L51" s="50"/>
      <c r="M51" s="50"/>
      <c r="N51" s="50"/>
      <c r="O51" s="50"/>
      <c r="P51" s="50"/>
      <c r="Q51" s="50"/>
      <c r="R51" s="50"/>
      <c r="S51" s="50"/>
      <c r="T51" s="50"/>
      <c r="U51" s="50"/>
      <c r="V51" s="50"/>
      <c r="W51" s="50"/>
      <c r="X51" s="50"/>
      <c r="Y51" s="88" t="s">
        <v>0</v>
      </c>
    </row>
    <row r="52" spans="1:25" ht="22.5" customHeight="1">
      <c r="A52" s="475" t="s">
        <v>126</v>
      </c>
      <c r="B52" s="476"/>
      <c r="C52" s="476"/>
      <c r="D52" s="440" t="s">
        <v>205</v>
      </c>
      <c r="E52" s="441"/>
      <c r="F52" s="442"/>
      <c r="G52" s="440" t="s">
        <v>171</v>
      </c>
      <c r="H52" s="455"/>
      <c r="I52" s="456"/>
      <c r="J52" s="440" t="s">
        <v>158</v>
      </c>
      <c r="K52" s="441"/>
      <c r="L52" s="442"/>
      <c r="M52" s="440" t="s">
        <v>155</v>
      </c>
      <c r="N52" s="441"/>
      <c r="O52" s="442"/>
      <c r="P52" s="440" t="s">
        <v>159</v>
      </c>
      <c r="Q52" s="472"/>
      <c r="R52" s="472"/>
      <c r="S52" s="440" t="s">
        <v>160</v>
      </c>
      <c r="T52" s="441"/>
      <c r="U52" s="441"/>
      <c r="V52" s="440" t="s">
        <v>161</v>
      </c>
      <c r="W52" s="441"/>
      <c r="X52" s="442"/>
      <c r="Y52" s="88" t="s">
        <v>0</v>
      </c>
    </row>
    <row r="53" spans="1:25" ht="27.75" customHeight="1">
      <c r="A53" s="477"/>
      <c r="B53" s="478"/>
      <c r="C53" s="478"/>
      <c r="D53" s="443"/>
      <c r="E53" s="444"/>
      <c r="F53" s="445"/>
      <c r="G53" s="457"/>
      <c r="H53" s="458"/>
      <c r="I53" s="459"/>
      <c r="J53" s="443"/>
      <c r="K53" s="444"/>
      <c r="L53" s="445"/>
      <c r="M53" s="443"/>
      <c r="N53" s="444"/>
      <c r="O53" s="445"/>
      <c r="P53" s="473"/>
      <c r="Q53" s="474"/>
      <c r="R53" s="474"/>
      <c r="S53" s="443"/>
      <c r="T53" s="444"/>
      <c r="U53" s="444"/>
      <c r="V53" s="443"/>
      <c r="W53" s="444"/>
      <c r="X53" s="445"/>
      <c r="Y53" s="88" t="s">
        <v>0</v>
      </c>
    </row>
    <row r="54" spans="1:25" ht="16.5" thickBot="1">
      <c r="A54" s="479"/>
      <c r="B54" s="480"/>
      <c r="C54" s="480"/>
      <c r="D54" s="179" t="s">
        <v>127</v>
      </c>
      <c r="E54" s="180" t="s">
        <v>33</v>
      </c>
      <c r="F54" s="181" t="s">
        <v>129</v>
      </c>
      <c r="G54" s="179" t="s">
        <v>127</v>
      </c>
      <c r="H54" s="180" t="s">
        <v>33</v>
      </c>
      <c r="I54" s="181" t="s">
        <v>129</v>
      </c>
      <c r="J54" s="179" t="s">
        <v>127</v>
      </c>
      <c r="K54" s="180" t="s">
        <v>33</v>
      </c>
      <c r="L54" s="181" t="s">
        <v>129</v>
      </c>
      <c r="M54" s="179" t="s">
        <v>127</v>
      </c>
      <c r="N54" s="180" t="s">
        <v>33</v>
      </c>
      <c r="O54" s="181" t="s">
        <v>129</v>
      </c>
      <c r="P54" s="179" t="s">
        <v>127</v>
      </c>
      <c r="Q54" s="180" t="s">
        <v>33</v>
      </c>
      <c r="R54" s="181" t="s">
        <v>129</v>
      </c>
      <c r="S54" s="179" t="s">
        <v>127</v>
      </c>
      <c r="T54" s="180" t="s">
        <v>33</v>
      </c>
      <c r="U54" s="181" t="s">
        <v>129</v>
      </c>
      <c r="V54" s="182" t="s">
        <v>127</v>
      </c>
      <c r="W54" s="180" t="s">
        <v>33</v>
      </c>
      <c r="X54" s="183" t="s">
        <v>129</v>
      </c>
      <c r="Y54" s="88" t="s">
        <v>0</v>
      </c>
    </row>
    <row r="55" spans="1:25" ht="25.15" customHeight="1">
      <c r="A55" s="170"/>
      <c r="B55" s="511" t="s">
        <v>189</v>
      </c>
      <c r="C55" s="512"/>
      <c r="D55" s="139">
        <f>V14</f>
        <v>346</v>
      </c>
      <c r="E55" s="140">
        <f>W14</f>
        <v>346</v>
      </c>
      <c r="F55" s="141">
        <f>X14</f>
        <v>87762</v>
      </c>
      <c r="G55" s="139">
        <f>V15</f>
        <v>359</v>
      </c>
      <c r="H55" s="140">
        <f>W15</f>
        <v>353</v>
      </c>
      <c r="I55" s="141">
        <f>X15</f>
        <v>87000</v>
      </c>
      <c r="J55" s="139">
        <f>V26</f>
        <v>0</v>
      </c>
      <c r="K55" s="140">
        <f>W26</f>
        <v>6</v>
      </c>
      <c r="L55" s="141">
        <f>X26</f>
        <v>3231</v>
      </c>
      <c r="M55" s="139">
        <f>V27</f>
        <v>359</v>
      </c>
      <c r="N55" s="140">
        <f>W27</f>
        <v>359</v>
      </c>
      <c r="O55" s="141">
        <f>X27</f>
        <v>90231</v>
      </c>
      <c r="P55" s="139">
        <v>0</v>
      </c>
      <c r="Q55" s="140">
        <v>0</v>
      </c>
      <c r="R55" s="141">
        <v>0</v>
      </c>
      <c r="S55" s="139">
        <f>V32</f>
        <v>0</v>
      </c>
      <c r="T55" s="140">
        <f>W32</f>
        <v>0</v>
      </c>
      <c r="U55" s="141">
        <f>X32</f>
        <v>-192</v>
      </c>
      <c r="V55" s="139">
        <f>P55+M55+S55</f>
        <v>359</v>
      </c>
      <c r="W55" s="140">
        <f>+N55+Q55+T55</f>
        <v>359</v>
      </c>
      <c r="X55" s="142">
        <f>R55+O55+U55</f>
        <v>90039</v>
      </c>
      <c r="Y55" s="88" t="s">
        <v>0</v>
      </c>
    </row>
    <row r="56" spans="1:25" ht="25.15" customHeight="1">
      <c r="A56" s="172"/>
      <c r="B56" s="173"/>
      <c r="C56" s="173" t="s">
        <v>34</v>
      </c>
      <c r="D56" s="184">
        <f t="shared" ref="D56:X56" si="0">SUM(D55)</f>
        <v>346</v>
      </c>
      <c r="E56" s="185">
        <f t="shared" si="0"/>
        <v>346</v>
      </c>
      <c r="F56" s="143">
        <f t="shared" si="0"/>
        <v>87762</v>
      </c>
      <c r="G56" s="184">
        <f t="shared" si="0"/>
        <v>359</v>
      </c>
      <c r="H56" s="185">
        <f t="shared" si="0"/>
        <v>353</v>
      </c>
      <c r="I56" s="143">
        <f t="shared" si="0"/>
        <v>87000</v>
      </c>
      <c r="J56" s="184">
        <f t="shared" si="0"/>
        <v>0</v>
      </c>
      <c r="K56" s="185">
        <f t="shared" si="0"/>
        <v>6</v>
      </c>
      <c r="L56" s="143">
        <f t="shared" si="0"/>
        <v>3231</v>
      </c>
      <c r="M56" s="184">
        <f t="shared" si="0"/>
        <v>359</v>
      </c>
      <c r="N56" s="185">
        <f t="shared" si="0"/>
        <v>359</v>
      </c>
      <c r="O56" s="143">
        <f t="shared" si="0"/>
        <v>90231</v>
      </c>
      <c r="P56" s="184">
        <f t="shared" si="0"/>
        <v>0</v>
      </c>
      <c r="Q56" s="185">
        <f t="shared" si="0"/>
        <v>0</v>
      </c>
      <c r="R56" s="143">
        <f t="shared" si="0"/>
        <v>0</v>
      </c>
      <c r="S56" s="184">
        <f t="shared" si="0"/>
        <v>0</v>
      </c>
      <c r="T56" s="185">
        <f t="shared" si="0"/>
        <v>0</v>
      </c>
      <c r="U56" s="208">
        <f t="shared" si="0"/>
        <v>-192</v>
      </c>
      <c r="V56" s="184">
        <f t="shared" si="0"/>
        <v>359</v>
      </c>
      <c r="W56" s="185">
        <f t="shared" si="0"/>
        <v>359</v>
      </c>
      <c r="X56" s="144">
        <f t="shared" si="0"/>
        <v>90039</v>
      </c>
      <c r="Y56" s="88" t="s">
        <v>0</v>
      </c>
    </row>
    <row r="57" spans="1:25" ht="17.25" customHeight="1">
      <c r="A57" s="174"/>
      <c r="B57" s="513"/>
      <c r="C57" s="514"/>
      <c r="D57" s="186"/>
      <c r="E57" s="187"/>
      <c r="F57" s="4"/>
      <c r="G57" s="190"/>
      <c r="H57" s="191"/>
      <c r="I57" s="191"/>
      <c r="J57" s="190"/>
      <c r="K57" s="191"/>
      <c r="L57" s="191"/>
      <c r="M57" s="190"/>
      <c r="N57" s="191"/>
      <c r="O57" s="191"/>
      <c r="P57" s="190"/>
      <c r="Q57" s="191"/>
      <c r="R57" s="191"/>
      <c r="S57" s="190"/>
      <c r="T57" s="191"/>
      <c r="U57" s="191"/>
      <c r="V57" s="190"/>
      <c r="W57" s="196"/>
      <c r="X57" s="223"/>
      <c r="Y57" s="88" t="s">
        <v>0</v>
      </c>
    </row>
    <row r="58" spans="1:25">
      <c r="A58" s="172"/>
      <c r="B58" s="515" t="s">
        <v>117</v>
      </c>
      <c r="C58" s="516"/>
      <c r="D58" s="188"/>
      <c r="E58" s="189"/>
      <c r="F58" s="145"/>
      <c r="G58" s="192"/>
      <c r="H58" s="193"/>
      <c r="I58" s="193"/>
      <c r="J58" s="192"/>
      <c r="K58" s="193"/>
      <c r="L58" s="193"/>
      <c r="M58" s="192"/>
      <c r="N58" s="193"/>
      <c r="O58" s="193"/>
      <c r="P58" s="192"/>
      <c r="Q58" s="193"/>
      <c r="R58" s="193"/>
      <c r="S58" s="192"/>
      <c r="T58" s="193"/>
      <c r="U58" s="193"/>
      <c r="V58" s="192"/>
      <c r="W58" s="189">
        <f>Q58+N58+T58</f>
        <v>0</v>
      </c>
      <c r="X58" s="211"/>
      <c r="Y58" s="88" t="s">
        <v>0</v>
      </c>
    </row>
    <row r="59" spans="1:25" ht="25.15" customHeight="1">
      <c r="A59" s="170"/>
      <c r="B59" s="507" t="s">
        <v>116</v>
      </c>
      <c r="C59" s="508"/>
      <c r="D59" s="139"/>
      <c r="E59" s="140">
        <f>+E56+E58</f>
        <v>346</v>
      </c>
      <c r="F59" s="38"/>
      <c r="G59" s="194"/>
      <c r="H59" s="140">
        <f>+H56+H58</f>
        <v>353</v>
      </c>
      <c r="I59" s="141"/>
      <c r="J59" s="194"/>
      <c r="K59" s="140">
        <f>+K56+K58</f>
        <v>6</v>
      </c>
      <c r="L59" s="141"/>
      <c r="M59" s="194"/>
      <c r="N59" s="140">
        <f>+N56+N58</f>
        <v>359</v>
      </c>
      <c r="O59" s="141"/>
      <c r="P59" s="194"/>
      <c r="Q59" s="140">
        <f>+Q56+Q58</f>
        <v>0</v>
      </c>
      <c r="R59" s="141"/>
      <c r="S59" s="194"/>
      <c r="T59" s="140">
        <f>+T56+T58</f>
        <v>0</v>
      </c>
      <c r="U59" s="141"/>
      <c r="V59" s="194"/>
      <c r="W59" s="140">
        <f>+W56+W58</f>
        <v>359</v>
      </c>
      <c r="X59" s="93"/>
      <c r="Y59" s="88" t="s">
        <v>0</v>
      </c>
    </row>
    <row r="60" spans="1:25">
      <c r="A60" s="175"/>
      <c r="B60" s="517"/>
      <c r="C60" s="518"/>
      <c r="D60" s="186"/>
      <c r="E60" s="187"/>
      <c r="F60" s="4"/>
      <c r="G60" s="190"/>
      <c r="H60" s="191"/>
      <c r="I60" s="191"/>
      <c r="J60" s="190"/>
      <c r="K60" s="191"/>
      <c r="L60" s="191"/>
      <c r="M60" s="190"/>
      <c r="N60" s="191"/>
      <c r="O60" s="191"/>
      <c r="P60" s="190"/>
      <c r="Q60" s="191"/>
      <c r="R60" s="191"/>
      <c r="S60" s="190"/>
      <c r="T60" s="191"/>
      <c r="U60" s="191"/>
      <c r="V60" s="190"/>
      <c r="W60" s="196"/>
      <c r="X60" s="223"/>
      <c r="Y60" s="88" t="s">
        <v>0</v>
      </c>
    </row>
    <row r="61" spans="1:25" ht="25.15" customHeight="1">
      <c r="A61" s="170"/>
      <c r="B61" s="507" t="s">
        <v>114</v>
      </c>
      <c r="C61" s="508"/>
      <c r="D61" s="139"/>
      <c r="E61" s="140"/>
      <c r="F61" s="38"/>
      <c r="G61" s="194"/>
      <c r="H61" s="141"/>
      <c r="I61" s="141"/>
      <c r="J61" s="194"/>
      <c r="K61" s="141"/>
      <c r="L61" s="141"/>
      <c r="M61" s="194"/>
      <c r="N61" s="141"/>
      <c r="O61" s="141"/>
      <c r="P61" s="194"/>
      <c r="Q61" s="141"/>
      <c r="R61" s="141"/>
      <c r="S61" s="194"/>
      <c r="T61" s="141"/>
      <c r="U61" s="141"/>
      <c r="V61" s="194"/>
      <c r="W61" s="141"/>
      <c r="X61" s="93"/>
      <c r="Y61" s="88" t="s">
        <v>0</v>
      </c>
    </row>
    <row r="62" spans="1:25" ht="25.15" customHeight="1">
      <c r="A62" s="170"/>
      <c r="B62" s="176"/>
      <c r="C62" s="171" t="s">
        <v>39</v>
      </c>
      <c r="D62" s="139"/>
      <c r="E62" s="140"/>
      <c r="F62" s="38"/>
      <c r="G62" s="194"/>
      <c r="H62" s="141"/>
      <c r="I62" s="141"/>
      <c r="J62" s="194"/>
      <c r="K62" s="140"/>
      <c r="L62" s="141"/>
      <c r="M62" s="194"/>
      <c r="N62" s="140"/>
      <c r="O62" s="141"/>
      <c r="P62" s="194"/>
      <c r="Q62" s="140"/>
      <c r="R62" s="141"/>
      <c r="S62" s="194"/>
      <c r="T62" s="140"/>
      <c r="U62" s="141"/>
      <c r="V62" s="194"/>
      <c r="W62" s="195">
        <f>Q62+N62+T62</f>
        <v>0</v>
      </c>
      <c r="X62" s="93"/>
      <c r="Y62" s="88" t="s">
        <v>0</v>
      </c>
    </row>
    <row r="63" spans="1:25" ht="25.15" customHeight="1">
      <c r="A63" s="172"/>
      <c r="B63" s="177"/>
      <c r="C63" s="178" t="s">
        <v>77</v>
      </c>
      <c r="D63" s="188"/>
      <c r="E63" s="189"/>
      <c r="F63" s="145"/>
      <c r="G63" s="192"/>
      <c r="H63" s="193"/>
      <c r="I63" s="193"/>
      <c r="J63" s="192"/>
      <c r="K63" s="189"/>
      <c r="L63" s="193"/>
      <c r="M63" s="192"/>
      <c r="N63" s="189"/>
      <c r="O63" s="193"/>
      <c r="P63" s="192"/>
      <c r="Q63" s="189"/>
      <c r="R63" s="193"/>
      <c r="S63" s="192"/>
      <c r="T63" s="189"/>
      <c r="U63" s="193"/>
      <c r="V63" s="192"/>
      <c r="W63" s="189">
        <f>Q63+N63+T63</f>
        <v>0</v>
      </c>
      <c r="X63" s="211"/>
      <c r="Y63" s="88" t="s">
        <v>0</v>
      </c>
    </row>
    <row r="64" spans="1:25" ht="25.15" customHeight="1">
      <c r="A64" s="172"/>
      <c r="B64" s="509" t="s">
        <v>115</v>
      </c>
      <c r="C64" s="510"/>
      <c r="D64" s="188"/>
      <c r="E64" s="189">
        <f>E63+E62+E59</f>
        <v>346</v>
      </c>
      <c r="F64" s="145"/>
      <c r="G64" s="192"/>
      <c r="H64" s="189">
        <f>H63+H62+H59</f>
        <v>353</v>
      </c>
      <c r="I64" s="193"/>
      <c r="J64" s="192"/>
      <c r="K64" s="189">
        <f>K63+K62+K59</f>
        <v>6</v>
      </c>
      <c r="L64" s="193"/>
      <c r="M64" s="192"/>
      <c r="N64" s="189">
        <f>N63+N62+N59</f>
        <v>359</v>
      </c>
      <c r="O64" s="193"/>
      <c r="P64" s="192"/>
      <c r="Q64" s="189">
        <f>Q63+Q62+Q59</f>
        <v>0</v>
      </c>
      <c r="R64" s="193"/>
      <c r="S64" s="192"/>
      <c r="T64" s="189">
        <f>T63+T62+T59</f>
        <v>0</v>
      </c>
      <c r="U64" s="193"/>
      <c r="V64" s="192"/>
      <c r="W64" s="189">
        <f>W63+W62+W59</f>
        <v>359</v>
      </c>
      <c r="X64" s="211"/>
      <c r="Y64" s="88" t="s">
        <v>16</v>
      </c>
    </row>
    <row r="65" spans="1:25">
      <c r="C65" s="5"/>
    </row>
    <row r="66" spans="1:25" ht="119.25" customHeight="1">
      <c r="B66" s="504"/>
      <c r="C66" s="504"/>
      <c r="D66" s="502"/>
      <c r="E66" s="503"/>
      <c r="F66" s="503"/>
      <c r="G66" s="505"/>
      <c r="H66" s="506"/>
      <c r="I66" s="506"/>
      <c r="J66" s="505"/>
      <c r="K66" s="506"/>
      <c r="L66" s="506"/>
      <c r="M66" s="505"/>
      <c r="N66" s="506"/>
      <c r="O66" s="506"/>
      <c r="P66" s="505"/>
      <c r="Q66" s="506"/>
      <c r="R66" s="506"/>
      <c r="S66" s="505"/>
      <c r="T66" s="506"/>
      <c r="U66" s="506"/>
      <c r="V66" s="505"/>
      <c r="W66" s="506"/>
      <c r="X66" s="506"/>
    </row>
    <row r="67" spans="1:25" s="280" customFormat="1" ht="15">
      <c r="D67" s="281"/>
      <c r="E67" s="281"/>
      <c r="F67" s="281"/>
      <c r="G67" s="281"/>
      <c r="H67" s="281"/>
      <c r="I67" s="281"/>
      <c r="J67" s="281"/>
      <c r="K67" s="281"/>
      <c r="L67" s="281"/>
      <c r="M67" s="281"/>
      <c r="N67" s="281"/>
      <c r="O67" s="281"/>
      <c r="P67" s="281"/>
      <c r="Q67" s="281"/>
      <c r="R67" s="281"/>
      <c r="S67" s="281"/>
      <c r="T67" s="281"/>
      <c r="U67" s="281"/>
      <c r="V67" s="281"/>
      <c r="W67" s="281"/>
      <c r="X67" s="281"/>
      <c r="Y67" s="282"/>
    </row>
    <row r="68" spans="1:25" s="280" customFormat="1" ht="15">
      <c r="D68" s="281"/>
      <c r="E68" s="281"/>
      <c r="F68" s="281"/>
      <c r="G68" s="281"/>
      <c r="H68" s="281"/>
      <c r="I68" s="281"/>
      <c r="J68" s="281"/>
      <c r="K68" s="281"/>
      <c r="L68" s="281"/>
      <c r="M68" s="281"/>
      <c r="N68" s="281"/>
      <c r="O68" s="281"/>
      <c r="P68" s="281"/>
      <c r="Q68" s="281"/>
      <c r="R68" s="281"/>
      <c r="S68" s="281"/>
      <c r="T68" s="281"/>
      <c r="U68" s="281"/>
      <c r="V68" s="281"/>
      <c r="W68" s="281"/>
      <c r="X68" s="281"/>
      <c r="Y68" s="282"/>
    </row>
    <row r="69" spans="1:25" s="280" customFormat="1" ht="15">
      <c r="D69" s="281"/>
      <c r="E69" s="281"/>
      <c r="F69" s="281"/>
      <c r="G69" s="281"/>
      <c r="H69" s="281"/>
      <c r="I69" s="281"/>
      <c r="J69" s="281"/>
      <c r="K69" s="281"/>
      <c r="L69" s="281"/>
      <c r="M69" s="281"/>
      <c r="N69" s="281"/>
      <c r="O69" s="281"/>
      <c r="P69" s="281"/>
      <c r="Q69" s="281"/>
      <c r="R69" s="281"/>
      <c r="S69" s="281"/>
      <c r="T69" s="281"/>
      <c r="U69" s="281"/>
      <c r="V69" s="281"/>
      <c r="W69" s="281"/>
      <c r="X69" s="281"/>
      <c r="Y69" s="282"/>
    </row>
    <row r="70" spans="1:25" s="280" customFormat="1" ht="15">
      <c r="D70" s="281"/>
      <c r="E70" s="281"/>
      <c r="F70" s="281"/>
      <c r="G70" s="281"/>
      <c r="H70" s="281"/>
      <c r="I70" s="281"/>
      <c r="J70" s="281"/>
      <c r="K70" s="281"/>
      <c r="L70" s="281"/>
      <c r="M70" s="281"/>
      <c r="N70" s="281"/>
      <c r="O70" s="281"/>
      <c r="P70" s="281"/>
      <c r="Q70" s="281"/>
      <c r="R70" s="281"/>
      <c r="S70" s="281"/>
      <c r="T70" s="281"/>
      <c r="U70" s="281"/>
      <c r="V70" s="281"/>
      <c r="W70" s="281"/>
      <c r="X70" s="281"/>
      <c r="Y70" s="282"/>
    </row>
    <row r="71" spans="1:25" s="280" customFormat="1" ht="15">
      <c r="D71" s="281"/>
      <c r="E71" s="281"/>
      <c r="F71" s="281"/>
      <c r="G71" s="281"/>
      <c r="H71" s="281"/>
      <c r="I71" s="281"/>
      <c r="J71" s="281"/>
      <c r="K71" s="281"/>
      <c r="L71" s="281"/>
      <c r="M71" s="281"/>
      <c r="N71" s="281"/>
      <c r="O71" s="281"/>
      <c r="P71" s="281"/>
      <c r="Q71" s="281"/>
      <c r="R71" s="281"/>
      <c r="S71" s="281"/>
      <c r="T71" s="281"/>
      <c r="U71" s="281"/>
      <c r="V71" s="281"/>
      <c r="W71" s="281"/>
      <c r="X71" s="281"/>
      <c r="Y71" s="282"/>
    </row>
    <row r="72" spans="1:25" s="280" customFormat="1" ht="15">
      <c r="A72" s="283"/>
      <c r="B72" s="283"/>
      <c r="C72" s="283"/>
      <c r="D72" s="56"/>
      <c r="E72" s="56"/>
      <c r="F72" s="56"/>
      <c r="G72" s="56"/>
      <c r="H72" s="56"/>
      <c r="I72" s="56"/>
      <c r="J72" s="56"/>
      <c r="K72" s="56"/>
      <c r="L72" s="56"/>
      <c r="M72" s="56"/>
      <c r="N72" s="56"/>
      <c r="O72" s="56"/>
      <c r="P72" s="56"/>
      <c r="Q72" s="56"/>
      <c r="R72" s="56"/>
      <c r="S72" s="56"/>
      <c r="T72" s="56"/>
      <c r="U72" s="56"/>
      <c r="V72" s="56"/>
      <c r="W72" s="284"/>
      <c r="X72" s="284"/>
      <c r="Y72" s="282"/>
    </row>
    <row r="73" spans="1:25" s="280" customFormat="1" ht="15">
      <c r="A73" s="283"/>
      <c r="B73" s="283"/>
      <c r="C73" s="316"/>
      <c r="D73" s="317"/>
      <c r="E73" s="317"/>
      <c r="F73" s="317"/>
      <c r="G73" s="317"/>
      <c r="H73" s="317"/>
      <c r="I73" s="317"/>
      <c r="J73" s="317"/>
      <c r="K73" s="317"/>
      <c r="L73" s="317"/>
      <c r="M73" s="317"/>
      <c r="N73" s="317"/>
      <c r="O73" s="317"/>
      <c r="P73" s="317"/>
      <c r="Q73" s="317"/>
      <c r="R73" s="317"/>
      <c r="S73" s="317"/>
      <c r="T73" s="317"/>
      <c r="U73" s="317"/>
      <c r="V73" s="317"/>
      <c r="W73" s="317"/>
      <c r="X73" s="317"/>
      <c r="Y73" s="282"/>
    </row>
    <row r="74" spans="1:25" s="280" customFormat="1" ht="30" customHeight="1">
      <c r="A74" s="501"/>
      <c r="B74" s="501"/>
      <c r="C74" s="501"/>
      <c r="D74" s="501"/>
      <c r="E74" s="501"/>
      <c r="F74" s="501"/>
      <c r="G74" s="501"/>
      <c r="H74" s="501"/>
      <c r="I74" s="501"/>
      <c r="J74" s="501"/>
      <c r="K74" s="501"/>
      <c r="L74" s="501"/>
      <c r="M74" s="501"/>
      <c r="N74" s="501"/>
      <c r="O74" s="501"/>
      <c r="P74" s="501"/>
      <c r="Q74" s="501"/>
      <c r="R74" s="501"/>
      <c r="S74" s="501"/>
      <c r="T74" s="501"/>
      <c r="U74" s="501"/>
      <c r="V74" s="501"/>
      <c r="W74" s="66"/>
      <c r="X74" s="66"/>
      <c r="Y74" s="282"/>
    </row>
    <row r="75" spans="1:25">
      <c r="W75" s="42"/>
      <c r="X75" s="42"/>
    </row>
    <row r="76" spans="1:25">
      <c r="K76" s="72"/>
    </row>
  </sheetData>
  <customSheetViews>
    <customSheetView guid="{68D6E89C-5B15-4C35-9CD8-F5F4F27258FD}" scale="65" showPageBreaks="1" showGridLines="0" outlineSymbols="0" fitToPage="1" printArea="1" view="pageBreakPreview">
      <selection activeCell="A6" sqref="A6:X6"/>
      <rowBreaks count="1" manualBreakCount="1">
        <brk id="36" max="23" man="1"/>
      </rowBreaks>
      <pageMargins left="0.5" right="0.4" top="0.5" bottom="0.25" header="0" footer="0"/>
      <printOptions horizontalCentered="1"/>
      <pageSetup scale="55" firstPageNumber="8" fitToHeight="0" orientation="landscape" useFirstPageNumber="1" r:id="rId1"/>
      <headerFooter alignWithMargins="0">
        <oddFooter>&amp;C&amp;"Times New Roman,Regular"Exhibit B - Summary of Requirements</oddFooter>
      </headerFooter>
    </customSheetView>
    <customSheetView guid="{4148B88B-8ED7-4FDE-9459-DEB244AD0552}" scale="65" showPageBreaks="1" showGridLines="0" outlineSymbols="0" fitToPage="1" printArea="1" view="pageBreakPreview" topLeftCell="C7">
      <selection activeCell="A38" sqref="A38:U38"/>
      <rowBreaks count="1" manualBreakCount="1">
        <brk id="47" max="23" man="1"/>
      </rowBreaks>
      <pageMargins left="0.5" right="0.4" top="0.5" bottom="0.25" header="0" footer="0"/>
      <printOptions horizontalCentered="1"/>
      <pageSetup scale="55" firstPageNumber="8" fitToHeight="0" orientation="landscape" useFirstPageNumber="1" r:id="rId2"/>
      <headerFooter alignWithMargins="0">
        <oddFooter>&amp;C&amp;"Times New Roman,Regular"Exhibit B - Summary of Requirements</oddFooter>
      </headerFooter>
    </customSheetView>
    <customSheetView guid="{56C0A34E-45B4-448B-85E5-70B3A8E63333}" scale="65" showPageBreaks="1" showGridLines="0" outlineSymbols="0" fitToPage="1" printArea="1" view="pageBreakPreview" topLeftCell="A6">
      <selection activeCell="X34" sqref="X34"/>
      <rowBreaks count="1" manualBreakCount="1">
        <brk id="49" max="23" man="1"/>
      </rowBreaks>
      <pageMargins left="0.5" right="0.4" top="0.5" bottom="0.25" header="0" footer="0"/>
      <printOptions horizontalCentered="1"/>
      <pageSetup scale="55" firstPageNumber="8" fitToHeight="0" orientation="landscape" useFirstPageNumber="1" r:id="rId3"/>
      <headerFooter alignWithMargins="0">
        <oddFooter>&amp;C&amp;"Times New Roman,Regular"Exhibit B - Summary of Requirements</oddFooter>
      </headerFooter>
    </customSheetView>
    <customSheetView guid="{3118AF25-8423-420A-806A-487665220C68}" scale="65" showPageBreaks="1" showGridLines="0" outlineSymbols="0" fitToPage="1" printArea="1" view="pageBreakPreview" topLeftCell="A50">
      <selection activeCell="W80" sqref="W80"/>
      <rowBreaks count="1" manualBreakCount="1">
        <brk id="47" max="23" man="1"/>
      </rowBreaks>
      <pageMargins left="0.5" right="0.4" top="0.5" bottom="0.25" header="0" footer="0"/>
      <printOptions horizontalCentered="1"/>
      <pageSetup scale="55" firstPageNumber="8" fitToHeight="0" orientation="landscape" useFirstPageNumber="1" r:id="rId4"/>
      <headerFooter alignWithMargins="0">
        <oddFooter>&amp;C&amp;"Times New Roman,Regular"Exhibit B - Summary of Requirements</oddFooter>
      </headerFooter>
    </customSheetView>
    <customSheetView guid="{12C66D54-5067-4346-818B-6EAB1C8A9183}" scale="65" showPageBreaks="1" showGridLines="0" outlineSymbols="0" fitToPage="1" printArea="1" view="pageBreakPreview">
      <selection activeCell="A21" sqref="A21:U21"/>
      <rowBreaks count="1" manualBreakCount="1">
        <brk id="47" max="23" man="1"/>
      </rowBreaks>
      <pageMargins left="0.5" right="0.4" top="0.5" bottom="0.25" header="0" footer="0"/>
      <printOptions horizontalCentered="1"/>
      <pageSetup scale="55" firstPageNumber="8" fitToHeight="0" orientation="landscape" useFirstPageNumber="1" r:id="rId5"/>
      <headerFooter alignWithMargins="0">
        <oddFooter>&amp;C&amp;"Times New Roman,Regular"Exhibit B - Summary of Requirements</oddFooter>
      </headerFooter>
    </customSheetView>
  </customSheetViews>
  <mergeCells count="60">
    <mergeCell ref="B61:C61"/>
    <mergeCell ref="B64:C64"/>
    <mergeCell ref="B55:C55"/>
    <mergeCell ref="B57:C57"/>
    <mergeCell ref="B58:C58"/>
    <mergeCell ref="B60:C60"/>
    <mergeCell ref="B59:C59"/>
    <mergeCell ref="A74:V74"/>
    <mergeCell ref="D66:F66"/>
    <mergeCell ref="B66:C66"/>
    <mergeCell ref="G66:I66"/>
    <mergeCell ref="J66:L66"/>
    <mergeCell ref="M66:O66"/>
    <mergeCell ref="P66:R66"/>
    <mergeCell ref="S66:U66"/>
    <mergeCell ref="V66:X66"/>
    <mergeCell ref="A32:U32"/>
    <mergeCell ref="A25:U25"/>
    <mergeCell ref="A16:U16"/>
    <mergeCell ref="A22:U22"/>
    <mergeCell ref="A23:U23"/>
    <mergeCell ref="A17:U17"/>
    <mergeCell ref="A43:X43"/>
    <mergeCell ref="A44:X44"/>
    <mergeCell ref="A45:X45"/>
    <mergeCell ref="A46:X46"/>
    <mergeCell ref="A33:U33"/>
    <mergeCell ref="A36:X36"/>
    <mergeCell ref="V52:X53"/>
    <mergeCell ref="M52:O53"/>
    <mergeCell ref="A1:X1"/>
    <mergeCell ref="A14:U14"/>
    <mergeCell ref="A2:X2"/>
    <mergeCell ref="A3:X3"/>
    <mergeCell ref="A8:X8"/>
    <mergeCell ref="A9:X9"/>
    <mergeCell ref="X12:X13"/>
    <mergeCell ref="W12:W13"/>
    <mergeCell ref="A4:X4"/>
    <mergeCell ref="A5:X5"/>
    <mergeCell ref="A6:X6"/>
    <mergeCell ref="A7:X7"/>
    <mergeCell ref="V11:X11"/>
    <mergeCell ref="A30:U30"/>
    <mergeCell ref="D52:F53"/>
    <mergeCell ref="V12:V13"/>
    <mergeCell ref="A10:X10"/>
    <mergeCell ref="A11:U13"/>
    <mergeCell ref="A34:U34"/>
    <mergeCell ref="G52:I53"/>
    <mergeCell ref="J52:L53"/>
    <mergeCell ref="A15:U15"/>
    <mergeCell ref="A29:U29"/>
    <mergeCell ref="A24:U24"/>
    <mergeCell ref="A26:U26"/>
    <mergeCell ref="A27:U27"/>
    <mergeCell ref="A28:U28"/>
    <mergeCell ref="P52:R53"/>
    <mergeCell ref="S52:U53"/>
    <mergeCell ref="A52:C54"/>
  </mergeCells>
  <phoneticPr fontId="0" type="noConversion"/>
  <printOptions horizontalCentered="1"/>
  <pageMargins left="0.5" right="0.4" top="0.5" bottom="0.25" header="0" footer="0"/>
  <pageSetup scale="55" firstPageNumber="8" fitToHeight="0" orientation="landscape" useFirstPageNumber="1" r:id="rId6"/>
  <headerFooter alignWithMargins="0">
    <oddFooter>&amp;C&amp;"Times New Roman,Regular"Exhibit B - Summary of Requirements</oddFooter>
  </headerFooter>
  <rowBreaks count="1" manualBreakCount="1">
    <brk id="38" max="23" man="1"/>
  </rowBreaks>
  <ignoredErrors>
    <ignoredError sqref="W55" formula="1"/>
  </ignoredErrors>
</worksheet>
</file>

<file path=xl/worksheets/sheet3.xml><?xml version="1.0" encoding="utf-8"?>
<worksheet xmlns="http://schemas.openxmlformats.org/spreadsheetml/2006/main" xmlns:r="http://schemas.openxmlformats.org/officeDocument/2006/relationships">
  <sheetPr codeName="Sheet6"/>
  <dimension ref="A1:H22"/>
  <sheetViews>
    <sheetView view="pageBreakPreview" zoomScale="75" zoomScaleNormal="75" zoomScaleSheetLayoutView="75" workbookViewId="0">
      <selection activeCell="I17" sqref="I17"/>
    </sheetView>
  </sheetViews>
  <sheetFormatPr defaultColWidth="7.21875" defaultRowHeight="12.75"/>
  <cols>
    <col min="1" max="1" width="40.6640625" style="21" customWidth="1"/>
    <col min="2" max="2" width="25.6640625" style="21" customWidth="1"/>
    <col min="3" max="6" width="7.6640625" style="21" customWidth="1"/>
    <col min="7" max="7" width="15.6640625" style="21" customWidth="1"/>
    <col min="8" max="8" width="8.88671875" style="91" customWidth="1"/>
    <col min="9" max="16384" width="7.21875" style="21"/>
  </cols>
  <sheetData>
    <row r="1" spans="1:8" ht="15.75">
      <c r="A1" s="523" t="s">
        <v>151</v>
      </c>
      <c r="B1" s="524"/>
      <c r="C1" s="524"/>
      <c r="D1" s="524"/>
      <c r="E1" s="524"/>
      <c r="F1" s="524"/>
      <c r="G1" s="524"/>
      <c r="H1" s="90" t="s">
        <v>0</v>
      </c>
    </row>
    <row r="2" spans="1:8" ht="15.75">
      <c r="A2" s="530"/>
      <c r="B2" s="530"/>
      <c r="C2" s="530"/>
      <c r="D2" s="530"/>
      <c r="E2" s="530"/>
      <c r="F2" s="530"/>
      <c r="G2" s="530"/>
      <c r="H2" s="90" t="s">
        <v>0</v>
      </c>
    </row>
    <row r="3" spans="1:8" ht="15">
      <c r="A3" s="531"/>
      <c r="B3" s="531"/>
      <c r="C3" s="531"/>
      <c r="D3" s="531"/>
      <c r="E3" s="531"/>
      <c r="F3" s="531"/>
      <c r="G3" s="531"/>
      <c r="H3" s="90" t="s">
        <v>0</v>
      </c>
    </row>
    <row r="4" spans="1:8" ht="15.75">
      <c r="A4" s="525" t="s">
        <v>174</v>
      </c>
      <c r="B4" s="526"/>
      <c r="C4" s="526"/>
      <c r="D4" s="526"/>
      <c r="E4" s="526"/>
      <c r="F4" s="526"/>
      <c r="G4" s="526"/>
      <c r="H4" s="90" t="s">
        <v>0</v>
      </c>
    </row>
    <row r="5" spans="1:8" ht="15.75">
      <c r="A5" s="527" t="s">
        <v>189</v>
      </c>
      <c r="B5" s="528"/>
      <c r="C5" s="528"/>
      <c r="D5" s="528"/>
      <c r="E5" s="528"/>
      <c r="F5" s="528"/>
      <c r="G5" s="528"/>
      <c r="H5" s="90" t="s">
        <v>0</v>
      </c>
    </row>
    <row r="6" spans="1:8" ht="15.75">
      <c r="A6" s="529" t="s">
        <v>111</v>
      </c>
      <c r="B6" s="526"/>
      <c r="C6" s="526"/>
      <c r="D6" s="526"/>
      <c r="E6" s="526"/>
      <c r="F6" s="526"/>
      <c r="G6" s="526"/>
      <c r="H6" s="90" t="s">
        <v>0</v>
      </c>
    </row>
    <row r="7" spans="1:8">
      <c r="A7" s="519"/>
      <c r="B7" s="519"/>
      <c r="C7" s="519"/>
      <c r="D7" s="519"/>
      <c r="E7" s="519"/>
      <c r="F7" s="519"/>
      <c r="G7" s="519"/>
      <c r="H7" s="90" t="s">
        <v>0</v>
      </c>
    </row>
    <row r="8" spans="1:8">
      <c r="A8" s="520"/>
      <c r="B8" s="520"/>
      <c r="C8" s="520"/>
      <c r="D8" s="520"/>
      <c r="E8" s="520"/>
      <c r="F8" s="520"/>
      <c r="G8" s="520"/>
      <c r="H8" s="90" t="s">
        <v>0</v>
      </c>
    </row>
    <row r="9" spans="1:8" ht="15">
      <c r="A9" s="537" t="s">
        <v>6</v>
      </c>
      <c r="B9" s="521" t="s">
        <v>14</v>
      </c>
      <c r="C9" s="539" t="s">
        <v>189</v>
      </c>
      <c r="D9" s="540"/>
      <c r="E9" s="540"/>
      <c r="F9" s="541"/>
      <c r="G9" s="521" t="s">
        <v>113</v>
      </c>
      <c r="H9" s="90" t="s">
        <v>0</v>
      </c>
    </row>
    <row r="10" spans="1:8" ht="13.15" customHeight="1">
      <c r="A10" s="538"/>
      <c r="B10" s="522"/>
      <c r="C10" s="23" t="s">
        <v>127</v>
      </c>
      <c r="D10" s="23" t="s">
        <v>5</v>
      </c>
      <c r="E10" s="23" t="s">
        <v>33</v>
      </c>
      <c r="F10" s="24" t="s">
        <v>129</v>
      </c>
      <c r="G10" s="522"/>
      <c r="H10" s="90" t="s">
        <v>0</v>
      </c>
    </row>
    <row r="11" spans="1:8" ht="15.75">
      <c r="A11" s="36"/>
      <c r="B11" s="37"/>
      <c r="C11" s="146"/>
      <c r="D11" s="95"/>
      <c r="E11" s="95"/>
      <c r="F11" s="96"/>
      <c r="G11" s="96"/>
      <c r="H11" s="90" t="s">
        <v>0</v>
      </c>
    </row>
    <row r="12" spans="1:8" ht="25.15" customHeight="1">
      <c r="A12" s="36" t="s">
        <v>190</v>
      </c>
      <c r="B12" s="37" t="s">
        <v>189</v>
      </c>
      <c r="C12" s="147">
        <v>0</v>
      </c>
      <c r="D12" s="95">
        <v>0</v>
      </c>
      <c r="E12" s="95">
        <v>0</v>
      </c>
      <c r="F12" s="96">
        <v>-192</v>
      </c>
      <c r="G12" s="96">
        <f>+F12</f>
        <v>-192</v>
      </c>
      <c r="H12" s="90" t="s">
        <v>0</v>
      </c>
    </row>
    <row r="13" spans="1:8" ht="18.75" customHeight="1">
      <c r="A13" s="31" t="s">
        <v>113</v>
      </c>
      <c r="B13" s="22"/>
      <c r="C13" s="97">
        <f>SUM(C11:C12)</f>
        <v>0</v>
      </c>
      <c r="D13" s="98">
        <f>SUM(D11:D12)</f>
        <v>0</v>
      </c>
      <c r="E13" s="98">
        <f>SUM(E11:E12)</f>
        <v>0</v>
      </c>
      <c r="F13" s="27">
        <f>SUM(F11:F12)</f>
        <v>-192</v>
      </c>
      <c r="G13" s="28">
        <f>SUM(G11:G12)</f>
        <v>-192</v>
      </c>
      <c r="H13" s="90" t="s">
        <v>0</v>
      </c>
    </row>
    <row r="14" spans="1:8" ht="18.75" customHeight="1">
      <c r="A14" s="29"/>
      <c r="B14" s="25"/>
      <c r="C14" s="29"/>
      <c r="D14" s="26"/>
      <c r="E14" s="26"/>
      <c r="F14" s="30"/>
      <c r="G14" s="30"/>
      <c r="H14" s="90" t="s">
        <v>0</v>
      </c>
    </row>
    <row r="15" spans="1:8" ht="18.75" customHeight="1">
      <c r="A15" s="318"/>
      <c r="B15" s="39"/>
      <c r="C15" s="98"/>
      <c r="D15" s="98"/>
      <c r="E15" s="98"/>
      <c r="F15" s="27"/>
      <c r="G15" s="27"/>
      <c r="H15" s="90"/>
    </row>
    <row r="16" spans="1:8" ht="210.75" customHeight="1">
      <c r="A16" s="319"/>
      <c r="B16" s="319"/>
      <c r="C16" s="542"/>
      <c r="D16" s="543"/>
      <c r="E16" s="543"/>
      <c r="F16" s="543"/>
      <c r="G16" s="319"/>
      <c r="H16" s="90"/>
    </row>
    <row r="17" spans="1:7" ht="33.75" customHeight="1">
      <c r="A17" s="534"/>
      <c r="B17" s="535"/>
      <c r="C17" s="535"/>
      <c r="D17" s="535"/>
      <c r="E17" s="535"/>
      <c r="F17" s="535"/>
    </row>
    <row r="18" spans="1:7" ht="12.75" customHeight="1">
      <c r="A18" s="60"/>
      <c r="B18" s="60"/>
      <c r="C18" s="60"/>
      <c r="D18" s="60"/>
      <c r="E18" s="60"/>
      <c r="F18" s="60"/>
    </row>
    <row r="19" spans="1:7" ht="57" customHeight="1">
      <c r="A19" s="532"/>
      <c r="B19" s="533"/>
      <c r="C19" s="533"/>
      <c r="D19" s="533"/>
      <c r="E19" s="533"/>
      <c r="F19" s="533"/>
    </row>
    <row r="20" spans="1:7" ht="15">
      <c r="A20" s="536"/>
      <c r="B20" s="536"/>
      <c r="C20" s="536"/>
      <c r="D20" s="536"/>
      <c r="E20" s="536"/>
      <c r="F20" s="536"/>
    </row>
    <row r="21" spans="1:7" ht="15" customHeight="1">
      <c r="A21" s="67"/>
      <c r="B21" s="68"/>
      <c r="C21" s="68"/>
      <c r="D21" s="68"/>
      <c r="E21" s="68"/>
      <c r="F21" s="68"/>
      <c r="G21" s="74"/>
    </row>
    <row r="22" spans="1:7">
      <c r="A22" s="68"/>
      <c r="B22" s="68"/>
      <c r="C22" s="68"/>
      <c r="D22" s="68"/>
      <c r="E22" s="68"/>
      <c r="F22" s="68"/>
    </row>
  </sheetData>
  <customSheetViews>
    <customSheetView guid="{68D6E89C-5B15-4C35-9CD8-F5F4F27258FD}" scale="75" showPageBreaks="1" printArea="1" view="pageBreakPreview">
      <selection activeCell="A11" sqref="A1:A1048576"/>
      <pageMargins left="0.75" right="0.75" top="1" bottom="1" header="0.5" footer="0.5"/>
      <printOptions horizontalCentered="1"/>
      <pageSetup scale="70" orientation="landscape" r:id="rId1"/>
      <headerFooter alignWithMargins="0">
        <oddFooter>&amp;C&amp;"Times New Roman,Regular"Exhibit C - Program Increases/Offsets By Decision Unit</oddFooter>
      </headerFooter>
    </customSheetView>
    <customSheetView guid="{4148B88B-8ED7-4FDE-9459-DEB244AD0552}" scale="75" showPageBreaks="1" fitToPage="1" printArea="1" view="pageBreakPreview">
      <selection activeCell="A6" sqref="A6:S6"/>
      <pageMargins left="0.75" right="0.75" top="1" bottom="1" header="0.5" footer="0.5"/>
      <printOptions horizontalCentered="1"/>
      <pageSetup scale="69" orientation="landscape" r:id="rId2"/>
      <headerFooter alignWithMargins="0">
        <oddFooter>&amp;C&amp;"Times New Roman,Regular"Exhibit C - Program Increases/Offsets By Decision Unit</oddFooter>
      </headerFooter>
    </customSheetView>
    <customSheetView guid="{56C0A34E-45B4-448B-85E5-70B3A8E63333}" scale="75" showPageBreaks="1" fitToPage="1" printArea="1" view="pageBreakPreview">
      <selection activeCell="J27" sqref="J27"/>
      <pageMargins left="0.75" right="0.75" top="1" bottom="1" header="0.5" footer="0.5"/>
      <printOptions horizontalCentered="1"/>
      <pageSetup scale="69" orientation="landscape" r:id="rId3"/>
      <headerFooter alignWithMargins="0">
        <oddFooter>&amp;C&amp;"Times New Roman,Regular"Exhibit C - Program Increases/Offsets By Decision Unit</oddFooter>
      </headerFooter>
    </customSheetView>
    <customSheetView guid="{3118AF25-8423-420A-806A-487665220C68}" scale="75" showPageBreaks="1" fitToPage="1" printArea="1" view="pageBreakPreview">
      <selection activeCell="D16" sqref="D16"/>
      <pageMargins left="0.75" right="0.75" top="1" bottom="1" header="0.5" footer="0.5"/>
      <printOptions horizontalCentered="1"/>
      <pageSetup scale="69" orientation="landscape" r:id="rId4"/>
      <headerFooter alignWithMargins="0">
        <oddFooter>&amp;C&amp;"Times New Roman,Regular"Exhibit C - Program Increases/Offsets By Decision Unit</oddFooter>
      </headerFooter>
    </customSheetView>
    <customSheetView guid="{12C66D54-5067-4346-818B-6EAB1C8A9183}" scale="75" showPageBreaks="1" fitToPage="1" printArea="1" view="pageBreakPreview">
      <selection activeCell="A6" sqref="A6:S6"/>
      <pageMargins left="0.75" right="0.75" top="1" bottom="1" header="0.5" footer="0.5"/>
      <printOptions horizontalCentered="1"/>
      <pageSetup scale="69" orientation="landscape" r:id="rId5"/>
      <headerFooter alignWithMargins="0">
        <oddFooter>&amp;C&amp;"Times New Roman,Regular"Exhibit C - Program Increases/Offsets By Decision Unit</oddFooter>
      </headerFooter>
    </customSheetView>
  </customSheetViews>
  <mergeCells count="16">
    <mergeCell ref="A19:F19"/>
    <mergeCell ref="A17:F17"/>
    <mergeCell ref="A20:F20"/>
    <mergeCell ref="A9:A10"/>
    <mergeCell ref="C9:F9"/>
    <mergeCell ref="B9:B10"/>
    <mergeCell ref="C16:F16"/>
    <mergeCell ref="A7:G7"/>
    <mergeCell ref="A8:G8"/>
    <mergeCell ref="G9:G10"/>
    <mergeCell ref="A1:G1"/>
    <mergeCell ref="A4:G4"/>
    <mergeCell ref="A5:G5"/>
    <mergeCell ref="A6:G6"/>
    <mergeCell ref="A2:G2"/>
    <mergeCell ref="A3:G3"/>
  </mergeCells>
  <phoneticPr fontId="17" type="noConversion"/>
  <printOptions horizontalCentered="1"/>
  <pageMargins left="0.75" right="0.75" top="1" bottom="1" header="0.5" footer="0.5"/>
  <pageSetup scale="70" orientation="landscape" r:id="rId6"/>
  <headerFooter alignWithMargins="0">
    <oddFooter>&amp;C&amp;"Times New Roman,Regular"Exhibit C - Program Increases/Offsets By Decision Unit</oddFooter>
  </headerFooter>
</worksheet>
</file>

<file path=xl/worksheets/sheet4.xml><?xml version="1.0" encoding="utf-8"?>
<worksheet xmlns="http://schemas.openxmlformats.org/spreadsheetml/2006/main" xmlns:r="http://schemas.openxmlformats.org/officeDocument/2006/relationships">
  <sheetPr codeName="Sheet9"/>
  <dimension ref="A1:T29"/>
  <sheetViews>
    <sheetView view="pageBreakPreview" zoomScale="70" zoomScaleNormal="75" zoomScaleSheetLayoutView="70" workbookViewId="0">
      <selection activeCell="A23" sqref="A23:G23"/>
    </sheetView>
  </sheetViews>
  <sheetFormatPr defaultColWidth="8.77734375" defaultRowHeight="12.75"/>
  <cols>
    <col min="1" max="1" width="53.88671875" style="226" customWidth="1"/>
    <col min="2" max="2" width="1.21875" style="226" customWidth="1"/>
    <col min="3" max="3" width="10.77734375" style="226" customWidth="1"/>
    <col min="4" max="4" width="11" style="226" customWidth="1"/>
    <col min="5" max="5" width="1.21875" style="226" customWidth="1"/>
    <col min="6" max="7" width="11.21875" style="226" customWidth="1"/>
    <col min="8" max="8" width="1.21875" style="226" customWidth="1"/>
    <col min="9" max="16" width="10.77734375" style="226" customWidth="1"/>
    <col min="17" max="17" width="1.88671875" style="226" customWidth="1"/>
    <col min="18" max="16384" width="8.77734375" style="226"/>
  </cols>
  <sheetData>
    <row r="1" spans="1:20" ht="20.25">
      <c r="A1" s="564" t="s">
        <v>152</v>
      </c>
      <c r="B1" s="565"/>
      <c r="C1" s="565"/>
      <c r="D1" s="565"/>
      <c r="E1" s="565"/>
      <c r="F1" s="565"/>
      <c r="G1" s="565"/>
      <c r="H1" s="565"/>
      <c r="I1" s="565"/>
      <c r="J1" s="565"/>
      <c r="K1" s="565"/>
      <c r="L1" s="565"/>
      <c r="M1" s="565"/>
      <c r="N1" s="565"/>
      <c r="O1" s="565"/>
      <c r="P1" s="565"/>
      <c r="Q1" s="224" t="s">
        <v>0</v>
      </c>
      <c r="R1" s="225"/>
      <c r="S1" s="225"/>
    </row>
    <row r="2" spans="1:20" ht="19.149999999999999" customHeight="1">
      <c r="A2" s="227"/>
      <c r="Q2" s="224" t="s">
        <v>0</v>
      </c>
      <c r="T2" s="224"/>
    </row>
    <row r="3" spans="1:20" ht="15.75">
      <c r="A3" s="566" t="s">
        <v>136</v>
      </c>
      <c r="B3" s="567"/>
      <c r="C3" s="567"/>
      <c r="D3" s="567"/>
      <c r="E3" s="567"/>
      <c r="F3" s="567"/>
      <c r="G3" s="567"/>
      <c r="H3" s="567"/>
      <c r="I3" s="567"/>
      <c r="J3" s="567"/>
      <c r="K3" s="567"/>
      <c r="L3" s="567"/>
      <c r="M3" s="567"/>
      <c r="N3" s="567"/>
      <c r="O3" s="567"/>
      <c r="P3" s="567"/>
      <c r="Q3" s="224" t="s">
        <v>0</v>
      </c>
      <c r="R3" s="48"/>
      <c r="S3" s="48"/>
      <c r="T3" s="224"/>
    </row>
    <row r="4" spans="1:20" ht="15.75">
      <c r="A4" s="568" t="s">
        <v>189</v>
      </c>
      <c r="B4" s="567"/>
      <c r="C4" s="567"/>
      <c r="D4" s="567"/>
      <c r="E4" s="567"/>
      <c r="F4" s="567"/>
      <c r="G4" s="567"/>
      <c r="H4" s="567"/>
      <c r="I4" s="567"/>
      <c r="J4" s="567"/>
      <c r="K4" s="567"/>
      <c r="L4" s="567"/>
      <c r="M4" s="567"/>
      <c r="N4" s="567"/>
      <c r="O4" s="567"/>
      <c r="P4" s="567"/>
      <c r="Q4" s="224" t="s">
        <v>0</v>
      </c>
      <c r="R4" s="47"/>
      <c r="S4" s="47"/>
    </row>
    <row r="5" spans="1:20" ht="15">
      <c r="A5" s="569" t="s">
        <v>111</v>
      </c>
      <c r="B5" s="567"/>
      <c r="C5" s="567"/>
      <c r="D5" s="567"/>
      <c r="E5" s="567"/>
      <c r="F5" s="567"/>
      <c r="G5" s="567"/>
      <c r="H5" s="567"/>
      <c r="I5" s="567"/>
      <c r="J5" s="567"/>
      <c r="K5" s="567"/>
      <c r="L5" s="567"/>
      <c r="M5" s="567"/>
      <c r="N5" s="567"/>
      <c r="O5" s="567"/>
      <c r="P5" s="567"/>
      <c r="Q5" s="224" t="s">
        <v>0</v>
      </c>
      <c r="R5" s="48"/>
      <c r="S5" s="48"/>
      <c r="T5" s="224"/>
    </row>
    <row r="6" spans="1:20">
      <c r="Q6" s="224" t="s">
        <v>0</v>
      </c>
      <c r="T6" s="224"/>
    </row>
    <row r="7" spans="1:20" ht="13.5" thickBot="1">
      <c r="Q7" s="224" t="s">
        <v>0</v>
      </c>
      <c r="T7" s="224"/>
    </row>
    <row r="8" spans="1:20" ht="37.5" customHeight="1">
      <c r="A8" s="228"/>
      <c r="B8" s="229"/>
      <c r="C8" s="550" t="s">
        <v>176</v>
      </c>
      <c r="D8" s="551"/>
      <c r="E8" s="230"/>
      <c r="F8" s="550" t="s">
        <v>172</v>
      </c>
      <c r="G8" s="551"/>
      <c r="H8" s="230"/>
      <c r="I8" s="554" t="s">
        <v>155</v>
      </c>
      <c r="J8" s="551"/>
      <c r="K8" s="555">
        <v>2013</v>
      </c>
      <c r="L8" s="556"/>
      <c r="M8" s="556"/>
      <c r="N8" s="557"/>
      <c r="O8" s="554" t="s">
        <v>161</v>
      </c>
      <c r="P8" s="551"/>
      <c r="Q8" s="224" t="s">
        <v>0</v>
      </c>
      <c r="S8" s="231"/>
      <c r="T8" s="224"/>
    </row>
    <row r="9" spans="1:20" ht="14.25" customHeight="1">
      <c r="A9" s="229"/>
      <c r="B9" s="229"/>
      <c r="C9" s="570"/>
      <c r="D9" s="571"/>
      <c r="E9" s="230"/>
      <c r="F9" s="552"/>
      <c r="G9" s="553"/>
      <c r="H9" s="230"/>
      <c r="I9" s="552"/>
      <c r="J9" s="553"/>
      <c r="K9" s="558" t="s">
        <v>130</v>
      </c>
      <c r="L9" s="559"/>
      <c r="M9" s="547" t="s">
        <v>137</v>
      </c>
      <c r="N9" s="541"/>
      <c r="O9" s="552"/>
      <c r="P9" s="553"/>
      <c r="Q9" s="224" t="s">
        <v>0</v>
      </c>
      <c r="S9" s="231"/>
      <c r="T9" s="224"/>
    </row>
    <row r="10" spans="1:20" hidden="1">
      <c r="A10" s="548" t="s">
        <v>138</v>
      </c>
      <c r="B10" s="229"/>
      <c r="C10" s="232"/>
      <c r="D10" s="233"/>
      <c r="E10" s="234"/>
      <c r="F10" s="232"/>
      <c r="G10" s="233"/>
      <c r="H10" s="234"/>
      <c r="I10" s="232"/>
      <c r="J10" s="233"/>
      <c r="K10" s="232"/>
      <c r="L10" s="233"/>
      <c r="M10" s="235"/>
      <c r="N10" s="233"/>
      <c r="O10" s="232"/>
      <c r="P10" s="233"/>
      <c r="Q10" s="224" t="s">
        <v>0</v>
      </c>
      <c r="S10" s="235"/>
      <c r="T10" s="224"/>
    </row>
    <row r="11" spans="1:20" ht="25.5">
      <c r="A11" s="549"/>
      <c r="B11" s="229"/>
      <c r="C11" s="236" t="s">
        <v>139</v>
      </c>
      <c r="D11" s="237" t="s">
        <v>140</v>
      </c>
      <c r="E11" s="234"/>
      <c r="F11" s="236" t="s">
        <v>139</v>
      </c>
      <c r="G11" s="237" t="s">
        <v>140</v>
      </c>
      <c r="H11" s="234"/>
      <c r="I11" s="236" t="s">
        <v>139</v>
      </c>
      <c r="J11" s="237" t="s">
        <v>140</v>
      </c>
      <c r="K11" s="236" t="s">
        <v>139</v>
      </c>
      <c r="L11" s="237" t="s">
        <v>140</v>
      </c>
      <c r="M11" s="236" t="s">
        <v>139</v>
      </c>
      <c r="N11" s="237" t="s">
        <v>140</v>
      </c>
      <c r="O11" s="236" t="s">
        <v>139</v>
      </c>
      <c r="P11" s="237" t="s">
        <v>140</v>
      </c>
      <c r="Q11" s="224" t="s">
        <v>0</v>
      </c>
      <c r="S11" s="238"/>
      <c r="T11" s="224"/>
    </row>
    <row r="12" spans="1:20">
      <c r="A12" s="239"/>
      <c r="B12" s="229"/>
      <c r="C12" s="240"/>
      <c r="D12" s="241"/>
      <c r="E12" s="242"/>
      <c r="F12" s="240"/>
      <c r="G12" s="241"/>
      <c r="H12" s="242"/>
      <c r="I12" s="240"/>
      <c r="J12" s="241"/>
      <c r="K12" s="240"/>
      <c r="L12" s="243"/>
      <c r="M12" s="244"/>
      <c r="N12" s="241"/>
      <c r="O12" s="240"/>
      <c r="P12" s="241"/>
      <c r="Q12" s="224" t="s">
        <v>0</v>
      </c>
      <c r="S12" s="245"/>
      <c r="T12" s="224"/>
    </row>
    <row r="13" spans="1:20" ht="25.5">
      <c r="A13" s="358" t="s">
        <v>180</v>
      </c>
      <c r="B13" s="229"/>
      <c r="C13" s="240"/>
      <c r="D13" s="247"/>
      <c r="E13" s="242"/>
      <c r="F13" s="240"/>
      <c r="G13" s="247"/>
      <c r="H13" s="242"/>
      <c r="I13" s="240"/>
      <c r="J13" s="247"/>
      <c r="K13" s="240"/>
      <c r="L13" s="243"/>
      <c r="M13" s="240"/>
      <c r="N13" s="247"/>
      <c r="O13" s="240"/>
      <c r="P13" s="247"/>
      <c r="Q13" s="224" t="s">
        <v>0</v>
      </c>
      <c r="S13" s="248"/>
      <c r="T13" s="224"/>
    </row>
    <row r="14" spans="1:20" ht="30" customHeight="1">
      <c r="A14" s="360" t="s">
        <v>141</v>
      </c>
      <c r="B14" s="229"/>
      <c r="C14" s="240">
        <v>220</v>
      </c>
      <c r="D14" s="247">
        <v>62282</v>
      </c>
      <c r="E14" s="242"/>
      <c r="F14" s="240">
        <v>226</v>
      </c>
      <c r="G14" s="247">
        <v>61123</v>
      </c>
      <c r="H14" s="242"/>
      <c r="I14" s="240">
        <v>230</v>
      </c>
      <c r="J14" s="241">
        <v>63393</v>
      </c>
      <c r="K14" s="240"/>
      <c r="L14" s="243"/>
      <c r="M14" s="240"/>
      <c r="N14" s="247">
        <v>-135</v>
      </c>
      <c r="O14" s="240">
        <f t="shared" ref="O14:P16" si="0">+I14+K14+M14</f>
        <v>230</v>
      </c>
      <c r="P14" s="241">
        <f t="shared" si="0"/>
        <v>63258</v>
      </c>
      <c r="Q14" s="224" t="s">
        <v>0</v>
      </c>
      <c r="S14" s="248"/>
      <c r="T14" s="224"/>
    </row>
    <row r="15" spans="1:20" ht="30" customHeight="1">
      <c r="A15" s="359" t="s">
        <v>178</v>
      </c>
      <c r="B15" s="229"/>
      <c r="C15" s="240">
        <v>86</v>
      </c>
      <c r="D15" s="247">
        <v>17228</v>
      </c>
      <c r="E15" s="242"/>
      <c r="F15" s="240">
        <v>87</v>
      </c>
      <c r="G15" s="247">
        <v>17498</v>
      </c>
      <c r="H15" s="242"/>
      <c r="I15" s="240">
        <v>88</v>
      </c>
      <c r="J15" s="241">
        <v>18148</v>
      </c>
      <c r="K15" s="240"/>
      <c r="L15" s="243"/>
      <c r="M15" s="240"/>
      <c r="N15" s="247">
        <v>-39</v>
      </c>
      <c r="O15" s="240">
        <f t="shared" si="0"/>
        <v>88</v>
      </c>
      <c r="P15" s="241">
        <f t="shared" si="0"/>
        <v>18109</v>
      </c>
      <c r="Q15" s="224" t="s">
        <v>0</v>
      </c>
      <c r="S15" s="248"/>
      <c r="T15" s="224"/>
    </row>
    <row r="16" spans="1:20" ht="30" customHeight="1">
      <c r="A16" s="360" t="s">
        <v>179</v>
      </c>
      <c r="B16" s="249"/>
      <c r="C16" s="362">
        <v>40</v>
      </c>
      <c r="D16" s="363">
        <v>8252</v>
      </c>
      <c r="E16" s="250"/>
      <c r="F16" s="362">
        <v>40</v>
      </c>
      <c r="G16" s="363">
        <v>8379</v>
      </c>
      <c r="H16" s="251"/>
      <c r="I16" s="240">
        <v>41</v>
      </c>
      <c r="J16" s="241">
        <v>8690</v>
      </c>
      <c r="K16" s="362"/>
      <c r="L16" s="364"/>
      <c r="M16" s="362"/>
      <c r="N16" s="363">
        <v>-18</v>
      </c>
      <c r="O16" s="362">
        <f t="shared" si="0"/>
        <v>41</v>
      </c>
      <c r="P16" s="363">
        <f t="shared" si="0"/>
        <v>8672</v>
      </c>
      <c r="Q16" s="224" t="s">
        <v>0</v>
      </c>
      <c r="S16" s="252"/>
      <c r="T16" s="224"/>
    </row>
    <row r="17" spans="1:20" s="254" customFormat="1" ht="30" customHeight="1" thickBot="1">
      <c r="A17" s="361" t="s">
        <v>142</v>
      </c>
      <c r="B17" s="246"/>
      <c r="C17" s="255">
        <f>SUM(C14:C16)</f>
        <v>346</v>
      </c>
      <c r="D17" s="365">
        <f>SUM(D14:D16)</f>
        <v>87762</v>
      </c>
      <c r="E17" s="366"/>
      <c r="F17" s="255">
        <f>SUM(F14:F16)</f>
        <v>353</v>
      </c>
      <c r="G17" s="365">
        <f>SUM(G14:G16)</f>
        <v>87000</v>
      </c>
      <c r="H17" s="367"/>
      <c r="I17" s="255">
        <f t="shared" ref="I17:P17" si="1">SUM(I14:I16)</f>
        <v>359</v>
      </c>
      <c r="J17" s="365">
        <f t="shared" si="1"/>
        <v>90231</v>
      </c>
      <c r="K17" s="255">
        <f t="shared" si="1"/>
        <v>0</v>
      </c>
      <c r="L17" s="365">
        <f t="shared" si="1"/>
        <v>0</v>
      </c>
      <c r="M17" s="255">
        <f t="shared" si="1"/>
        <v>0</v>
      </c>
      <c r="N17" s="365">
        <f t="shared" si="1"/>
        <v>-192</v>
      </c>
      <c r="O17" s="255">
        <f t="shared" si="1"/>
        <v>359</v>
      </c>
      <c r="P17" s="365">
        <f t="shared" si="1"/>
        <v>90039</v>
      </c>
      <c r="Q17" s="224" t="s">
        <v>0</v>
      </c>
      <c r="R17" s="226"/>
      <c r="S17" s="253"/>
      <c r="T17" s="224"/>
    </row>
    <row r="18" spans="1:20" s="260" customFormat="1" ht="18.75" customHeight="1" thickBot="1">
      <c r="A18" s="256" t="s">
        <v>143</v>
      </c>
      <c r="B18" s="257"/>
      <c r="C18" s="429">
        <f>C17</f>
        <v>346</v>
      </c>
      <c r="D18" s="430">
        <f>D17</f>
        <v>87762</v>
      </c>
      <c r="E18" s="431"/>
      <c r="F18" s="429">
        <f>F17</f>
        <v>353</v>
      </c>
      <c r="G18" s="430">
        <f>G17</f>
        <v>87000</v>
      </c>
      <c r="H18" s="431"/>
      <c r="I18" s="429">
        <f>+I17</f>
        <v>359</v>
      </c>
      <c r="J18" s="430">
        <f>J17</f>
        <v>90231</v>
      </c>
      <c r="K18" s="429">
        <f t="shared" ref="K18:P18" si="2">K17</f>
        <v>0</v>
      </c>
      <c r="L18" s="430">
        <f t="shared" si="2"/>
        <v>0</v>
      </c>
      <c r="M18" s="429">
        <f t="shared" si="2"/>
        <v>0</v>
      </c>
      <c r="N18" s="430">
        <f t="shared" si="2"/>
        <v>-192</v>
      </c>
      <c r="O18" s="429">
        <f t="shared" si="2"/>
        <v>359</v>
      </c>
      <c r="P18" s="430">
        <f t="shared" si="2"/>
        <v>90039</v>
      </c>
      <c r="Q18" s="224" t="s">
        <v>16</v>
      </c>
      <c r="R18" s="258"/>
      <c r="S18" s="259"/>
      <c r="T18" s="224"/>
    </row>
    <row r="19" spans="1:20">
      <c r="A19" s="262"/>
      <c r="B19" s="262"/>
      <c r="C19" s="258"/>
      <c r="D19" s="259"/>
      <c r="E19" s="262"/>
      <c r="F19" s="258"/>
      <c r="G19" s="259"/>
      <c r="H19" s="262"/>
      <c r="I19" s="258"/>
      <c r="J19" s="259"/>
      <c r="K19" s="260"/>
      <c r="L19" s="260"/>
      <c r="M19" s="260"/>
      <c r="N19" s="260"/>
      <c r="O19" s="260"/>
      <c r="P19" s="260"/>
      <c r="Q19" s="260"/>
      <c r="R19" s="261"/>
      <c r="S19" s="261"/>
      <c r="T19" s="224"/>
    </row>
    <row r="20" spans="1:20">
      <c r="A20" s="262"/>
      <c r="B20" s="262"/>
      <c r="C20" s="258"/>
      <c r="D20" s="259"/>
      <c r="E20" s="262"/>
      <c r="F20" s="258"/>
      <c r="G20" s="259"/>
      <c r="H20" s="262"/>
      <c r="I20" s="258"/>
      <c r="J20" s="259"/>
      <c r="K20" s="260"/>
      <c r="L20" s="260"/>
      <c r="M20" s="260"/>
      <c r="N20" s="260"/>
      <c r="O20" s="260"/>
      <c r="P20" s="260"/>
      <c r="Q20" s="260"/>
      <c r="R20" s="261"/>
      <c r="S20" s="261"/>
      <c r="T20" s="224"/>
    </row>
    <row r="21" spans="1:20">
      <c r="A21" s="262"/>
      <c r="B21" s="262"/>
      <c r="C21" s="258"/>
      <c r="D21" s="259"/>
      <c r="E21" s="262"/>
      <c r="F21" s="258"/>
      <c r="G21" s="259"/>
      <c r="H21" s="262"/>
      <c r="I21" s="258"/>
      <c r="J21" s="259"/>
      <c r="K21" s="260"/>
      <c r="L21" s="260"/>
      <c r="M21" s="260"/>
      <c r="N21" s="260"/>
      <c r="O21" s="260"/>
      <c r="P21" s="260"/>
      <c r="Q21" s="260"/>
      <c r="R21" s="261"/>
      <c r="S21" s="261"/>
    </row>
    <row r="22" spans="1:20" ht="204.75" customHeight="1">
      <c r="A22" s="320"/>
      <c r="C22" s="320"/>
      <c r="D22" s="321"/>
    </row>
    <row r="23" spans="1:20" ht="15">
      <c r="A23" s="560"/>
      <c r="B23" s="561"/>
      <c r="C23" s="561"/>
      <c r="D23" s="561"/>
      <c r="E23" s="561"/>
      <c r="F23" s="561"/>
      <c r="G23" s="561"/>
      <c r="H23" s="266"/>
      <c r="I23" s="62"/>
      <c r="J23" s="62"/>
      <c r="K23" s="62"/>
      <c r="L23" s="62"/>
      <c r="M23" s="62"/>
      <c r="N23" s="62"/>
      <c r="O23" s="62"/>
      <c r="P23" s="62"/>
      <c r="Q23" s="62"/>
      <c r="R23" s="62"/>
      <c r="S23" s="62"/>
    </row>
    <row r="24" spans="1:20">
      <c r="A24" s="267"/>
      <c r="B24" s="267"/>
      <c r="C24" s="267"/>
      <c r="D24" s="267"/>
      <c r="E24" s="267"/>
      <c r="F24" s="267"/>
      <c r="G24" s="267"/>
      <c r="H24" s="267"/>
      <c r="I24" s="263"/>
      <c r="J24" s="263"/>
      <c r="K24" s="263"/>
      <c r="L24" s="263"/>
      <c r="M24" s="263"/>
      <c r="N24" s="263"/>
      <c r="O24" s="263"/>
      <c r="P24" s="263"/>
      <c r="Q24" s="263"/>
      <c r="R24" s="263"/>
      <c r="S24" s="263"/>
    </row>
    <row r="25" spans="1:20" ht="57" customHeight="1">
      <c r="A25" s="562"/>
      <c r="B25" s="563"/>
      <c r="C25" s="563"/>
      <c r="D25" s="563"/>
      <c r="E25" s="563"/>
      <c r="F25" s="563"/>
      <c r="G25" s="563"/>
      <c r="H25" s="265"/>
      <c r="I25" s="61"/>
      <c r="J25" s="264"/>
      <c r="K25" s="264"/>
      <c r="L25" s="264"/>
      <c r="M25" s="264"/>
      <c r="N25" s="264"/>
      <c r="O25" s="264"/>
      <c r="P25" s="264"/>
      <c r="Q25" s="264"/>
      <c r="R25" s="264"/>
      <c r="S25" s="264"/>
    </row>
    <row r="26" spans="1:20" ht="33.75" customHeight="1">
      <c r="A26" s="562"/>
      <c r="B26" s="563"/>
      <c r="C26" s="563"/>
      <c r="D26" s="563"/>
      <c r="E26" s="563"/>
      <c r="F26" s="563"/>
      <c r="G26" s="563"/>
      <c r="H26" s="265"/>
      <c r="I26" s="61"/>
      <c r="J26" s="264"/>
      <c r="K26" s="264"/>
      <c r="L26" s="264"/>
      <c r="M26" s="264"/>
      <c r="N26" s="264"/>
      <c r="O26" s="264"/>
      <c r="P26" s="264"/>
      <c r="Q26" s="264"/>
      <c r="R26" s="264"/>
      <c r="S26" s="264"/>
    </row>
    <row r="27" spans="1:20" ht="15">
      <c r="A27" s="544"/>
      <c r="B27" s="545"/>
      <c r="C27" s="545"/>
      <c r="D27" s="545"/>
      <c r="E27" s="545"/>
      <c r="F27" s="545"/>
      <c r="G27" s="545"/>
      <c r="H27" s="545"/>
      <c r="I27" s="545"/>
      <c r="J27" s="546"/>
      <c r="K27" s="546"/>
      <c r="L27" s="546"/>
      <c r="M27" s="546"/>
      <c r="N27" s="546"/>
      <c r="O27" s="546"/>
      <c r="P27" s="546"/>
      <c r="Q27" s="546"/>
      <c r="R27" s="546"/>
      <c r="S27" s="546"/>
    </row>
    <row r="28" spans="1:20" ht="15">
      <c r="A28" s="544"/>
      <c r="B28" s="545"/>
      <c r="C28" s="545"/>
      <c r="D28" s="545"/>
      <c r="E28" s="545"/>
      <c r="F28" s="545"/>
      <c r="G28" s="545"/>
      <c r="H28" s="545"/>
      <c r="I28" s="545"/>
      <c r="J28" s="546"/>
      <c r="K28" s="546"/>
      <c r="L28" s="546"/>
      <c r="M28" s="546"/>
      <c r="N28" s="546"/>
      <c r="O28" s="546"/>
      <c r="P28" s="546"/>
      <c r="Q28" s="546"/>
      <c r="R28" s="546"/>
      <c r="S28" s="546"/>
    </row>
    <row r="29" spans="1:20">
      <c r="S29" s="224"/>
    </row>
  </sheetData>
  <customSheetViews>
    <customSheetView guid="{68D6E89C-5B15-4C35-9CD8-F5F4F27258FD}" scale="70" showPageBreaks="1" printArea="1" hiddenRows="1" view="pageBreakPreview">
      <selection activeCell="A4" sqref="A4:P4"/>
      <pageMargins left="0.75" right="0.75" top="1" bottom="0.79" header="0.5" footer="0.5"/>
      <printOptions horizontalCentered="1"/>
      <pageSetup scale="54" orientation="landscape" r:id="rId1"/>
      <headerFooter alignWithMargins="0">
        <oddFooter>&amp;C&amp;"Times New Roman,Regular"Exhibit D - Resources by DOJ Strategic Goals &amp; Strategic Objectives</oddFooter>
      </headerFooter>
    </customSheetView>
    <customSheetView guid="{4148B88B-8ED7-4FDE-9459-DEB244AD0552}" scale="75" showPageBreaks="1" printArea="1" hiddenRows="1" view="pageBreakPreview">
      <selection activeCell="D45" sqref="D45"/>
      <pageMargins left="0.75" right="0.75" top="1" bottom="0.79" header="0.5" footer="0.5"/>
      <printOptions horizontalCentered="1"/>
      <pageSetup scale="54" orientation="landscape" r:id="rId2"/>
      <headerFooter alignWithMargins="0">
        <oddFooter>&amp;C&amp;"Times New Roman,Regular"Exhibit D - Resources by DOJ Strategic Goals &amp; Strategic Objectives</oddFooter>
      </headerFooter>
    </customSheetView>
    <customSheetView guid="{56C0A34E-45B4-448B-85E5-70B3A8E63333}" scale="75" showPageBreaks="1" printArea="1" hiddenRows="1" view="pageBreakPreview" topLeftCell="A7">
      <selection activeCell="F11" sqref="F11"/>
      <pageMargins left="0.75" right="0.75" top="1" bottom="0.79" header="0.5" footer="0.5"/>
      <printOptions horizontalCentered="1"/>
      <pageSetup scale="54" orientation="landscape" r:id="rId3"/>
      <headerFooter alignWithMargins="0">
        <oddFooter>&amp;C&amp;"Times New Roman,Regular"Exhibit D - Resources by DOJ Strategic Goals &amp; Strategic Objectives</oddFooter>
      </headerFooter>
    </customSheetView>
    <customSheetView guid="{3118AF25-8423-420A-806A-487665220C68}" scale="75" showPageBreaks="1" printArea="1" hiddenRows="1" view="pageBreakPreview" topLeftCell="A8">
      <selection activeCell="P43" sqref="P43"/>
      <pageMargins left="0.75" right="0.75" top="1" bottom="0.79" header="0.5" footer="0.5"/>
      <printOptions horizontalCentered="1"/>
      <pageSetup scale="54" orientation="landscape" r:id="rId4"/>
      <headerFooter alignWithMargins="0">
        <oddFooter>&amp;C&amp;"Times New Roman,Regular"Exhibit D - Resources by DOJ Strategic Goals &amp; Strategic Objectives</oddFooter>
      </headerFooter>
    </customSheetView>
    <customSheetView guid="{12C66D54-5067-4346-818B-6EAB1C8A9183}" scale="70" showPageBreaks="1" printArea="1" hiddenRows="1" view="pageBreakPreview">
      <selection activeCell="J23" sqref="J23"/>
      <pageMargins left="0.75" right="0.75" top="1" bottom="0.79" header="0.5" footer="0.5"/>
      <printOptions horizontalCentered="1"/>
      <pageSetup scale="54" orientation="landscape" r:id="rId5"/>
      <headerFooter alignWithMargins="0">
        <oddFooter>&amp;C&amp;"Times New Roman,Regular"Exhibit D - Resources by DOJ Strategic Goals &amp; Strategic Objectives</oddFooter>
      </headerFooter>
    </customSheetView>
  </customSheetViews>
  <mergeCells count="17">
    <mergeCell ref="A1:P1"/>
    <mergeCell ref="A3:P3"/>
    <mergeCell ref="A4:P4"/>
    <mergeCell ref="A5:P5"/>
    <mergeCell ref="C8:D9"/>
    <mergeCell ref="A28:S28"/>
    <mergeCell ref="M9:N9"/>
    <mergeCell ref="A10:A11"/>
    <mergeCell ref="F8:G9"/>
    <mergeCell ref="O8:P9"/>
    <mergeCell ref="K8:N8"/>
    <mergeCell ref="A27:S27"/>
    <mergeCell ref="K9:L9"/>
    <mergeCell ref="I8:J9"/>
    <mergeCell ref="A23:G23"/>
    <mergeCell ref="A26:G26"/>
    <mergeCell ref="A25:G25"/>
  </mergeCells>
  <printOptions horizontalCentered="1"/>
  <pageMargins left="0.75" right="0.75" top="1" bottom="0.79" header="0.5" footer="0.5"/>
  <pageSetup scale="54" orientation="landscape" r:id="rId6"/>
  <headerFooter alignWithMargins="0">
    <oddFooter>&amp;C&amp;"Times New Roman,Regular"Exhibit D - Resources by DOJ Strategic Goals &amp; Strategic Objectives</oddFooter>
  </headerFooter>
</worksheet>
</file>

<file path=xl/worksheets/sheet5.xml><?xml version="1.0" encoding="utf-8"?>
<worksheet xmlns="http://schemas.openxmlformats.org/spreadsheetml/2006/main" xmlns:r="http://schemas.openxmlformats.org/officeDocument/2006/relationships">
  <sheetPr codeName="Sheet10"/>
  <dimension ref="A1:S44"/>
  <sheetViews>
    <sheetView view="pageBreakPreview" topLeftCell="A4" zoomScaleNormal="75" zoomScaleSheetLayoutView="100" workbookViewId="0">
      <selection activeCell="D43" sqref="D43"/>
    </sheetView>
  </sheetViews>
  <sheetFormatPr defaultRowHeight="15"/>
  <cols>
    <col min="1" max="1" width="97.6640625" style="419" customWidth="1"/>
    <col min="2" max="2" width="7.6640625" style="34" customWidth="1"/>
    <col min="3" max="3" width="7.77734375" style="34" customWidth="1"/>
    <col min="4" max="4" width="12.109375" style="34" customWidth="1"/>
    <col min="6" max="6" width="45.6640625" style="76" customWidth="1"/>
  </cols>
  <sheetData>
    <row r="1" spans="1:19" ht="20.25">
      <c r="A1" s="577" t="s">
        <v>153</v>
      </c>
      <c r="B1" s="578"/>
      <c r="C1" s="578"/>
      <c r="D1" s="578"/>
      <c r="E1" s="378" t="s">
        <v>0</v>
      </c>
      <c r="F1" s="373"/>
      <c r="G1" s="373"/>
      <c r="H1" s="373"/>
      <c r="I1" s="373"/>
      <c r="J1" s="373"/>
      <c r="K1" s="373"/>
      <c r="L1" s="373"/>
      <c r="M1" s="373"/>
      <c r="N1" s="373"/>
      <c r="O1" s="373"/>
      <c r="P1" s="373"/>
      <c r="Q1" s="373"/>
      <c r="R1" s="373"/>
      <c r="S1" s="373"/>
    </row>
    <row r="2" spans="1:19" ht="15.75">
      <c r="A2" s="581" t="s">
        <v>128</v>
      </c>
      <c r="B2" s="581"/>
      <c r="C2" s="581"/>
      <c r="D2" s="582"/>
      <c r="E2" s="378" t="s">
        <v>0</v>
      </c>
      <c r="F2" s="373"/>
      <c r="G2" s="373"/>
      <c r="H2" s="373"/>
      <c r="I2" s="373"/>
      <c r="J2" s="373"/>
      <c r="K2" s="373"/>
      <c r="L2" s="373"/>
      <c r="M2" s="373"/>
      <c r="N2" s="373"/>
      <c r="O2" s="373"/>
      <c r="P2" s="373"/>
      <c r="Q2" s="373"/>
      <c r="R2" s="373"/>
      <c r="S2" s="373"/>
    </row>
    <row r="3" spans="1:19" ht="15" customHeight="1">
      <c r="A3" s="579" t="s">
        <v>104</v>
      </c>
      <c r="B3" s="567"/>
      <c r="C3" s="567"/>
      <c r="D3" s="567"/>
      <c r="E3" s="378" t="s">
        <v>0</v>
      </c>
      <c r="F3" s="373"/>
      <c r="G3" s="375"/>
      <c r="H3" s="375"/>
      <c r="I3" s="375"/>
      <c r="J3" s="375"/>
      <c r="K3" s="375"/>
      <c r="L3" s="375"/>
      <c r="M3" s="375"/>
      <c r="N3" s="375"/>
      <c r="O3" s="375"/>
      <c r="P3" s="375"/>
      <c r="Q3" s="375"/>
      <c r="R3" s="375"/>
      <c r="S3" s="375"/>
    </row>
    <row r="4" spans="1:19" ht="15.75">
      <c r="A4" s="580" t="s">
        <v>189</v>
      </c>
      <c r="B4" s="567"/>
      <c r="C4" s="567"/>
      <c r="D4" s="567"/>
      <c r="E4" s="378" t="s">
        <v>0</v>
      </c>
      <c r="F4" s="373"/>
      <c r="G4" s="377"/>
      <c r="H4" s="375"/>
      <c r="I4" s="375"/>
      <c r="J4" s="375"/>
      <c r="K4" s="375"/>
      <c r="L4" s="375"/>
      <c r="M4" s="375"/>
      <c r="N4" s="375"/>
      <c r="O4" s="375"/>
      <c r="P4" s="375"/>
      <c r="Q4" s="375"/>
      <c r="R4" s="375"/>
      <c r="S4" s="375"/>
    </row>
    <row r="5" spans="1:19">
      <c r="A5" s="576"/>
      <c r="B5" s="576"/>
      <c r="C5" s="576"/>
      <c r="D5" s="576"/>
      <c r="E5" s="378" t="s">
        <v>0</v>
      </c>
      <c r="F5" s="373"/>
      <c r="G5" s="376"/>
      <c r="H5" s="375"/>
      <c r="I5" s="375"/>
      <c r="J5" s="375"/>
      <c r="K5" s="375"/>
      <c r="L5" s="375"/>
      <c r="M5" s="375"/>
      <c r="N5" s="375"/>
      <c r="O5" s="375"/>
      <c r="P5" s="375"/>
      <c r="Q5" s="375"/>
      <c r="R5" s="375"/>
      <c r="S5" s="375"/>
    </row>
    <row r="6" spans="1:19">
      <c r="A6" s="576"/>
      <c r="B6" s="576"/>
      <c r="C6" s="576"/>
      <c r="D6" s="576"/>
      <c r="E6" s="378" t="s">
        <v>0</v>
      </c>
      <c r="F6" s="373"/>
      <c r="G6" s="376"/>
      <c r="H6" s="375"/>
      <c r="I6" s="375"/>
      <c r="J6" s="375"/>
      <c r="K6" s="375"/>
      <c r="L6" s="375"/>
      <c r="M6" s="375"/>
      <c r="N6" s="375"/>
      <c r="O6" s="375"/>
      <c r="P6" s="375"/>
      <c r="Q6" s="375"/>
      <c r="R6" s="375"/>
      <c r="S6" s="375"/>
    </row>
    <row r="7" spans="1:19" ht="15.75">
      <c r="A7" s="406"/>
      <c r="B7" s="385" t="s">
        <v>106</v>
      </c>
      <c r="C7" s="385" t="s">
        <v>33</v>
      </c>
      <c r="D7" s="385" t="s">
        <v>129</v>
      </c>
      <c r="E7" s="378" t="s">
        <v>0</v>
      </c>
      <c r="F7" s="379"/>
      <c r="G7" s="376"/>
      <c r="H7" s="375"/>
      <c r="I7" s="375"/>
      <c r="J7" s="375"/>
      <c r="K7" s="375"/>
      <c r="L7" s="375"/>
      <c r="M7" s="375"/>
      <c r="N7" s="375"/>
      <c r="O7" s="375"/>
      <c r="P7" s="375"/>
      <c r="Q7" s="375"/>
      <c r="R7" s="375"/>
      <c r="S7" s="375"/>
    </row>
    <row r="8" spans="1:19" ht="15.75">
      <c r="A8" s="574" t="s">
        <v>37</v>
      </c>
      <c r="B8" s="575"/>
      <c r="C8" s="575"/>
      <c r="D8" s="575"/>
      <c r="E8" s="378" t="s">
        <v>0</v>
      </c>
      <c r="F8" s="379"/>
      <c r="G8" s="376"/>
      <c r="H8" s="376"/>
      <c r="I8" s="376"/>
      <c r="J8" s="373"/>
      <c r="K8" s="373"/>
      <c r="L8" s="373"/>
      <c r="M8" s="373"/>
      <c r="N8" s="373"/>
      <c r="O8" s="373"/>
      <c r="P8" s="373"/>
      <c r="Q8" s="373"/>
      <c r="R8" s="373"/>
      <c r="S8" s="373"/>
    </row>
    <row r="9" spans="1:19" ht="15" customHeight="1">
      <c r="A9" s="399"/>
      <c r="B9" s="385"/>
      <c r="C9" s="385"/>
      <c r="D9" s="385"/>
      <c r="E9" s="378" t="s">
        <v>0</v>
      </c>
      <c r="F9" s="379"/>
      <c r="G9" s="376"/>
      <c r="H9" s="373"/>
      <c r="I9" s="373"/>
      <c r="J9" s="373"/>
      <c r="K9" s="373"/>
      <c r="L9" s="373"/>
      <c r="M9" s="373"/>
      <c r="N9" s="373"/>
      <c r="O9" s="373"/>
      <c r="P9" s="373"/>
      <c r="Q9" s="373"/>
      <c r="R9" s="373"/>
      <c r="S9" s="373"/>
    </row>
    <row r="10" spans="1:19" ht="34.9" customHeight="1">
      <c r="A10" s="416" t="s">
        <v>191</v>
      </c>
      <c r="B10" s="387"/>
      <c r="C10" s="387"/>
      <c r="D10" s="388">
        <v>1182000</v>
      </c>
      <c r="E10" s="378" t="s">
        <v>0</v>
      </c>
      <c r="F10" s="379"/>
      <c r="G10" s="376"/>
      <c r="H10" s="380"/>
      <c r="I10" s="380"/>
      <c r="J10" s="380"/>
      <c r="K10" s="380"/>
      <c r="L10" s="380"/>
      <c r="M10" s="380"/>
      <c r="N10" s="380"/>
      <c r="O10" s="380"/>
      <c r="P10" s="380"/>
      <c r="Q10" s="380"/>
      <c r="R10" s="380"/>
      <c r="S10" s="380"/>
    </row>
    <row r="11" spans="1:19" ht="15.75">
      <c r="A11" s="407"/>
      <c r="B11" s="387"/>
      <c r="C11" s="387"/>
      <c r="D11" s="388"/>
      <c r="E11" s="378"/>
      <c r="F11" s="379"/>
      <c r="G11" s="376"/>
      <c r="H11" s="380"/>
      <c r="I11" s="380"/>
      <c r="J11" s="380"/>
      <c r="K11" s="380"/>
      <c r="L11" s="380"/>
      <c r="M11" s="380"/>
      <c r="N11" s="380"/>
      <c r="O11" s="380"/>
      <c r="P11" s="380"/>
      <c r="Q11" s="380"/>
      <c r="R11" s="380"/>
      <c r="S11" s="380"/>
    </row>
    <row r="12" spans="1:19" s="380" customFormat="1" ht="46.9" customHeight="1">
      <c r="A12" s="407" t="s">
        <v>192</v>
      </c>
      <c r="B12" s="387"/>
      <c r="C12" s="387"/>
      <c r="D12" s="395">
        <v>-16000</v>
      </c>
      <c r="E12" s="378" t="s">
        <v>0</v>
      </c>
      <c r="F12" s="379"/>
      <c r="G12" s="376"/>
    </row>
    <row r="13" spans="1:19" s="126" customFormat="1" ht="15" customHeight="1">
      <c r="A13" s="407"/>
      <c r="B13" s="387"/>
      <c r="C13" s="387"/>
      <c r="D13" s="388"/>
      <c r="E13" s="378"/>
      <c r="F13" s="379"/>
      <c r="G13" s="376"/>
      <c r="H13" s="380"/>
      <c r="I13" s="380"/>
      <c r="J13" s="380"/>
      <c r="K13" s="380"/>
      <c r="L13" s="380"/>
      <c r="M13" s="380"/>
      <c r="N13" s="380"/>
      <c r="O13" s="380"/>
      <c r="P13" s="380"/>
      <c r="Q13" s="380"/>
      <c r="R13" s="380"/>
      <c r="S13" s="380"/>
    </row>
    <row r="14" spans="1:19" s="126" customFormat="1" ht="64.900000000000006" customHeight="1">
      <c r="A14" s="407" t="s">
        <v>193</v>
      </c>
      <c r="B14" s="387"/>
      <c r="C14" s="387"/>
      <c r="D14" s="395">
        <v>-74000</v>
      </c>
      <c r="E14" s="378" t="s">
        <v>0</v>
      </c>
      <c r="F14" s="379"/>
      <c r="G14" s="376"/>
      <c r="H14" s="380"/>
      <c r="I14" s="380"/>
      <c r="J14" s="380"/>
      <c r="K14" s="380"/>
      <c r="L14" s="380"/>
      <c r="M14" s="380"/>
      <c r="N14" s="380"/>
      <c r="O14" s="380"/>
      <c r="P14" s="380"/>
      <c r="Q14" s="380"/>
      <c r="R14" s="380"/>
      <c r="S14" s="380"/>
    </row>
    <row r="15" spans="1:19" s="380" customFormat="1" ht="25.15" customHeight="1">
      <c r="A15" s="407"/>
      <c r="B15" s="387"/>
      <c r="C15" s="387"/>
      <c r="D15" s="395"/>
      <c r="E15" s="378"/>
      <c r="F15" s="379"/>
      <c r="G15" s="376"/>
    </row>
    <row r="16" spans="1:19" s="126" customFormat="1" ht="30" customHeight="1">
      <c r="A16" s="572" t="s">
        <v>130</v>
      </c>
      <c r="B16" s="573"/>
      <c r="C16" s="573"/>
      <c r="D16" s="573"/>
      <c r="E16" s="378" t="s">
        <v>0</v>
      </c>
      <c r="F16" s="379"/>
      <c r="G16" s="376"/>
      <c r="H16" s="380"/>
      <c r="I16" s="380"/>
      <c r="J16" s="380"/>
      <c r="K16" s="380"/>
      <c r="L16" s="380"/>
      <c r="M16" s="380"/>
      <c r="N16" s="380"/>
      <c r="O16" s="380"/>
      <c r="P16" s="380"/>
      <c r="Q16" s="380"/>
      <c r="R16" s="380"/>
      <c r="S16" s="380"/>
    </row>
    <row r="17" spans="1:7" s="380" customFormat="1" ht="15" customHeight="1">
      <c r="A17" s="408"/>
      <c r="B17" s="398"/>
      <c r="C17" s="398"/>
      <c r="D17" s="398"/>
      <c r="E17" s="378"/>
      <c r="F17" s="379"/>
      <c r="G17" s="376"/>
    </row>
    <row r="18" spans="1:7" s="380" customFormat="1" ht="45" customHeight="1">
      <c r="A18" s="409" t="s">
        <v>201</v>
      </c>
      <c r="B18" s="398"/>
      <c r="C18" s="398"/>
      <c r="D18" s="405">
        <v>204000</v>
      </c>
      <c r="E18" s="378" t="s">
        <v>0</v>
      </c>
      <c r="F18" s="379"/>
      <c r="G18" s="376"/>
    </row>
    <row r="19" spans="1:7" s="380" customFormat="1" ht="15" customHeight="1">
      <c r="A19" s="410"/>
      <c r="B19" s="391"/>
      <c r="C19" s="391"/>
      <c r="D19" s="391"/>
      <c r="E19" s="378" t="s">
        <v>0</v>
      </c>
      <c r="F19" s="378"/>
      <c r="G19" s="376"/>
    </row>
    <row r="20" spans="1:7" s="126" customFormat="1" ht="45" customHeight="1">
      <c r="A20" s="407" t="s">
        <v>194</v>
      </c>
      <c r="B20" s="387"/>
      <c r="C20" s="387"/>
      <c r="D20" s="388">
        <v>85000</v>
      </c>
      <c r="E20" s="378" t="s">
        <v>0</v>
      </c>
      <c r="F20" s="378"/>
      <c r="G20" s="376"/>
    </row>
    <row r="21" spans="1:7" s="126" customFormat="1" ht="15" customHeight="1">
      <c r="A21" s="411"/>
      <c r="B21" s="391"/>
      <c r="C21" s="391"/>
      <c r="D21" s="391"/>
      <c r="E21" s="378" t="s">
        <v>0</v>
      </c>
      <c r="F21" s="378"/>
      <c r="G21" s="376"/>
    </row>
    <row r="22" spans="1:7" s="126" customFormat="1" ht="45" customHeight="1">
      <c r="A22" s="412" t="s">
        <v>195</v>
      </c>
      <c r="B22" s="387"/>
      <c r="C22" s="387"/>
      <c r="D22" s="388">
        <v>1000</v>
      </c>
      <c r="E22" s="378" t="s">
        <v>0</v>
      </c>
      <c r="F22" s="384"/>
      <c r="G22" s="376"/>
    </row>
    <row r="23" spans="1:7" s="126" customFormat="1" ht="15" customHeight="1">
      <c r="A23" s="413"/>
      <c r="B23" s="386"/>
      <c r="C23" s="386"/>
      <c r="D23" s="386"/>
      <c r="E23" s="378" t="s">
        <v>0</v>
      </c>
      <c r="F23" s="378"/>
      <c r="G23" s="376"/>
    </row>
    <row r="24" spans="1:7" s="126" customFormat="1" ht="30" customHeight="1">
      <c r="A24" s="407" t="s">
        <v>196</v>
      </c>
      <c r="B24" s="387"/>
      <c r="C24" s="387"/>
      <c r="D24" s="388">
        <v>213000</v>
      </c>
      <c r="E24" s="378" t="s">
        <v>0</v>
      </c>
      <c r="F24" s="378"/>
      <c r="G24" s="376"/>
    </row>
    <row r="25" spans="1:7" s="126" customFormat="1" ht="15" customHeight="1">
      <c r="A25" s="407"/>
      <c r="B25" s="392"/>
      <c r="C25" s="392"/>
      <c r="D25" s="392"/>
      <c r="E25" s="378" t="s">
        <v>0</v>
      </c>
      <c r="F25" s="378"/>
      <c r="G25" s="376"/>
    </row>
    <row r="26" spans="1:7" s="126" customFormat="1" ht="130.15" customHeight="1">
      <c r="A26" s="407" t="s">
        <v>202</v>
      </c>
      <c r="B26" s="390"/>
      <c r="C26" s="390"/>
      <c r="D26" s="396">
        <v>87000</v>
      </c>
      <c r="E26" s="378" t="s">
        <v>0</v>
      </c>
      <c r="F26" s="378"/>
      <c r="G26" s="380"/>
    </row>
    <row r="27" spans="1:7" s="126" customFormat="1" ht="15.75">
      <c r="A27" s="407"/>
      <c r="B27" s="392"/>
      <c r="C27" s="392"/>
      <c r="D27" s="392"/>
      <c r="E27" s="378"/>
      <c r="F27" s="378"/>
      <c r="G27" s="376"/>
    </row>
    <row r="28" spans="1:7" s="126" customFormat="1" ht="34.9" customHeight="1">
      <c r="A28" s="414" t="s">
        <v>197</v>
      </c>
      <c r="B28" s="387"/>
      <c r="C28" s="387"/>
      <c r="D28" s="388">
        <v>212000</v>
      </c>
      <c r="E28" s="378" t="s">
        <v>0</v>
      </c>
      <c r="F28" s="384"/>
      <c r="G28" s="376"/>
    </row>
    <row r="29" spans="1:7" s="126" customFormat="1" ht="15.75">
      <c r="A29" s="413"/>
      <c r="B29" s="386"/>
      <c r="C29" s="386"/>
      <c r="D29" s="386"/>
      <c r="E29" s="378" t="s">
        <v>0</v>
      </c>
      <c r="F29" s="379"/>
      <c r="G29" s="376"/>
    </row>
    <row r="30" spans="1:7" s="380" customFormat="1" ht="15.75">
      <c r="A30" s="413"/>
      <c r="B30" s="386"/>
      <c r="C30" s="386"/>
      <c r="D30" s="386"/>
      <c r="E30" s="378"/>
      <c r="F30" s="379"/>
      <c r="G30" s="376"/>
    </row>
    <row r="31" spans="1:7" s="380" customFormat="1" ht="15.75">
      <c r="A31" s="413"/>
      <c r="B31" s="386"/>
      <c r="C31" s="386"/>
      <c r="D31" s="386"/>
      <c r="E31" s="378"/>
      <c r="F31" s="379"/>
      <c r="G31" s="376"/>
    </row>
    <row r="32" spans="1:7" s="126" customFormat="1" ht="15.75">
      <c r="A32" s="411"/>
      <c r="B32" s="391"/>
      <c r="C32" s="391"/>
      <c r="D32" s="391"/>
      <c r="E32" s="378" t="s">
        <v>0</v>
      </c>
      <c r="F32" s="379"/>
      <c r="G32" s="376"/>
    </row>
    <row r="33" spans="1:7" s="126" customFormat="1" ht="15.75">
      <c r="A33" s="411"/>
      <c r="B33" s="385" t="s">
        <v>106</v>
      </c>
      <c r="C33" s="385" t="s">
        <v>33</v>
      </c>
      <c r="D33" s="385" t="s">
        <v>129</v>
      </c>
      <c r="E33" s="378"/>
      <c r="F33" s="379"/>
      <c r="G33" s="376"/>
    </row>
    <row r="34" spans="1:7" s="126" customFormat="1" ht="79.900000000000006" customHeight="1">
      <c r="A34" s="415" t="s">
        <v>198</v>
      </c>
      <c r="B34" s="387"/>
      <c r="C34" s="387"/>
      <c r="D34" s="388">
        <v>310000</v>
      </c>
      <c r="E34" s="378" t="s">
        <v>0</v>
      </c>
      <c r="F34" s="379"/>
      <c r="G34" s="376"/>
    </row>
    <row r="35" spans="1:7" s="126" customFormat="1" ht="15.75">
      <c r="A35" s="415"/>
      <c r="B35" s="387"/>
      <c r="C35" s="387"/>
      <c r="D35" s="388"/>
      <c r="E35" s="378"/>
      <c r="F35" s="379"/>
      <c r="G35" s="376"/>
    </row>
    <row r="36" spans="1:7" s="126" customFormat="1" ht="30" customHeight="1">
      <c r="A36" s="416" t="s">
        <v>200</v>
      </c>
      <c r="B36" s="389"/>
      <c r="C36" s="389"/>
      <c r="D36" s="397">
        <v>1000000</v>
      </c>
      <c r="E36" s="378" t="s">
        <v>0</v>
      </c>
      <c r="F36" s="378"/>
      <c r="G36" s="380"/>
    </row>
    <row r="37" spans="1:7" s="126" customFormat="1" ht="15.75">
      <c r="A37" s="411"/>
      <c r="B37" s="391"/>
      <c r="C37" s="391"/>
      <c r="D37" s="391"/>
      <c r="E37" s="378" t="s">
        <v>0</v>
      </c>
      <c r="F37" s="379"/>
      <c r="G37" s="376"/>
    </row>
    <row r="38" spans="1:7" s="126" customFormat="1" ht="30" customHeight="1">
      <c r="A38" s="415" t="s">
        <v>203</v>
      </c>
      <c r="B38" s="387"/>
      <c r="C38" s="387"/>
      <c r="D38" s="388">
        <v>27000</v>
      </c>
      <c r="E38" s="378" t="s">
        <v>0</v>
      </c>
      <c r="F38" s="379"/>
      <c r="G38" s="376"/>
    </row>
    <row r="39" spans="1:7" s="126" customFormat="1" ht="15.75">
      <c r="A39" s="415"/>
      <c r="B39" s="387"/>
      <c r="C39" s="387"/>
      <c r="D39" s="388"/>
      <c r="E39" s="378"/>
      <c r="F39" s="379"/>
      <c r="G39" s="376"/>
    </row>
    <row r="40" spans="1:7" s="126" customFormat="1" ht="15" customHeight="1">
      <c r="A40" s="411"/>
      <c r="B40" s="391"/>
      <c r="C40" s="391"/>
      <c r="D40" s="391"/>
      <c r="E40" s="378" t="s">
        <v>0</v>
      </c>
      <c r="F40" s="378"/>
      <c r="G40" s="376"/>
    </row>
    <row r="41" spans="1:7" s="126" customFormat="1" ht="42.75" customHeight="1">
      <c r="A41" s="420" t="s">
        <v>107</v>
      </c>
      <c r="B41" s="393">
        <v>0</v>
      </c>
      <c r="C41" s="393">
        <v>0</v>
      </c>
      <c r="D41" s="394">
        <v>3231000</v>
      </c>
      <c r="E41" s="378" t="s">
        <v>0</v>
      </c>
      <c r="F41" s="382"/>
      <c r="G41" s="376"/>
    </row>
    <row r="42" spans="1:7" s="126" customFormat="1" ht="15" customHeight="1">
      <c r="A42" s="421" t="s">
        <v>108</v>
      </c>
      <c r="B42" s="401">
        <v>0</v>
      </c>
      <c r="C42" s="401">
        <v>0</v>
      </c>
      <c r="D42" s="402">
        <v>3231000</v>
      </c>
      <c r="E42" s="378" t="s">
        <v>0</v>
      </c>
      <c r="F42" s="378"/>
      <c r="G42" s="381"/>
    </row>
    <row r="43" spans="1:7" s="126" customFormat="1" ht="34.5" customHeight="1">
      <c r="A43" s="417"/>
      <c r="B43" s="387"/>
      <c r="C43" s="387"/>
      <c r="D43" s="387"/>
      <c r="E43" s="378" t="s">
        <v>0</v>
      </c>
      <c r="F43" s="378"/>
      <c r="G43" s="381"/>
    </row>
    <row r="44" spans="1:7" s="400" customFormat="1" ht="25.15" customHeight="1">
      <c r="A44" s="418"/>
      <c r="E44" s="403" t="s">
        <v>16</v>
      </c>
      <c r="F44" s="403"/>
      <c r="G44" s="404"/>
    </row>
  </sheetData>
  <customSheetViews>
    <customSheetView guid="{68D6E89C-5B15-4C35-9CD8-F5F4F27258FD}" showPageBreaks="1" printArea="1" view="pageBreakPreview" topLeftCell="A27">
      <selection activeCell="A34" sqref="A34"/>
      <rowBreaks count="1" manualBreakCount="1">
        <brk id="30" max="3" man="1"/>
      </rowBreaks>
      <pageMargins left="1.51" right="0.75" top="1" bottom="1" header="0.5" footer="0.5"/>
      <pageSetup scale="57" fitToHeight="3" orientation="landscape" r:id="rId1"/>
      <headerFooter alignWithMargins="0">
        <oddFooter>&amp;C&amp;"Times New Roman,Regular"&amp;11Exhibit E - Justification for Base Adjustments</oddFooter>
      </headerFooter>
    </customSheetView>
    <customSheetView guid="{4148B88B-8ED7-4FDE-9459-DEB244AD0552}" showPageBreaks="1" printArea="1" view="pageBreakPreview">
      <selection activeCell="F64" sqref="F64"/>
      <rowBreaks count="2" manualBreakCount="2">
        <brk id="36" max="8" man="1"/>
        <brk id="57" max="8" man="1"/>
      </rowBreaks>
      <pageMargins left="0.75" right="0.75" top="1" bottom="1" header="0.5" footer="0.5"/>
      <pageSetup scale="67" fitToHeight="3" orientation="landscape" r:id="rId2"/>
      <headerFooter alignWithMargins="0">
        <oddFooter>&amp;C&amp;"Times New Roman,Regular"&amp;11Exhibit E - Justification for Base Adjustments</oddFooter>
      </headerFooter>
    </customSheetView>
    <customSheetView guid="{56C0A34E-45B4-448B-85E5-70B3A8E63333}" showPageBreaks="1" printArea="1" view="pageBreakPreview" topLeftCell="A55">
      <selection activeCell="F64" sqref="F64"/>
      <rowBreaks count="2" manualBreakCount="2">
        <brk id="36" max="8" man="1"/>
        <brk id="57" max="8" man="1"/>
      </rowBreaks>
      <pageMargins left="0.75" right="0.75" top="1" bottom="1" header="0.5" footer="0.5"/>
      <pageSetup scale="67" fitToHeight="3" orientation="landscape" r:id="rId3"/>
      <headerFooter alignWithMargins="0">
        <oddFooter>&amp;C&amp;"Times New Roman,Regular"&amp;11Exhibit E - Justification for Base Adjustments</oddFooter>
      </headerFooter>
    </customSheetView>
    <customSheetView guid="{3118AF25-8423-420A-806A-487665220C68}" showPageBreaks="1" printArea="1" view="pageBreakPreview" topLeftCell="A55">
      <selection activeCell="I71" sqref="I71"/>
      <rowBreaks count="2" manualBreakCount="2">
        <brk id="34" max="8" man="1"/>
        <brk id="55" max="8" man="1"/>
      </rowBreaks>
      <pageMargins left="0.75" right="0.75" top="1" bottom="1" header="0.5" footer="0.5"/>
      <pageSetup scale="67" fitToHeight="3" orientation="landscape" r:id="rId4"/>
      <headerFooter alignWithMargins="0">
        <oddFooter>&amp;C&amp;"Times New Roman,Regular"&amp;11Exhibit E - Justification for Base Adjustments</oddFooter>
      </headerFooter>
    </customSheetView>
    <customSheetView guid="{12C66D54-5067-4346-818B-6EAB1C8A9183}" showPageBreaks="1" printArea="1" view="pageBreakPreview" topLeftCell="A31">
      <selection activeCell="B39" sqref="B39"/>
      <rowBreaks count="2" manualBreakCount="2">
        <brk id="34" max="8" man="1"/>
        <brk id="55" max="8" man="1"/>
      </rowBreaks>
      <pageMargins left="0.75" right="0.75" top="1" bottom="1" header="0.5" footer="0.5"/>
      <pageSetup scale="67" fitToHeight="3" orientation="landscape" r:id="rId5"/>
      <headerFooter alignWithMargins="0">
        <oddFooter>&amp;C&amp;"Times New Roman,Regular"&amp;11Exhibit E - Justification for Base Adjustments</oddFooter>
      </headerFooter>
    </customSheetView>
  </customSheetViews>
  <mergeCells count="8">
    <mergeCell ref="A16:D16"/>
    <mergeCell ref="A8:D8"/>
    <mergeCell ref="A5:D5"/>
    <mergeCell ref="A1:D1"/>
    <mergeCell ref="A3:D3"/>
    <mergeCell ref="A4:D4"/>
    <mergeCell ref="A2:D2"/>
    <mergeCell ref="A6:D6"/>
  </mergeCells>
  <phoneticPr fontId="0" type="noConversion"/>
  <pageMargins left="1.51" right="0.75" top="1" bottom="1" header="0.5" footer="0.5"/>
  <pageSetup scale="57" fitToHeight="3" orientation="landscape" r:id="rId6"/>
  <headerFooter alignWithMargins="0">
    <oddFooter>&amp;C&amp;"Times New Roman,Regular"&amp;11Exhibit E - Justification for Base Adjustments</oddFooter>
  </headerFooter>
  <rowBreaks count="1" manualBreakCount="1">
    <brk id="30" max="3" man="1"/>
  </rowBreaks>
</worksheet>
</file>

<file path=xl/worksheets/sheet6.xml><?xml version="1.0" encoding="utf-8"?>
<worksheet xmlns="http://schemas.openxmlformats.org/spreadsheetml/2006/main" xmlns:r="http://schemas.openxmlformats.org/officeDocument/2006/relationships">
  <sheetPr codeName="Sheet11"/>
  <dimension ref="A1:AC39"/>
  <sheetViews>
    <sheetView showGridLines="0" showOutlineSymbols="0" view="pageBreakPreview" zoomScale="75" zoomScaleNormal="75" zoomScaleSheetLayoutView="75" workbookViewId="0">
      <selection activeCell="S13" sqref="S13"/>
    </sheetView>
  </sheetViews>
  <sheetFormatPr defaultColWidth="8.88671875" defaultRowHeight="15.75"/>
  <cols>
    <col min="1" max="1" width="27.77734375" style="8" customWidth="1"/>
    <col min="2" max="2" width="7.5546875" style="8" bestFit="1" customWidth="1"/>
    <col min="3" max="3" width="6.77734375" style="8" customWidth="1"/>
    <col min="4" max="4" width="10.88671875" style="8" bestFit="1" customWidth="1"/>
    <col min="5" max="5" width="5.77734375" style="8" customWidth="1"/>
    <col min="6" max="6" width="5.6640625" style="8" customWidth="1"/>
    <col min="7" max="7" width="7.77734375" style="8" customWidth="1"/>
    <col min="8" max="8" width="5.5546875" style="8" customWidth="1"/>
    <col min="9" max="9" width="5.6640625" style="8" customWidth="1"/>
    <col min="10" max="10" width="7.77734375" style="8" customWidth="1"/>
    <col min="11" max="11" width="10.6640625" style="8" customWidth="1"/>
    <col min="12" max="12" width="10" style="8" customWidth="1"/>
    <col min="13" max="13" width="7.5546875" style="8" bestFit="1" customWidth="1"/>
    <col min="14" max="14" width="6.77734375" style="8" customWidth="1"/>
    <col min="15" max="15" width="10.88671875" style="8" bestFit="1" customWidth="1"/>
    <col min="16" max="16" width="1" style="87" customWidth="1"/>
    <col min="17" max="16384" width="8.88671875" style="8"/>
  </cols>
  <sheetData>
    <row r="1" spans="1:29" ht="20.25">
      <c r="A1" s="587" t="s">
        <v>163</v>
      </c>
      <c r="B1" s="588"/>
      <c r="C1" s="588"/>
      <c r="D1" s="588"/>
      <c r="E1" s="588"/>
      <c r="F1" s="588"/>
      <c r="G1" s="588"/>
      <c r="H1" s="588"/>
      <c r="I1" s="588"/>
      <c r="J1" s="588"/>
      <c r="K1" s="588"/>
      <c r="L1" s="588"/>
      <c r="M1" s="588"/>
      <c r="N1" s="588"/>
      <c r="O1" s="588"/>
      <c r="P1" s="86" t="s">
        <v>0</v>
      </c>
    </row>
    <row r="2" spans="1:29" ht="16.5" customHeight="1">
      <c r="A2" s="583"/>
      <c r="B2" s="583"/>
      <c r="C2" s="583"/>
      <c r="D2" s="583"/>
      <c r="E2" s="583"/>
      <c r="F2" s="583"/>
      <c r="G2" s="583"/>
      <c r="H2" s="583"/>
      <c r="I2" s="583"/>
      <c r="J2" s="583"/>
      <c r="K2" s="583"/>
      <c r="L2" s="583"/>
      <c r="M2" s="583"/>
      <c r="N2" s="583"/>
      <c r="O2" s="583"/>
      <c r="P2" s="86" t="s">
        <v>0</v>
      </c>
    </row>
    <row r="3" spans="1:29" ht="16.5" customHeight="1">
      <c r="A3" s="589" t="s">
        <v>144</v>
      </c>
      <c r="B3" s="590"/>
      <c r="C3" s="590"/>
      <c r="D3" s="590"/>
      <c r="E3" s="590"/>
      <c r="F3" s="590"/>
      <c r="G3" s="590"/>
      <c r="H3" s="590"/>
      <c r="I3" s="590"/>
      <c r="J3" s="590"/>
      <c r="K3" s="590"/>
      <c r="L3" s="590"/>
      <c r="M3" s="590"/>
      <c r="N3" s="590"/>
      <c r="O3" s="590"/>
      <c r="P3" s="86" t="s">
        <v>0</v>
      </c>
    </row>
    <row r="4" spans="1:29" ht="16.5" customHeight="1">
      <c r="A4" s="591" t="str">
        <f>+'B. Summary of Requirements '!A5</f>
        <v>National Security Division</v>
      </c>
      <c r="B4" s="586"/>
      <c r="C4" s="586"/>
      <c r="D4" s="586"/>
      <c r="E4" s="586"/>
      <c r="F4" s="586"/>
      <c r="G4" s="586"/>
      <c r="H4" s="586"/>
      <c r="I4" s="586"/>
      <c r="J4" s="586"/>
      <c r="K4" s="586"/>
      <c r="L4" s="586"/>
      <c r="M4" s="586"/>
      <c r="N4" s="586"/>
      <c r="O4" s="586"/>
      <c r="P4" s="86" t="s">
        <v>0</v>
      </c>
    </row>
    <row r="5" spans="1:29" ht="16.5" customHeight="1">
      <c r="A5" s="591" t="str">
        <f>+'B. Summary of Requirements '!A6</f>
        <v>Salaries and Expenses</v>
      </c>
      <c r="B5" s="590"/>
      <c r="C5" s="590"/>
      <c r="D5" s="590"/>
      <c r="E5" s="590"/>
      <c r="F5" s="590"/>
      <c r="G5" s="590"/>
      <c r="H5" s="590"/>
      <c r="I5" s="590"/>
      <c r="J5" s="590"/>
      <c r="K5" s="590"/>
      <c r="L5" s="590"/>
      <c r="M5" s="590"/>
      <c r="N5" s="590"/>
      <c r="O5" s="590"/>
      <c r="P5" s="86" t="s">
        <v>0</v>
      </c>
    </row>
    <row r="6" spans="1:29" ht="16.5" customHeight="1">
      <c r="A6" s="585" t="s">
        <v>111</v>
      </c>
      <c r="B6" s="586"/>
      <c r="C6" s="586"/>
      <c r="D6" s="586"/>
      <c r="E6" s="586"/>
      <c r="F6" s="586"/>
      <c r="G6" s="586"/>
      <c r="H6" s="586"/>
      <c r="I6" s="586"/>
      <c r="J6" s="586"/>
      <c r="K6" s="586"/>
      <c r="L6" s="586"/>
      <c r="M6" s="586"/>
      <c r="N6" s="586"/>
      <c r="O6" s="586"/>
      <c r="P6" s="86" t="s">
        <v>0</v>
      </c>
    </row>
    <row r="7" spans="1:29" ht="16.5" customHeight="1">
      <c r="A7" s="583"/>
      <c r="B7" s="583"/>
      <c r="C7" s="583"/>
      <c r="D7" s="583"/>
      <c r="E7" s="583"/>
      <c r="F7" s="583"/>
      <c r="G7" s="583"/>
      <c r="H7" s="583"/>
      <c r="I7" s="583"/>
      <c r="J7" s="583"/>
      <c r="K7" s="583"/>
      <c r="L7" s="583"/>
      <c r="M7" s="583"/>
      <c r="N7" s="583"/>
      <c r="O7" s="583"/>
      <c r="P7" s="86" t="s">
        <v>0</v>
      </c>
    </row>
    <row r="8" spans="1:29" ht="16.5" customHeight="1">
      <c r="A8" s="584"/>
      <c r="B8" s="584"/>
      <c r="C8" s="584"/>
      <c r="D8" s="584"/>
      <c r="E8" s="584"/>
      <c r="F8" s="584"/>
      <c r="G8" s="584"/>
      <c r="H8" s="584"/>
      <c r="I8" s="584"/>
      <c r="J8" s="584"/>
      <c r="K8" s="584"/>
      <c r="L8" s="584"/>
      <c r="M8" s="584"/>
      <c r="N8" s="584"/>
      <c r="O8" s="584"/>
      <c r="P8" s="86" t="s">
        <v>0</v>
      </c>
    </row>
    <row r="9" spans="1:29" ht="16.5" customHeight="1">
      <c r="A9" s="612" t="s">
        <v>29</v>
      </c>
      <c r="B9" s="594" t="s">
        <v>209</v>
      </c>
      <c r="C9" s="595"/>
      <c r="D9" s="596"/>
      <c r="E9" s="606" t="s">
        <v>206</v>
      </c>
      <c r="F9" s="607"/>
      <c r="G9" s="608"/>
      <c r="H9" s="594" t="s">
        <v>15</v>
      </c>
      <c r="I9" s="595"/>
      <c r="J9" s="595"/>
      <c r="K9" s="604" t="s">
        <v>146</v>
      </c>
      <c r="L9" s="604" t="s">
        <v>147</v>
      </c>
      <c r="M9" s="594" t="s">
        <v>145</v>
      </c>
      <c r="N9" s="595"/>
      <c r="O9" s="596"/>
      <c r="P9" s="86" t="s">
        <v>0</v>
      </c>
    </row>
    <row r="10" spans="1:29" ht="16.5" customHeight="1">
      <c r="A10" s="613"/>
      <c r="B10" s="597"/>
      <c r="C10" s="598"/>
      <c r="D10" s="599"/>
      <c r="E10" s="609"/>
      <c r="F10" s="610"/>
      <c r="G10" s="611"/>
      <c r="H10" s="597"/>
      <c r="I10" s="598"/>
      <c r="J10" s="598"/>
      <c r="K10" s="605"/>
      <c r="L10" s="605"/>
      <c r="M10" s="597"/>
      <c r="N10" s="598"/>
      <c r="O10" s="599"/>
      <c r="P10" s="86" t="s">
        <v>0</v>
      </c>
    </row>
    <row r="11" spans="1:29" ht="16.5" customHeight="1" thickBot="1">
      <c r="A11" s="614"/>
      <c r="B11" s="202" t="s">
        <v>127</v>
      </c>
      <c r="C11" s="203" t="s">
        <v>33</v>
      </c>
      <c r="D11" s="203" t="s">
        <v>129</v>
      </c>
      <c r="E11" s="202" t="s">
        <v>127</v>
      </c>
      <c r="F11" s="203" t="s">
        <v>33</v>
      </c>
      <c r="G11" s="203" t="s">
        <v>129</v>
      </c>
      <c r="H11" s="202" t="s">
        <v>127</v>
      </c>
      <c r="I11" s="203" t="s">
        <v>33</v>
      </c>
      <c r="J11" s="203" t="s">
        <v>129</v>
      </c>
      <c r="K11" s="298" t="s">
        <v>129</v>
      </c>
      <c r="L11" s="299" t="s">
        <v>129</v>
      </c>
      <c r="M11" s="202" t="s">
        <v>127</v>
      </c>
      <c r="N11" s="203" t="s">
        <v>33</v>
      </c>
      <c r="O11" s="204" t="s">
        <v>129</v>
      </c>
      <c r="P11" s="86" t="s">
        <v>0</v>
      </c>
    </row>
    <row r="12" spans="1:29" ht="19.899999999999999" customHeight="1">
      <c r="A12" s="383" t="s">
        <v>189</v>
      </c>
      <c r="B12" s="194">
        <v>346</v>
      </c>
      <c r="C12" s="141">
        <v>346</v>
      </c>
      <c r="D12" s="141">
        <v>87762</v>
      </c>
      <c r="E12" s="194">
        <v>0</v>
      </c>
      <c r="F12" s="141">
        <v>0</v>
      </c>
      <c r="G12" s="141">
        <v>0</v>
      </c>
      <c r="H12" s="194">
        <v>0</v>
      </c>
      <c r="I12" s="141">
        <v>0</v>
      </c>
      <c r="J12" s="141">
        <v>5000</v>
      </c>
      <c r="K12" s="92">
        <v>1981</v>
      </c>
      <c r="L12" s="141">
        <v>841</v>
      </c>
      <c r="M12" s="194">
        <f>B12+E12+H12</f>
        <v>346</v>
      </c>
      <c r="N12" s="141">
        <f>C12+F12+I12</f>
        <v>346</v>
      </c>
      <c r="O12" s="93">
        <f>D12+G12+J12+K12+L12</f>
        <v>95584</v>
      </c>
      <c r="P12" s="86" t="s">
        <v>0</v>
      </c>
    </row>
    <row r="13" spans="1:29" ht="19.899999999999999" customHeight="1">
      <c r="A13" s="205" t="s">
        <v>134</v>
      </c>
      <c r="B13" s="206">
        <f t="shared" ref="B13:O13" si="0">SUM(B12)</f>
        <v>346</v>
      </c>
      <c r="C13" s="207">
        <f t="shared" si="0"/>
        <v>346</v>
      </c>
      <c r="D13" s="208">
        <f t="shared" si="0"/>
        <v>87762</v>
      </c>
      <c r="E13" s="206">
        <f t="shared" si="0"/>
        <v>0</v>
      </c>
      <c r="F13" s="207">
        <f t="shared" si="0"/>
        <v>0</v>
      </c>
      <c r="G13" s="209">
        <f t="shared" si="0"/>
        <v>0</v>
      </c>
      <c r="H13" s="206">
        <f t="shared" si="0"/>
        <v>0</v>
      </c>
      <c r="I13" s="207">
        <f t="shared" si="0"/>
        <v>0</v>
      </c>
      <c r="J13" s="208">
        <f t="shared" si="0"/>
        <v>5000</v>
      </c>
      <c r="K13" s="295">
        <f t="shared" si="0"/>
        <v>1981</v>
      </c>
      <c r="L13" s="208">
        <f t="shared" si="0"/>
        <v>841</v>
      </c>
      <c r="M13" s="300">
        <f t="shared" si="0"/>
        <v>346</v>
      </c>
      <c r="N13" s="301">
        <f t="shared" si="0"/>
        <v>346</v>
      </c>
      <c r="O13" s="210">
        <f t="shared" si="0"/>
        <v>95584</v>
      </c>
      <c r="P13" s="86" t="s">
        <v>0</v>
      </c>
    </row>
    <row r="14" spans="1:29" ht="19.899999999999999" customHeight="1">
      <c r="A14" s="201" t="s">
        <v>117</v>
      </c>
      <c r="B14" s="192" t="s">
        <v>128</v>
      </c>
      <c r="C14" s="193"/>
      <c r="D14" s="193"/>
      <c r="E14" s="192"/>
      <c r="F14" s="193"/>
      <c r="G14" s="193"/>
      <c r="H14" s="192"/>
      <c r="I14" s="193"/>
      <c r="J14" s="193"/>
      <c r="K14" s="94"/>
      <c r="L14" s="193"/>
      <c r="M14" s="192"/>
      <c r="N14" s="193">
        <f>C14+F14+I14</f>
        <v>0</v>
      </c>
      <c r="O14" s="211"/>
      <c r="P14" s="86" t="s">
        <v>0</v>
      </c>
      <c r="Q14" s="9"/>
      <c r="R14" s="9"/>
      <c r="S14" s="9"/>
      <c r="T14" s="9"/>
      <c r="U14" s="9"/>
      <c r="V14" s="9"/>
      <c r="W14" s="9"/>
      <c r="X14" s="9"/>
      <c r="Y14" s="9"/>
      <c r="Z14" s="9"/>
      <c r="AA14" s="9"/>
      <c r="AB14" s="9"/>
      <c r="AC14" s="9"/>
    </row>
    <row r="15" spans="1:29" ht="19.899999999999999" customHeight="1">
      <c r="A15" s="201" t="s">
        <v>116</v>
      </c>
      <c r="B15" s="212"/>
      <c r="C15" s="213">
        <f>SUM(C13:C14)</f>
        <v>346</v>
      </c>
      <c r="D15" s="213"/>
      <c r="E15" s="212"/>
      <c r="F15" s="213">
        <f>+F13+F14</f>
        <v>0</v>
      </c>
      <c r="G15" s="213"/>
      <c r="H15" s="212"/>
      <c r="I15" s="213">
        <f>+I13+I14</f>
        <v>0</v>
      </c>
      <c r="J15" s="213"/>
      <c r="K15" s="296"/>
      <c r="L15" s="213"/>
      <c r="M15" s="212"/>
      <c r="N15" s="213">
        <f>SUM(N13:N14)</f>
        <v>346</v>
      </c>
      <c r="O15" s="214"/>
      <c r="P15" s="86" t="s">
        <v>0</v>
      </c>
    </row>
    <row r="16" spans="1:29" ht="19.899999999999999" customHeight="1">
      <c r="A16" s="215" t="s">
        <v>118</v>
      </c>
      <c r="B16" s="194"/>
      <c r="C16" s="141"/>
      <c r="D16" s="141"/>
      <c r="E16" s="194"/>
      <c r="F16" s="141"/>
      <c r="G16" s="141"/>
      <c r="H16" s="194"/>
      <c r="I16" s="141"/>
      <c r="J16" s="141"/>
      <c r="K16" s="92"/>
      <c r="L16" s="141"/>
      <c r="M16" s="194"/>
      <c r="N16" s="141"/>
      <c r="O16" s="93"/>
      <c r="P16" s="86" t="s">
        <v>0</v>
      </c>
    </row>
    <row r="17" spans="1:16" ht="19.899999999999999" customHeight="1">
      <c r="A17" s="216" t="s">
        <v>39</v>
      </c>
      <c r="B17" s="194"/>
      <c r="C17" s="141"/>
      <c r="D17" s="141"/>
      <c r="E17" s="194"/>
      <c r="F17" s="141"/>
      <c r="G17" s="141"/>
      <c r="H17" s="194"/>
      <c r="I17" s="141"/>
      <c r="J17" s="141"/>
      <c r="K17" s="92"/>
      <c r="L17" s="141"/>
      <c r="M17" s="194"/>
      <c r="N17" s="141">
        <f>C17+F17+I17</f>
        <v>0</v>
      </c>
      <c r="O17" s="93"/>
      <c r="P17" s="86" t="s">
        <v>0</v>
      </c>
    </row>
    <row r="18" spans="1:16" ht="19.899999999999999" customHeight="1">
      <c r="A18" s="217" t="s">
        <v>77</v>
      </c>
      <c r="B18" s="192"/>
      <c r="C18" s="193"/>
      <c r="D18" s="193"/>
      <c r="E18" s="192"/>
      <c r="F18" s="193"/>
      <c r="G18" s="193"/>
      <c r="H18" s="192"/>
      <c r="I18" s="193"/>
      <c r="J18" s="193"/>
      <c r="K18" s="94"/>
      <c r="L18" s="193"/>
      <c r="M18" s="192"/>
      <c r="N18" s="193">
        <f>C18+F18+I18</f>
        <v>0</v>
      </c>
      <c r="O18" s="211"/>
      <c r="P18" s="86" t="s">
        <v>0</v>
      </c>
    </row>
    <row r="19" spans="1:16" ht="19.899999999999999" customHeight="1">
      <c r="A19" s="201" t="s">
        <v>119</v>
      </c>
      <c r="B19" s="192"/>
      <c r="C19" s="193">
        <f>C18+C17+C15</f>
        <v>346</v>
      </c>
      <c r="D19" s="218"/>
      <c r="E19" s="192"/>
      <c r="F19" s="193">
        <f>F18+F17+F15</f>
        <v>0</v>
      </c>
      <c r="G19" s="218"/>
      <c r="H19" s="192"/>
      <c r="I19" s="193">
        <f>I18+I17+I15</f>
        <v>0</v>
      </c>
      <c r="J19" s="218"/>
      <c r="K19" s="297"/>
      <c r="L19" s="218"/>
      <c r="M19" s="192"/>
      <c r="N19" s="193">
        <f>N18+N17+N15</f>
        <v>346</v>
      </c>
      <c r="O19" s="219"/>
      <c r="P19" s="86" t="s">
        <v>0</v>
      </c>
    </row>
    <row r="20" spans="1:16" ht="16.5" customHeight="1">
      <c r="B20" s="1"/>
      <c r="C20" s="1"/>
      <c r="D20" s="1"/>
      <c r="E20" s="1"/>
      <c r="F20" s="1"/>
      <c r="G20" s="1"/>
      <c r="H20" s="1"/>
      <c r="I20" s="1"/>
      <c r="J20" s="1"/>
      <c r="K20" s="1"/>
      <c r="L20" s="1"/>
      <c r="M20" s="1"/>
      <c r="N20" s="1"/>
      <c r="O20" s="1"/>
    </row>
    <row r="21" spans="1:16" ht="16.5" customHeight="1">
      <c r="A21" s="374" t="s">
        <v>207</v>
      </c>
      <c r="B21" s="19"/>
      <c r="C21" s="1"/>
      <c r="D21" s="1"/>
      <c r="E21" s="1"/>
      <c r="F21" s="1"/>
      <c r="G21" s="1"/>
      <c r="H21" s="1"/>
      <c r="I21" s="1"/>
      <c r="J21" s="1"/>
      <c r="K21" s="1"/>
      <c r="L21" s="1"/>
      <c r="M21" s="1"/>
      <c r="N21" s="1"/>
      <c r="O21" s="1"/>
      <c r="P21" s="86"/>
    </row>
    <row r="22" spans="1:16" ht="16.5" customHeight="1">
      <c r="A22" s="1"/>
      <c r="B22" s="19"/>
      <c r="C22" s="1"/>
      <c r="D22" s="1"/>
      <c r="E22" s="1"/>
      <c r="F22" s="432"/>
      <c r="G22" s="1"/>
      <c r="H22" s="1"/>
      <c r="I22" s="432"/>
      <c r="J22" s="1"/>
      <c r="K22" s="1"/>
      <c r="L22" s="1"/>
      <c r="M22" s="1"/>
      <c r="N22" s="1"/>
      <c r="O22" s="1"/>
      <c r="P22" s="86"/>
    </row>
    <row r="23" spans="1:16" ht="16.5" customHeight="1">
      <c r="A23" s="1"/>
      <c r="B23" s="19"/>
      <c r="C23" s="1"/>
      <c r="D23" s="1"/>
      <c r="E23" s="1"/>
      <c r="F23" s="1"/>
      <c r="G23" s="1"/>
      <c r="H23" s="1"/>
      <c r="I23" s="1"/>
      <c r="J23" s="1"/>
      <c r="K23" s="1"/>
      <c r="L23" s="1"/>
      <c r="M23" s="1"/>
      <c r="N23" s="1"/>
      <c r="O23" s="1"/>
      <c r="P23" s="86"/>
    </row>
    <row r="24" spans="1:16" ht="16.5" customHeight="1">
      <c r="A24" s="1"/>
      <c r="B24" s="19"/>
      <c r="C24" s="1"/>
      <c r="D24" s="1"/>
      <c r="E24" s="1"/>
      <c r="F24" s="1"/>
      <c r="G24" s="1"/>
      <c r="H24" s="1"/>
      <c r="I24" s="1"/>
      <c r="J24" s="1"/>
      <c r="K24" s="1"/>
      <c r="L24" s="1"/>
      <c r="M24" s="1"/>
      <c r="N24" s="1"/>
      <c r="O24" s="1"/>
      <c r="P24" s="86"/>
    </row>
    <row r="25" spans="1:16" ht="16.5" customHeight="1">
      <c r="A25" s="1"/>
      <c r="B25" s="32"/>
      <c r="C25" s="32"/>
      <c r="D25" s="32"/>
      <c r="E25" s="32"/>
      <c r="F25" s="32"/>
      <c r="G25" s="32"/>
      <c r="H25" s="32"/>
      <c r="I25" s="32"/>
      <c r="J25" s="32"/>
      <c r="K25" s="32"/>
      <c r="L25" s="289"/>
      <c r="M25" s="1"/>
      <c r="N25" s="1"/>
      <c r="O25" s="1"/>
      <c r="P25" s="86"/>
    </row>
    <row r="26" spans="1:16" ht="16.5" customHeight="1">
      <c r="A26" s="200"/>
      <c r="B26" s="1"/>
      <c r="C26" s="1"/>
      <c r="D26" s="1"/>
      <c r="E26" s="1"/>
      <c r="F26" s="1"/>
      <c r="G26" s="1"/>
      <c r="H26" s="1"/>
      <c r="I26" s="1"/>
      <c r="J26" s="1"/>
      <c r="K26" s="1"/>
      <c r="L26" s="1"/>
      <c r="M26" s="1"/>
      <c r="N26" s="1"/>
      <c r="O26" s="1"/>
    </row>
    <row r="27" spans="1:16" ht="16.5" customHeight="1">
      <c r="A27" s="35"/>
      <c r="B27" s="35"/>
      <c r="C27" s="35"/>
      <c r="D27" s="35"/>
      <c r="E27" s="35"/>
      <c r="F27" s="35"/>
      <c r="G27" s="35"/>
      <c r="H27" s="1"/>
      <c r="I27" s="1"/>
      <c r="J27" s="1"/>
      <c r="K27" s="1"/>
      <c r="L27" s="1"/>
      <c r="M27" s="1"/>
      <c r="N27" s="1"/>
      <c r="O27" s="1"/>
      <c r="P27" s="76" t="s">
        <v>16</v>
      </c>
    </row>
    <row r="28" spans="1:16" ht="16.5" customHeight="1">
      <c r="A28" s="602"/>
      <c r="B28" s="593"/>
      <c r="C28" s="593"/>
      <c r="D28" s="593"/>
      <c r="E28" s="593"/>
      <c r="F28" s="593"/>
      <c r="G28" s="593"/>
      <c r="H28" s="593"/>
      <c r="I28" s="593"/>
      <c r="J28" s="593"/>
      <c r="K28" s="593"/>
      <c r="L28" s="593"/>
      <c r="M28" s="593"/>
      <c r="N28" s="593"/>
      <c r="O28" s="593"/>
      <c r="P28" s="19"/>
    </row>
    <row r="29" spans="1:16" ht="16.5" customHeight="1">
      <c r="A29" s="615"/>
      <c r="B29" s="615"/>
      <c r="C29" s="615"/>
      <c r="D29" s="615"/>
      <c r="E29" s="615"/>
      <c r="F29" s="615"/>
      <c r="G29" s="615"/>
      <c r="H29" s="615"/>
      <c r="I29" s="615"/>
      <c r="J29" s="615"/>
      <c r="K29" s="615"/>
      <c r="L29" s="615"/>
      <c r="M29" s="615"/>
      <c r="N29" s="615"/>
      <c r="O29" s="615"/>
      <c r="P29" s="19"/>
    </row>
    <row r="30" spans="1:16" ht="16.5" customHeight="1">
      <c r="A30" s="600"/>
      <c r="B30" s="601"/>
      <c r="C30" s="601"/>
      <c r="D30" s="601"/>
      <c r="E30" s="601"/>
      <c r="F30" s="601"/>
      <c r="G30" s="601"/>
      <c r="H30" s="601"/>
      <c r="I30" s="601"/>
      <c r="J30" s="601"/>
      <c r="K30" s="601"/>
      <c r="L30" s="601"/>
      <c r="M30" s="601"/>
      <c r="N30" s="601"/>
      <c r="O30" s="601"/>
      <c r="P30" s="19"/>
    </row>
    <row r="31" spans="1:16" ht="16.5" customHeight="1">
      <c r="A31" s="286"/>
      <c r="B31" s="285"/>
      <c r="C31" s="285"/>
      <c r="D31" s="285"/>
      <c r="E31" s="285"/>
      <c r="F31" s="285"/>
      <c r="G31" s="285"/>
      <c r="H31" s="285"/>
      <c r="I31" s="285"/>
      <c r="J31" s="285"/>
      <c r="K31" s="285"/>
      <c r="L31" s="290"/>
      <c r="M31" s="285"/>
      <c r="N31" s="285"/>
      <c r="O31" s="285"/>
      <c r="P31" s="19"/>
    </row>
    <row r="32" spans="1:16" ht="35.25" customHeight="1">
      <c r="A32" s="603"/>
      <c r="B32" s="600"/>
      <c r="C32" s="600"/>
      <c r="D32" s="600"/>
      <c r="E32" s="600"/>
      <c r="F32" s="600"/>
      <c r="G32" s="600"/>
      <c r="H32" s="600"/>
      <c r="I32" s="600"/>
      <c r="J32" s="600"/>
      <c r="K32" s="600"/>
      <c r="L32" s="600"/>
      <c r="M32" s="600"/>
      <c r="N32" s="600"/>
      <c r="O32" s="600"/>
      <c r="P32" s="19"/>
    </row>
    <row r="33" spans="1:16" ht="35.25" customHeight="1">
      <c r="A33" s="600"/>
      <c r="B33" s="600"/>
      <c r="C33" s="600"/>
      <c r="D33" s="600"/>
      <c r="E33" s="600"/>
      <c r="F33" s="600"/>
      <c r="G33" s="600"/>
      <c r="H33" s="600"/>
      <c r="I33" s="600"/>
      <c r="J33" s="600"/>
      <c r="K33" s="600"/>
      <c r="L33" s="600"/>
      <c r="M33" s="600"/>
      <c r="N33" s="600"/>
      <c r="O33" s="600"/>
      <c r="P33" s="19"/>
    </row>
    <row r="34" spans="1:16" ht="16.5" customHeight="1">
      <c r="A34" s="600"/>
      <c r="B34" s="601"/>
      <c r="C34" s="601"/>
      <c r="D34" s="601"/>
      <c r="E34" s="601"/>
      <c r="F34" s="601"/>
      <c r="G34" s="601"/>
      <c r="H34" s="601"/>
      <c r="I34" s="601"/>
      <c r="J34" s="601"/>
      <c r="K34" s="601"/>
      <c r="L34" s="601"/>
      <c r="M34" s="601"/>
      <c r="N34" s="601"/>
      <c r="O34" s="601"/>
      <c r="P34" s="19"/>
    </row>
    <row r="35" spans="1:16" ht="16.5" customHeight="1">
      <c r="A35" s="592"/>
      <c r="B35" s="593"/>
      <c r="C35" s="593"/>
      <c r="D35" s="593"/>
      <c r="E35" s="593"/>
      <c r="F35" s="593"/>
      <c r="G35" s="593"/>
      <c r="H35" s="593"/>
      <c r="I35" s="593"/>
      <c r="J35" s="593"/>
      <c r="K35" s="593"/>
      <c r="L35" s="593"/>
      <c r="M35" s="593"/>
      <c r="N35" s="593"/>
      <c r="O35" s="593"/>
      <c r="P35" s="593"/>
    </row>
    <row r="36" spans="1:16" ht="16.5" customHeight="1"/>
    <row r="37" spans="1:16" ht="16.5" customHeight="1"/>
    <row r="38" spans="1:16" ht="16.5" customHeight="1"/>
    <row r="39" spans="1:16" ht="16.5" customHeight="1"/>
  </sheetData>
  <customSheetViews>
    <customSheetView guid="{68D6E89C-5B15-4C35-9CD8-F5F4F27258FD}" scale="75" showPageBreaks="1" showGridLines="0" outlineSymbols="0" printArea="1" view="pageBreakPreview">
      <selection activeCell="A12" sqref="A12:XFD19"/>
      <pageMargins left="0.5" right="0.5" top="0.5" bottom="0.55000000000000004" header="0" footer="0"/>
      <printOptions horizontalCentered="1"/>
      <pageSetup scale="65" firstPageNumber="2" orientation="landscape" useFirstPageNumber="1" horizontalDpi="300" verticalDpi="300" r:id="rId1"/>
      <headerFooter alignWithMargins="0">
        <oddFooter>&amp;C&amp;"Times New Roman,Regular"Exhibit F - Crosswalk of 2011 Availability</oddFooter>
      </headerFooter>
    </customSheetView>
    <customSheetView guid="{4148B88B-8ED7-4FDE-9459-DEB244AD0552}" scale="75" showPageBreaks="1" showGridLines="0" outlineSymbols="0" fitToPage="1" printArea="1" hiddenColumns="1" view="pageBreakPreview">
      <selection activeCell="L12" sqref="L12"/>
      <pageMargins left="0.5" right="0.5" top="0.5" bottom="0.55000000000000004" header="0" footer="0"/>
      <printOptions horizontalCentered="1"/>
      <pageSetup scale="79" firstPageNumber="2" orientation="landscape" useFirstPageNumber="1" horizontalDpi="300" verticalDpi="300" r:id="rId2"/>
      <headerFooter alignWithMargins="0">
        <oddFooter>&amp;C&amp;"Times New Roman,Regular"Exhibit F - Crosswalk of 2011 Availability</oddFooter>
      </headerFooter>
    </customSheetView>
    <customSheetView guid="{56C0A34E-45B4-448B-85E5-70B3A8E63333}" scale="75" showPageBreaks="1" showGridLines="0" outlineSymbols="0" fitToPage="1" printArea="1" view="pageBreakPreview">
      <selection activeCell="S30" sqref="S30"/>
      <pageMargins left="0.5" right="0.5" top="0.5" bottom="0.55000000000000004" header="0" footer="0"/>
      <printOptions horizontalCentered="1"/>
      <pageSetup scale="68" firstPageNumber="2" orientation="landscape" useFirstPageNumber="1" horizontalDpi="300" verticalDpi="300" r:id="rId3"/>
      <headerFooter alignWithMargins="0">
        <oddFooter>&amp;C&amp;"Times New Roman,Regular"Exhibit F - Crosswalk of 2011 Availability</oddFooter>
      </headerFooter>
    </customSheetView>
    <customSheetView guid="{3118AF25-8423-420A-806A-487665220C68}" scale="75" showPageBreaks="1" showGridLines="0" outlineSymbols="0" fitToPage="1" printArea="1" view="pageBreakPreview">
      <selection activeCell="N22" sqref="N22"/>
      <pageMargins left="0.5" right="0.5" top="0.5" bottom="0.55000000000000004" header="0" footer="0"/>
      <printOptions horizontalCentered="1"/>
      <pageSetup scale="79" firstPageNumber="2" orientation="landscape" useFirstPageNumber="1" horizontalDpi="300" verticalDpi="300" r:id="rId4"/>
      <headerFooter alignWithMargins="0">
        <oddFooter>&amp;C&amp;"Times New Roman,Regular"Exhibit F - Crosswalk of 2011 Availability</oddFooter>
      </headerFooter>
    </customSheetView>
    <customSheetView guid="{12C66D54-5067-4346-818B-6EAB1C8A9183}" scale="75" showPageBreaks="1" showGridLines="0" outlineSymbols="0" fitToPage="1" printArea="1" view="pageBreakPreview">
      <selection activeCell="A36" sqref="A36:O36"/>
      <pageMargins left="0.5" right="0.5" top="0.5" bottom="0.55000000000000004" header="0" footer="0"/>
      <printOptions horizontalCentered="1"/>
      <pageSetup scale="79" firstPageNumber="2" orientation="landscape" useFirstPageNumber="1" horizontalDpi="300" verticalDpi="300" r:id="rId5"/>
      <headerFooter alignWithMargins="0">
        <oddFooter>&amp;C&amp;"Times New Roman,Regular"Exhibit F - Crosswalk of 2011 Availability</oddFooter>
      </headerFooter>
    </customSheetView>
  </customSheetViews>
  <mergeCells count="22">
    <mergeCell ref="A35:P35"/>
    <mergeCell ref="M9:O10"/>
    <mergeCell ref="A30:O30"/>
    <mergeCell ref="A34:O34"/>
    <mergeCell ref="A28:O28"/>
    <mergeCell ref="A32:O32"/>
    <mergeCell ref="A33:O33"/>
    <mergeCell ref="H9:J10"/>
    <mergeCell ref="K9:K10"/>
    <mergeCell ref="L9:L10"/>
    <mergeCell ref="E9:G10"/>
    <mergeCell ref="B9:D10"/>
    <mergeCell ref="A9:A11"/>
    <mergeCell ref="A29:O29"/>
    <mergeCell ref="A7:O7"/>
    <mergeCell ref="A8:O8"/>
    <mergeCell ref="A2:O2"/>
    <mergeCell ref="A6:O6"/>
    <mergeCell ref="A1:O1"/>
    <mergeCell ref="A3:O3"/>
    <mergeCell ref="A4:O4"/>
    <mergeCell ref="A5:O5"/>
  </mergeCells>
  <phoneticPr fontId="0" type="noConversion"/>
  <printOptions horizontalCentered="1"/>
  <pageMargins left="0.5" right="0.5" top="0.5" bottom="0.55000000000000004" header="0" footer="0"/>
  <pageSetup scale="65" firstPageNumber="2" orientation="landscape" useFirstPageNumber="1" horizontalDpi="300" verticalDpi="300" r:id="rId6"/>
  <headerFooter alignWithMargins="0">
    <oddFooter>&amp;C&amp;"Times New Roman,Regular"Exhibit F - Crosswalk of 2011 Availability</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T32"/>
  <sheetViews>
    <sheetView view="pageBreakPreview" zoomScale="75" zoomScaleNormal="100" zoomScaleSheetLayoutView="75" workbookViewId="0">
      <selection activeCell="A7" sqref="A7:R7"/>
    </sheetView>
  </sheetViews>
  <sheetFormatPr defaultRowHeight="15.75"/>
  <cols>
    <col min="1" max="1" width="35.21875" customWidth="1"/>
    <col min="8" max="8" width="8.88671875" hidden="1" customWidth="1"/>
    <col min="9" max="9" width="8.88671875" style="268" hidden="1" customWidth="1"/>
    <col min="10" max="10" width="8.88671875" hidden="1" customWidth="1"/>
    <col min="14" max="14" width="9.44140625" style="8" customWidth="1"/>
    <col min="15" max="15" width="10" style="8" customWidth="1"/>
  </cols>
  <sheetData>
    <row r="1" spans="1:20" ht="20.25">
      <c r="A1" s="587" t="s">
        <v>181</v>
      </c>
      <c r="B1" s="588"/>
      <c r="C1" s="588"/>
      <c r="D1" s="588"/>
      <c r="E1" s="588"/>
      <c r="F1" s="588"/>
      <c r="G1" s="588"/>
      <c r="H1" s="588"/>
      <c r="I1" s="588"/>
      <c r="J1" s="588"/>
      <c r="K1" s="588"/>
      <c r="L1" s="588"/>
      <c r="M1" s="588"/>
      <c r="N1" s="588"/>
      <c r="O1" s="588"/>
      <c r="P1" s="588"/>
      <c r="Q1" s="588"/>
      <c r="R1" s="588"/>
      <c r="S1" s="86" t="s">
        <v>0</v>
      </c>
      <c r="T1" s="8"/>
    </row>
    <row r="2" spans="1:20">
      <c r="A2" s="583"/>
      <c r="B2" s="583"/>
      <c r="C2" s="583"/>
      <c r="D2" s="583"/>
      <c r="E2" s="583"/>
      <c r="F2" s="583"/>
      <c r="G2" s="583"/>
      <c r="H2" s="583"/>
      <c r="I2" s="583"/>
      <c r="J2" s="583"/>
      <c r="K2" s="583"/>
      <c r="L2" s="583"/>
      <c r="M2" s="583"/>
      <c r="N2" s="583"/>
      <c r="O2" s="583"/>
      <c r="P2" s="583"/>
      <c r="Q2" s="583"/>
      <c r="R2" s="583"/>
      <c r="S2" s="86" t="s">
        <v>0</v>
      </c>
      <c r="T2" s="8"/>
    </row>
    <row r="3" spans="1:20" ht="18.75">
      <c r="A3" s="589" t="s">
        <v>165</v>
      </c>
      <c r="B3" s="590"/>
      <c r="C3" s="590"/>
      <c r="D3" s="590"/>
      <c r="E3" s="590"/>
      <c r="F3" s="590"/>
      <c r="G3" s="590"/>
      <c r="H3" s="590"/>
      <c r="I3" s="590"/>
      <c r="J3" s="590"/>
      <c r="K3" s="590"/>
      <c r="L3" s="590"/>
      <c r="M3" s="590"/>
      <c r="N3" s="590"/>
      <c r="O3" s="590"/>
      <c r="P3" s="590"/>
      <c r="Q3" s="590"/>
      <c r="R3" s="590"/>
      <c r="S3" s="86" t="s">
        <v>0</v>
      </c>
      <c r="T3" s="8"/>
    </row>
    <row r="4" spans="1:20" ht="16.5">
      <c r="A4" s="591" t="str">
        <f>+'B. Summary of Requirements '!A5</f>
        <v>National Security Division</v>
      </c>
      <c r="B4" s="586"/>
      <c r="C4" s="586"/>
      <c r="D4" s="586"/>
      <c r="E4" s="586"/>
      <c r="F4" s="586"/>
      <c r="G4" s="586"/>
      <c r="H4" s="586"/>
      <c r="I4" s="586"/>
      <c r="J4" s="586"/>
      <c r="K4" s="586"/>
      <c r="L4" s="586"/>
      <c r="M4" s="586"/>
      <c r="N4" s="586"/>
      <c r="O4" s="586"/>
      <c r="P4" s="586"/>
      <c r="Q4" s="586"/>
      <c r="R4" s="586"/>
      <c r="S4" s="86" t="s">
        <v>0</v>
      </c>
      <c r="T4" s="8"/>
    </row>
    <row r="5" spans="1:20" ht="16.5">
      <c r="A5" s="591" t="str">
        <f>+'B. Summary of Requirements '!A6</f>
        <v>Salaries and Expenses</v>
      </c>
      <c r="B5" s="590"/>
      <c r="C5" s="590"/>
      <c r="D5" s="590"/>
      <c r="E5" s="590"/>
      <c r="F5" s="590"/>
      <c r="G5" s="590"/>
      <c r="H5" s="590"/>
      <c r="I5" s="590"/>
      <c r="J5" s="590"/>
      <c r="K5" s="590"/>
      <c r="L5" s="590"/>
      <c r="M5" s="590"/>
      <c r="N5" s="590"/>
      <c r="O5" s="590"/>
      <c r="P5" s="590"/>
      <c r="Q5" s="590"/>
      <c r="R5" s="590"/>
      <c r="S5" s="86" t="s">
        <v>0</v>
      </c>
      <c r="T5" s="8"/>
    </row>
    <row r="6" spans="1:20">
      <c r="A6" s="585" t="s">
        <v>111</v>
      </c>
      <c r="B6" s="586"/>
      <c r="C6" s="586"/>
      <c r="D6" s="586"/>
      <c r="E6" s="586"/>
      <c r="F6" s="586"/>
      <c r="G6" s="586"/>
      <c r="H6" s="586"/>
      <c r="I6" s="586"/>
      <c r="J6" s="586"/>
      <c r="K6" s="586"/>
      <c r="L6" s="586"/>
      <c r="M6" s="586"/>
      <c r="N6" s="586"/>
      <c r="O6" s="586"/>
      <c r="P6" s="586"/>
      <c r="Q6" s="586"/>
      <c r="R6" s="586"/>
      <c r="S6" s="86" t="s">
        <v>0</v>
      </c>
      <c r="T6" s="8"/>
    </row>
    <row r="7" spans="1:20">
      <c r="A7" s="583"/>
      <c r="B7" s="583"/>
      <c r="C7" s="583"/>
      <c r="D7" s="583"/>
      <c r="E7" s="583"/>
      <c r="F7" s="583"/>
      <c r="G7" s="583"/>
      <c r="H7" s="583"/>
      <c r="I7" s="583"/>
      <c r="J7" s="583"/>
      <c r="K7" s="583"/>
      <c r="L7" s="583"/>
      <c r="M7" s="583"/>
      <c r="N7" s="583"/>
      <c r="O7" s="583"/>
      <c r="P7" s="583"/>
      <c r="Q7" s="583"/>
      <c r="R7" s="583"/>
      <c r="S7" s="86" t="s">
        <v>0</v>
      </c>
      <c r="T7" s="8"/>
    </row>
    <row r="8" spans="1:20">
      <c r="A8" s="584"/>
      <c r="B8" s="584"/>
      <c r="C8" s="584"/>
      <c r="D8" s="584"/>
      <c r="E8" s="584"/>
      <c r="F8" s="584"/>
      <c r="G8" s="584"/>
      <c r="H8" s="584"/>
      <c r="I8" s="584"/>
      <c r="J8" s="584"/>
      <c r="K8" s="584"/>
      <c r="L8" s="584"/>
      <c r="M8" s="584"/>
      <c r="N8" s="584"/>
      <c r="O8" s="584"/>
      <c r="P8" s="584"/>
      <c r="Q8" s="584"/>
      <c r="R8" s="584"/>
      <c r="S8" s="86" t="s">
        <v>0</v>
      </c>
      <c r="T8" s="8"/>
    </row>
    <row r="9" spans="1:20" ht="15.75" customHeight="1">
      <c r="A9" s="612" t="s">
        <v>29</v>
      </c>
      <c r="B9" s="594" t="s">
        <v>173</v>
      </c>
      <c r="C9" s="595"/>
      <c r="D9" s="596"/>
      <c r="E9" s="606" t="s">
        <v>123</v>
      </c>
      <c r="F9" s="607"/>
      <c r="G9" s="608"/>
      <c r="H9" s="606" t="s">
        <v>124</v>
      </c>
      <c r="I9" s="607"/>
      <c r="J9" s="608"/>
      <c r="K9" s="594" t="s">
        <v>15</v>
      </c>
      <c r="L9" s="595"/>
      <c r="M9" s="596"/>
      <c r="N9" s="604" t="s">
        <v>146</v>
      </c>
      <c r="O9" s="616" t="s">
        <v>147</v>
      </c>
      <c r="P9" s="594" t="s">
        <v>164</v>
      </c>
      <c r="Q9" s="595"/>
      <c r="R9" s="596"/>
      <c r="S9" s="86" t="s">
        <v>0</v>
      </c>
      <c r="T9" s="8"/>
    </row>
    <row r="10" spans="1:20">
      <c r="A10" s="613"/>
      <c r="B10" s="597"/>
      <c r="C10" s="598"/>
      <c r="D10" s="599"/>
      <c r="E10" s="609"/>
      <c r="F10" s="610"/>
      <c r="G10" s="611"/>
      <c r="H10" s="609"/>
      <c r="I10" s="610"/>
      <c r="J10" s="611"/>
      <c r="K10" s="597"/>
      <c r="L10" s="598"/>
      <c r="M10" s="599"/>
      <c r="N10" s="605"/>
      <c r="O10" s="617"/>
      <c r="P10" s="597"/>
      <c r="Q10" s="598"/>
      <c r="R10" s="599"/>
      <c r="S10" s="86" t="s">
        <v>0</v>
      </c>
      <c r="T10" s="8"/>
    </row>
    <row r="11" spans="1:20" ht="16.5" thickBot="1">
      <c r="A11" s="614"/>
      <c r="B11" s="202" t="s">
        <v>127</v>
      </c>
      <c r="C11" s="203" t="s">
        <v>33</v>
      </c>
      <c r="D11" s="203" t="s">
        <v>129</v>
      </c>
      <c r="E11" s="202" t="s">
        <v>127</v>
      </c>
      <c r="F11" s="203" t="s">
        <v>33</v>
      </c>
      <c r="G11" s="203" t="s">
        <v>129</v>
      </c>
      <c r="H11" s="202" t="s">
        <v>127</v>
      </c>
      <c r="I11" s="203" t="s">
        <v>33</v>
      </c>
      <c r="J11" s="203" t="s">
        <v>129</v>
      </c>
      <c r="K11" s="202" t="s">
        <v>127</v>
      </c>
      <c r="L11" s="203" t="s">
        <v>33</v>
      </c>
      <c r="M11" s="203" t="s">
        <v>129</v>
      </c>
      <c r="N11" s="298" t="s">
        <v>129</v>
      </c>
      <c r="O11" s="299" t="s">
        <v>129</v>
      </c>
      <c r="P11" s="202" t="s">
        <v>127</v>
      </c>
      <c r="Q11" s="203" t="s">
        <v>33</v>
      </c>
      <c r="R11" s="204" t="s">
        <v>129</v>
      </c>
      <c r="S11" s="86" t="s">
        <v>0</v>
      </c>
      <c r="T11" s="8"/>
    </row>
    <row r="12" spans="1:20" ht="19.899999999999999" customHeight="1">
      <c r="A12" s="383" t="s">
        <v>189</v>
      </c>
      <c r="B12" s="194">
        <v>359</v>
      </c>
      <c r="C12" s="141">
        <v>353</v>
      </c>
      <c r="D12" s="141">
        <v>87000</v>
      </c>
      <c r="E12" s="194">
        <v>0</v>
      </c>
      <c r="F12" s="141">
        <v>0</v>
      </c>
      <c r="G12" s="141">
        <v>0</v>
      </c>
      <c r="H12" s="194"/>
      <c r="I12" s="141"/>
      <c r="J12" s="141"/>
      <c r="K12" s="194"/>
      <c r="L12" s="141"/>
      <c r="M12" s="141">
        <v>0</v>
      </c>
      <c r="N12" s="92">
        <v>7659</v>
      </c>
      <c r="O12" s="141">
        <v>85</v>
      </c>
      <c r="P12" s="194">
        <f t="shared" ref="P12:Q12" si="0">B12+E12+H12+K12</f>
        <v>359</v>
      </c>
      <c r="Q12" s="141">
        <f t="shared" si="0"/>
        <v>353</v>
      </c>
      <c r="R12" s="93">
        <f>D12+G12+J12+M12+N12+O12</f>
        <v>94744</v>
      </c>
      <c r="S12" s="86" t="s">
        <v>0</v>
      </c>
      <c r="T12" s="8"/>
    </row>
    <row r="13" spans="1:20" ht="19.899999999999999" customHeight="1">
      <c r="A13" s="205" t="s">
        <v>134</v>
      </c>
      <c r="B13" s="206">
        <f t="shared" ref="B13:G13" si="1">SUM(B12)</f>
        <v>359</v>
      </c>
      <c r="C13" s="207">
        <f t="shared" si="1"/>
        <v>353</v>
      </c>
      <c r="D13" s="208">
        <f t="shared" si="1"/>
        <v>87000</v>
      </c>
      <c r="E13" s="206">
        <f t="shared" si="1"/>
        <v>0</v>
      </c>
      <c r="F13" s="207">
        <f t="shared" si="1"/>
        <v>0</v>
      </c>
      <c r="G13" s="209">
        <f t="shared" si="1"/>
        <v>0</v>
      </c>
      <c r="H13" s="206">
        <f>SUM(H12:H12)</f>
        <v>0</v>
      </c>
      <c r="I13" s="207">
        <f>SUM(I12:I12)</f>
        <v>0</v>
      </c>
      <c r="J13" s="208">
        <f>SUM(J12:J12)</f>
        <v>0</v>
      </c>
      <c r="K13" s="206">
        <f t="shared" ref="K13:R13" si="2">SUM(K12)</f>
        <v>0</v>
      </c>
      <c r="L13" s="207">
        <f t="shared" si="2"/>
        <v>0</v>
      </c>
      <c r="M13" s="208">
        <f t="shared" si="2"/>
        <v>0</v>
      </c>
      <c r="N13" s="295">
        <f t="shared" si="2"/>
        <v>7659</v>
      </c>
      <c r="O13" s="208">
        <f t="shared" si="2"/>
        <v>85</v>
      </c>
      <c r="P13" s="206">
        <f t="shared" si="2"/>
        <v>359</v>
      </c>
      <c r="Q13" s="207">
        <f t="shared" si="2"/>
        <v>353</v>
      </c>
      <c r="R13" s="210">
        <f t="shared" si="2"/>
        <v>94744</v>
      </c>
      <c r="S13" s="86" t="s">
        <v>0</v>
      </c>
      <c r="T13" s="8"/>
    </row>
    <row r="14" spans="1:20" ht="19.899999999999999" customHeight="1">
      <c r="A14" s="201" t="s">
        <v>117</v>
      </c>
      <c r="B14" s="192" t="s">
        <v>128</v>
      </c>
      <c r="C14" s="193"/>
      <c r="D14" s="193"/>
      <c r="E14" s="192"/>
      <c r="F14" s="193"/>
      <c r="G14" s="193"/>
      <c r="H14" s="192"/>
      <c r="I14" s="193"/>
      <c r="J14" s="193"/>
      <c r="K14" s="192"/>
      <c r="L14" s="193"/>
      <c r="M14" s="193"/>
      <c r="N14" s="94"/>
      <c r="O14" s="193"/>
      <c r="P14" s="192"/>
      <c r="Q14" s="193">
        <f>C14+F14+I14+L14</f>
        <v>0</v>
      </c>
      <c r="R14" s="211"/>
      <c r="S14" s="86" t="s">
        <v>0</v>
      </c>
      <c r="T14" s="9"/>
    </row>
    <row r="15" spans="1:20" ht="19.899999999999999" customHeight="1">
      <c r="A15" s="201" t="s">
        <v>116</v>
      </c>
      <c r="B15" s="212"/>
      <c r="C15" s="213">
        <f>SUM(C13:C14)</f>
        <v>353</v>
      </c>
      <c r="D15" s="213"/>
      <c r="E15" s="212"/>
      <c r="F15" s="213">
        <f>+F13+F14</f>
        <v>0</v>
      </c>
      <c r="G15" s="213"/>
      <c r="H15" s="212"/>
      <c r="I15" s="213">
        <f>+I13+I14</f>
        <v>0</v>
      </c>
      <c r="J15" s="213"/>
      <c r="K15" s="212"/>
      <c r="L15" s="213">
        <f>+L13+L14</f>
        <v>0</v>
      </c>
      <c r="M15" s="213"/>
      <c r="N15" s="296"/>
      <c r="O15" s="213"/>
      <c r="P15" s="212"/>
      <c r="Q15" s="213">
        <f>SUM(Q13:Q14)</f>
        <v>353</v>
      </c>
      <c r="R15" s="214"/>
      <c r="S15" s="86" t="s">
        <v>0</v>
      </c>
      <c r="T15" s="8"/>
    </row>
    <row r="16" spans="1:20" ht="19.899999999999999" customHeight="1">
      <c r="A16" s="215" t="s">
        <v>118</v>
      </c>
      <c r="B16" s="194"/>
      <c r="C16" s="141"/>
      <c r="D16" s="141"/>
      <c r="E16" s="194"/>
      <c r="F16" s="141"/>
      <c r="G16" s="141"/>
      <c r="H16" s="194"/>
      <c r="I16" s="141"/>
      <c r="J16" s="141"/>
      <c r="K16" s="194"/>
      <c r="L16" s="141"/>
      <c r="M16" s="141"/>
      <c r="N16" s="92"/>
      <c r="O16" s="141"/>
      <c r="P16" s="194"/>
      <c r="Q16" s="141"/>
      <c r="R16" s="93"/>
      <c r="S16" s="86" t="s">
        <v>0</v>
      </c>
      <c r="T16" s="8"/>
    </row>
    <row r="17" spans="1:20" ht="19.899999999999999" customHeight="1">
      <c r="A17" s="216" t="s">
        <v>39</v>
      </c>
      <c r="B17" s="194"/>
      <c r="C17" s="141">
        <v>0</v>
      </c>
      <c r="D17" s="141"/>
      <c r="E17" s="194"/>
      <c r="F17" s="141">
        <v>0</v>
      </c>
      <c r="G17" s="141"/>
      <c r="H17" s="194"/>
      <c r="I17" s="141">
        <v>0</v>
      </c>
      <c r="J17" s="141"/>
      <c r="K17" s="194"/>
      <c r="L17" s="141">
        <v>0</v>
      </c>
      <c r="M17" s="141"/>
      <c r="N17" s="92"/>
      <c r="O17" s="141"/>
      <c r="P17" s="194"/>
      <c r="Q17" s="141">
        <f>C17+F17+I17+L17</f>
        <v>0</v>
      </c>
      <c r="R17" s="93"/>
      <c r="S17" s="86" t="s">
        <v>0</v>
      </c>
      <c r="T17" s="8"/>
    </row>
    <row r="18" spans="1:20" ht="19.899999999999999" customHeight="1">
      <c r="A18" s="217" t="s">
        <v>77</v>
      </c>
      <c r="B18" s="192"/>
      <c r="C18" s="193">
        <v>0</v>
      </c>
      <c r="D18" s="193"/>
      <c r="E18" s="192"/>
      <c r="F18" s="193">
        <v>0</v>
      </c>
      <c r="G18" s="193"/>
      <c r="H18" s="192"/>
      <c r="I18" s="193">
        <v>0</v>
      </c>
      <c r="J18" s="193"/>
      <c r="K18" s="192"/>
      <c r="L18" s="193">
        <v>0</v>
      </c>
      <c r="M18" s="193"/>
      <c r="N18" s="94"/>
      <c r="O18" s="193"/>
      <c r="P18" s="192"/>
      <c r="Q18" s="193">
        <f>C18+F18+I18+L18</f>
        <v>0</v>
      </c>
      <c r="R18" s="211"/>
      <c r="S18" s="86" t="s">
        <v>0</v>
      </c>
      <c r="T18" s="8"/>
    </row>
    <row r="19" spans="1:20" ht="19.899999999999999" customHeight="1">
      <c r="A19" s="201" t="s">
        <v>119</v>
      </c>
      <c r="B19" s="192"/>
      <c r="C19" s="193">
        <f>C18+C17+C15</f>
        <v>353</v>
      </c>
      <c r="D19" s="218"/>
      <c r="E19" s="192"/>
      <c r="F19" s="193">
        <f>F18+F17+F15</f>
        <v>0</v>
      </c>
      <c r="G19" s="218"/>
      <c r="H19" s="192"/>
      <c r="I19" s="193">
        <f>I18+I17+I15</f>
        <v>0</v>
      </c>
      <c r="J19" s="218"/>
      <c r="K19" s="192"/>
      <c r="L19" s="193">
        <f>L18+L17+L15</f>
        <v>0</v>
      </c>
      <c r="M19" s="218"/>
      <c r="N19" s="297"/>
      <c r="O19" s="218"/>
      <c r="P19" s="192"/>
      <c r="Q19" s="193">
        <f>Q18+Q17+Q15</f>
        <v>353</v>
      </c>
      <c r="R19" s="219"/>
      <c r="S19" s="86" t="s">
        <v>0</v>
      </c>
      <c r="T19" s="8"/>
    </row>
    <row r="20" spans="1:20" ht="19.899999999999999" customHeight="1">
      <c r="A20" s="8"/>
      <c r="B20" s="1"/>
      <c r="C20" s="1"/>
      <c r="D20" s="1"/>
      <c r="E20" s="1"/>
      <c r="F20" s="1"/>
      <c r="G20" s="1"/>
      <c r="H20" s="1"/>
      <c r="I20" s="1"/>
      <c r="J20" s="1"/>
      <c r="K20" s="1"/>
      <c r="L20" s="1"/>
      <c r="M20" s="1"/>
      <c r="N20" s="1"/>
      <c r="O20" s="1"/>
      <c r="P20" s="1"/>
      <c r="Q20" s="1"/>
      <c r="R20" s="1"/>
      <c r="S20" s="76" t="s">
        <v>16</v>
      </c>
      <c r="T20" s="8"/>
    </row>
    <row r="21" spans="1:20" ht="19.899999999999999" customHeight="1">
      <c r="I21"/>
      <c r="N21"/>
      <c r="O21"/>
    </row>
    <row r="22" spans="1:20" s="422" customFormat="1" ht="19.899999999999999" customHeight="1">
      <c r="A22" s="19" t="s">
        <v>208</v>
      </c>
      <c r="B22" s="374"/>
      <c r="C22" s="374"/>
      <c r="D22" s="374"/>
      <c r="E22" s="374"/>
      <c r="F22" s="374"/>
      <c r="G22" s="374"/>
      <c r="H22" s="374"/>
      <c r="I22" s="374"/>
      <c r="J22" s="374"/>
      <c r="K22" s="374"/>
      <c r="L22" s="374"/>
      <c r="M22" s="374"/>
      <c r="N22" s="374"/>
      <c r="O22" s="374"/>
      <c r="P22" s="374"/>
      <c r="Q22" s="374"/>
      <c r="R22" s="374"/>
      <c r="S22" s="76"/>
      <c r="T22" s="8"/>
    </row>
    <row r="23" spans="1:20" s="422" customFormat="1" ht="19.899999999999999" customHeight="1">
      <c r="A23" s="8"/>
      <c r="B23" s="374"/>
      <c r="C23" s="374"/>
      <c r="D23" s="432"/>
      <c r="E23" s="374"/>
      <c r="F23" s="374"/>
      <c r="G23" s="374"/>
      <c r="H23" s="374"/>
      <c r="I23" s="374"/>
      <c r="J23" s="374"/>
      <c r="K23" s="432"/>
      <c r="L23" s="374"/>
      <c r="M23" s="374"/>
      <c r="N23" s="374"/>
      <c r="O23" s="374"/>
      <c r="P23" s="374"/>
      <c r="Q23" s="374"/>
      <c r="R23" s="374"/>
      <c r="S23" s="76"/>
      <c r="T23" s="8"/>
    </row>
    <row r="24" spans="1:20">
      <c r="A24" s="1"/>
      <c r="B24" s="19"/>
      <c r="C24" s="1"/>
      <c r="D24" s="1"/>
      <c r="E24" s="1"/>
      <c r="F24" s="1"/>
      <c r="G24" s="1"/>
      <c r="H24" s="1"/>
      <c r="I24" s="1"/>
      <c r="J24" s="2"/>
      <c r="K24" s="1"/>
      <c r="L24" s="1"/>
      <c r="M24" s="1"/>
      <c r="N24" s="1"/>
      <c r="O24" s="1"/>
      <c r="P24" s="1"/>
      <c r="Q24" s="1"/>
      <c r="R24" s="1"/>
      <c r="S24" s="86"/>
      <c r="T24" s="8"/>
    </row>
    <row r="25" spans="1:20" s="8" customFormat="1" ht="16.5" customHeight="1">
      <c r="A25" s="615"/>
      <c r="B25" s="615"/>
      <c r="C25" s="615"/>
      <c r="D25" s="615"/>
      <c r="E25" s="615"/>
      <c r="F25" s="615"/>
      <c r="G25" s="615"/>
      <c r="H25" s="615"/>
      <c r="I25" s="615"/>
      <c r="J25" s="615"/>
      <c r="K25" s="615"/>
      <c r="L25" s="615"/>
      <c r="M25" s="615"/>
      <c r="N25" s="615"/>
      <c r="O25" s="615"/>
      <c r="P25" s="615"/>
      <c r="Q25" s="615"/>
      <c r="R25" s="615"/>
      <c r="S25" s="19"/>
    </row>
    <row r="26" spans="1:20" s="8" customFormat="1" ht="16.5" customHeight="1">
      <c r="A26" s="600"/>
      <c r="B26" s="601"/>
      <c r="C26" s="601"/>
      <c r="D26" s="601"/>
      <c r="E26" s="601"/>
      <c r="F26" s="601"/>
      <c r="G26" s="601"/>
      <c r="H26" s="601"/>
      <c r="I26" s="601"/>
      <c r="J26" s="601"/>
      <c r="K26" s="601"/>
      <c r="L26" s="601"/>
      <c r="M26" s="601"/>
      <c r="N26" s="601"/>
      <c r="O26" s="601"/>
      <c r="P26" s="601"/>
      <c r="Q26" s="601"/>
      <c r="R26" s="601"/>
      <c r="S26" s="19"/>
    </row>
    <row r="27" spans="1:20" s="8" customFormat="1" ht="16.5" customHeight="1">
      <c r="A27" s="286"/>
      <c r="B27" s="323"/>
      <c r="C27" s="323"/>
      <c r="D27" s="323"/>
      <c r="E27" s="323"/>
      <c r="F27" s="323"/>
      <c r="G27" s="323"/>
      <c r="H27" s="323"/>
      <c r="I27" s="323"/>
      <c r="J27" s="323"/>
      <c r="K27" s="323"/>
      <c r="L27" s="323"/>
      <c r="M27" s="323"/>
      <c r="N27" s="323"/>
      <c r="O27" s="323"/>
      <c r="P27" s="323"/>
      <c r="Q27" s="323"/>
      <c r="R27" s="323"/>
      <c r="S27" s="19"/>
    </row>
    <row r="28" spans="1:20" s="8" customFormat="1" ht="16.5" customHeight="1">
      <c r="A28" s="603"/>
      <c r="B28" s="600"/>
      <c r="C28" s="600"/>
      <c r="D28" s="600"/>
      <c r="E28" s="600"/>
      <c r="F28" s="600"/>
      <c r="G28" s="600"/>
      <c r="H28" s="600"/>
      <c r="I28" s="600"/>
      <c r="J28" s="600"/>
      <c r="K28" s="600"/>
      <c r="L28" s="600"/>
      <c r="M28" s="600"/>
      <c r="N28" s="600"/>
      <c r="O28" s="600"/>
      <c r="P28" s="600"/>
      <c r="Q28" s="600"/>
      <c r="R28" s="600"/>
      <c r="S28" s="19"/>
    </row>
    <row r="29" spans="1:20" s="8" customFormat="1" ht="16.5" customHeight="1">
      <c r="A29" s="600"/>
      <c r="B29" s="600"/>
      <c r="C29" s="600"/>
      <c r="D29" s="600"/>
      <c r="E29" s="600"/>
      <c r="F29" s="600"/>
      <c r="G29" s="600"/>
      <c r="H29" s="600"/>
      <c r="I29" s="600"/>
      <c r="J29" s="600"/>
      <c r="K29" s="600"/>
      <c r="L29" s="600"/>
      <c r="M29" s="600"/>
      <c r="N29" s="600"/>
      <c r="O29" s="600"/>
      <c r="P29" s="600"/>
      <c r="Q29" s="600"/>
      <c r="R29" s="600"/>
      <c r="S29" s="19"/>
    </row>
    <row r="30" spans="1:20" s="8" customFormat="1" ht="16.5" customHeight="1">
      <c r="A30" s="600"/>
      <c r="B30" s="601"/>
      <c r="C30" s="601"/>
      <c r="D30" s="601"/>
      <c r="E30" s="601"/>
      <c r="F30" s="601"/>
      <c r="G30" s="601"/>
      <c r="H30" s="601"/>
      <c r="I30" s="601"/>
      <c r="J30" s="601"/>
      <c r="K30" s="601"/>
      <c r="L30" s="601"/>
      <c r="M30" s="601"/>
      <c r="N30" s="601"/>
      <c r="O30" s="601"/>
      <c r="P30" s="601"/>
      <c r="Q30" s="601"/>
      <c r="R30" s="601"/>
      <c r="S30" s="19"/>
    </row>
    <row r="31" spans="1:20" s="8" customFormat="1" ht="16.5" customHeight="1">
      <c r="A31" s="592"/>
      <c r="B31" s="593"/>
      <c r="C31" s="593"/>
      <c r="D31" s="593"/>
      <c r="E31" s="593"/>
      <c r="F31" s="593"/>
      <c r="G31" s="593"/>
      <c r="H31" s="593"/>
      <c r="I31" s="593"/>
      <c r="J31" s="593"/>
      <c r="K31" s="593"/>
      <c r="L31" s="593"/>
      <c r="M31" s="593"/>
      <c r="N31" s="593"/>
      <c r="O31" s="593"/>
      <c r="P31" s="593"/>
      <c r="Q31" s="593"/>
      <c r="R31" s="593"/>
      <c r="S31" s="593"/>
    </row>
    <row r="32" spans="1:20" ht="18">
      <c r="A32" s="132"/>
      <c r="B32" s="19"/>
      <c r="C32" s="19"/>
      <c r="D32" s="19"/>
      <c r="E32" s="19"/>
      <c r="F32" s="19"/>
      <c r="G32" s="19"/>
      <c r="H32" s="19"/>
      <c r="I32" s="19"/>
      <c r="J32" s="19"/>
      <c r="K32" s="19"/>
      <c r="L32" s="19"/>
      <c r="M32" s="19"/>
      <c r="P32" s="19"/>
      <c r="Q32" s="19"/>
      <c r="R32" s="19"/>
      <c r="S32" s="19"/>
      <c r="T32" s="87"/>
    </row>
  </sheetData>
  <customSheetViews>
    <customSheetView guid="{68D6E89C-5B15-4C35-9CD8-F5F4F27258FD}" scale="75" showPageBreaks="1" fitToPage="1" printArea="1" hiddenColumns="1" view="pageBreakPreview">
      <selection activeCell="A14" sqref="A14:XFD14"/>
      <pageMargins left="0.75" right="0.75" top="1" bottom="1" header="0.5" footer="0.5"/>
      <pageSetup scale="63" orientation="landscape" r:id="rId1"/>
      <headerFooter alignWithMargins="0">
        <oddFooter>&amp;C&amp;"Times New Roman,Regular"Exhibit G:  Crosswalk of 2012 Availability</oddFooter>
      </headerFooter>
    </customSheetView>
    <customSheetView guid="{4148B88B-8ED7-4FDE-9459-DEB244AD0552}" scale="75" showPageBreaks="1" fitToPage="1" printArea="1" hiddenColumns="1" view="pageBreakPreview">
      <selection activeCell="N11" sqref="N11"/>
      <pageMargins left="0.75" right="0.75" top="1" bottom="1" header="0.5" footer="0.5"/>
      <pageSetup scale="62" orientation="landscape" r:id="rId2"/>
      <headerFooter alignWithMargins="0">
        <oddFooter>&amp;C&amp;"Times New Roman,Regular"Exhibit G:  Crosswalk of 2012 Availability</oddFooter>
      </headerFooter>
    </customSheetView>
    <customSheetView guid="{56C0A34E-45B4-448B-85E5-70B3A8E63333}" scale="75" showPageBreaks="1" fitToPage="1" printArea="1" view="pageBreakPreview">
      <selection activeCell="E13" sqref="E13"/>
      <pageMargins left="0.75" right="0.75" top="1" bottom="1" header="0.5" footer="0.5"/>
      <pageSetup scale="54" orientation="landscape" r:id="rId3"/>
      <headerFooter alignWithMargins="0">
        <oddFooter>&amp;C&amp;"Times New Roman,Regular"Exhibit G:  Crosswalk of 2012 Availability</oddFooter>
      </headerFooter>
    </customSheetView>
    <customSheetView guid="{3118AF25-8423-420A-806A-487665220C68}" scale="75" showPageBreaks="1" fitToPage="1" printArea="1" hiddenColumns="1" view="pageBreakPreview">
      <selection activeCell="R16" sqref="R16"/>
      <pageMargins left="0.75" right="0.75" top="1" bottom="1" header="0.5" footer="0.5"/>
      <pageSetup scale="62" orientation="landscape" r:id="rId4"/>
      <headerFooter alignWithMargins="0">
        <oddFooter>&amp;C&amp;"Times New Roman,Regular"Exhibit G:  Crosswalk of 2012 Availability</oddFooter>
      </headerFooter>
    </customSheetView>
    <customSheetView guid="{12C66D54-5067-4346-818B-6EAB1C8A9183}" scale="75" showPageBreaks="1" fitToPage="1" printArea="1" hiddenColumns="1" view="pageBreakPreview">
      <selection activeCell="M44" sqref="M44"/>
      <pageMargins left="0.75" right="0.75" top="1" bottom="1" header="0.5" footer="0.5"/>
      <pageSetup scale="62" orientation="landscape" r:id="rId5"/>
      <headerFooter alignWithMargins="0">
        <oddFooter>&amp;C&amp;"Times New Roman,Regular"Exhibit G:  Crosswalk of 2012 Availability</oddFooter>
      </headerFooter>
    </customSheetView>
  </customSheetViews>
  <mergeCells count="22">
    <mergeCell ref="B9:D10"/>
    <mergeCell ref="A25:R25"/>
    <mergeCell ref="A26:R26"/>
    <mergeCell ref="A28:R28"/>
    <mergeCell ref="A29:R29"/>
    <mergeCell ref="E9:G10"/>
    <mergeCell ref="A31:S31"/>
    <mergeCell ref="H9:J10"/>
    <mergeCell ref="K9:M10"/>
    <mergeCell ref="A1:R1"/>
    <mergeCell ref="A2:R2"/>
    <mergeCell ref="A3:R3"/>
    <mergeCell ref="A4:R4"/>
    <mergeCell ref="A5:R5"/>
    <mergeCell ref="P9:R10"/>
    <mergeCell ref="N9:N10"/>
    <mergeCell ref="O9:O10"/>
    <mergeCell ref="A6:R6"/>
    <mergeCell ref="A7:R7"/>
    <mergeCell ref="A8:R8"/>
    <mergeCell ref="A9:A11"/>
    <mergeCell ref="A30:R30"/>
  </mergeCells>
  <phoneticPr fontId="37" type="noConversion"/>
  <pageMargins left="0.75" right="0.75" top="1" bottom="1" header="0.5" footer="0.5"/>
  <pageSetup scale="62" orientation="landscape" r:id="rId6"/>
  <headerFooter alignWithMargins="0">
    <oddFooter>&amp;C&amp;"Times New Roman,Regular"Exhibit G:  Crosswalk of 2012 Availability</oddFooter>
  </headerFooter>
</worksheet>
</file>

<file path=xl/worksheets/sheet8.xml><?xml version="1.0" encoding="utf-8"?>
<worksheet xmlns="http://schemas.openxmlformats.org/spreadsheetml/2006/main" xmlns:r="http://schemas.openxmlformats.org/officeDocument/2006/relationships">
  <sheetPr codeName="Sheet14">
    <pageSetUpPr fitToPage="1"/>
  </sheetPr>
  <dimension ref="A1:N37"/>
  <sheetViews>
    <sheetView view="pageBreakPreview" zoomScale="75" zoomScaleNormal="75" zoomScaleSheetLayoutView="75" workbookViewId="0">
      <pane xSplit="1" ySplit="11" topLeftCell="B12" activePane="bottomRight" state="frozen"/>
      <selection pane="topRight" activeCell="B1" sqref="B1"/>
      <selection pane="bottomLeft" activeCell="A12" sqref="A12"/>
      <selection pane="bottomRight" activeCell="D22" sqref="D22"/>
    </sheetView>
  </sheetViews>
  <sheetFormatPr defaultColWidth="8.88671875" defaultRowHeight="15"/>
  <cols>
    <col min="1" max="1" width="30.44140625" style="10" customWidth="1"/>
    <col min="2" max="2" width="10.77734375" style="10" customWidth="1"/>
    <col min="3" max="3" width="12.6640625" style="10" customWidth="1"/>
    <col min="4" max="4" width="10.88671875" style="10" customWidth="1"/>
    <col min="5" max="5" width="12.5546875" style="10" customWidth="1"/>
    <col min="6" max="6" width="9.77734375" style="10" customWidth="1"/>
    <col min="7" max="7" width="12" style="10" customWidth="1"/>
    <col min="8" max="9" width="9.77734375" style="10" customWidth="1"/>
    <col min="10" max="10" width="10.33203125" style="10" customWidth="1"/>
    <col min="11" max="11" width="13" style="10" customWidth="1"/>
    <col min="12" max="12" width="1.109375" style="84" customWidth="1"/>
    <col min="13" max="16384" width="8.88671875" style="10"/>
  </cols>
  <sheetData>
    <row r="1" spans="1:12" ht="20.25">
      <c r="A1" s="481" t="s">
        <v>22</v>
      </c>
      <c r="B1" s="637"/>
      <c r="C1" s="637"/>
      <c r="D1" s="637"/>
      <c r="E1" s="637"/>
      <c r="F1" s="637"/>
      <c r="G1" s="637"/>
      <c r="H1" s="637"/>
      <c r="I1" s="637"/>
      <c r="J1" s="637"/>
      <c r="K1" s="637"/>
      <c r="L1" s="84" t="s">
        <v>0</v>
      </c>
    </row>
    <row r="2" spans="1:12" ht="20.25">
      <c r="A2" s="642"/>
      <c r="B2" s="642"/>
      <c r="C2" s="642"/>
      <c r="D2" s="642"/>
      <c r="E2" s="642"/>
      <c r="F2" s="642"/>
      <c r="G2" s="642"/>
      <c r="H2" s="642"/>
      <c r="I2" s="642"/>
      <c r="J2" s="642"/>
      <c r="K2" s="643"/>
      <c r="L2" s="84" t="s">
        <v>0</v>
      </c>
    </row>
    <row r="3" spans="1:12" ht="12.6" customHeight="1">
      <c r="A3" s="642"/>
      <c r="B3" s="642"/>
      <c r="C3" s="642"/>
      <c r="D3" s="642"/>
      <c r="E3" s="642"/>
      <c r="F3" s="642"/>
      <c r="G3" s="642"/>
      <c r="H3" s="642"/>
      <c r="I3" s="642"/>
      <c r="J3" s="642"/>
      <c r="K3" s="643"/>
      <c r="L3" s="84" t="s">
        <v>0</v>
      </c>
    </row>
    <row r="4" spans="1:12" ht="18.75">
      <c r="A4" s="638" t="s">
        <v>35</v>
      </c>
      <c r="B4" s="639"/>
      <c r="C4" s="639"/>
      <c r="D4" s="639"/>
      <c r="E4" s="639"/>
      <c r="F4" s="639"/>
      <c r="G4" s="639"/>
      <c r="H4" s="639"/>
      <c r="I4" s="639"/>
      <c r="J4" s="639"/>
      <c r="K4" s="639"/>
      <c r="L4" s="84" t="s">
        <v>0</v>
      </c>
    </row>
    <row r="5" spans="1:12" ht="16.5">
      <c r="A5" s="640" t="str">
        <f>+'B. Summary of Requirements '!A5</f>
        <v>National Security Division</v>
      </c>
      <c r="B5" s="639"/>
      <c r="C5" s="639"/>
      <c r="D5" s="639"/>
      <c r="E5" s="639"/>
      <c r="F5" s="639"/>
      <c r="G5" s="639"/>
      <c r="H5" s="639"/>
      <c r="I5" s="639"/>
      <c r="J5" s="639"/>
      <c r="K5" s="639"/>
      <c r="L5" s="84" t="s">
        <v>0</v>
      </c>
    </row>
    <row r="6" spans="1:12" ht="16.5">
      <c r="A6" s="641" t="str">
        <f>+'B. Summary of Requirements '!A6</f>
        <v>Salaries and Expenses</v>
      </c>
      <c r="B6" s="639"/>
      <c r="C6" s="639"/>
      <c r="D6" s="639"/>
      <c r="E6" s="639"/>
      <c r="F6" s="639"/>
      <c r="G6" s="639"/>
      <c r="H6" s="639"/>
      <c r="I6" s="639"/>
      <c r="J6" s="639"/>
      <c r="K6" s="639"/>
      <c r="L6" s="84" t="s">
        <v>0</v>
      </c>
    </row>
    <row r="7" spans="1:12" ht="15.75">
      <c r="A7" s="620"/>
      <c r="B7" s="620"/>
      <c r="C7" s="620"/>
      <c r="D7" s="620"/>
      <c r="E7" s="620"/>
      <c r="F7" s="620"/>
      <c r="G7" s="620"/>
      <c r="H7" s="620"/>
      <c r="I7" s="620"/>
      <c r="J7" s="620"/>
      <c r="K7" s="620"/>
      <c r="L7" s="84" t="s">
        <v>0</v>
      </c>
    </row>
    <row r="8" spans="1:12">
      <c r="A8" s="621"/>
      <c r="B8" s="621"/>
      <c r="C8" s="621"/>
      <c r="D8" s="621"/>
      <c r="E8" s="621"/>
      <c r="F8" s="621"/>
      <c r="G8" s="621"/>
      <c r="H8" s="621"/>
      <c r="I8" s="621"/>
      <c r="J8" s="621"/>
      <c r="K8" s="621"/>
      <c r="L8" s="84" t="s">
        <v>0</v>
      </c>
    </row>
    <row r="9" spans="1:12" ht="40.5" customHeight="1">
      <c r="A9" s="634" t="s">
        <v>36</v>
      </c>
      <c r="B9" s="629" t="s">
        <v>177</v>
      </c>
      <c r="C9" s="630"/>
      <c r="D9" s="629" t="s">
        <v>171</v>
      </c>
      <c r="E9" s="630"/>
      <c r="F9" s="626" t="s">
        <v>161</v>
      </c>
      <c r="G9" s="627"/>
      <c r="H9" s="627"/>
      <c r="I9" s="627"/>
      <c r="J9" s="627"/>
      <c r="K9" s="628"/>
      <c r="L9" s="84" t="s">
        <v>0</v>
      </c>
    </row>
    <row r="10" spans="1:12">
      <c r="A10" s="635"/>
      <c r="B10" s="622" t="s">
        <v>19</v>
      </c>
      <c r="C10" s="622" t="s">
        <v>20</v>
      </c>
      <c r="D10" s="622" t="s">
        <v>19</v>
      </c>
      <c r="E10" s="622" t="s">
        <v>20</v>
      </c>
      <c r="F10" s="624" t="s">
        <v>9</v>
      </c>
      <c r="G10" s="618" t="s">
        <v>101</v>
      </c>
      <c r="H10" s="618" t="s">
        <v>17</v>
      </c>
      <c r="I10" s="618" t="s">
        <v>18</v>
      </c>
      <c r="J10" s="632" t="s">
        <v>19</v>
      </c>
      <c r="K10" s="624" t="s">
        <v>20</v>
      </c>
      <c r="L10" s="84" t="s">
        <v>0</v>
      </c>
    </row>
    <row r="11" spans="1:12" ht="27" customHeight="1">
      <c r="A11" s="636"/>
      <c r="B11" s="623"/>
      <c r="C11" s="623"/>
      <c r="D11" s="623"/>
      <c r="E11" s="623"/>
      <c r="F11" s="625"/>
      <c r="G11" s="619"/>
      <c r="H11" s="619"/>
      <c r="I11" s="619"/>
      <c r="J11" s="633"/>
      <c r="K11" s="631"/>
      <c r="L11" s="84" t="s">
        <v>0</v>
      </c>
    </row>
    <row r="12" spans="1:12" ht="19.899999999999999" customHeight="1">
      <c r="A12" s="148" t="s">
        <v>23</v>
      </c>
      <c r="B12" s="99">
        <v>11</v>
      </c>
      <c r="C12" s="99"/>
      <c r="D12" s="99">
        <v>11</v>
      </c>
      <c r="E12" s="99"/>
      <c r="F12" s="99"/>
      <c r="G12" s="99"/>
      <c r="H12" s="99"/>
      <c r="I12" s="99"/>
      <c r="J12" s="99">
        <v>11</v>
      </c>
      <c r="K12" s="100"/>
      <c r="L12" s="84" t="s">
        <v>0</v>
      </c>
    </row>
    <row r="13" spans="1:12" ht="19.899999999999999" customHeight="1">
      <c r="A13" s="337" t="s">
        <v>131</v>
      </c>
      <c r="B13" s="338">
        <v>67</v>
      </c>
      <c r="C13" s="338"/>
      <c r="D13" s="338">
        <v>79</v>
      </c>
      <c r="E13" s="338"/>
      <c r="F13" s="338"/>
      <c r="G13" s="338"/>
      <c r="H13" s="338"/>
      <c r="I13" s="338"/>
      <c r="J13" s="338">
        <v>79</v>
      </c>
      <c r="K13" s="339"/>
      <c r="L13" s="84" t="s">
        <v>0</v>
      </c>
    </row>
    <row r="14" spans="1:12" ht="19.899999999999999" customHeight="1">
      <c r="A14" s="337" t="s">
        <v>132</v>
      </c>
      <c r="B14" s="338">
        <v>7</v>
      </c>
      <c r="C14" s="338"/>
      <c r="D14" s="338">
        <v>7</v>
      </c>
      <c r="E14" s="338"/>
      <c r="F14" s="338"/>
      <c r="G14" s="338"/>
      <c r="H14" s="338"/>
      <c r="I14" s="338"/>
      <c r="J14" s="338">
        <v>7</v>
      </c>
      <c r="K14" s="339"/>
      <c r="L14" s="84" t="s">
        <v>0</v>
      </c>
    </row>
    <row r="15" spans="1:12" ht="19.899999999999999" customHeight="1">
      <c r="A15" s="337" t="s">
        <v>80</v>
      </c>
      <c r="B15" s="338">
        <v>236</v>
      </c>
      <c r="C15" s="338"/>
      <c r="D15" s="338">
        <v>236</v>
      </c>
      <c r="E15" s="338"/>
      <c r="F15" s="338"/>
      <c r="G15" s="338"/>
      <c r="H15" s="338"/>
      <c r="I15" s="338"/>
      <c r="J15" s="338">
        <v>236</v>
      </c>
      <c r="K15" s="339"/>
      <c r="L15" s="84" t="s">
        <v>0</v>
      </c>
    </row>
    <row r="16" spans="1:12" ht="19.899999999999999" customHeight="1">
      <c r="A16" s="340" t="s">
        <v>81</v>
      </c>
      <c r="B16" s="338">
        <v>13</v>
      </c>
      <c r="C16" s="338"/>
      <c r="D16" s="338">
        <v>13</v>
      </c>
      <c r="E16" s="338"/>
      <c r="F16" s="338"/>
      <c r="G16" s="338"/>
      <c r="H16" s="338"/>
      <c r="I16" s="338"/>
      <c r="J16" s="338">
        <v>13</v>
      </c>
      <c r="K16" s="339"/>
      <c r="L16" s="84" t="s">
        <v>0</v>
      </c>
    </row>
    <row r="17" spans="1:14" ht="19.899999999999999" customHeight="1">
      <c r="A17" s="337" t="s">
        <v>82</v>
      </c>
      <c r="B17" s="338">
        <v>1</v>
      </c>
      <c r="C17" s="338"/>
      <c r="D17" s="338">
        <v>1</v>
      </c>
      <c r="E17" s="338"/>
      <c r="F17" s="338"/>
      <c r="G17" s="338"/>
      <c r="H17" s="338"/>
      <c r="I17" s="338"/>
      <c r="J17" s="338">
        <v>1</v>
      </c>
      <c r="K17" s="339"/>
      <c r="L17" s="84" t="s">
        <v>0</v>
      </c>
    </row>
    <row r="18" spans="1:14" ht="19.899999999999999" customHeight="1">
      <c r="A18" s="337" t="s">
        <v>95</v>
      </c>
      <c r="B18" s="338">
        <v>8</v>
      </c>
      <c r="C18" s="338"/>
      <c r="D18" s="338">
        <v>8</v>
      </c>
      <c r="E18" s="338"/>
      <c r="F18" s="338"/>
      <c r="G18" s="338"/>
      <c r="H18" s="338"/>
      <c r="I18" s="338"/>
      <c r="J18" s="338">
        <v>8</v>
      </c>
      <c r="K18" s="339"/>
      <c r="L18" s="84" t="s">
        <v>0</v>
      </c>
    </row>
    <row r="19" spans="1:14" ht="19.899999999999999" customHeight="1">
      <c r="A19" s="337" t="s">
        <v>83</v>
      </c>
      <c r="B19" s="338">
        <v>3</v>
      </c>
      <c r="C19" s="338"/>
      <c r="D19" s="338">
        <v>4</v>
      </c>
      <c r="E19" s="338"/>
      <c r="F19" s="338"/>
      <c r="G19" s="338"/>
      <c r="H19" s="338"/>
      <c r="I19" s="338"/>
      <c r="J19" s="338">
        <v>4</v>
      </c>
      <c r="K19" s="339"/>
      <c r="L19" s="84" t="s">
        <v>0</v>
      </c>
    </row>
    <row r="20" spans="1:14" ht="19.899999999999999" customHeight="1" thickBot="1">
      <c r="A20" s="326" t="s">
        <v>30</v>
      </c>
      <c r="B20" s="327">
        <f t="shared" ref="B20:K20" si="0">SUM(B12:B19)</f>
        <v>346</v>
      </c>
      <c r="C20" s="329">
        <f t="shared" si="0"/>
        <v>0</v>
      </c>
      <c r="D20" s="331">
        <f t="shared" si="0"/>
        <v>359</v>
      </c>
      <c r="E20" s="329">
        <f t="shared" si="0"/>
        <v>0</v>
      </c>
      <c r="F20" s="331">
        <f t="shared" si="0"/>
        <v>0</v>
      </c>
      <c r="G20" s="329">
        <f t="shared" si="0"/>
        <v>0</v>
      </c>
      <c r="H20" s="331">
        <f t="shared" si="0"/>
        <v>0</v>
      </c>
      <c r="I20" s="329">
        <f t="shared" si="0"/>
        <v>0</v>
      </c>
      <c r="J20" s="331">
        <f t="shared" si="0"/>
        <v>359</v>
      </c>
      <c r="K20" s="329">
        <f t="shared" si="0"/>
        <v>0</v>
      </c>
      <c r="L20" s="85" t="s">
        <v>0</v>
      </c>
    </row>
    <row r="21" spans="1:14" ht="19.899999999999999" customHeight="1">
      <c r="A21" s="332" t="s">
        <v>120</v>
      </c>
      <c r="B21" s="333">
        <v>345</v>
      </c>
      <c r="C21" s="334"/>
      <c r="D21" s="333">
        <v>358</v>
      </c>
      <c r="E21" s="334"/>
      <c r="F21" s="333"/>
      <c r="G21" s="334"/>
      <c r="H21" s="333"/>
      <c r="I21" s="335">
        <f>G21+H21</f>
        <v>0</v>
      </c>
      <c r="J21" s="336">
        <v>358</v>
      </c>
      <c r="K21" s="335">
        <f>SUM(K13:K20)</f>
        <v>0</v>
      </c>
      <c r="L21" s="85" t="s">
        <v>0</v>
      </c>
      <c r="N21" s="288"/>
    </row>
    <row r="22" spans="1:14" ht="19.899999999999999" customHeight="1">
      <c r="A22" s="341" t="s">
        <v>133</v>
      </c>
      <c r="B22" s="342">
        <v>1</v>
      </c>
      <c r="C22" s="343"/>
      <c r="D22" s="342">
        <v>1</v>
      </c>
      <c r="E22" s="343"/>
      <c r="F22" s="342"/>
      <c r="G22" s="343"/>
      <c r="H22" s="342"/>
      <c r="I22" s="344"/>
      <c r="J22" s="345">
        <v>1</v>
      </c>
      <c r="K22" s="344"/>
      <c r="L22" s="84" t="s">
        <v>0</v>
      </c>
    </row>
    <row r="23" spans="1:14" s="11" customFormat="1" ht="19.899999999999999" customHeight="1">
      <c r="A23" s="199" t="s">
        <v>30</v>
      </c>
      <c r="B23" s="328">
        <f t="shared" ref="B23:K23" si="1">SUM(B21:B22)</f>
        <v>346</v>
      </c>
      <c r="C23" s="330">
        <f t="shared" si="1"/>
        <v>0</v>
      </c>
      <c r="D23" s="328">
        <f t="shared" si="1"/>
        <v>359</v>
      </c>
      <c r="E23" s="330">
        <f t="shared" si="1"/>
        <v>0</v>
      </c>
      <c r="F23" s="328">
        <f t="shared" si="1"/>
        <v>0</v>
      </c>
      <c r="G23" s="330">
        <f t="shared" si="1"/>
        <v>0</v>
      </c>
      <c r="H23" s="328">
        <f t="shared" si="1"/>
        <v>0</v>
      </c>
      <c r="I23" s="330">
        <f t="shared" si="1"/>
        <v>0</v>
      </c>
      <c r="J23" s="328">
        <f t="shared" si="1"/>
        <v>359</v>
      </c>
      <c r="K23" s="330">
        <f t="shared" si="1"/>
        <v>0</v>
      </c>
      <c r="L23" s="84" t="s">
        <v>16</v>
      </c>
    </row>
    <row r="24" spans="1:14" s="11" customFormat="1">
      <c r="A24" s="644"/>
      <c r="B24" s="644"/>
      <c r="C24" s="644"/>
      <c r="D24" s="644"/>
      <c r="E24" s="644"/>
      <c r="F24" s="644"/>
      <c r="G24" s="644"/>
      <c r="H24" s="644"/>
      <c r="I24" s="644"/>
      <c r="J24" s="644"/>
      <c r="K24" s="644"/>
      <c r="L24" s="84"/>
    </row>
    <row r="25" spans="1:14" s="11" customFormat="1">
      <c r="L25" s="85"/>
    </row>
    <row r="26" spans="1:14" s="11" customFormat="1">
      <c r="A26" s="33"/>
      <c r="B26" s="102"/>
      <c r="C26" s="102"/>
      <c r="D26" s="102"/>
      <c r="E26" s="102"/>
      <c r="F26" s="102"/>
      <c r="G26" s="102"/>
      <c r="H26" s="102"/>
      <c r="I26" s="102"/>
      <c r="J26" s="102"/>
      <c r="K26" s="102"/>
      <c r="L26" s="85"/>
    </row>
    <row r="27" spans="1:14" s="11" customFormat="1" ht="12" customHeight="1">
      <c r="A27" s="136"/>
      <c r="B27" s="102"/>
      <c r="C27" s="102"/>
      <c r="D27" s="102"/>
      <c r="E27" s="102"/>
      <c r="F27" s="102"/>
      <c r="G27" s="102"/>
      <c r="H27" s="102"/>
      <c r="I27" s="102"/>
      <c r="J27" s="102"/>
      <c r="K27" s="102"/>
      <c r="L27" s="85"/>
    </row>
    <row r="28" spans="1:14" s="11" customFormat="1" ht="12" customHeight="1">
      <c r="A28" s="136"/>
      <c r="B28" s="102"/>
      <c r="C28" s="102"/>
      <c r="D28" s="102"/>
      <c r="E28" s="102"/>
      <c r="F28" s="102"/>
      <c r="G28" s="102"/>
      <c r="H28" s="102"/>
      <c r="I28" s="102"/>
      <c r="J28" s="102"/>
      <c r="K28" s="102"/>
      <c r="L28" s="85"/>
    </row>
    <row r="29" spans="1:14" s="11" customFormat="1" ht="12" customHeight="1">
      <c r="A29" s="40"/>
      <c r="B29" s="41"/>
      <c r="C29" s="41"/>
      <c r="D29" s="41"/>
      <c r="E29" s="41"/>
      <c r="F29" s="41"/>
      <c r="G29" s="41"/>
      <c r="H29" s="41"/>
      <c r="I29" s="41"/>
      <c r="J29" s="41"/>
      <c r="K29" s="41"/>
      <c r="L29" s="85"/>
    </row>
    <row r="30" spans="1:14" s="11" customFormat="1" ht="15.75">
      <c r="A30" s="64"/>
      <c r="B30" s="65"/>
      <c r="C30" s="65"/>
      <c r="D30" s="65"/>
      <c r="E30" s="65"/>
      <c r="F30" s="65"/>
      <c r="G30" s="65"/>
      <c r="H30" s="65"/>
      <c r="I30" s="65"/>
      <c r="J30" s="65"/>
      <c r="K30" s="65"/>
      <c r="L30" s="85"/>
    </row>
    <row r="31" spans="1:14" ht="71.25" customHeight="1">
      <c r="A31" s="532"/>
      <c r="B31" s="532"/>
      <c r="C31" s="532"/>
      <c r="D31" s="532"/>
      <c r="E31" s="532"/>
      <c r="F31" s="532"/>
      <c r="G31" s="532"/>
      <c r="H31" s="532"/>
      <c r="I31" s="532"/>
      <c r="J31" s="532"/>
      <c r="K31" s="532"/>
    </row>
    <row r="32" spans="1:14" ht="39.75" customHeight="1">
      <c r="A32" s="532"/>
      <c r="B32" s="532"/>
      <c r="C32" s="532"/>
      <c r="D32" s="532"/>
      <c r="E32" s="532"/>
      <c r="F32" s="532"/>
      <c r="G32" s="532"/>
      <c r="H32" s="532"/>
      <c r="I32" s="532"/>
      <c r="J32" s="532"/>
      <c r="K32" s="532"/>
    </row>
    <row r="33" spans="1:11" ht="58.5" customHeight="1">
      <c r="A33" s="532"/>
      <c r="B33" s="532"/>
      <c r="C33" s="532"/>
      <c r="D33" s="532"/>
      <c r="E33" s="532"/>
      <c r="F33" s="532"/>
      <c r="G33" s="532"/>
      <c r="H33" s="532"/>
      <c r="I33" s="532"/>
      <c r="J33" s="532"/>
      <c r="K33" s="532"/>
    </row>
    <row r="34" spans="1:11" ht="69" customHeight="1">
      <c r="A34" s="532"/>
      <c r="B34" s="532"/>
      <c r="C34" s="532"/>
      <c r="D34" s="532"/>
      <c r="E34" s="532"/>
      <c r="F34" s="532"/>
      <c r="G34" s="532"/>
      <c r="H34" s="532"/>
      <c r="I34" s="532"/>
      <c r="J34" s="532"/>
      <c r="K34" s="532"/>
    </row>
    <row r="35" spans="1:11">
      <c r="A35" s="58"/>
      <c r="B35" s="51"/>
      <c r="C35" s="51"/>
      <c r="D35" s="51"/>
      <c r="E35" s="51"/>
      <c r="F35" s="51"/>
      <c r="G35" s="51"/>
      <c r="H35" s="51"/>
      <c r="I35" s="51"/>
      <c r="J35" s="51"/>
      <c r="K35" s="51"/>
    </row>
    <row r="37" spans="1:11">
      <c r="A37" s="288"/>
      <c r="K37" s="71"/>
    </row>
  </sheetData>
  <customSheetViews>
    <customSheetView guid="{68D6E89C-5B15-4C35-9CD8-F5F4F27258FD}" scale="75" showPageBreaks="1" fitToPage="1" printArea="1" view="pageBreakPreview">
      <pane xSplit="1" ySplit="11" topLeftCell="B12" activePane="bottomRight" state="frozen"/>
      <selection pane="bottomRight" activeCell="A12" sqref="A12"/>
      <pageMargins left="0.75" right="0.75" top="1" bottom="1" header="0.5" footer="0.5"/>
      <printOptions horizontalCentered="1"/>
      <pageSetup scale="71" orientation="landscape" r:id="rId1"/>
      <headerFooter alignWithMargins="0">
        <oddFooter>&amp;C&amp;"Times New Roman,Regular"Exhibit I - Detail of Permanent Positions by Category</oddFooter>
      </headerFooter>
    </customSheetView>
    <customSheetView guid="{4148B88B-8ED7-4FDE-9459-DEB244AD0552}" scale="75" showPageBreaks="1" fitToPage="1" printArea="1" view="pageBreakPreview">
      <pane xSplit="1" ySplit="11" topLeftCell="B40" activePane="bottomRight" state="frozen"/>
      <selection pane="bottomRight" activeCell="A47" sqref="A47"/>
      <pageMargins left="0.75" right="0.75" top="1" bottom="1" header="0.5" footer="0.5"/>
      <printOptions horizontalCentered="1"/>
      <pageSetup scale="71" orientation="landscape" r:id="rId2"/>
      <headerFooter alignWithMargins="0">
        <oddFooter>&amp;C&amp;"Times New Roman,Regular"Exhibit I - Detail of Permanent Positions by Category</oddFooter>
      </headerFooter>
    </customSheetView>
    <customSheetView guid="{56C0A34E-45B4-448B-85E5-70B3A8E63333}" scale="75" showPageBreaks="1" fitToPage="1" printArea="1" view="pageBreakPreview">
      <pane xSplit="1" ySplit="11" topLeftCell="B12" activePane="bottomRight" state="frozen"/>
      <selection pane="bottomRight" activeCell="A48" sqref="A48"/>
      <pageMargins left="0.75" right="0.75" top="1" bottom="1" header="0.5" footer="0.5"/>
      <printOptions horizontalCentered="1"/>
      <pageSetup scale="71" orientation="landscape" r:id="rId3"/>
      <headerFooter alignWithMargins="0">
        <oddFooter>&amp;C&amp;"Times New Roman,Regular"Exhibit I - Detail of Permanent Positions by Category</oddFooter>
      </headerFooter>
    </customSheetView>
    <customSheetView guid="{3118AF25-8423-420A-806A-487665220C68}" scale="75" showPageBreaks="1" fitToPage="1" printArea="1" view="pageBreakPreview">
      <pane xSplit="1" ySplit="11" topLeftCell="B12" activePane="bottomRight" state="frozen"/>
      <selection pane="bottomRight" activeCell="J20" sqref="J20"/>
      <pageMargins left="0.75" right="0.75" top="1" bottom="1" header="0.5" footer="0.5"/>
      <printOptions horizontalCentered="1"/>
      <pageSetup scale="71" orientation="landscape" r:id="rId4"/>
      <headerFooter alignWithMargins="0">
        <oddFooter>&amp;C&amp;"Times New Roman,Regular"Exhibit I - Detail of Permanent Positions by Category</oddFooter>
      </headerFooter>
    </customSheetView>
    <customSheetView guid="{12C66D54-5067-4346-818B-6EAB1C8A9183}" scale="75" showPageBreaks="1" fitToPage="1" printArea="1" view="pageBreakPreview">
      <pane xSplit="1" ySplit="11" topLeftCell="B12" activePane="bottomRight" state="frozen"/>
      <selection pane="bottomRight" activeCell="D15" sqref="D15"/>
      <pageMargins left="0.75" right="0.75" top="1" bottom="1" header="0.5" footer="0.5"/>
      <printOptions horizontalCentered="1"/>
      <pageSetup scale="71" orientation="landscape" r:id="rId5"/>
      <headerFooter alignWithMargins="0">
        <oddFooter>&amp;C&amp;"Times New Roman,Regular"Exhibit I - Detail of Permanent Positions by Category</oddFooter>
      </headerFooter>
    </customSheetView>
  </customSheetViews>
  <mergeCells count="27">
    <mergeCell ref="A34:K34"/>
    <mergeCell ref="A31:K31"/>
    <mergeCell ref="A32:K32"/>
    <mergeCell ref="A33:K33"/>
    <mergeCell ref="A24:K24"/>
    <mergeCell ref="A1:K1"/>
    <mergeCell ref="A4:K4"/>
    <mergeCell ref="A5:K5"/>
    <mergeCell ref="A6:K6"/>
    <mergeCell ref="A2:K2"/>
    <mergeCell ref="A3:K3"/>
    <mergeCell ref="H10:H11"/>
    <mergeCell ref="A7:K7"/>
    <mergeCell ref="A8:K8"/>
    <mergeCell ref="G10:G11"/>
    <mergeCell ref="B10:B11"/>
    <mergeCell ref="C10:C11"/>
    <mergeCell ref="D10:D11"/>
    <mergeCell ref="F10:F11"/>
    <mergeCell ref="F9:K9"/>
    <mergeCell ref="D9:E9"/>
    <mergeCell ref="B9:C9"/>
    <mergeCell ref="K10:K11"/>
    <mergeCell ref="J10:J11"/>
    <mergeCell ref="I10:I11"/>
    <mergeCell ref="E10:E11"/>
    <mergeCell ref="A9:A11"/>
  </mergeCells>
  <phoneticPr fontId="0" type="noConversion"/>
  <printOptions horizontalCentered="1"/>
  <pageMargins left="0.75" right="0.75" top="1" bottom="1" header="0.5" footer="0.5"/>
  <pageSetup scale="71" orientation="landscape" r:id="rId6"/>
  <headerFooter alignWithMargins="0">
    <oddFooter>&amp;C&amp;"Times New Roman,Regular"Exhibit I - Detail of Permanent Positions by Category</oddFooter>
  </headerFooter>
</worksheet>
</file>

<file path=xl/worksheets/sheet9.xml><?xml version="1.0" encoding="utf-8"?>
<worksheet xmlns="http://schemas.openxmlformats.org/spreadsheetml/2006/main" xmlns:r="http://schemas.openxmlformats.org/officeDocument/2006/relationships">
  <sheetPr codeName="Sheet15"/>
  <dimension ref="A1:T33"/>
  <sheetViews>
    <sheetView view="pageBreakPreview" zoomScale="55" zoomScaleNormal="75" zoomScaleSheetLayoutView="55" workbookViewId="0">
      <pane xSplit="1" ySplit="10" topLeftCell="B11" activePane="bottomRight" state="frozen"/>
      <selection pane="topRight" activeCell="B1" sqref="B1"/>
      <selection pane="bottomLeft" activeCell="A11" sqref="A11"/>
      <selection pane="bottomRight" activeCell="L29" sqref="L29"/>
    </sheetView>
  </sheetViews>
  <sheetFormatPr defaultRowHeight="15"/>
  <cols>
    <col min="1" max="1" width="60.6640625" customWidth="1"/>
    <col min="2" max="2" width="12.6640625" customWidth="1"/>
    <col min="3" max="3" width="15.6640625" style="48" customWidth="1"/>
    <col min="4" max="4" width="12.6640625" customWidth="1"/>
    <col min="5" max="5" width="15.6640625" style="48" customWidth="1"/>
    <col min="6" max="6" width="0.6640625" style="83" customWidth="1"/>
  </cols>
  <sheetData>
    <row r="1" spans="1:6" ht="20.25">
      <c r="A1" s="151" t="s">
        <v>21</v>
      </c>
      <c r="B1" s="220"/>
      <c r="C1" s="292"/>
      <c r="D1" s="220"/>
      <c r="E1" s="293"/>
      <c r="F1" s="80" t="s">
        <v>0</v>
      </c>
    </row>
    <row r="2" spans="1:6" ht="13.15" customHeight="1">
      <c r="A2" s="661"/>
      <c r="B2" s="661"/>
      <c r="C2" s="661"/>
      <c r="D2" s="661"/>
      <c r="E2" s="662"/>
      <c r="F2" s="80" t="s">
        <v>0</v>
      </c>
    </row>
    <row r="3" spans="1:6" ht="18.75">
      <c r="A3" s="638" t="s">
        <v>4</v>
      </c>
      <c r="B3" s="638"/>
      <c r="C3" s="638"/>
      <c r="D3" s="638"/>
      <c r="E3" s="638"/>
      <c r="F3" s="80" t="s">
        <v>0</v>
      </c>
    </row>
    <row r="4" spans="1:6" ht="16.5">
      <c r="A4" s="640" t="s">
        <v>189</v>
      </c>
      <c r="B4" s="640"/>
      <c r="C4" s="640"/>
      <c r="D4" s="640"/>
      <c r="E4" s="640"/>
      <c r="F4" s="80" t="s">
        <v>0</v>
      </c>
    </row>
    <row r="5" spans="1:6" ht="16.5">
      <c r="A5" s="640" t="str">
        <f>+'B. Summary of Requirements '!A6</f>
        <v>Salaries and Expenses</v>
      </c>
      <c r="B5" s="640"/>
      <c r="C5" s="640"/>
      <c r="D5" s="640"/>
      <c r="E5" s="640"/>
      <c r="F5" s="80" t="s">
        <v>0</v>
      </c>
    </row>
    <row r="6" spans="1:6">
      <c r="A6" s="663" t="s">
        <v>111</v>
      </c>
      <c r="B6" s="663"/>
      <c r="C6" s="663"/>
      <c r="D6" s="663"/>
      <c r="E6" s="663"/>
      <c r="F6" s="80" t="s">
        <v>0</v>
      </c>
    </row>
    <row r="7" spans="1:6">
      <c r="A7" s="651"/>
      <c r="B7" s="651"/>
      <c r="C7" s="651"/>
      <c r="D7" s="651"/>
      <c r="E7" s="651"/>
      <c r="F7" s="80" t="s">
        <v>0</v>
      </c>
    </row>
    <row r="8" spans="1:6" ht="15.75" customHeight="1">
      <c r="A8" s="654" t="s">
        <v>110</v>
      </c>
      <c r="B8" s="657"/>
      <c r="C8" s="658"/>
      <c r="D8" s="647" t="s">
        <v>78</v>
      </c>
      <c r="E8" s="648"/>
      <c r="F8" s="80" t="s">
        <v>0</v>
      </c>
    </row>
    <row r="9" spans="1:6" ht="36" customHeight="1">
      <c r="A9" s="655"/>
      <c r="B9" s="659" t="s">
        <v>199</v>
      </c>
      <c r="C9" s="660"/>
      <c r="D9" s="649"/>
      <c r="E9" s="650"/>
      <c r="F9" s="80" t="s">
        <v>0</v>
      </c>
    </row>
    <row r="10" spans="1:6" ht="36" customHeight="1" thickBot="1">
      <c r="A10" s="656"/>
      <c r="B10" s="150" t="s">
        <v>127</v>
      </c>
      <c r="C10" s="302" t="s">
        <v>109</v>
      </c>
      <c r="D10" s="149" t="s">
        <v>127</v>
      </c>
      <c r="E10" s="309" t="s">
        <v>109</v>
      </c>
      <c r="F10" s="80" t="s">
        <v>0</v>
      </c>
    </row>
    <row r="11" spans="1:6" ht="18" customHeight="1">
      <c r="A11" s="425" t="s">
        <v>59</v>
      </c>
      <c r="B11" s="103">
        <v>0</v>
      </c>
      <c r="C11" s="304">
        <v>0</v>
      </c>
      <c r="D11" s="103">
        <f>SUM(B11)</f>
        <v>0</v>
      </c>
      <c r="E11" s="310">
        <f>SUM(C11)</f>
        <v>0</v>
      </c>
      <c r="F11" s="80" t="s">
        <v>0</v>
      </c>
    </row>
    <row r="12" spans="1:6" ht="18" customHeight="1">
      <c r="A12" s="425" t="s">
        <v>64</v>
      </c>
      <c r="B12" s="103">
        <v>0</v>
      </c>
      <c r="C12" s="304">
        <v>0</v>
      </c>
      <c r="D12" s="103">
        <f t="shared" ref="D12:D23" si="0">SUM(B12)</f>
        <v>0</v>
      </c>
      <c r="E12" s="310">
        <f t="shared" ref="E12:E23" si="1">SUM(C12)</f>
        <v>0</v>
      </c>
      <c r="F12" s="80" t="s">
        <v>0</v>
      </c>
    </row>
    <row r="13" spans="1:6" ht="18" customHeight="1">
      <c r="A13" s="425" t="s">
        <v>60</v>
      </c>
      <c r="B13" s="103">
        <v>0</v>
      </c>
      <c r="C13" s="304">
        <v>0</v>
      </c>
      <c r="D13" s="103">
        <f t="shared" si="0"/>
        <v>0</v>
      </c>
      <c r="E13" s="310">
        <f t="shared" si="1"/>
        <v>0</v>
      </c>
      <c r="F13" s="80" t="s">
        <v>0</v>
      </c>
    </row>
    <row r="14" spans="1:6" ht="18" customHeight="1">
      <c r="A14" s="425" t="s">
        <v>65</v>
      </c>
      <c r="B14" s="103">
        <v>0</v>
      </c>
      <c r="C14" s="304">
        <v>0</v>
      </c>
      <c r="D14" s="103">
        <f t="shared" si="0"/>
        <v>0</v>
      </c>
      <c r="E14" s="310">
        <f t="shared" si="1"/>
        <v>0</v>
      </c>
      <c r="F14" s="80" t="s">
        <v>0</v>
      </c>
    </row>
    <row r="15" spans="1:6" ht="18" customHeight="1">
      <c r="A15" s="425" t="s">
        <v>66</v>
      </c>
      <c r="B15" s="103">
        <v>0</v>
      </c>
      <c r="C15" s="304">
        <v>0</v>
      </c>
      <c r="D15" s="103">
        <f t="shared" si="0"/>
        <v>0</v>
      </c>
      <c r="E15" s="310">
        <f t="shared" si="1"/>
        <v>0</v>
      </c>
      <c r="F15" s="80" t="s">
        <v>0</v>
      </c>
    </row>
    <row r="16" spans="1:6" ht="18" customHeight="1">
      <c r="A16" s="425" t="s">
        <v>61</v>
      </c>
      <c r="B16" s="103">
        <v>0</v>
      </c>
      <c r="C16" s="304">
        <v>0</v>
      </c>
      <c r="D16" s="103">
        <f t="shared" si="0"/>
        <v>0</v>
      </c>
      <c r="E16" s="310">
        <f t="shared" si="1"/>
        <v>0</v>
      </c>
      <c r="F16" s="80" t="s">
        <v>0</v>
      </c>
    </row>
    <row r="17" spans="1:20" ht="18" customHeight="1">
      <c r="A17" s="425" t="s">
        <v>67</v>
      </c>
      <c r="B17" s="103">
        <v>0</v>
      </c>
      <c r="C17" s="304">
        <v>0</v>
      </c>
      <c r="D17" s="103">
        <f t="shared" si="0"/>
        <v>0</v>
      </c>
      <c r="E17" s="310">
        <f t="shared" si="1"/>
        <v>0</v>
      </c>
      <c r="F17" s="80" t="s">
        <v>0</v>
      </c>
    </row>
    <row r="18" spans="1:20" ht="18" customHeight="1">
      <c r="A18" s="425" t="s">
        <v>68</v>
      </c>
      <c r="B18" s="103">
        <v>0</v>
      </c>
      <c r="C18" s="304">
        <v>-192</v>
      </c>
      <c r="D18" s="103">
        <f t="shared" si="0"/>
        <v>0</v>
      </c>
      <c r="E18" s="310">
        <f t="shared" si="1"/>
        <v>-192</v>
      </c>
      <c r="F18" s="80" t="s">
        <v>0</v>
      </c>
    </row>
    <row r="19" spans="1:20" ht="18" customHeight="1">
      <c r="A19" s="425" t="s">
        <v>63</v>
      </c>
      <c r="B19" s="103">
        <v>0</v>
      </c>
      <c r="C19" s="304">
        <v>0</v>
      </c>
      <c r="D19" s="103">
        <f t="shared" si="0"/>
        <v>0</v>
      </c>
      <c r="E19" s="310">
        <f t="shared" si="1"/>
        <v>0</v>
      </c>
      <c r="F19" s="80" t="s">
        <v>0</v>
      </c>
    </row>
    <row r="20" spans="1:20" ht="18" customHeight="1">
      <c r="A20" s="425" t="s">
        <v>69</v>
      </c>
      <c r="B20" s="103">
        <v>0</v>
      </c>
      <c r="C20" s="304">
        <v>0</v>
      </c>
      <c r="D20" s="103">
        <f t="shared" si="0"/>
        <v>0</v>
      </c>
      <c r="E20" s="310">
        <f t="shared" si="1"/>
        <v>0</v>
      </c>
      <c r="F20" s="80" t="s">
        <v>0</v>
      </c>
    </row>
    <row r="21" spans="1:20" ht="18" customHeight="1">
      <c r="A21" s="425" t="s">
        <v>71</v>
      </c>
      <c r="B21" s="103">
        <v>0</v>
      </c>
      <c r="C21" s="304">
        <v>0</v>
      </c>
      <c r="D21" s="103">
        <f t="shared" si="0"/>
        <v>0</v>
      </c>
      <c r="E21" s="310">
        <f t="shared" si="1"/>
        <v>0</v>
      </c>
      <c r="F21" s="80" t="s">
        <v>0</v>
      </c>
    </row>
    <row r="22" spans="1:20" ht="18" customHeight="1">
      <c r="A22" s="425" t="s">
        <v>70</v>
      </c>
      <c r="B22" s="103">
        <v>0</v>
      </c>
      <c r="C22" s="304">
        <v>0</v>
      </c>
      <c r="D22" s="103">
        <f t="shared" si="0"/>
        <v>0</v>
      </c>
      <c r="E22" s="310">
        <f t="shared" si="1"/>
        <v>0</v>
      </c>
      <c r="F22" s="80" t="s">
        <v>0</v>
      </c>
    </row>
    <row r="23" spans="1:20" ht="18" customHeight="1">
      <c r="A23" s="426" t="s">
        <v>62</v>
      </c>
      <c r="B23" s="423">
        <v>0</v>
      </c>
      <c r="C23" s="305">
        <v>0</v>
      </c>
      <c r="D23" s="103">
        <f t="shared" si="0"/>
        <v>0</v>
      </c>
      <c r="E23" s="310">
        <f t="shared" si="1"/>
        <v>0</v>
      </c>
      <c r="F23" s="80" t="s">
        <v>0</v>
      </c>
    </row>
    <row r="24" spans="1:20" ht="16.5" thickBot="1">
      <c r="A24" s="427" t="s">
        <v>166</v>
      </c>
      <c r="B24" s="424">
        <f>SUM(B11:B23)</f>
        <v>0</v>
      </c>
      <c r="C24" s="306">
        <f>SUM(C11:C23)</f>
        <v>-192</v>
      </c>
      <c r="D24" s="127">
        <f>SUM(D11:D23)</f>
        <v>0</v>
      </c>
      <c r="E24" s="311">
        <f>SUM(E11:E23)</f>
        <v>-192</v>
      </c>
      <c r="F24" s="80" t="s">
        <v>16</v>
      </c>
    </row>
    <row r="25" spans="1:20">
      <c r="A25" s="652"/>
      <c r="B25" s="653"/>
      <c r="C25" s="653"/>
      <c r="D25" s="653"/>
      <c r="E25" s="653"/>
      <c r="F25" s="81"/>
      <c r="G25" s="17"/>
      <c r="H25" s="17"/>
      <c r="I25" s="17"/>
      <c r="J25" s="17"/>
      <c r="K25" s="17"/>
      <c r="L25" s="17"/>
      <c r="M25" s="17"/>
      <c r="N25" s="17"/>
      <c r="O25" s="17"/>
      <c r="P25" s="17"/>
      <c r="Q25" s="17"/>
      <c r="R25" s="17"/>
      <c r="S25" s="17"/>
      <c r="T25" s="17"/>
    </row>
    <row r="26" spans="1:20">
      <c r="A26" s="18"/>
      <c r="B26" s="18"/>
      <c r="C26" s="303"/>
      <c r="D26" s="18"/>
      <c r="E26" s="303"/>
      <c r="F26" s="82"/>
      <c r="G26" s="17"/>
      <c r="H26" s="17"/>
      <c r="I26" s="17"/>
      <c r="J26" s="17"/>
      <c r="K26" s="17"/>
      <c r="L26" s="17"/>
      <c r="M26" s="17"/>
      <c r="N26" s="17"/>
      <c r="O26" s="17"/>
      <c r="P26" s="17"/>
      <c r="Q26" s="17"/>
      <c r="R26" s="17"/>
      <c r="S26" s="17"/>
      <c r="T26" s="17"/>
    </row>
    <row r="28" spans="1:20" ht="18.75">
      <c r="A28" s="645"/>
      <c r="B28" s="645"/>
      <c r="C28" s="645"/>
      <c r="D28" s="57"/>
      <c r="E28" s="307"/>
    </row>
    <row r="29" spans="1:20" ht="18.75">
      <c r="A29" s="287"/>
      <c r="B29" s="287"/>
      <c r="C29" s="291"/>
      <c r="D29" s="57"/>
      <c r="E29" s="307"/>
    </row>
    <row r="30" spans="1:20" ht="141.75" customHeight="1">
      <c r="A30" s="646"/>
      <c r="B30" s="646"/>
      <c r="C30" s="646"/>
      <c r="D30" s="55"/>
      <c r="E30" s="308"/>
    </row>
    <row r="33" spans="5:5">
      <c r="E33" s="312"/>
    </row>
  </sheetData>
  <customSheetViews>
    <customSheetView guid="{68D6E89C-5B15-4C35-9CD8-F5F4F27258FD}" scale="55" showPageBreaks="1" printArea="1" view="pageBreakPreview">
      <pane xSplit="1" ySplit="10" topLeftCell="B11" activePane="bottomRight" state="frozen"/>
      <selection pane="bottomRight" activeCell="A17" sqref="A17"/>
      <pageMargins left="0.25" right="0.25" top="0.5" bottom="0.5" header="0.5" footer="0.5"/>
      <printOptions horizontalCentered="1"/>
      <pageSetup scale="70" fitToHeight="0" orientation="landscape" r:id="rId1"/>
      <headerFooter alignWithMargins="0">
        <oddFooter xml:space="preserve">&amp;C&amp;"Times New Roman,Regular"&amp;14Exhibit J - Financial Analysis of Program Changes&amp;12
</oddFooter>
      </headerFooter>
    </customSheetView>
    <customSheetView guid="{4148B88B-8ED7-4FDE-9459-DEB244AD0552}" scale="55" showPageBreaks="1" fitToPage="1" printArea="1" view="pageBreakPreview">
      <pane xSplit="1" ySplit="10" topLeftCell="B11" activePane="bottomRight" state="frozen"/>
      <selection pane="bottomRight" activeCell="A42" sqref="A42:AA42"/>
      <pageMargins left="0.25" right="0.25" top="0.5" bottom="0.5" header="0.5" footer="0.5"/>
      <printOptions horizontalCentered="1"/>
      <pageSetup scale="41" fitToHeight="0" orientation="landscape" r:id="rId2"/>
      <headerFooter alignWithMargins="0">
        <oddFooter xml:space="preserve">&amp;C&amp;"Times New Roman,Regular"&amp;14Exhibit J - Financial Analysis of Program Changes&amp;12
</oddFooter>
      </headerFooter>
    </customSheetView>
    <customSheetView guid="{56C0A34E-45B4-448B-85E5-70B3A8E63333}" scale="55" showPageBreaks="1" fitToPage="1" printArea="1" view="pageBreakPreview">
      <pane xSplit="1" ySplit="10" topLeftCell="B11" activePane="bottomRight" state="frozen"/>
      <selection pane="bottomRight" activeCell="A42" sqref="A42:AA42"/>
      <pageMargins left="0.25" right="0.25" top="0.5" bottom="0.5" header="0.5" footer="0.5"/>
      <printOptions horizontalCentered="1"/>
      <pageSetup scale="41" fitToHeight="0" orientation="landscape" r:id="rId3"/>
      <headerFooter alignWithMargins="0">
        <oddFooter xml:space="preserve">&amp;C&amp;"Times New Roman,Regular"&amp;14Exhibit J - Financial Analysis of Program Changes&amp;12
</oddFooter>
      </headerFooter>
    </customSheetView>
    <customSheetView guid="{3118AF25-8423-420A-806A-487665220C68}" scale="55" showPageBreaks="1" fitToPage="1" printArea="1" view="pageBreakPreview">
      <pane xSplit="1" ySplit="10" topLeftCell="B11" activePane="bottomRight" state="frozen"/>
      <selection pane="bottomRight" activeCell="W35" sqref="W35"/>
      <pageMargins left="0.25" right="0.25" top="0.5" bottom="0.5" header="0.5" footer="0.5"/>
      <printOptions horizontalCentered="1"/>
      <pageSetup scale="41" fitToHeight="0" orientation="landscape" r:id="rId4"/>
      <headerFooter alignWithMargins="0">
        <oddFooter xml:space="preserve">&amp;C&amp;"Times New Roman,Regular"&amp;14Exhibit J - Financial Analysis of Program Changes&amp;12
</oddFooter>
      </headerFooter>
    </customSheetView>
    <customSheetView guid="{12C66D54-5067-4346-818B-6EAB1C8A9183}" scale="55" showPageBreaks="1" fitToPage="1" printArea="1" view="pageBreakPreview">
      <pane xSplit="1" ySplit="10" topLeftCell="B11" activePane="bottomRight" state="frozen"/>
      <selection pane="bottomRight" activeCell="A42" sqref="A42:AA42"/>
      <pageMargins left="0.25" right="0.25" top="0.5" bottom="0.5" header="0.5" footer="0.5"/>
      <printOptions horizontalCentered="1"/>
      <pageSetup scale="41" fitToHeight="0" orientation="landscape" r:id="rId5"/>
      <headerFooter alignWithMargins="0">
        <oddFooter xml:space="preserve">&amp;C&amp;"Times New Roman,Regular"&amp;14Exhibit J - Financial Analysis of Program Changes&amp;12
</oddFooter>
      </headerFooter>
    </customSheetView>
  </customSheetViews>
  <mergeCells count="13">
    <mergeCell ref="A2:E2"/>
    <mergeCell ref="A4:E4"/>
    <mergeCell ref="A3:E3"/>
    <mergeCell ref="A5:E5"/>
    <mergeCell ref="A6:E6"/>
    <mergeCell ref="A28:C28"/>
    <mergeCell ref="A30:C30"/>
    <mergeCell ref="D8:E9"/>
    <mergeCell ref="A7:E7"/>
    <mergeCell ref="A25:E25"/>
    <mergeCell ref="A8:A10"/>
    <mergeCell ref="B8:C8"/>
    <mergeCell ref="B9:C9"/>
  </mergeCells>
  <phoneticPr fontId="0" type="noConversion"/>
  <printOptions horizontalCentered="1"/>
  <pageMargins left="0.25" right="0.25" top="0.5" bottom="0.5" header="0.5" footer="0.5"/>
  <pageSetup scale="70" fitToHeight="0" orientation="landscape" r:id="rId6"/>
  <headerFooter alignWithMargins="0">
    <oddFooter xml:space="preserve">&amp;C&amp;"Times New Roman,Regular"&amp;14Exhibit J - Financial Analysis of Program Changes&amp;12
</oddFooter>
  </headerFooter>
</worksheet>
</file>

<file path=xl/worksheets/sheet10.xml><?xml version="1.0" encoding="utf-8"?>
<worksheet xmlns="http://schemas.openxmlformats.org/spreadsheetml/2006/main" xmlns:r="http://schemas.openxmlformats.org/officeDocument/2006/relationships">
  <sheetPr codeName="Sheet16"/>
  <dimension ref="A1:N33"/>
  <sheetViews>
    <sheetView showGridLines="0" showOutlineSymbols="0" view="pageBreakPreview" zoomScale="75" zoomScaleNormal="75" zoomScaleSheetLayoutView="75" workbookViewId="0">
      <pane xSplit="1" ySplit="11" topLeftCell="B12" activePane="bottomRight" state="frozen"/>
      <selection pane="topRight" activeCell="B1" sqref="B1"/>
      <selection pane="bottomLeft" activeCell="A12" sqref="A12"/>
      <selection pane="bottomRight" activeCell="E25" sqref="E25"/>
    </sheetView>
  </sheetViews>
  <sheetFormatPr defaultColWidth="9.6640625" defaultRowHeight="15.75"/>
  <cols>
    <col min="1" max="1" width="57" style="7" customWidth="1"/>
    <col min="2" max="2" width="8.33203125" style="7" customWidth="1"/>
    <col min="3" max="3" width="12.109375" style="7" customWidth="1"/>
    <col min="4" max="4" width="8.77734375" style="7" customWidth="1"/>
    <col min="5" max="5" width="9.77734375" style="7" customWidth="1"/>
    <col min="6" max="6" width="9.21875" style="7" customWidth="1"/>
    <col min="7" max="7" width="9.77734375" style="7" customWidth="1"/>
    <col min="8" max="8" width="7.77734375" style="7" customWidth="1"/>
    <col min="9" max="9" width="11.77734375" style="7" bestFit="1" customWidth="1"/>
    <col min="10" max="10" width="1.21875" style="79" customWidth="1"/>
    <col min="11" max="16384" width="9.6640625" style="7"/>
  </cols>
  <sheetData>
    <row r="1" spans="1:10" ht="20.25">
      <c r="A1" s="666" t="s">
        <v>100</v>
      </c>
      <c r="B1" s="667"/>
      <c r="C1" s="667"/>
      <c r="D1" s="667"/>
      <c r="E1" s="667"/>
      <c r="F1" s="667"/>
      <c r="G1" s="667"/>
      <c r="H1" s="667"/>
      <c r="I1" s="667"/>
      <c r="J1" s="221" t="s">
        <v>0</v>
      </c>
    </row>
    <row r="2" spans="1:10" ht="18.75">
      <c r="A2" s="668"/>
      <c r="B2" s="668"/>
      <c r="C2" s="668"/>
      <c r="D2" s="668"/>
      <c r="E2" s="668"/>
      <c r="F2" s="668"/>
      <c r="G2" s="668"/>
      <c r="H2" s="668"/>
      <c r="I2" s="668"/>
      <c r="J2" s="221" t="s">
        <v>0</v>
      </c>
    </row>
    <row r="3" spans="1:10">
      <c r="A3" s="669"/>
      <c r="B3" s="669"/>
      <c r="C3" s="669"/>
      <c r="D3" s="669"/>
      <c r="E3" s="669"/>
      <c r="F3" s="669"/>
      <c r="G3" s="669"/>
      <c r="H3" s="669"/>
      <c r="I3" s="669"/>
      <c r="J3" s="221" t="s">
        <v>0</v>
      </c>
    </row>
    <row r="4" spans="1:10" ht="20.25">
      <c r="A4" s="684" t="s">
        <v>135</v>
      </c>
      <c r="B4" s="683"/>
      <c r="C4" s="683"/>
      <c r="D4" s="683"/>
      <c r="E4" s="683"/>
      <c r="F4" s="683"/>
      <c r="G4" s="683"/>
      <c r="H4" s="683"/>
      <c r="I4" s="683"/>
      <c r="J4" s="221" t="s">
        <v>0</v>
      </c>
    </row>
    <row r="5" spans="1:10" ht="18.75">
      <c r="A5" s="682" t="s">
        <v>189</v>
      </c>
      <c r="B5" s="639"/>
      <c r="C5" s="639"/>
      <c r="D5" s="639"/>
      <c r="E5" s="639"/>
      <c r="F5" s="639"/>
      <c r="G5" s="639"/>
      <c r="H5" s="639"/>
      <c r="I5" s="639"/>
      <c r="J5" s="221" t="s">
        <v>0</v>
      </c>
    </row>
    <row r="6" spans="1:10" ht="18.75">
      <c r="A6" s="682" t="str">
        <f>+'B. Summary of Requirements '!A6</f>
        <v>Salaries and Expenses</v>
      </c>
      <c r="B6" s="683"/>
      <c r="C6" s="683"/>
      <c r="D6" s="683"/>
      <c r="E6" s="683"/>
      <c r="F6" s="683"/>
      <c r="G6" s="683"/>
      <c r="H6" s="683"/>
      <c r="I6" s="683"/>
      <c r="J6" s="221" t="s">
        <v>0</v>
      </c>
    </row>
    <row r="7" spans="1:10">
      <c r="A7" s="669"/>
      <c r="B7" s="669"/>
      <c r="C7" s="669"/>
      <c r="D7" s="669"/>
      <c r="E7" s="669"/>
      <c r="F7" s="669"/>
      <c r="G7" s="669"/>
      <c r="H7" s="669"/>
      <c r="I7" s="669"/>
      <c r="J7" s="221" t="s">
        <v>0</v>
      </c>
    </row>
    <row r="8" spans="1:10" ht="16.5" thickBot="1">
      <c r="A8" s="681" t="s">
        <v>128</v>
      </c>
      <c r="B8" s="681"/>
      <c r="C8" s="681"/>
      <c r="D8" s="681"/>
      <c r="E8" s="681"/>
      <c r="F8" s="681"/>
      <c r="G8" s="681"/>
      <c r="H8" s="681"/>
      <c r="I8" s="681"/>
      <c r="J8" s="221" t="s">
        <v>0</v>
      </c>
    </row>
    <row r="9" spans="1:10">
      <c r="A9" s="676" t="s">
        <v>38</v>
      </c>
      <c r="B9" s="670" t="s">
        <v>175</v>
      </c>
      <c r="C9" s="671"/>
      <c r="D9" s="670" t="s">
        <v>171</v>
      </c>
      <c r="E9" s="671"/>
      <c r="F9" s="670" t="s">
        <v>161</v>
      </c>
      <c r="G9" s="671"/>
      <c r="H9" s="670" t="s">
        <v>28</v>
      </c>
      <c r="I9" s="674"/>
      <c r="J9" s="221" t="s">
        <v>0</v>
      </c>
    </row>
    <row r="10" spans="1:10" ht="53.25" customHeight="1">
      <c r="A10" s="677"/>
      <c r="B10" s="672"/>
      <c r="C10" s="673"/>
      <c r="D10" s="672"/>
      <c r="E10" s="673"/>
      <c r="F10" s="672"/>
      <c r="G10" s="673"/>
      <c r="H10" s="672"/>
      <c r="I10" s="675"/>
      <c r="J10" s="221" t="s">
        <v>0</v>
      </c>
    </row>
    <row r="11" spans="1:10" ht="16.5" thickBot="1">
      <c r="A11" s="678"/>
      <c r="B11" s="157" t="s">
        <v>127</v>
      </c>
      <c r="C11" s="158" t="s">
        <v>129</v>
      </c>
      <c r="D11" s="157" t="s">
        <v>127</v>
      </c>
      <c r="E11" s="158" t="s">
        <v>129</v>
      </c>
      <c r="F11" s="157" t="s">
        <v>127</v>
      </c>
      <c r="G11" s="158" t="s">
        <v>129</v>
      </c>
      <c r="H11" s="157" t="s">
        <v>127</v>
      </c>
      <c r="I11" s="352" t="s">
        <v>129</v>
      </c>
      <c r="J11" s="221" t="s">
        <v>0</v>
      </c>
    </row>
    <row r="12" spans="1:10">
      <c r="A12" s="152" t="s">
        <v>93</v>
      </c>
      <c r="B12" s="104">
        <v>19</v>
      </c>
      <c r="C12" s="105"/>
      <c r="D12" s="104">
        <v>19</v>
      </c>
      <c r="E12" s="105"/>
      <c r="F12" s="104">
        <v>19</v>
      </c>
      <c r="G12" s="105"/>
      <c r="H12" s="104">
        <f>F12-D12</f>
        <v>0</v>
      </c>
      <c r="I12" s="353"/>
      <c r="J12" s="221" t="s">
        <v>0</v>
      </c>
    </row>
    <row r="13" spans="1:10">
      <c r="A13" s="153" t="s">
        <v>92</v>
      </c>
      <c r="B13" s="104">
        <v>218</v>
      </c>
      <c r="C13" s="105"/>
      <c r="D13" s="104">
        <v>218</v>
      </c>
      <c r="E13" s="105"/>
      <c r="F13" s="104">
        <v>218</v>
      </c>
      <c r="G13" s="105"/>
      <c r="H13" s="104">
        <f t="shared" ref="H13:H21" si="0">F13-D13</f>
        <v>0</v>
      </c>
      <c r="I13" s="354"/>
      <c r="J13" s="221" t="s">
        <v>0</v>
      </c>
    </row>
    <row r="14" spans="1:10">
      <c r="A14" s="153" t="s">
        <v>91</v>
      </c>
      <c r="B14" s="104">
        <v>24</v>
      </c>
      <c r="C14" s="105"/>
      <c r="D14" s="104">
        <v>25</v>
      </c>
      <c r="E14" s="105"/>
      <c r="F14" s="104">
        <v>25</v>
      </c>
      <c r="G14" s="105"/>
      <c r="H14" s="104">
        <f t="shared" si="0"/>
        <v>0</v>
      </c>
      <c r="I14" s="354"/>
      <c r="J14" s="221" t="s">
        <v>0</v>
      </c>
    </row>
    <row r="15" spans="1:10">
      <c r="A15" s="153" t="s">
        <v>90</v>
      </c>
      <c r="B15" s="104">
        <v>30</v>
      </c>
      <c r="C15" s="105"/>
      <c r="D15" s="104">
        <v>30</v>
      </c>
      <c r="E15" s="105"/>
      <c r="F15" s="104">
        <v>30</v>
      </c>
      <c r="G15" s="105"/>
      <c r="H15" s="104">
        <f t="shared" si="0"/>
        <v>0</v>
      </c>
      <c r="I15" s="354"/>
      <c r="J15" s="221" t="s">
        <v>0</v>
      </c>
    </row>
    <row r="16" spans="1:10">
      <c r="A16" s="153" t="s">
        <v>89</v>
      </c>
      <c r="B16" s="104">
        <v>13</v>
      </c>
      <c r="C16" s="105"/>
      <c r="D16" s="104">
        <v>13</v>
      </c>
      <c r="E16" s="105"/>
      <c r="F16" s="104">
        <v>13</v>
      </c>
      <c r="G16" s="105"/>
      <c r="H16" s="104">
        <f t="shared" si="0"/>
        <v>0</v>
      </c>
      <c r="I16" s="354"/>
      <c r="J16" s="221" t="s">
        <v>0</v>
      </c>
    </row>
    <row r="17" spans="1:14">
      <c r="A17" s="153" t="s">
        <v>88</v>
      </c>
      <c r="B17" s="104">
        <v>24</v>
      </c>
      <c r="C17" s="105"/>
      <c r="D17" s="104">
        <v>29</v>
      </c>
      <c r="E17" s="105"/>
      <c r="F17" s="104">
        <v>29</v>
      </c>
      <c r="G17" s="105"/>
      <c r="H17" s="104">
        <f t="shared" si="0"/>
        <v>0</v>
      </c>
      <c r="I17" s="354"/>
      <c r="J17" s="221" t="s">
        <v>0</v>
      </c>
    </row>
    <row r="18" spans="1:14">
      <c r="A18" s="153" t="s">
        <v>87</v>
      </c>
      <c r="B18" s="104">
        <v>0</v>
      </c>
      <c r="C18" s="105"/>
      <c r="D18" s="104">
        <v>0</v>
      </c>
      <c r="E18" s="105"/>
      <c r="F18" s="104">
        <v>0</v>
      </c>
      <c r="G18" s="105"/>
      <c r="H18" s="104">
        <f t="shared" si="0"/>
        <v>0</v>
      </c>
      <c r="I18" s="354"/>
      <c r="J18" s="221" t="s">
        <v>0</v>
      </c>
    </row>
    <row r="19" spans="1:14">
      <c r="A19" s="153" t="s">
        <v>86</v>
      </c>
      <c r="B19" s="104">
        <v>6</v>
      </c>
      <c r="C19" s="105"/>
      <c r="D19" s="104">
        <v>13</v>
      </c>
      <c r="E19" s="105"/>
      <c r="F19" s="104">
        <v>13</v>
      </c>
      <c r="G19" s="105"/>
      <c r="H19" s="104">
        <f t="shared" si="0"/>
        <v>0</v>
      </c>
      <c r="I19" s="354"/>
      <c r="J19" s="221" t="s">
        <v>0</v>
      </c>
    </row>
    <row r="20" spans="1:14">
      <c r="A20" s="153" t="s">
        <v>85</v>
      </c>
      <c r="B20" s="104">
        <v>6</v>
      </c>
      <c r="C20" s="105"/>
      <c r="D20" s="104">
        <v>6</v>
      </c>
      <c r="E20" s="105"/>
      <c r="F20" s="104">
        <v>6</v>
      </c>
      <c r="G20" s="105"/>
      <c r="H20" s="104">
        <f t="shared" si="0"/>
        <v>0</v>
      </c>
      <c r="I20" s="354"/>
      <c r="J20" s="221" t="s">
        <v>0</v>
      </c>
    </row>
    <row r="21" spans="1:14">
      <c r="A21" s="153" t="s">
        <v>84</v>
      </c>
      <c r="B21" s="104">
        <v>6</v>
      </c>
      <c r="C21" s="105"/>
      <c r="D21" s="104">
        <v>6</v>
      </c>
      <c r="E21" s="105"/>
      <c r="F21" s="104">
        <v>6</v>
      </c>
      <c r="G21" s="105"/>
      <c r="H21" s="104">
        <f t="shared" si="0"/>
        <v>0</v>
      </c>
      <c r="I21" s="354"/>
      <c r="J21" s="221" t="s">
        <v>0</v>
      </c>
    </row>
    <row r="22" spans="1:14">
      <c r="A22" s="154" t="s">
        <v>167</v>
      </c>
      <c r="B22" s="106">
        <f>SUM(B12:B21)</f>
        <v>346</v>
      </c>
      <c r="C22" s="131"/>
      <c r="D22" s="106">
        <f>SUM(D12:D21)</f>
        <v>359</v>
      </c>
      <c r="E22" s="131"/>
      <c r="F22" s="106">
        <f>SUM(F12:F21)</f>
        <v>359</v>
      </c>
      <c r="G22" s="131"/>
      <c r="H22" s="106">
        <f>SUM(H12:H21)</f>
        <v>0</v>
      </c>
      <c r="I22" s="355"/>
      <c r="J22" s="221" t="s">
        <v>0</v>
      </c>
      <c r="L22" s="19"/>
      <c r="N22" s="433"/>
    </row>
    <row r="23" spans="1:14">
      <c r="A23" s="155" t="s">
        <v>12</v>
      </c>
      <c r="B23" s="107"/>
      <c r="C23" s="70">
        <v>174273</v>
      </c>
      <c r="D23" s="107"/>
      <c r="E23" s="70">
        <v>174273</v>
      </c>
      <c r="F23" s="111"/>
      <c r="G23" s="70">
        <v>174273</v>
      </c>
      <c r="H23" s="107"/>
      <c r="I23" s="356"/>
      <c r="J23" s="221" t="s">
        <v>0</v>
      </c>
    </row>
    <row r="24" spans="1:14">
      <c r="A24" s="155" t="s">
        <v>72</v>
      </c>
      <c r="B24" s="108"/>
      <c r="C24" s="70">
        <v>123007</v>
      </c>
      <c r="D24" s="107"/>
      <c r="E24" s="70">
        <v>120901</v>
      </c>
      <c r="F24" s="111"/>
      <c r="G24" s="70">
        <v>120901</v>
      </c>
      <c r="H24" s="107"/>
      <c r="I24" s="354"/>
      <c r="J24" s="221" t="s">
        <v>0</v>
      </c>
    </row>
    <row r="25" spans="1:14" ht="16.5" thickBot="1">
      <c r="A25" s="156" t="s">
        <v>73</v>
      </c>
      <c r="B25" s="109"/>
      <c r="C25" s="135">
        <v>14</v>
      </c>
      <c r="D25" s="110"/>
      <c r="E25" s="135">
        <v>14</v>
      </c>
      <c r="F25" s="110"/>
      <c r="G25" s="135">
        <v>14</v>
      </c>
      <c r="H25" s="110"/>
      <c r="I25" s="357"/>
      <c r="J25" s="221" t="s">
        <v>16</v>
      </c>
    </row>
    <row r="26" spans="1:14">
      <c r="A26" s="679"/>
      <c r="B26" s="680"/>
      <c r="C26" s="680"/>
      <c r="D26" s="680"/>
      <c r="E26" s="680"/>
      <c r="F26" s="680"/>
      <c r="G26" s="680"/>
      <c r="H26" s="680"/>
      <c r="I26" s="680"/>
      <c r="J26" s="680"/>
    </row>
    <row r="27" spans="1:14">
      <c r="A27" s="12"/>
      <c r="B27" s="12"/>
      <c r="C27" s="12"/>
      <c r="D27" s="12"/>
      <c r="E27" s="12"/>
      <c r="F27" s="12"/>
      <c r="G27" s="12"/>
      <c r="H27" s="12"/>
      <c r="I27" s="12"/>
      <c r="J27" s="222"/>
    </row>
    <row r="28" spans="1:14">
      <c r="A28" s="63"/>
      <c r="B28" s="52"/>
      <c r="C28" s="52"/>
      <c r="D28" s="52"/>
      <c r="E28" s="52"/>
      <c r="F28" s="52"/>
      <c r="G28" s="52"/>
      <c r="H28" s="52"/>
    </row>
    <row r="29" spans="1:14">
      <c r="A29" s="63"/>
      <c r="B29" s="52"/>
      <c r="C29" s="52"/>
      <c r="D29" s="52"/>
      <c r="E29" s="52"/>
      <c r="F29" s="52"/>
      <c r="G29" s="52"/>
      <c r="H29" s="52"/>
    </row>
    <row r="30" spans="1:14" ht="67.5" customHeight="1">
      <c r="A30" s="532"/>
      <c r="B30" s="532"/>
      <c r="C30" s="532"/>
      <c r="D30" s="532"/>
      <c r="E30" s="532"/>
      <c r="F30" s="532"/>
      <c r="G30" s="532"/>
      <c r="H30" s="532"/>
    </row>
    <row r="31" spans="1:14" ht="18.95" customHeight="1">
      <c r="A31" s="600"/>
      <c r="B31" s="601"/>
      <c r="C31" s="601"/>
      <c r="D31" s="601"/>
      <c r="E31" s="601"/>
      <c r="F31" s="601"/>
      <c r="G31" s="601"/>
      <c r="H31" s="601"/>
    </row>
    <row r="32" spans="1:14">
      <c r="A32" s="19"/>
      <c r="B32" s="19"/>
      <c r="C32" s="19"/>
      <c r="D32" s="19"/>
      <c r="E32" s="19"/>
      <c r="F32" s="19"/>
      <c r="G32" s="19"/>
      <c r="H32" s="19"/>
    </row>
    <row r="33" spans="1:14" ht="18.95" customHeight="1">
      <c r="A33" s="664"/>
      <c r="B33" s="664"/>
      <c r="C33" s="664"/>
      <c r="D33" s="664"/>
      <c r="E33" s="664"/>
      <c r="F33" s="664"/>
      <c r="G33" s="664"/>
      <c r="H33" s="664"/>
      <c r="I33" s="664"/>
      <c r="J33" s="664"/>
      <c r="K33" s="664"/>
      <c r="L33" s="664"/>
      <c r="M33" s="664"/>
      <c r="N33" s="665"/>
    </row>
  </sheetData>
  <customSheetViews>
    <customSheetView guid="{68D6E89C-5B15-4C35-9CD8-F5F4F27258FD}" scale="75" showPageBreaks="1" showGridLines="0" outlineSymbols="0" printArea="1" view="pageBreakPreview">
      <pane xSplit="1" ySplit="11" topLeftCell="B12" activePane="bottomRight" state="frozen"/>
      <selection pane="bottomRight" activeCell="A13" sqref="A13"/>
      <pageMargins left="0.5" right="0.5" top="0.5" bottom="0.55000000000000004" header="0" footer="0"/>
      <printOptions horizontalCentered="1"/>
      <pageSetup scale="67" orientation="landscape" horizontalDpi="300" verticalDpi="300" r:id="rId1"/>
      <headerFooter alignWithMargins="0">
        <oddFooter>&amp;C&amp;"Times New Roman,Regular"Exhibit K - Summary of Requirements by Grade</oddFooter>
      </headerFooter>
    </customSheetView>
    <customSheetView guid="{4148B88B-8ED7-4FDE-9459-DEB244AD0552}" scale="75" showPageBreaks="1" showGridLines="0" outlineSymbols="0" printArea="1" view="pageBreakPreview">
      <pane xSplit="1" ySplit="11" topLeftCell="B12" activePane="bottomRight" state="frozen"/>
      <selection pane="bottomRight" activeCell="E23" sqref="E23"/>
      <pageMargins left="0.5" right="0.5" top="0.5" bottom="0.55000000000000004" header="0" footer="0"/>
      <printOptions horizontalCentered="1"/>
      <pageSetup scale="67" orientation="landscape" horizontalDpi="300" verticalDpi="300" r:id="rId2"/>
      <headerFooter alignWithMargins="0">
        <oddFooter>&amp;C&amp;"Times New Roman,Regular"Exhibit K - Summary of Requirements by Grade</oddFooter>
      </headerFooter>
    </customSheetView>
    <customSheetView guid="{56C0A34E-45B4-448B-85E5-70B3A8E63333}" scale="75" showPageBreaks="1" showGridLines="0" outlineSymbols="0" printArea="1" view="pageBreakPreview">
      <pane xSplit="1" ySplit="11" topLeftCell="B12" activePane="bottomRight" state="frozen"/>
      <selection pane="bottomRight" activeCell="D9" sqref="D9:E10"/>
      <pageMargins left="0.5" right="0.5" top="0.5" bottom="0.55000000000000004" header="0" footer="0"/>
      <printOptions horizontalCentered="1"/>
      <pageSetup scale="67" orientation="landscape" horizontalDpi="300" verticalDpi="300" r:id="rId3"/>
      <headerFooter alignWithMargins="0">
        <oddFooter>&amp;C&amp;"Times New Roman,Regular"Exhibit K - Summary of Requirements by Grade</oddFooter>
      </headerFooter>
    </customSheetView>
    <customSheetView guid="{3118AF25-8423-420A-806A-487665220C68}" scale="75" showPageBreaks="1" showGridLines="0" outlineSymbols="0" printArea="1" view="pageBreakPreview">
      <pane xSplit="1" ySplit="11" topLeftCell="B24" activePane="bottomRight" state="frozen"/>
      <selection pane="bottomRight" activeCell="F29" sqref="F29"/>
      <pageMargins left="0.5" right="0.5" top="0.5" bottom="0.55000000000000004" header="0" footer="0"/>
      <printOptions horizontalCentered="1"/>
      <pageSetup scale="67" orientation="landscape" horizontalDpi="300" verticalDpi="300" r:id="rId4"/>
      <headerFooter alignWithMargins="0">
        <oddFooter>&amp;C&amp;"Times New Roman,Regular"Exhibit K - Summary of Requirements by Grade</oddFooter>
      </headerFooter>
    </customSheetView>
    <customSheetView guid="{12C66D54-5067-4346-818B-6EAB1C8A9183}" scale="75" showPageBreaks="1" showGridLines="0" outlineSymbols="0" printArea="1" view="pageBreakPreview">
      <pane xSplit="1" ySplit="11" topLeftCell="B12" activePane="bottomRight" state="frozen"/>
      <selection pane="bottomRight" activeCell="H14" sqref="H14"/>
      <pageMargins left="0.5" right="0.5" top="0.5" bottom="0.55000000000000004" header="0" footer="0"/>
      <printOptions horizontalCentered="1"/>
      <pageSetup scale="67" orientation="landscape" horizontalDpi="300" verticalDpi="300" r:id="rId5"/>
      <headerFooter alignWithMargins="0">
        <oddFooter>&amp;C&amp;"Times New Roman,Regular"Exhibit K - Summary of Requirements by Grade</oddFooter>
      </headerFooter>
    </customSheetView>
  </customSheetViews>
  <mergeCells count="17">
    <mergeCell ref="A4:I4"/>
    <mergeCell ref="A33:N33"/>
    <mergeCell ref="A1:I1"/>
    <mergeCell ref="A2:I2"/>
    <mergeCell ref="A3:I3"/>
    <mergeCell ref="A30:H30"/>
    <mergeCell ref="A31:H31"/>
    <mergeCell ref="B9:C10"/>
    <mergeCell ref="D9:E10"/>
    <mergeCell ref="F9:G10"/>
    <mergeCell ref="H9:I10"/>
    <mergeCell ref="A9:A11"/>
    <mergeCell ref="A26:J26"/>
    <mergeCell ref="A7:I7"/>
    <mergeCell ref="A8:I8"/>
    <mergeCell ref="A6:I6"/>
    <mergeCell ref="A5:I5"/>
  </mergeCells>
  <phoneticPr fontId="0" type="noConversion"/>
  <printOptions horizontalCentered="1"/>
  <pageMargins left="0.5" right="0.5" top="0.5" bottom="0.55000000000000004" header="0" footer="0"/>
  <pageSetup scale="67" orientation="landscape" horizontalDpi="300" verticalDpi="300" r:id="rId6"/>
  <headerFooter alignWithMargins="0">
    <oddFooter>&amp;C&amp;"Times New Roman,Regular"Exhibit K - Summary of Requirements by Grade</oddFooter>
  </headerFooter>
</worksheet>
</file>

<file path=xl/worksheets/sheet11.xml><?xml version="1.0" encoding="utf-8"?>
<worksheet xmlns="http://schemas.openxmlformats.org/spreadsheetml/2006/main" xmlns:r="http://schemas.openxmlformats.org/officeDocument/2006/relationships">
  <sheetPr codeName="Sheet17"/>
  <dimension ref="A1:Z197"/>
  <sheetViews>
    <sheetView tabSelected="1" view="pageBreakPreview" zoomScale="75" zoomScaleNormal="75" zoomScaleSheetLayoutView="50" workbookViewId="0">
      <pane xSplit="1" ySplit="9" topLeftCell="B10" activePane="bottomRight" state="frozen"/>
      <selection pane="topRight" activeCell="B1" sqref="B1"/>
      <selection pane="bottomLeft" activeCell="A10" sqref="A10"/>
      <selection pane="bottomRight" activeCell="P8" sqref="P8"/>
    </sheetView>
  </sheetViews>
  <sheetFormatPr defaultColWidth="8.77734375" defaultRowHeight="15.75"/>
  <cols>
    <col min="1" max="1" width="65.33203125" style="3" customWidth="1"/>
    <col min="2" max="2" width="8.88671875" style="3"/>
    <col min="3" max="3" width="10.109375" style="3" customWidth="1"/>
    <col min="4" max="4" width="8.88671875" style="3"/>
    <col min="5" max="5" width="10.6640625" style="3" customWidth="1"/>
    <col min="6" max="6" width="8.88671875" style="3"/>
    <col min="7" max="7" width="10.5546875" style="3" bestFit="1" customWidth="1"/>
    <col min="8" max="8" width="8.88671875" style="3"/>
    <col min="9" max="9" width="10.33203125" style="3" customWidth="1"/>
    <col min="10" max="12" width="8.88671875" style="3" hidden="1" customWidth="1"/>
    <col min="13" max="13" width="1" style="78" customWidth="1"/>
    <col min="14" max="14" width="8.77734375" customWidth="1"/>
    <col min="15" max="15" width="8.77734375" style="3"/>
    <col min="16" max="16" width="15.6640625" style="3" customWidth="1"/>
    <col min="17" max="16384" width="8.77734375" style="3"/>
  </cols>
  <sheetData>
    <row r="1" spans="1:16" ht="19.149999999999999" customHeight="1">
      <c r="A1" s="481" t="s">
        <v>99</v>
      </c>
      <c r="B1" s="686"/>
      <c r="C1" s="686"/>
      <c r="D1" s="686"/>
      <c r="E1" s="686"/>
      <c r="F1" s="686"/>
      <c r="G1" s="686"/>
      <c r="H1" s="686"/>
      <c r="I1" s="686"/>
      <c r="M1" s="77" t="s">
        <v>0</v>
      </c>
    </row>
    <row r="2" spans="1:16" ht="19.149999999999999" customHeight="1">
      <c r="A2" s="697"/>
      <c r="B2" s="698"/>
      <c r="C2" s="698"/>
      <c r="D2" s="698"/>
      <c r="E2" s="698"/>
      <c r="F2" s="698"/>
      <c r="G2" s="698"/>
      <c r="H2" s="698"/>
      <c r="I2" s="698"/>
      <c r="M2" s="77" t="s">
        <v>0</v>
      </c>
    </row>
    <row r="3" spans="1:16" ht="18.75">
      <c r="A3" s="699" t="s">
        <v>76</v>
      </c>
      <c r="B3" s="686"/>
      <c r="C3" s="686"/>
      <c r="D3" s="686"/>
      <c r="E3" s="686"/>
      <c r="F3" s="686"/>
      <c r="G3" s="686"/>
      <c r="H3" s="686"/>
      <c r="I3" s="686"/>
      <c r="M3" s="77" t="s">
        <v>0</v>
      </c>
    </row>
    <row r="4" spans="1:16" ht="16.5">
      <c r="A4" s="641" t="str">
        <f>+'B. Summary of Requirements '!A5</f>
        <v>National Security Division</v>
      </c>
      <c r="B4" s="686"/>
      <c r="C4" s="686"/>
      <c r="D4" s="686"/>
      <c r="E4" s="686"/>
      <c r="F4" s="686"/>
      <c r="G4" s="686"/>
      <c r="H4" s="686"/>
      <c r="I4" s="686"/>
      <c r="M4" s="77" t="s">
        <v>0</v>
      </c>
    </row>
    <row r="5" spans="1:16" ht="16.5">
      <c r="A5" s="641" t="str">
        <f>+'B. Summary of Requirements '!A6</f>
        <v>Salaries and Expenses</v>
      </c>
      <c r="B5" s="686"/>
      <c r="C5" s="686"/>
      <c r="D5" s="686"/>
      <c r="E5" s="686"/>
      <c r="F5" s="686"/>
      <c r="G5" s="686"/>
      <c r="H5" s="686"/>
      <c r="I5" s="686"/>
      <c r="M5" s="77" t="s">
        <v>0</v>
      </c>
    </row>
    <row r="6" spans="1:16">
      <c r="A6" s="689" t="s">
        <v>111</v>
      </c>
      <c r="B6" s="686"/>
      <c r="C6" s="686"/>
      <c r="D6" s="686"/>
      <c r="E6" s="686"/>
      <c r="F6" s="686"/>
      <c r="G6" s="686"/>
      <c r="H6" s="686"/>
      <c r="I6" s="686"/>
      <c r="M6" s="77" t="s">
        <v>0</v>
      </c>
    </row>
    <row r="7" spans="1:16" ht="11.25" customHeight="1">
      <c r="A7" s="584"/>
      <c r="B7" s="584"/>
      <c r="C7" s="584"/>
      <c r="D7" s="584"/>
      <c r="E7" s="584"/>
      <c r="F7" s="584"/>
      <c r="G7" s="584"/>
      <c r="H7" s="584"/>
      <c r="I7" s="584"/>
      <c r="M7" s="77" t="s">
        <v>0</v>
      </c>
    </row>
    <row r="8" spans="1:16" ht="44.25" customHeight="1">
      <c r="A8" s="687" t="s">
        <v>74</v>
      </c>
      <c r="B8" s="690" t="s">
        <v>168</v>
      </c>
      <c r="C8" s="691"/>
      <c r="D8" s="695" t="s">
        <v>164</v>
      </c>
      <c r="E8" s="696"/>
      <c r="F8" s="692" t="s">
        <v>161</v>
      </c>
      <c r="G8" s="694"/>
      <c r="H8" s="692" t="s">
        <v>148</v>
      </c>
      <c r="I8" s="693"/>
      <c r="J8" s="7"/>
      <c r="M8" s="77" t="s">
        <v>0</v>
      </c>
    </row>
    <row r="9" spans="1:16" ht="25.5" customHeight="1" thickBot="1">
      <c r="A9" s="688"/>
      <c r="B9" s="167" t="s">
        <v>33</v>
      </c>
      <c r="C9" s="168" t="s">
        <v>129</v>
      </c>
      <c r="D9" s="167" t="s">
        <v>33</v>
      </c>
      <c r="E9" s="168" t="s">
        <v>129</v>
      </c>
      <c r="F9" s="167" t="s">
        <v>33</v>
      </c>
      <c r="G9" s="168" t="s">
        <v>129</v>
      </c>
      <c r="H9" s="167" t="s">
        <v>33</v>
      </c>
      <c r="I9" s="169" t="s">
        <v>129</v>
      </c>
      <c r="J9" s="7"/>
      <c r="M9" s="77" t="s">
        <v>0</v>
      </c>
    </row>
    <row r="10" spans="1:16">
      <c r="A10" s="159" t="s">
        <v>10</v>
      </c>
      <c r="B10" s="112">
        <v>346</v>
      </c>
      <c r="C10" s="197">
        <v>38284</v>
      </c>
      <c r="D10" s="112">
        <v>353</v>
      </c>
      <c r="E10" s="197">
        <v>41465</v>
      </c>
      <c r="F10" s="112">
        <v>359</v>
      </c>
      <c r="G10" s="197">
        <v>43495</v>
      </c>
      <c r="H10" s="112">
        <f>F10-D10</f>
        <v>6</v>
      </c>
      <c r="I10" s="198">
        <f>G10-E10</f>
        <v>2030</v>
      </c>
      <c r="J10" s="7"/>
      <c r="M10" s="77" t="s">
        <v>0</v>
      </c>
    </row>
    <row r="11" spans="1:16">
      <c r="A11" s="160" t="s">
        <v>58</v>
      </c>
      <c r="B11" s="112"/>
      <c r="C11" s="113">
        <v>648</v>
      </c>
      <c r="D11" s="112"/>
      <c r="E11" s="113">
        <v>705</v>
      </c>
      <c r="F11" s="112"/>
      <c r="G11" s="113">
        <v>705</v>
      </c>
      <c r="H11" s="112">
        <f>F11-D11</f>
        <v>0</v>
      </c>
      <c r="I11" s="101">
        <f>G11-E11</f>
        <v>0</v>
      </c>
      <c r="J11" s="16" t="s">
        <v>31</v>
      </c>
      <c r="K11" s="3" t="s">
        <v>32</v>
      </c>
      <c r="M11" s="77" t="s">
        <v>0</v>
      </c>
    </row>
    <row r="12" spans="1:16">
      <c r="A12" s="160" t="s">
        <v>40</v>
      </c>
      <c r="B12" s="279">
        <f t="shared" ref="B12:F12" si="0">B13+B14</f>
        <v>0</v>
      </c>
      <c r="C12" s="113">
        <v>793</v>
      </c>
      <c r="D12" s="279">
        <f t="shared" si="0"/>
        <v>0</v>
      </c>
      <c r="E12" s="113">
        <v>793</v>
      </c>
      <c r="F12" s="279">
        <f t="shared" si="0"/>
        <v>0</v>
      </c>
      <c r="G12" s="113">
        <v>793</v>
      </c>
      <c r="H12" s="112">
        <f>F12-D12</f>
        <v>0</v>
      </c>
      <c r="I12" s="101">
        <f t="shared" ref="I12:I15" si="1">G12-E12</f>
        <v>0</v>
      </c>
      <c r="J12" s="7">
        <v>93</v>
      </c>
      <c r="M12" s="77" t="s">
        <v>0</v>
      </c>
      <c r="P12" s="428"/>
    </row>
    <row r="13" spans="1:16">
      <c r="A13" s="161" t="s">
        <v>42</v>
      </c>
      <c r="B13" s="118"/>
      <c r="C13" s="119"/>
      <c r="D13" s="118"/>
      <c r="E13" s="119"/>
      <c r="F13" s="118"/>
      <c r="G13" s="119"/>
      <c r="H13" s="118">
        <f t="shared" ref="H13:H15" si="2">F13-D13</f>
        <v>0</v>
      </c>
      <c r="I13" s="120">
        <f t="shared" si="1"/>
        <v>0</v>
      </c>
      <c r="J13" s="7"/>
      <c r="M13" s="77" t="s">
        <v>0</v>
      </c>
      <c r="P13" s="428"/>
    </row>
    <row r="14" spans="1:16">
      <c r="A14" s="161" t="s">
        <v>41</v>
      </c>
      <c r="B14" s="118"/>
      <c r="C14" s="119"/>
      <c r="D14" s="118"/>
      <c r="E14" s="119"/>
      <c r="F14" s="118"/>
      <c r="G14" s="119"/>
      <c r="H14" s="118">
        <f t="shared" si="2"/>
        <v>0</v>
      </c>
      <c r="I14" s="120">
        <f t="shared" si="1"/>
        <v>0</v>
      </c>
      <c r="J14" s="7"/>
      <c r="M14" s="77" t="s">
        <v>0</v>
      </c>
      <c r="P14" s="428"/>
    </row>
    <row r="15" spans="1:16">
      <c r="A15" s="162" t="s">
        <v>43</v>
      </c>
      <c r="B15" s="121"/>
      <c r="C15" s="122"/>
      <c r="D15" s="121"/>
      <c r="E15" s="122"/>
      <c r="F15" s="121"/>
      <c r="G15" s="122"/>
      <c r="H15" s="112">
        <f t="shared" si="2"/>
        <v>0</v>
      </c>
      <c r="I15" s="101">
        <f t="shared" si="1"/>
        <v>0</v>
      </c>
      <c r="J15" s="7"/>
      <c r="M15" s="77" t="s">
        <v>0</v>
      </c>
      <c r="P15" s="428"/>
    </row>
    <row r="16" spans="1:16">
      <c r="A16" s="163" t="s">
        <v>11</v>
      </c>
      <c r="B16" s="123">
        <f>+B10+B11+B12+B15</f>
        <v>346</v>
      </c>
      <c r="C16" s="124">
        <f t="shared" ref="C16:I16" si="3">+C10+C11+C12+C15</f>
        <v>39725</v>
      </c>
      <c r="D16" s="123">
        <f>+D10+D11+D12+D15</f>
        <v>353</v>
      </c>
      <c r="E16" s="124">
        <f t="shared" si="3"/>
        <v>42963</v>
      </c>
      <c r="F16" s="123">
        <f t="shared" si="3"/>
        <v>359</v>
      </c>
      <c r="G16" s="278">
        <f t="shared" si="3"/>
        <v>44993</v>
      </c>
      <c r="H16" s="124">
        <f>+H10+H11+H12+H15</f>
        <v>6</v>
      </c>
      <c r="I16" s="278">
        <f t="shared" si="3"/>
        <v>2030</v>
      </c>
      <c r="J16" s="20">
        <f>697+630+957+2333</f>
        <v>4617</v>
      </c>
      <c r="K16" s="3">
        <f>2451-93</f>
        <v>2358</v>
      </c>
      <c r="L16" s="3">
        <f>+E16-G16</f>
        <v>-2030</v>
      </c>
      <c r="M16" s="77" t="s">
        <v>0</v>
      </c>
    </row>
    <row r="17" spans="1:15">
      <c r="A17" s="160" t="s">
        <v>75</v>
      </c>
      <c r="B17" s="112"/>
      <c r="C17" s="113"/>
      <c r="D17" s="112"/>
      <c r="E17" s="113"/>
      <c r="F17" s="112"/>
      <c r="G17" s="113"/>
      <c r="H17" s="112"/>
      <c r="I17" s="101"/>
      <c r="J17" s="7"/>
      <c r="M17" s="77" t="s">
        <v>0</v>
      </c>
    </row>
    <row r="18" spans="1:15">
      <c r="A18" s="164" t="s">
        <v>45</v>
      </c>
      <c r="B18" s="112"/>
      <c r="C18" s="113">
        <v>10963</v>
      </c>
      <c r="D18" s="112"/>
      <c r="E18" s="113">
        <v>11814</v>
      </c>
      <c r="F18" s="112"/>
      <c r="G18" s="113">
        <v>12373</v>
      </c>
      <c r="H18" s="112"/>
      <c r="I18" s="101">
        <f>G18-E18</f>
        <v>559</v>
      </c>
      <c r="J18" s="7">
        <v>359</v>
      </c>
      <c r="K18" s="3">
        <f>1171+93</f>
        <v>1264</v>
      </c>
      <c r="L18" s="3">
        <f t="shared" ref="L18:L34" si="4">+E18-G18</f>
        <v>-559</v>
      </c>
      <c r="M18" s="77" t="s">
        <v>0</v>
      </c>
    </row>
    <row r="19" spans="1:15">
      <c r="A19" s="164" t="s">
        <v>46</v>
      </c>
      <c r="B19" s="112"/>
      <c r="C19" s="113">
        <v>1428</v>
      </c>
      <c r="D19" s="112"/>
      <c r="E19" s="116">
        <v>1428</v>
      </c>
      <c r="F19" s="112"/>
      <c r="G19" s="113">
        <v>1428</v>
      </c>
      <c r="H19" s="112"/>
      <c r="I19" s="101">
        <f t="shared" ref="I19:I33" si="5">G19-E19</f>
        <v>0</v>
      </c>
      <c r="J19" s="7"/>
      <c r="K19" s="3">
        <v>110</v>
      </c>
      <c r="L19" s="3">
        <f t="shared" si="4"/>
        <v>0</v>
      </c>
      <c r="M19" s="77" t="s">
        <v>0</v>
      </c>
    </row>
    <row r="20" spans="1:15">
      <c r="A20" s="164" t="s">
        <v>47</v>
      </c>
      <c r="B20" s="112"/>
      <c r="C20" s="113">
        <v>657</v>
      </c>
      <c r="D20" s="112"/>
      <c r="E20" s="113">
        <v>728</v>
      </c>
      <c r="F20" s="112"/>
      <c r="G20" s="113">
        <v>728</v>
      </c>
      <c r="H20" s="112"/>
      <c r="I20" s="101">
        <f t="shared" si="5"/>
        <v>0</v>
      </c>
      <c r="J20" s="7"/>
      <c r="K20" s="3">
        <v>0</v>
      </c>
      <c r="L20" s="3">
        <f t="shared" si="4"/>
        <v>0</v>
      </c>
      <c r="M20" s="77" t="s">
        <v>0</v>
      </c>
    </row>
    <row r="21" spans="1:15">
      <c r="A21" s="164" t="s">
        <v>97</v>
      </c>
      <c r="B21" s="112"/>
      <c r="C21" s="113">
        <v>9547</v>
      </c>
      <c r="D21" s="112"/>
      <c r="E21" s="113">
        <v>9462</v>
      </c>
      <c r="F21" s="112"/>
      <c r="G21" s="113">
        <v>9490</v>
      </c>
      <c r="H21" s="112"/>
      <c r="I21" s="101">
        <f t="shared" si="5"/>
        <v>28</v>
      </c>
      <c r="J21" s="7">
        <f>4220-576</f>
        <v>3644</v>
      </c>
      <c r="L21" s="3">
        <f t="shared" si="4"/>
        <v>-28</v>
      </c>
      <c r="M21" s="77" t="s">
        <v>0</v>
      </c>
    </row>
    <row r="22" spans="1:15">
      <c r="A22" s="164" t="s">
        <v>24</v>
      </c>
      <c r="B22" s="112"/>
      <c r="C22" s="113">
        <v>174</v>
      </c>
      <c r="D22" s="112"/>
      <c r="E22" s="113">
        <v>205</v>
      </c>
      <c r="F22" s="112"/>
      <c r="G22" s="113">
        <v>213</v>
      </c>
      <c r="H22" s="112"/>
      <c r="I22" s="101">
        <f t="shared" si="5"/>
        <v>8</v>
      </c>
      <c r="J22" s="7"/>
      <c r="L22" s="3">
        <f t="shared" si="4"/>
        <v>-8</v>
      </c>
      <c r="M22" s="77" t="s">
        <v>0</v>
      </c>
    </row>
    <row r="23" spans="1:15">
      <c r="A23" s="164" t="s">
        <v>48</v>
      </c>
      <c r="B23" s="112"/>
      <c r="C23" s="113">
        <v>3758</v>
      </c>
      <c r="D23" s="112"/>
      <c r="E23" s="113">
        <v>3758</v>
      </c>
      <c r="F23" s="112"/>
      <c r="G23" s="113">
        <v>6240</v>
      </c>
      <c r="H23" s="112"/>
      <c r="I23" s="101">
        <f t="shared" si="5"/>
        <v>2482</v>
      </c>
      <c r="J23" s="7">
        <v>332</v>
      </c>
      <c r="K23" s="3">
        <v>175</v>
      </c>
      <c r="L23" s="3">
        <f t="shared" si="4"/>
        <v>-2482</v>
      </c>
      <c r="M23" s="77" t="s">
        <v>0</v>
      </c>
    </row>
    <row r="24" spans="1:15">
      <c r="A24" s="164" t="s">
        <v>49</v>
      </c>
      <c r="B24" s="112"/>
      <c r="C24" s="113">
        <v>1</v>
      </c>
      <c r="D24" s="112"/>
      <c r="E24" s="113">
        <v>1</v>
      </c>
      <c r="F24" s="112"/>
      <c r="G24" s="113">
        <v>1</v>
      </c>
      <c r="H24" s="112"/>
      <c r="I24" s="101">
        <f t="shared" si="5"/>
        <v>0</v>
      </c>
      <c r="J24" s="7"/>
      <c r="L24" s="3">
        <f t="shared" si="4"/>
        <v>0</v>
      </c>
      <c r="M24" s="77" t="s">
        <v>0</v>
      </c>
    </row>
    <row r="25" spans="1:15">
      <c r="A25" s="164" t="s">
        <v>50</v>
      </c>
      <c r="B25" s="112"/>
      <c r="C25" s="113">
        <v>1499</v>
      </c>
      <c r="D25" s="112"/>
      <c r="E25" s="116">
        <v>1150</v>
      </c>
      <c r="F25" s="112"/>
      <c r="G25" s="113">
        <v>1150</v>
      </c>
      <c r="H25" s="112"/>
      <c r="I25" s="101">
        <f t="shared" si="5"/>
        <v>0</v>
      </c>
      <c r="J25" s="7"/>
      <c r="K25" s="3">
        <v>14918</v>
      </c>
      <c r="L25" s="3">
        <f t="shared" si="4"/>
        <v>0</v>
      </c>
      <c r="M25" s="77" t="s">
        <v>0</v>
      </c>
    </row>
    <row r="26" spans="1:15">
      <c r="A26" s="164" t="s">
        <v>51</v>
      </c>
      <c r="B26" s="112"/>
      <c r="C26" s="113">
        <v>9128</v>
      </c>
      <c r="D26" s="112"/>
      <c r="E26" s="113">
        <f>17752-7659</f>
        <v>10093</v>
      </c>
      <c r="F26" s="112"/>
      <c r="G26" s="113">
        <v>9095</v>
      </c>
      <c r="H26" s="112"/>
      <c r="I26" s="101">
        <f t="shared" si="5"/>
        <v>-998</v>
      </c>
      <c r="J26" s="7">
        <v>276</v>
      </c>
      <c r="K26" s="3">
        <v>14853</v>
      </c>
      <c r="L26" s="3">
        <f t="shared" si="4"/>
        <v>998</v>
      </c>
      <c r="M26" s="77" t="s">
        <v>0</v>
      </c>
    </row>
    <row r="27" spans="1:15">
      <c r="A27" s="164" t="s">
        <v>169</v>
      </c>
      <c r="B27" s="112"/>
      <c r="C27" s="113">
        <v>2529</v>
      </c>
      <c r="D27" s="112"/>
      <c r="E27" s="113">
        <v>2939</v>
      </c>
      <c r="F27" s="112"/>
      <c r="G27" s="113">
        <v>1789</v>
      </c>
      <c r="H27" s="112"/>
      <c r="I27" s="101">
        <f t="shared" si="5"/>
        <v>-1150</v>
      </c>
      <c r="J27" s="7"/>
      <c r="K27" s="3">
        <v>135</v>
      </c>
      <c r="L27" s="3">
        <f t="shared" si="4"/>
        <v>1150</v>
      </c>
      <c r="M27" s="77" t="s">
        <v>0</v>
      </c>
    </row>
    <row r="28" spans="1:15">
      <c r="A28" s="164" t="s">
        <v>98</v>
      </c>
      <c r="B28" s="112"/>
      <c r="C28" s="113">
        <v>5</v>
      </c>
      <c r="D28" s="112"/>
      <c r="E28" s="113">
        <v>5</v>
      </c>
      <c r="F28" s="112"/>
      <c r="G28" s="113">
        <v>5</v>
      </c>
      <c r="H28" s="112"/>
      <c r="I28" s="101">
        <f t="shared" si="5"/>
        <v>0</v>
      </c>
      <c r="J28" s="7"/>
      <c r="L28" s="3">
        <f t="shared" si="4"/>
        <v>0</v>
      </c>
      <c r="M28" s="77" t="s">
        <v>0</v>
      </c>
      <c r="O28" s="20"/>
    </row>
    <row r="29" spans="1:15">
      <c r="A29" s="164" t="s">
        <v>102</v>
      </c>
      <c r="B29" s="112"/>
      <c r="C29" s="113">
        <v>0</v>
      </c>
      <c r="D29" s="112"/>
      <c r="E29" s="113">
        <v>0</v>
      </c>
      <c r="F29" s="112"/>
      <c r="G29" s="113">
        <v>0</v>
      </c>
      <c r="H29" s="112"/>
      <c r="I29" s="101">
        <f t="shared" si="5"/>
        <v>0</v>
      </c>
      <c r="J29" s="7"/>
      <c r="L29" s="3">
        <f t="shared" si="4"/>
        <v>0</v>
      </c>
      <c r="M29" s="77" t="s">
        <v>0</v>
      </c>
    </row>
    <row r="30" spans="1:15">
      <c r="A30" s="164" t="s">
        <v>182</v>
      </c>
      <c r="B30" s="112"/>
      <c r="C30" s="113">
        <v>23</v>
      </c>
      <c r="D30" s="112"/>
      <c r="E30" s="113">
        <v>23</v>
      </c>
      <c r="F30" s="112"/>
      <c r="G30" s="113">
        <v>23</v>
      </c>
      <c r="H30" s="112"/>
      <c r="I30" s="101">
        <f t="shared" si="5"/>
        <v>0</v>
      </c>
      <c r="J30" s="7"/>
      <c r="L30" s="3">
        <f t="shared" si="4"/>
        <v>0</v>
      </c>
      <c r="M30" s="77" t="s">
        <v>0</v>
      </c>
      <c r="N30" s="368"/>
    </row>
    <row r="31" spans="1:15">
      <c r="A31" s="164" t="s">
        <v>103</v>
      </c>
      <c r="B31" s="112"/>
      <c r="C31" s="113">
        <v>195</v>
      </c>
      <c r="D31" s="112"/>
      <c r="E31" s="113">
        <v>195</v>
      </c>
      <c r="F31" s="112"/>
      <c r="G31" s="113">
        <v>195</v>
      </c>
      <c r="H31" s="112"/>
      <c r="I31" s="101">
        <f t="shared" si="5"/>
        <v>0</v>
      </c>
      <c r="J31" s="7"/>
      <c r="K31" s="3">
        <v>10</v>
      </c>
      <c r="L31" s="3">
        <f t="shared" si="4"/>
        <v>0</v>
      </c>
      <c r="M31" s="77" t="s">
        <v>0</v>
      </c>
      <c r="O31" s="20"/>
    </row>
    <row r="32" spans="1:15">
      <c r="A32" s="164" t="s">
        <v>52</v>
      </c>
      <c r="B32" s="112"/>
      <c r="C32" s="113">
        <v>257</v>
      </c>
      <c r="D32" s="112"/>
      <c r="E32" s="116">
        <v>221</v>
      </c>
      <c r="F32" s="112"/>
      <c r="G32" s="113">
        <v>221</v>
      </c>
      <c r="H32" s="112"/>
      <c r="I32" s="101">
        <f t="shared" si="5"/>
        <v>0</v>
      </c>
      <c r="J32" s="7"/>
      <c r="K32" s="3">
        <v>85</v>
      </c>
      <c r="L32" s="3">
        <f t="shared" si="4"/>
        <v>0</v>
      </c>
      <c r="M32" s="77" t="s">
        <v>0</v>
      </c>
      <c r="O32" s="20"/>
    </row>
    <row r="33" spans="1:26">
      <c r="A33" s="164" t="s">
        <v>53</v>
      </c>
      <c r="B33" s="112"/>
      <c r="C33" s="113">
        <v>2499</v>
      </c>
      <c r="D33" s="112"/>
      <c r="E33" s="113">
        <v>2015</v>
      </c>
      <c r="F33" s="112"/>
      <c r="G33" s="113">
        <v>2095</v>
      </c>
      <c r="H33" s="112"/>
      <c r="I33" s="101">
        <f t="shared" si="5"/>
        <v>80</v>
      </c>
      <c r="J33" s="7"/>
      <c r="K33" s="3">
        <v>37758</v>
      </c>
      <c r="L33" s="3">
        <f t="shared" si="4"/>
        <v>-80</v>
      </c>
      <c r="M33" s="77" t="s">
        <v>0</v>
      </c>
    </row>
    <row r="34" spans="1:26">
      <c r="A34" s="165" t="s">
        <v>54</v>
      </c>
      <c r="B34" s="75"/>
      <c r="C34" s="46">
        <f>SUM(C16:C33)</f>
        <v>82388</v>
      </c>
      <c r="D34" s="75"/>
      <c r="E34" s="46">
        <f>SUM(E16:E33)</f>
        <v>87000</v>
      </c>
      <c r="F34" s="75"/>
      <c r="G34" s="46">
        <f>SUM(G16:G33)</f>
        <v>90039</v>
      </c>
      <c r="H34" s="75"/>
      <c r="I34" s="45">
        <f>SUM(I16:I33)</f>
        <v>3039</v>
      </c>
      <c r="J34" s="7">
        <f>SUM(J12:J33)</f>
        <v>9321</v>
      </c>
      <c r="K34" s="3">
        <f>SUM(K16:K33)</f>
        <v>71666</v>
      </c>
      <c r="L34" s="3">
        <f t="shared" si="4"/>
        <v>-3039</v>
      </c>
      <c r="M34" s="77" t="s">
        <v>0</v>
      </c>
    </row>
    <row r="35" spans="1:26" ht="16.899999999999999" customHeight="1">
      <c r="A35" s="166" t="s">
        <v>55</v>
      </c>
      <c r="B35" s="115"/>
      <c r="C35" s="116">
        <v>-1981</v>
      </c>
      <c r="D35" s="115"/>
      <c r="E35" s="116">
        <v>-7659</v>
      </c>
      <c r="F35" s="115"/>
      <c r="G35" s="116"/>
      <c r="H35" s="115"/>
      <c r="I35" s="117"/>
      <c r="J35" s="7"/>
      <c r="M35" s="77" t="s">
        <v>0</v>
      </c>
      <c r="O35" s="346"/>
    </row>
    <row r="36" spans="1:26">
      <c r="A36" s="166" t="s">
        <v>56</v>
      </c>
      <c r="B36" s="115"/>
      <c r="C36" s="116">
        <v>13196</v>
      </c>
      <c r="D36" s="115"/>
      <c r="E36" s="116"/>
      <c r="F36" s="115"/>
      <c r="G36" s="116"/>
      <c r="H36" s="115"/>
      <c r="I36" s="117"/>
      <c r="J36" s="7"/>
      <c r="M36" s="77" t="s">
        <v>0</v>
      </c>
      <c r="O36" s="346"/>
    </row>
    <row r="37" spans="1:26">
      <c r="A37" s="166" t="s">
        <v>57</v>
      </c>
      <c r="B37" s="115"/>
      <c r="C37" s="116">
        <v>-5841</v>
      </c>
      <c r="D37" s="115"/>
      <c r="E37" s="116"/>
      <c r="F37" s="115"/>
      <c r="G37" s="116"/>
      <c r="H37" s="115"/>
      <c r="I37" s="117"/>
      <c r="J37" s="7"/>
      <c r="M37" s="77" t="s">
        <v>0</v>
      </c>
      <c r="O37" s="346"/>
    </row>
    <row r="38" spans="1:26" ht="16.5" customHeight="1" thickBot="1">
      <c r="A38" s="270" t="s">
        <v>1</v>
      </c>
      <c r="B38" s="271"/>
      <c r="C38" s="272">
        <f>SUM(C34:C37)</f>
        <v>87762</v>
      </c>
      <c r="D38" s="271"/>
      <c r="E38" s="272">
        <f>SUM(E34:E37)</f>
        <v>79341</v>
      </c>
      <c r="F38" s="271"/>
      <c r="G38" s="272">
        <f>SUM(G34:G37)</f>
        <v>90039</v>
      </c>
      <c r="H38" s="271"/>
      <c r="I38" s="273"/>
      <c r="J38" s="7"/>
      <c r="M38" s="77" t="s">
        <v>0</v>
      </c>
      <c r="O38" s="685"/>
      <c r="P38" s="685"/>
      <c r="Q38" s="685"/>
      <c r="R38" s="685"/>
      <c r="S38" s="685"/>
      <c r="T38" s="685"/>
      <c r="U38" s="685"/>
      <c r="V38" s="685"/>
      <c r="W38" s="685"/>
      <c r="X38" s="685"/>
      <c r="Y38" s="685"/>
      <c r="Z38" s="685"/>
    </row>
    <row r="39" spans="1:26">
      <c r="A39" s="274"/>
      <c r="B39" s="275"/>
      <c r="C39" s="276"/>
      <c r="D39" s="275"/>
      <c r="E39" s="276"/>
      <c r="F39" s="275"/>
      <c r="G39" s="276"/>
      <c r="H39" s="275"/>
      <c r="I39" s="277"/>
      <c r="J39" s="7"/>
      <c r="M39" s="77"/>
      <c r="O39" s="685"/>
      <c r="P39" s="685"/>
      <c r="Q39" s="685"/>
      <c r="R39" s="685"/>
      <c r="S39" s="685"/>
      <c r="T39" s="685"/>
      <c r="U39" s="685"/>
      <c r="V39" s="685"/>
      <c r="W39" s="685"/>
      <c r="X39" s="685"/>
      <c r="Y39" s="685"/>
      <c r="Z39" s="685"/>
    </row>
    <row r="40" spans="1:26">
      <c r="A40" s="269" t="s">
        <v>122</v>
      </c>
      <c r="B40" s="112"/>
      <c r="C40" s="113"/>
      <c r="D40" s="112"/>
      <c r="E40" s="113"/>
      <c r="F40" s="112"/>
      <c r="G40" s="113"/>
      <c r="H40" s="112"/>
      <c r="I40" s="101"/>
      <c r="J40" s="7"/>
      <c r="M40" s="77" t="s">
        <v>0</v>
      </c>
      <c r="O40" s="685"/>
      <c r="P40" s="685"/>
      <c r="Q40" s="685"/>
      <c r="R40" s="685"/>
      <c r="S40" s="685"/>
      <c r="T40" s="685"/>
      <c r="U40" s="685"/>
      <c r="V40" s="685"/>
      <c r="W40" s="685"/>
      <c r="X40" s="685"/>
      <c r="Y40" s="685"/>
      <c r="Z40" s="685"/>
    </row>
    <row r="41" spans="1:26">
      <c r="A41" s="164" t="s">
        <v>44</v>
      </c>
      <c r="B41" s="114">
        <v>0</v>
      </c>
      <c r="C41" s="197">
        <v>0</v>
      </c>
      <c r="D41" s="114">
        <v>0</v>
      </c>
      <c r="E41" s="197">
        <v>0</v>
      </c>
      <c r="F41" s="114">
        <v>0</v>
      </c>
      <c r="G41" s="197">
        <v>0</v>
      </c>
      <c r="H41" s="115"/>
      <c r="I41" s="198"/>
      <c r="J41" s="7"/>
      <c r="M41" s="77" t="s">
        <v>0</v>
      </c>
      <c r="O41" s="346"/>
    </row>
    <row r="42" spans="1:26">
      <c r="A42" s="160" t="s">
        <v>2</v>
      </c>
      <c r="B42" s="112"/>
      <c r="C42" s="197">
        <v>0</v>
      </c>
      <c r="D42" s="112"/>
      <c r="E42" s="197">
        <v>0</v>
      </c>
      <c r="F42" s="112"/>
      <c r="G42" s="197">
        <v>0</v>
      </c>
      <c r="H42" s="115"/>
      <c r="I42" s="198"/>
      <c r="J42" s="7"/>
      <c r="M42" s="77" t="s">
        <v>0</v>
      </c>
    </row>
    <row r="43" spans="1:26">
      <c r="A43" s="162" t="s">
        <v>3</v>
      </c>
      <c r="B43" s="128"/>
      <c r="C43" s="313">
        <v>0</v>
      </c>
      <c r="D43" s="128"/>
      <c r="E43" s="313">
        <v>0</v>
      </c>
      <c r="F43" s="128"/>
      <c r="G43" s="313">
        <v>0</v>
      </c>
      <c r="H43" s="129"/>
      <c r="I43" s="314"/>
      <c r="J43" s="7"/>
      <c r="M43" s="77" t="s">
        <v>0</v>
      </c>
    </row>
    <row r="44" spans="1:26">
      <c r="A44" s="69"/>
      <c r="B44" s="54"/>
      <c r="C44" s="54"/>
      <c r="D44" s="54"/>
      <c r="E44" s="54"/>
      <c r="F44" s="54"/>
      <c r="G44" s="54"/>
      <c r="H44" s="54"/>
      <c r="I44" s="54"/>
      <c r="J44" s="7"/>
      <c r="M44" s="77" t="s">
        <v>16</v>
      </c>
    </row>
    <row r="45" spans="1:26">
      <c r="A45" s="707"/>
      <c r="B45" s="708"/>
      <c r="C45" s="708"/>
      <c r="D45" s="708"/>
      <c r="E45" s="708"/>
      <c r="F45" s="708"/>
      <c r="G45" s="708"/>
      <c r="H45" s="708"/>
      <c r="I45" s="708"/>
      <c r="J45" s="708"/>
      <c r="K45" s="708"/>
      <c r="L45" s="708"/>
      <c r="M45" s="708"/>
    </row>
    <row r="46" spans="1:26" s="346" customFormat="1">
      <c r="H46" s="14"/>
      <c r="I46" s="14"/>
      <c r="J46" s="19"/>
      <c r="M46" s="347"/>
      <c r="N46" s="348"/>
    </row>
    <row r="47" spans="1:26" s="346" customFormat="1" ht="18.75">
      <c r="A47" s="704"/>
      <c r="B47" s="704"/>
      <c r="C47" s="704"/>
      <c r="D47" s="704"/>
      <c r="E47" s="704"/>
      <c r="F47" s="704"/>
      <c r="G47" s="704"/>
      <c r="H47" s="704"/>
      <c r="I47" s="704"/>
      <c r="J47" s="19"/>
      <c r="M47" s="347"/>
      <c r="N47" s="348"/>
    </row>
    <row r="48" spans="1:26" s="19" customFormat="1" ht="27" customHeight="1">
      <c r="A48" s="709"/>
      <c r="B48" s="709"/>
      <c r="C48" s="709"/>
      <c r="D48" s="709"/>
      <c r="E48" s="709"/>
      <c r="F48" s="709"/>
      <c r="G48" s="709"/>
      <c r="H48" s="709"/>
      <c r="I48" s="709"/>
      <c r="M48" s="222"/>
      <c r="N48" s="350"/>
    </row>
    <row r="49" spans="1:14" s="19" customFormat="1" ht="27" customHeight="1">
      <c r="A49" s="709"/>
      <c r="B49" s="709"/>
      <c r="C49" s="709"/>
      <c r="D49" s="709"/>
      <c r="E49" s="709"/>
      <c r="F49" s="709"/>
      <c r="G49" s="709"/>
      <c r="H49" s="709"/>
      <c r="I49" s="709"/>
      <c r="M49" s="222"/>
      <c r="N49" s="350"/>
    </row>
    <row r="50" spans="1:14" s="19" customFormat="1" ht="27" customHeight="1">
      <c r="A50" s="709"/>
      <c r="B50" s="709"/>
      <c r="C50" s="709"/>
      <c r="D50" s="709"/>
      <c r="E50" s="709"/>
      <c r="F50" s="709"/>
      <c r="G50" s="709"/>
      <c r="H50" s="709"/>
      <c r="I50" s="709"/>
      <c r="M50" s="222"/>
      <c r="N50" s="350"/>
    </row>
    <row r="51" spans="1:14" s="19" customFormat="1" ht="35.1" customHeight="1">
      <c r="A51" s="702"/>
      <c r="B51" s="702"/>
      <c r="C51" s="702"/>
      <c r="D51" s="702"/>
      <c r="E51" s="702"/>
      <c r="F51" s="702"/>
      <c r="G51" s="702"/>
      <c r="H51" s="702"/>
      <c r="I51" s="702"/>
      <c r="M51" s="222"/>
      <c r="N51" s="350"/>
    </row>
    <row r="52" spans="1:14" s="19" customFormat="1" ht="39.75" customHeight="1">
      <c r="A52" s="703"/>
      <c r="B52" s="703"/>
      <c r="C52" s="703"/>
      <c r="D52" s="703"/>
      <c r="E52" s="703"/>
      <c r="F52" s="703"/>
      <c r="G52" s="703"/>
      <c r="H52" s="703"/>
      <c r="I52" s="703"/>
      <c r="M52" s="222"/>
      <c r="N52" s="350"/>
    </row>
    <row r="53" spans="1:14" s="19" customFormat="1" ht="27" customHeight="1">
      <c r="A53" s="703"/>
      <c r="B53" s="703"/>
      <c r="C53" s="703"/>
      <c r="D53" s="703"/>
      <c r="E53" s="703"/>
      <c r="F53" s="703"/>
      <c r="G53" s="703"/>
      <c r="H53" s="703"/>
      <c r="I53" s="703"/>
      <c r="M53" s="222"/>
      <c r="N53" s="350"/>
    </row>
    <row r="54" spans="1:14" s="19" customFormat="1" ht="39.75" customHeight="1">
      <c r="A54" s="703"/>
      <c r="B54" s="703"/>
      <c r="C54" s="703"/>
      <c r="D54" s="703"/>
      <c r="E54" s="703"/>
      <c r="F54" s="703"/>
      <c r="G54" s="703"/>
      <c r="H54" s="703"/>
      <c r="I54" s="703"/>
      <c r="M54" s="222"/>
      <c r="N54" s="350"/>
    </row>
    <row r="55" spans="1:14" s="19" customFormat="1" ht="27" customHeight="1">
      <c r="A55" s="705"/>
      <c r="B55" s="705"/>
      <c r="C55" s="705"/>
      <c r="D55" s="705"/>
      <c r="E55" s="705"/>
      <c r="F55" s="705"/>
      <c r="G55" s="705"/>
      <c r="H55" s="705"/>
      <c r="I55" s="705"/>
      <c r="J55" s="705"/>
      <c r="K55" s="705"/>
      <c r="L55" s="705"/>
      <c r="M55" s="705"/>
      <c r="N55" s="706"/>
    </row>
    <row r="56" spans="1:14" s="19" customFormat="1" ht="22.9" customHeight="1">
      <c r="A56" s="349"/>
      <c r="B56" s="701"/>
      <c r="C56" s="701"/>
      <c r="D56" s="701"/>
      <c r="E56" s="701"/>
      <c r="F56" s="701"/>
      <c r="G56" s="701"/>
      <c r="H56" s="701"/>
      <c r="I56" s="701"/>
      <c r="M56" s="222"/>
      <c r="N56" s="350"/>
    </row>
    <row r="57" spans="1:14" s="19" customFormat="1">
      <c r="A57" s="349"/>
      <c r="B57" s="349"/>
      <c r="C57" s="349"/>
      <c r="D57" s="349"/>
      <c r="E57" s="349"/>
      <c r="F57" s="349"/>
      <c r="G57" s="349"/>
      <c r="H57" s="43"/>
      <c r="I57" s="44"/>
      <c r="M57" s="222"/>
      <c r="N57" s="350"/>
    </row>
    <row r="58" spans="1:14" s="346" customFormat="1">
      <c r="A58" s="351"/>
      <c r="B58" s="351"/>
      <c r="C58" s="351"/>
      <c r="D58" s="351"/>
      <c r="E58" s="351"/>
      <c r="F58" s="351"/>
      <c r="G58" s="351"/>
      <c r="H58" s="44"/>
      <c r="I58" s="44"/>
      <c r="J58" s="19"/>
      <c r="M58" s="347"/>
      <c r="N58" s="348"/>
    </row>
    <row r="59" spans="1:14" s="346" customFormat="1">
      <c r="A59" s="351"/>
      <c r="B59" s="351"/>
      <c r="C59" s="351"/>
      <c r="D59" s="351"/>
      <c r="E59" s="351"/>
      <c r="F59" s="351"/>
      <c r="G59" s="351"/>
      <c r="H59" s="44"/>
      <c r="I59" s="44"/>
      <c r="J59" s="19"/>
      <c r="M59" s="347"/>
      <c r="N59" s="348"/>
    </row>
    <row r="60" spans="1:14" s="346" customFormat="1" ht="65.45" customHeight="1">
      <c r="A60" s="351"/>
      <c r="B60" s="700"/>
      <c r="C60" s="700"/>
      <c r="D60" s="700"/>
      <c r="E60" s="700"/>
      <c r="F60" s="700"/>
      <c r="G60" s="700"/>
      <c r="H60" s="700"/>
      <c r="I60" s="700"/>
      <c r="J60" s="19"/>
      <c r="M60" s="347"/>
      <c r="N60" s="348"/>
    </row>
    <row r="61" spans="1:14">
      <c r="H61" s="12"/>
      <c r="I61" s="12"/>
      <c r="J61" s="7"/>
    </row>
    <row r="62" spans="1:14">
      <c r="H62" s="12"/>
      <c r="I62" s="73"/>
      <c r="J62" s="7"/>
    </row>
    <row r="63" spans="1:14">
      <c r="H63" s="12"/>
      <c r="I63" s="12"/>
      <c r="J63" s="7"/>
    </row>
    <row r="64" spans="1:14">
      <c r="H64" s="12"/>
      <c r="I64" s="12"/>
      <c r="J64" s="7"/>
    </row>
    <row r="65" spans="8:10">
      <c r="H65" s="12"/>
      <c r="I65" s="12"/>
      <c r="J65" s="7"/>
    </row>
    <row r="66" spans="8:10">
      <c r="H66" s="12"/>
      <c r="I66" s="12"/>
      <c r="J66" s="7"/>
    </row>
    <row r="67" spans="8:10">
      <c r="H67" s="12"/>
      <c r="I67" s="12"/>
      <c r="J67" s="7"/>
    </row>
    <row r="68" spans="8:10">
      <c r="H68" s="12"/>
      <c r="I68" s="12"/>
      <c r="J68" s="7"/>
    </row>
    <row r="69" spans="8:10">
      <c r="H69" s="12"/>
      <c r="I69" s="12"/>
      <c r="J69" s="7"/>
    </row>
    <row r="70" spans="8:10">
      <c r="H70" s="12"/>
      <c r="I70" s="12"/>
      <c r="J70" s="7"/>
    </row>
    <row r="71" spans="8:10">
      <c r="H71" s="12"/>
      <c r="I71" s="12"/>
      <c r="J71" s="7"/>
    </row>
    <row r="72" spans="8:10">
      <c r="H72" s="12"/>
      <c r="I72" s="12"/>
      <c r="J72" s="7"/>
    </row>
    <row r="73" spans="8:10">
      <c r="H73" s="12"/>
      <c r="I73" s="13"/>
      <c r="J73" s="7"/>
    </row>
    <row r="74" spans="8:10">
      <c r="H74" s="12"/>
      <c r="I74" s="13"/>
      <c r="J74" s="7"/>
    </row>
    <row r="75" spans="8:10">
      <c r="H75" s="12"/>
      <c r="I75" s="12"/>
      <c r="J75" s="7"/>
    </row>
    <row r="76" spans="8:10">
      <c r="H76" s="12"/>
      <c r="I76" s="12"/>
      <c r="J76" s="7"/>
    </row>
    <row r="77" spans="8:10">
      <c r="H77" s="12"/>
      <c r="I77" s="12"/>
      <c r="J77" s="7"/>
    </row>
    <row r="78" spans="8:10">
      <c r="H78" s="12"/>
      <c r="I78" s="12"/>
      <c r="J78" s="7"/>
    </row>
    <row r="79" spans="8:10">
      <c r="H79" s="12"/>
      <c r="I79" s="12"/>
      <c r="J79" s="7"/>
    </row>
    <row r="80" spans="8:10">
      <c r="H80" s="12"/>
      <c r="I80" s="12"/>
      <c r="J80" s="7"/>
    </row>
    <row r="81" spans="8:10">
      <c r="H81" s="12"/>
      <c r="I81" s="12"/>
      <c r="J81" s="7"/>
    </row>
    <row r="82" spans="8:10">
      <c r="H82" s="12"/>
      <c r="I82" s="12"/>
      <c r="J82" s="7"/>
    </row>
    <row r="83" spans="8:10">
      <c r="H83" s="12"/>
      <c r="I83" s="12"/>
      <c r="J83" s="7"/>
    </row>
    <row r="84" spans="8:10">
      <c r="H84" s="12"/>
      <c r="I84" s="12"/>
      <c r="J84" s="7"/>
    </row>
    <row r="85" spans="8:10">
      <c r="H85" s="12"/>
      <c r="I85" s="12"/>
      <c r="J85" s="7"/>
    </row>
    <row r="86" spans="8:10">
      <c r="H86" s="12"/>
      <c r="I86" s="12"/>
      <c r="J86" s="7"/>
    </row>
    <row r="87" spans="8:10">
      <c r="H87" s="12"/>
      <c r="I87" s="12"/>
      <c r="J87" s="7"/>
    </row>
    <row r="88" spans="8:10">
      <c r="H88" s="15"/>
      <c r="I88" s="12"/>
      <c r="J88" s="7"/>
    </row>
    <row r="89" spans="8:10">
      <c r="H89" s="7"/>
      <c r="I89" s="7"/>
      <c r="J89" s="7"/>
    </row>
    <row r="90" spans="8:10">
      <c r="H90" s="6"/>
      <c r="I90" s="6"/>
      <c r="J90" s="7"/>
    </row>
    <row r="91" spans="8:10">
      <c r="H91" s="6"/>
      <c r="I91" s="6"/>
      <c r="J91" s="7"/>
    </row>
    <row r="92" spans="8:10">
      <c r="H92" s="6"/>
      <c r="I92" s="6"/>
      <c r="J92" s="7"/>
    </row>
    <row r="93" spans="8:10">
      <c r="H93" s="6"/>
      <c r="I93" s="6"/>
      <c r="J93" s="7"/>
    </row>
    <row r="94" spans="8:10">
      <c r="J94" s="7"/>
    </row>
    <row r="95" spans="8:10">
      <c r="J95" s="7"/>
    </row>
    <row r="197" spans="1:1">
      <c r="A197" s="3" t="s">
        <v>94</v>
      </c>
    </row>
  </sheetData>
  <customSheetViews>
    <customSheetView guid="{68D6E89C-5B15-4C35-9CD8-F5F4F27258FD}" scale="75" showPageBreaks="1" printArea="1" hiddenColumns="1" view="pageBreakPreview">
      <pane xSplit="1" ySplit="9" topLeftCell="B10" activePane="bottomRight" state="frozen"/>
      <selection pane="bottomRight" activeCell="G11" sqref="G11"/>
      <pageMargins left="0.5" right="0.5" top="0.5" bottom="0.25" header="0.5" footer="0.5"/>
      <printOptions horizontalCentered="1"/>
      <pageSetup scale="70" orientation="landscape" r:id="rId1"/>
      <headerFooter alignWithMargins="0">
        <oddFooter>&amp;C&amp;"Times New Roman,Regular"Exhibit L - Summary of Requirements by Object Class</oddFooter>
      </headerFooter>
    </customSheetView>
    <customSheetView guid="{4148B88B-8ED7-4FDE-9459-DEB244AD0552}" scale="75" showPageBreaks="1" printArea="1" hiddenColumns="1" view="pageBreakPreview">
      <pane xSplit="1" ySplit="9" topLeftCell="B10" activePane="bottomRight" state="frozen"/>
      <selection pane="bottomRight" activeCell="C21" sqref="C21"/>
      <pageMargins left="0.5" right="0.5" top="0.5" bottom="0.25" header="0.5" footer="0.5"/>
      <printOptions horizontalCentered="1"/>
      <pageSetup scale="70" orientation="landscape" r:id="rId2"/>
      <headerFooter alignWithMargins="0">
        <oddFooter>&amp;C&amp;"Times New Roman,Regular"Exhibit L - Summary of Requirements by Object Class</oddFooter>
      </headerFooter>
    </customSheetView>
    <customSheetView guid="{56C0A34E-45B4-448B-85E5-70B3A8E63333}" scale="75" showPageBreaks="1" printArea="1" hiddenColumns="1" view="pageBreakPreview">
      <pane xSplit="1" ySplit="9" topLeftCell="B10" activePane="bottomRight" state="frozen"/>
      <selection pane="bottomRight" activeCell="D9" sqref="D9"/>
      <pageMargins left="0.5" right="0.5" top="0.5" bottom="0.25" header="0.5" footer="0.5"/>
      <printOptions horizontalCentered="1"/>
      <pageSetup scale="70" orientation="landscape" r:id="rId3"/>
      <headerFooter alignWithMargins="0">
        <oddFooter>&amp;C&amp;"Times New Roman,Regular"Exhibit L - Summary of Requirements by Object Class</oddFooter>
      </headerFooter>
    </customSheetView>
    <customSheetView guid="{3118AF25-8423-420A-806A-487665220C68}" scale="75" showPageBreaks="1" printArea="1" hiddenColumns="1" view="pageBreakPreview">
      <pane xSplit="1" ySplit="9" topLeftCell="B19" activePane="bottomRight" state="frozen"/>
      <selection pane="bottomRight" activeCell="I12" sqref="I12"/>
      <pageMargins left="0.5" right="0.5" top="0.5" bottom="0.25" header="0.5" footer="0.5"/>
      <printOptions horizontalCentered="1"/>
      <pageSetup scale="70" orientation="landscape" r:id="rId4"/>
      <headerFooter alignWithMargins="0">
        <oddFooter>&amp;C&amp;"Times New Roman,Regular"Exhibit L - Summary of Requirements by Object Class</oddFooter>
      </headerFooter>
    </customSheetView>
    <customSheetView guid="{12C66D54-5067-4346-818B-6EAB1C8A9183}" scale="75" showPageBreaks="1" printArea="1" hiddenColumns="1" view="pageBreakPreview">
      <pane xSplit="1" ySplit="9" topLeftCell="B10" activePane="bottomRight" state="frozen"/>
      <selection pane="bottomRight" activeCell="C21" sqref="C21"/>
      <pageMargins left="0.5" right="0.5" top="0.5" bottom="0.25" header="0.5" footer="0.5"/>
      <printOptions horizontalCentered="1"/>
      <pageSetup scale="70" orientation="landscape" r:id="rId5"/>
      <headerFooter alignWithMargins="0">
        <oddFooter>&amp;C&amp;"Times New Roman,Regular"Exhibit L - Summary of Requirements by Object Class</oddFooter>
      </headerFooter>
    </customSheetView>
  </customSheetViews>
  <mergeCells count="25">
    <mergeCell ref="A1:I1"/>
    <mergeCell ref="A2:I2"/>
    <mergeCell ref="A3:I3"/>
    <mergeCell ref="A4:I4"/>
    <mergeCell ref="B60:I60"/>
    <mergeCell ref="B56:I56"/>
    <mergeCell ref="A51:I51"/>
    <mergeCell ref="A53:I53"/>
    <mergeCell ref="A54:I54"/>
    <mergeCell ref="A47:I47"/>
    <mergeCell ref="A55:N55"/>
    <mergeCell ref="A45:M45"/>
    <mergeCell ref="A48:I48"/>
    <mergeCell ref="A49:I49"/>
    <mergeCell ref="A50:I50"/>
    <mergeCell ref="A52:I52"/>
    <mergeCell ref="O38:Z40"/>
    <mergeCell ref="A7:I7"/>
    <mergeCell ref="A5:I5"/>
    <mergeCell ref="A8:A9"/>
    <mergeCell ref="A6:I6"/>
    <mergeCell ref="B8:C8"/>
    <mergeCell ref="H8:I8"/>
    <mergeCell ref="F8:G8"/>
    <mergeCell ref="D8:E8"/>
  </mergeCells>
  <phoneticPr fontId="0" type="noConversion"/>
  <printOptions horizontalCentered="1"/>
  <pageMargins left="0.5" right="0.5" top="0.5" bottom="0.25" header="0.5" footer="0.5"/>
  <pageSetup scale="70" orientation="landscape" r:id="rId6"/>
  <headerFooter alignWithMargins="0">
    <oddFooter>&amp;C&amp;"Times New Roman,Regular"Exhibit L - Summary of Requirements by Object Class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A. Organization Chart</vt:lpstr>
      <vt:lpstr>B. Summary of Requirements </vt:lpstr>
      <vt:lpstr>C. Increases Offsets</vt:lpstr>
      <vt:lpstr>D. Strategic Goals &amp; Objectives</vt:lpstr>
      <vt:lpstr>E. ATB Justification</vt:lpstr>
      <vt:lpstr>F. 2011 Crosswalk</vt:lpstr>
      <vt:lpstr>G. 2012 Crosswalk</vt:lpstr>
      <vt:lpstr>I. Permanent Positions</vt:lpstr>
      <vt:lpstr>J. Financial Analysis</vt:lpstr>
      <vt:lpstr>K. Summary by Grade</vt:lpstr>
      <vt:lpstr>L. Summary by Object Class</vt:lpstr>
      <vt:lpstr>'B. Summary of Requirements '!DL</vt:lpstr>
      <vt:lpstr>'A. Organization Chart'!Print_Area</vt:lpstr>
      <vt:lpstr>'B. Summary of Requirements '!Print_Area</vt:lpstr>
      <vt:lpstr>'C. Increases Offsets'!Print_Area</vt:lpstr>
      <vt:lpstr>'D. Strategic Goals &amp; Objectives'!Print_Area</vt:lpstr>
      <vt:lpstr>'E. ATB Justification'!Print_Area</vt:lpstr>
      <vt:lpstr>'F. 2011 Crosswalk'!Print_Area</vt:lpstr>
      <vt:lpstr>'G. 2012 Crosswalk'!Print_Area</vt:lpstr>
      <vt:lpstr>'I. Permanent Positions'!Print_Area</vt:lpstr>
      <vt:lpstr>'J. Financial Analysis'!Print_Area</vt:lpstr>
      <vt:lpstr>'K. Summary by Grade'!Print_Area</vt:lpstr>
      <vt:lpstr>'L. Summary by Object Class'!Print_Area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sdale</dc:creator>
  <cp:lastModifiedBy>jschmaus</cp:lastModifiedBy>
  <cp:lastPrinted>2012-02-07T19:18:42Z</cp:lastPrinted>
  <dcterms:created xsi:type="dcterms:W3CDTF">2003-08-28T20:51:00Z</dcterms:created>
  <dcterms:modified xsi:type="dcterms:W3CDTF">2012-02-08T18:25:13Z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