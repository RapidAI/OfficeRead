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75" yWindow="105" windowWidth="18195" windowHeight="1204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C234" i="1" l="1"/>
  <c r="C180" i="1"/>
  <c r="C90" i="1"/>
  <c r="C19" i="1" l="1"/>
  <c r="C20" i="1"/>
  <c r="C21" i="1"/>
  <c r="C48" i="1"/>
  <c r="C127" i="1"/>
  <c r="C254" i="1"/>
  <c r="C258" i="1"/>
  <c r="C259" i="1"/>
  <c r="C255" i="1"/>
  <c r="C257" i="1"/>
  <c r="C256" i="1"/>
  <c r="C313" i="1"/>
  <c r="C316" i="1"/>
  <c r="C315" i="1"/>
  <c r="C318" i="1"/>
  <c r="C317" i="1"/>
  <c r="C314" i="1"/>
</calcChain>
</file>

<file path=xl/sharedStrings.xml><?xml version="1.0" encoding="utf-8"?>
<sst xmlns="http://schemas.openxmlformats.org/spreadsheetml/2006/main" count="2430" uniqueCount="1084">
  <si>
    <t>State</t>
  </si>
  <si>
    <t>LEA</t>
  </si>
  <si>
    <t>Name</t>
  </si>
  <si>
    <t>ID</t>
  </si>
  <si>
    <t>School</t>
  </si>
  <si>
    <t>Last Updated:</t>
  </si>
  <si>
    <t>Errata Report for the NCES Common Core of Data Public Elementary/ Secondary School Universe Survey: School Year 2009–10, Version 1a Data File</t>
  </si>
  <si>
    <t>CHARLESTOWN EL SCH</t>
  </si>
  <si>
    <t>421087001368</t>
  </si>
  <si>
    <t>GREAT VALLEY SD</t>
  </si>
  <si>
    <t>GENERAL WAYNE EL SCH</t>
  </si>
  <si>
    <t>421087000606</t>
  </si>
  <si>
    <t>GREAT VALLEY HS</t>
  </si>
  <si>
    <t>421087001424</t>
  </si>
  <si>
    <t>GREAT VALLEY MS</t>
  </si>
  <si>
    <t>421087001422</t>
  </si>
  <si>
    <t>KATHRYN D. MARKLEY EL SCH</t>
  </si>
  <si>
    <t>421087006479</t>
  </si>
  <si>
    <t>SUGARTOWN EL SCH</t>
  </si>
  <si>
    <t>421087001461</t>
  </si>
  <si>
    <t>Pennsylvania</t>
  </si>
  <si>
    <t>Mis-reported fields</t>
  </si>
  <si>
    <t>BASIC HIGH SCHOOL</t>
  </si>
  <si>
    <t>320006000007</t>
  </si>
  <si>
    <t>CLARK COUNTY SCHOOL DISTRICT</t>
  </si>
  <si>
    <t>BUCKEYE UNION HIGH SCHOOL</t>
  </si>
  <si>
    <t>040141000075</t>
  </si>
  <si>
    <t>BUCKEYE UNION HIGH SCHOOL DISTRICT</t>
  </si>
  <si>
    <t>DUBLIN HIGH</t>
  </si>
  <si>
    <t>060001909273</t>
  </si>
  <si>
    <t>DUBLIN UNIFIED</t>
  </si>
  <si>
    <t>ESTRELLA FOOTHILLS HIGH SCHOOL</t>
  </si>
  <si>
    <t>040141002137</t>
  </si>
  <si>
    <t>GREEN VALLEY HIGH SCHOOL</t>
  </si>
  <si>
    <t>320006000407</t>
  </si>
  <si>
    <t>LAUGHLIN JR/SR HIGH SCHOOL</t>
  </si>
  <si>
    <t>320006000408</t>
  </si>
  <si>
    <t>MOAPA VALLEY HIGH SCHOOL</t>
  </si>
  <si>
    <t>320006000078</t>
  </si>
  <si>
    <t>SAN MARCOS HIGH</t>
  </si>
  <si>
    <t>063488005893</t>
  </si>
  <si>
    <t>SAN MARCOS UNIFIED</t>
  </si>
  <si>
    <t>ULIS NEWTON ELEMENTARY SCHOOL</t>
  </si>
  <si>
    <t>320006000272</t>
  </si>
  <si>
    <t>VIRGIN VALLEY HIGH SCHOOL</t>
  </si>
  <si>
    <t>320006000111</t>
  </si>
  <si>
    <t>YOUNGKER HIGH SCHOOL</t>
  </si>
  <si>
    <t>040141002786</t>
  </si>
  <si>
    <t>Nevada</t>
  </si>
  <si>
    <t>Arizona</t>
  </si>
  <si>
    <t>California</t>
  </si>
  <si>
    <t>Full-Time Equivalent Teacher Counts
Pupil Teacher Ratios</t>
  </si>
  <si>
    <t>Student Membership Counts
Pupil Teacher Ratios
Free and Reduced Price Lunch Participation Counts</t>
  </si>
  <si>
    <t>Suppressed</t>
  </si>
  <si>
    <t>Updated</t>
  </si>
  <si>
    <t>x</t>
  </si>
  <si>
    <r>
      <t>Data Tools</t>
    </r>
    <r>
      <rPr>
        <vertAlign val="superscript"/>
        <sz val="11"/>
        <color theme="1"/>
        <rFont val="Calibri"/>
        <family val="2"/>
        <scheme val="minor"/>
      </rPr>
      <t>1</t>
    </r>
  </si>
  <si>
    <t>062271010892</t>
  </si>
  <si>
    <t>COMMUNITY CHARTER EARLY COLLEGE HIGH</t>
  </si>
  <si>
    <t>210165000323</t>
  </si>
  <si>
    <t>ELIZABETHTOWN HIGH SCHOOL</t>
  </si>
  <si>
    <t>272358001161</t>
  </si>
  <si>
    <t>NICOLLET SECONDARY</t>
  </si>
  <si>
    <t>360009101928</t>
  </si>
  <si>
    <t>BROOKLYN TECHNICAL HIGH SCHOOL</t>
  </si>
  <si>
    <t>360009901919</t>
  </si>
  <si>
    <t>BENJAMIN N CARDOZO HIGH SCHOOL</t>
  </si>
  <si>
    <t>360009901953</t>
  </si>
  <si>
    <t>FRANCIS LEWIS HIGH SCHOOL</t>
  </si>
  <si>
    <t>360010302883</t>
  </si>
  <si>
    <t>360015101947</t>
  </si>
  <si>
    <t>360015101952</t>
  </si>
  <si>
    <t>360015201943</t>
  </si>
  <si>
    <t>360015302032</t>
  </si>
  <si>
    <t>MIDWOOD HIGH SCHOOL</t>
  </si>
  <si>
    <t>362493004369</t>
  </si>
  <si>
    <t>ROMULUS CENTRAL SCHOOL</t>
  </si>
  <si>
    <t>422052006210</t>
  </si>
  <si>
    <t>ROCKWOOD AREA JSHS</t>
  </si>
  <si>
    <t>480010611212</t>
  </si>
  <si>
    <t>PASEO DEL NORTE ACAD YSLETA</t>
  </si>
  <si>
    <t>LOS ANGELES UNIFIED</t>
  </si>
  <si>
    <t>Kentucky</t>
  </si>
  <si>
    <t>ELIZABETHTOWN INDEPENDENT</t>
  </si>
  <si>
    <t>Minnesota</t>
  </si>
  <si>
    <t>NICOLLET PUBLIC SCHOOL DISTRICT</t>
  </si>
  <si>
    <t>New York</t>
  </si>
  <si>
    <t>3600091</t>
  </si>
  <si>
    <t>NEW YORK CITY GEOGRAPHIC DISTRICT #13</t>
  </si>
  <si>
    <t>3600099</t>
  </si>
  <si>
    <t>NEW YORK CITY GEOGRAPHIC DISTRICT #26</t>
  </si>
  <si>
    <t>3600103</t>
  </si>
  <si>
    <t>NEW YORK CITY GEOGRAPHIC DISTRICT #31</t>
  </si>
  <si>
    <t>3600151</t>
  </si>
  <si>
    <t>NEW YORK CITY GEOGRAPHIC DISTRICT #20</t>
  </si>
  <si>
    <t>3600152</t>
  </si>
  <si>
    <t>NEW YORK CITY GEOGRAPHIC DISTRICT #21</t>
  </si>
  <si>
    <t>3600153</t>
  </si>
  <si>
    <t>NEW YORK CITY GEOGRAPHIC DISTRICT #22</t>
  </si>
  <si>
    <t>3624930</t>
  </si>
  <si>
    <t>ROMULUS CENTRAL SCHOOL DISTRICT</t>
  </si>
  <si>
    <t>4220520</t>
  </si>
  <si>
    <t>ROCKWOOD AREA SD</t>
  </si>
  <si>
    <t>Texas</t>
  </si>
  <si>
    <t>4800106</t>
  </si>
  <si>
    <t>PASO DEL NORTE</t>
  </si>
  <si>
    <t>TOTTENVILLE HIGH SCHOOL</t>
  </si>
  <si>
    <t>FRANKLIN D ROOSEVELT HIGH SCHOOL</t>
  </si>
  <si>
    <t>FORT HAMILTON HIGH SCHOOL</t>
  </si>
  <si>
    <t>EDWARD R MURROW HIGH SCHOOL</t>
  </si>
  <si>
    <t>Alabama</t>
  </si>
  <si>
    <t>ANNISTON CITY</t>
  </si>
  <si>
    <t>0100090</t>
  </si>
  <si>
    <t>ANNISTON MIDDLE SCH</t>
  </si>
  <si>
    <t>010009001725</t>
  </si>
  <si>
    <t>BIBB COUNTY</t>
  </si>
  <si>
    <t>0100360</t>
  </si>
  <si>
    <t>BIBB CO JR HIGH SCH</t>
  </si>
  <si>
    <t>010036001470</t>
  </si>
  <si>
    <t>BIRMINGHAM CITY</t>
  </si>
  <si>
    <t>0100390</t>
  </si>
  <si>
    <t>BANKS MIDDLE SCHOOL</t>
  </si>
  <si>
    <t>010039000105</t>
  </si>
  <si>
    <t>HAYES HIGH SCH</t>
  </si>
  <si>
    <t>010039000134</t>
  </si>
  <si>
    <t>OLIVER ELEM SCH</t>
  </si>
  <si>
    <t>010039000163</t>
  </si>
  <si>
    <t>WEST END HIGH SCH</t>
  </si>
  <si>
    <t>010039000194</t>
  </si>
  <si>
    <t>MACON COUNTY</t>
  </si>
  <si>
    <t>0102190</t>
  </si>
  <si>
    <t>LEWIS ADAMS EARLY CHILD CTR</t>
  </si>
  <si>
    <t>010219000189</t>
  </si>
  <si>
    <t>MOBILE COUNTY</t>
  </si>
  <si>
    <t>0102370</t>
  </si>
  <si>
    <t>GLENDALE ELEM SCH</t>
  </si>
  <si>
    <t>010237000923</t>
  </si>
  <si>
    <t>PHENIX CITY</t>
  </si>
  <si>
    <t>0102700</t>
  </si>
  <si>
    <t>WESTVIEW ELEM SCH</t>
  </si>
  <si>
    <t>010270001096</t>
  </si>
  <si>
    <t>TUSCALOOSA CITY</t>
  </si>
  <si>
    <t>0103360</t>
  </si>
  <si>
    <t>TUSCALOOSA MIDDLE SCH</t>
  </si>
  <si>
    <t>010336001808</t>
  </si>
  <si>
    <t>Alaska</t>
  </si>
  <si>
    <t>GALENA CITY SCHOOL DISTRICT</t>
  </si>
  <si>
    <t>0200130</t>
  </si>
  <si>
    <t>DISTRICT-WIDE</t>
  </si>
  <si>
    <t>JUNEAU BOROUGH SCHOOL DISTRICT</t>
  </si>
  <si>
    <t>0200210</t>
  </si>
  <si>
    <t>YAAKOOSGE DAAKAHIDI ALT. H.S.</t>
  </si>
  <si>
    <t>020021000738</t>
  </si>
  <si>
    <t>EDKEY  INC. - PATHFINDER ACADEMY</t>
  </si>
  <si>
    <t>0400638</t>
  </si>
  <si>
    <t>PATHFINDER ACADEMY</t>
  </si>
  <si>
    <t>040063801796</t>
  </si>
  <si>
    <t>AMPHITHEATER UNIFIED DISTRICT</t>
  </si>
  <si>
    <t>0400680</t>
  </si>
  <si>
    <t>PAINTED SKY ELEMENTARY SCHOOL</t>
  </si>
  <si>
    <t>040068002066</t>
  </si>
  <si>
    <t>CRANE ELEMENTARY DISTRICT</t>
  </si>
  <si>
    <t>0402400</t>
  </si>
  <si>
    <t>CRANE MIDDLE SCHOOL</t>
  </si>
  <si>
    <t>040240000014</t>
  </si>
  <si>
    <t>FLORENCE UNIFIED SCHOOL DISTRICT</t>
  </si>
  <si>
    <t>0402920</t>
  </si>
  <si>
    <t>COPPER BASIN</t>
  </si>
  <si>
    <t>040292002436</t>
  </si>
  <si>
    <t>HUMBOLDT UNIFIED DISTRICT</t>
  </si>
  <si>
    <t>0403870</t>
  </si>
  <si>
    <t>HUMBOLDT ELEMENTARY SCHOOL</t>
  </si>
  <si>
    <t>040387001228</t>
  </si>
  <si>
    <t>MADISON ELEMENTARY DISTRICT</t>
  </si>
  <si>
    <t>0404500</t>
  </si>
  <si>
    <t>MADISON #1 ELEMENTARY SCHOOL</t>
  </si>
  <si>
    <t>040450000355</t>
  </si>
  <si>
    <t>MADISON CAMELVIEW ELEMENTARY</t>
  </si>
  <si>
    <t>040450000678</t>
  </si>
  <si>
    <t>NOGALES UNIFIED DISTRICT</t>
  </si>
  <si>
    <t>0405530</t>
  </si>
  <si>
    <t>LINCOLN ELEMENTARY SCHOOL</t>
  </si>
  <si>
    <t>040553000453</t>
  </si>
  <si>
    <t>ORACLE ELEMENTARY DISTRICT</t>
  </si>
  <si>
    <t>0405640</t>
  </si>
  <si>
    <t>MOUNTAIN VISTA SCHOOL</t>
  </si>
  <si>
    <t>040564001416</t>
  </si>
  <si>
    <t>PAGE UNIFIED DISTRICT</t>
  </si>
  <si>
    <t>0405820</t>
  </si>
  <si>
    <t>LAKE VIEW ELEMENTARY SCHOOL</t>
  </si>
  <si>
    <t>040582001312</t>
  </si>
  <si>
    <t>PICACHO ELEMENTARY DISTRICT</t>
  </si>
  <si>
    <t>0406360</t>
  </si>
  <si>
    <t>PICACHO SCHOOL</t>
  </si>
  <si>
    <t>040636000556</t>
  </si>
  <si>
    <t>PRESCOTT UNIFIED DISTRICT</t>
  </si>
  <si>
    <t>0406730</t>
  </si>
  <si>
    <t>NORTHPOINT EXPEDITIONARY LEARNING ACADEMY</t>
  </si>
  <si>
    <t>040673002672</t>
  </si>
  <si>
    <t>TEMPE SCHOOL DISTRICT</t>
  </si>
  <si>
    <t>0408310</t>
  </si>
  <si>
    <t>AGUILAR SCHOOL</t>
  </si>
  <si>
    <t>040831000763</t>
  </si>
  <si>
    <t>CARMINATI SCHOOL</t>
  </si>
  <si>
    <t>040831000767</t>
  </si>
  <si>
    <t>CONNOLLY MIDDLE SCHOOL</t>
  </si>
  <si>
    <t>040831000768</t>
  </si>
  <si>
    <t>GILILLAND MIDDLE SCHOOL</t>
  </si>
  <si>
    <t>040831000775</t>
  </si>
  <si>
    <t>HOLDEMAN ELEMENTARY SCHOOL</t>
  </si>
  <si>
    <t>040831000776</t>
  </si>
  <si>
    <t>LAIRD ELEMENTARY SCHOOL</t>
  </si>
  <si>
    <t>040831000778</t>
  </si>
  <si>
    <t>NEVITT ELEMENTARY SCHOOL</t>
  </si>
  <si>
    <t>040831000782</t>
  </si>
  <si>
    <t>SCALES TECHNOLOGY ACADEMY</t>
  </si>
  <si>
    <t>040831000785</t>
  </si>
  <si>
    <t>FLORA THEW ELEMENTARY SCHOOL</t>
  </si>
  <si>
    <t>040831000786</t>
  </si>
  <si>
    <t>FRANK ELEMENTARY SCHOOL</t>
  </si>
  <si>
    <t>040831000787</t>
  </si>
  <si>
    <t>WOOD SCHOOL</t>
  </si>
  <si>
    <t>040831000789</t>
  </si>
  <si>
    <t>FEES MIDDLE SCHOOL</t>
  </si>
  <si>
    <t>040831001107</t>
  </si>
  <si>
    <t>CALIFORNIA SCHOOL FOR THE BLIND (STATE SPECIAL SCHL)</t>
  </si>
  <si>
    <t>0600002</t>
  </si>
  <si>
    <t>FORT SAGE UNIFIED</t>
  </si>
  <si>
    <t>0600011</t>
  </si>
  <si>
    <t>LONG VALLEY CHARTER</t>
  </si>
  <si>
    <t>060001109067</t>
  </si>
  <si>
    <t>HESPERIA UNIFIED</t>
  </si>
  <si>
    <t>0600014</t>
  </si>
  <si>
    <t>JUNIPER ELEMENTARY</t>
  </si>
  <si>
    <t>060001409075</t>
  </si>
  <si>
    <t>0600019</t>
  </si>
  <si>
    <t>WELLS MIDDLE</t>
  </si>
  <si>
    <t>060001909278</t>
  </si>
  <si>
    <t>CEA AMADOR CO</t>
  </si>
  <si>
    <t>0600050</t>
  </si>
  <si>
    <t>GRIDLEY UNIFIED</t>
  </si>
  <si>
    <t>0600051</t>
  </si>
  <si>
    <t>SYCAMORE MIDDLE</t>
  </si>
  <si>
    <t>060005102013</t>
  </si>
  <si>
    <t>CEA SAN JOAQUIN CO</t>
  </si>
  <si>
    <t>0600057</t>
  </si>
  <si>
    <t>JOHANNA BOSS HIGH</t>
  </si>
  <si>
    <t>060005707737</t>
  </si>
  <si>
    <t>DINUBA UNIFIED</t>
  </si>
  <si>
    <t>0600065</t>
  </si>
  <si>
    <t>ROOSEVELT ELEMENTARY</t>
  </si>
  <si>
    <t>060006509359</t>
  </si>
  <si>
    <t>CEA VENTURA CO</t>
  </si>
  <si>
    <t>0600066</t>
  </si>
  <si>
    <t>ALVORD UNIFIED</t>
  </si>
  <si>
    <t>0602430</t>
  </si>
  <si>
    <t>ALVORD ALTERNATIVE EDUCATION CENTER</t>
  </si>
  <si>
    <t>060243012061</t>
  </si>
  <si>
    <t>BIGGS UNIFIED</t>
  </si>
  <si>
    <t>0605040</t>
  </si>
  <si>
    <t>BIGGS ELEMENTARY</t>
  </si>
  <si>
    <t>060504000485</t>
  </si>
  <si>
    <t>BIGGS HIGH</t>
  </si>
  <si>
    <t>060504000486</t>
  </si>
  <si>
    <t>SANTA MARIA-BONITA</t>
  </si>
  <si>
    <t>0605580</t>
  </si>
  <si>
    <t>CALVIN C. OAKLEY ELEMENTARY</t>
  </si>
  <si>
    <t>060558009320</t>
  </si>
  <si>
    <t>COMPTON UNIFIED</t>
  </si>
  <si>
    <t>0609620</t>
  </si>
  <si>
    <t>BUNCHE MIDDLE</t>
  </si>
  <si>
    <t>060962000971</t>
  </si>
  <si>
    <t>CORNING UNION HIGH</t>
  </si>
  <si>
    <t>0609810</t>
  </si>
  <si>
    <t>CORNING HIGH</t>
  </si>
  <si>
    <t>060981001044</t>
  </si>
  <si>
    <t>FOLSOM-CORDOVA UNIFIED</t>
  </si>
  <si>
    <t>0613890</t>
  </si>
  <si>
    <t>RANCHO CORDOVA ELEMENTARY</t>
  </si>
  <si>
    <t>061389001578</t>
  </si>
  <si>
    <t>FRESNO UNIFIED</t>
  </si>
  <si>
    <t>0614550</t>
  </si>
  <si>
    <t>FULTON SPECIAL EDUCATION</t>
  </si>
  <si>
    <t>061455003024</t>
  </si>
  <si>
    <t>GATEWAY UNIFIED</t>
  </si>
  <si>
    <t>0614950</t>
  </si>
  <si>
    <t>REDDING SCHOOL OF THE ARTS II</t>
  </si>
  <si>
    <t>061495012118</t>
  </si>
  <si>
    <t>GROSSMONT UNION HIGH</t>
  </si>
  <si>
    <t>0616230</t>
  </si>
  <si>
    <t>STEELE CANYON HIGH</t>
  </si>
  <si>
    <t>061623008594</t>
  </si>
  <si>
    <t>CUCAMONGA ELEMENTARY</t>
  </si>
  <si>
    <t>0616300</t>
  </si>
  <si>
    <t>RANCHO CUCAMONGA MIDDLE</t>
  </si>
  <si>
    <t>061630001112</t>
  </si>
  <si>
    <t>HEMET UNIFIED</t>
  </si>
  <si>
    <t>0616920</t>
  </si>
  <si>
    <t>HEMET ACADEMY FOR APPLIED ACADEMICS AND TECHNOLOGY</t>
  </si>
  <si>
    <t>061692011869</t>
  </si>
  <si>
    <t>KING CITY JOINT UNION HIGH</t>
  </si>
  <si>
    <t>0619650</t>
  </si>
  <si>
    <t>GREENFIELD HIGH</t>
  </si>
  <si>
    <t>061965008221</t>
  </si>
  <si>
    <t>LANCASTER ELEMENTARY</t>
  </si>
  <si>
    <t>0620880</t>
  </si>
  <si>
    <t>DESERT VIEW ELEMENTARY</t>
  </si>
  <si>
    <t>062088002505</t>
  </si>
  <si>
    <t>EL DORADO ELEMENTARY</t>
  </si>
  <si>
    <t>062088002506</t>
  </si>
  <si>
    <t>JOSHUA ELEMENTARY</t>
  </si>
  <si>
    <t>062088002507</t>
  </si>
  <si>
    <t>LINDA VERDE ELEMENTARY</t>
  </si>
  <si>
    <t>062088002508</t>
  </si>
  <si>
    <t>MARIPOSA ELEMENTARY</t>
  </si>
  <si>
    <t>062088002509</t>
  </si>
  <si>
    <t>MONTE VISTA ELEMENTARY</t>
  </si>
  <si>
    <t>062088002510</t>
  </si>
  <si>
    <t>PARK VIEW MIDDLE</t>
  </si>
  <si>
    <t>062088002511</t>
  </si>
  <si>
    <t>PIUTE MIDDLE</t>
  </si>
  <si>
    <t>062088002512</t>
  </si>
  <si>
    <t>SIERRA ELEMENTARY</t>
  </si>
  <si>
    <t>062088002513</t>
  </si>
  <si>
    <t>SUNNYDALE ELEMENTARY</t>
  </si>
  <si>
    <t>062088002514</t>
  </si>
  <si>
    <t>NEW VISTA MIDDLE</t>
  </si>
  <si>
    <t>062088005860</t>
  </si>
  <si>
    <t>CROSSROADS COMMUNITY DAY</t>
  </si>
  <si>
    <t>062088008022</t>
  </si>
  <si>
    <t>AMARGOSA CREEK MIDDLE</t>
  </si>
  <si>
    <t>062088008717</t>
  </si>
  <si>
    <t>NANCY CORY ELEMENTARY</t>
  </si>
  <si>
    <t>062088009559</t>
  </si>
  <si>
    <t>LINCOLN ELEMENTARY</t>
  </si>
  <si>
    <t>062088009560</t>
  </si>
  <si>
    <t>JACK NORTHROP ELEMENTARY</t>
  </si>
  <si>
    <t>062088009561</t>
  </si>
  <si>
    <t>WEST WIND ELEMENTARY</t>
  </si>
  <si>
    <t>062088009884</t>
  </si>
  <si>
    <t>ENDEAVOUR MIDDLE</t>
  </si>
  <si>
    <t>062088010826</t>
  </si>
  <si>
    <t>LE GRAND UNION HIGH</t>
  </si>
  <si>
    <t>0621270</t>
  </si>
  <si>
    <t>LE GRAND HIGH</t>
  </si>
  <si>
    <t>062127002548</t>
  </si>
  <si>
    <t>0622710</t>
  </si>
  <si>
    <t>ANIMO JUSTICE CHARTER HIGH</t>
  </si>
  <si>
    <t>062271011637</t>
  </si>
  <si>
    <t>LYNWOOD UNIFIED</t>
  </si>
  <si>
    <t>0623160</t>
  </si>
  <si>
    <t>JANIE P. ABBOTT ELEMENTARY</t>
  </si>
  <si>
    <t>062316003531</t>
  </si>
  <si>
    <t>062316003533</t>
  </si>
  <si>
    <t>LINDBERGH ELEMENTARY</t>
  </si>
  <si>
    <t>062316003534</t>
  </si>
  <si>
    <t>LUGO ELEMENTARY</t>
  </si>
  <si>
    <t>062316003535</t>
  </si>
  <si>
    <t>WILL ROGERS ELEMENTARY</t>
  </si>
  <si>
    <t>062316003537</t>
  </si>
  <si>
    <t>062316003538</t>
  </si>
  <si>
    <t>MARK TWAIN ELEMENTARY</t>
  </si>
  <si>
    <t>062316003539</t>
  </si>
  <si>
    <t>WASHINGTON ELEMENTARY</t>
  </si>
  <si>
    <t>062316003541</t>
  </si>
  <si>
    <t>WILSON ELEMENTARY</t>
  </si>
  <si>
    <t>062316003542</t>
  </si>
  <si>
    <t>LYNWOOD MIDDLE</t>
  </si>
  <si>
    <t>062316007527</t>
  </si>
  <si>
    <t>ROSA PARKS ELEMENTARY</t>
  </si>
  <si>
    <t>062316008031</t>
  </si>
  <si>
    <t>HELEN KELLER ELEMENTARY</t>
  </si>
  <si>
    <t>062316010900</t>
  </si>
  <si>
    <t>THURGOOD MARSHALL ELEMENTARY</t>
  </si>
  <si>
    <t>062316010901</t>
  </si>
  <si>
    <t>CESAR CHAVEZ MIDDLE</t>
  </si>
  <si>
    <t>062316010902</t>
  </si>
  <si>
    <t>MARCO ANTONIO FIREBAUGH HIGH</t>
  </si>
  <si>
    <t>062316010903</t>
  </si>
  <si>
    <t>MONTEREY PENINSULA UNIFIED</t>
  </si>
  <si>
    <t>0625530</t>
  </si>
  <si>
    <t>ORD TERRACE ELEMENTARY</t>
  </si>
  <si>
    <t>062553003841</t>
  </si>
  <si>
    <t>MOUNTAIN EMPIRE UNIFIED</t>
  </si>
  <si>
    <t>0626100</t>
  </si>
  <si>
    <t>MOUNTAIN EMPIRE HIGH</t>
  </si>
  <si>
    <t>062610003906</t>
  </si>
  <si>
    <t>MT. DIABLO UNIFIED</t>
  </si>
  <si>
    <t>0626370</t>
  </si>
  <si>
    <t>SEQUOIA ELEMENTARY</t>
  </si>
  <si>
    <t>062637007319</t>
  </si>
  <si>
    <t>NEEDLES UNIFIED</t>
  </si>
  <si>
    <t>0626760</t>
  </si>
  <si>
    <t>KATIE HOHSTADT ELEMENTARY</t>
  </si>
  <si>
    <t>062676004053</t>
  </si>
  <si>
    <t>NEEDLES HIGH</t>
  </si>
  <si>
    <t>062676004057</t>
  </si>
  <si>
    <t>PARKER DAM ELEMENTARY</t>
  </si>
  <si>
    <t>062676004058</t>
  </si>
  <si>
    <t>VISTA COLORADO ELEMENTARY</t>
  </si>
  <si>
    <t>062676004059</t>
  </si>
  <si>
    <t>NEEDLES MIDDLE</t>
  </si>
  <si>
    <t>062676009951</t>
  </si>
  <si>
    <t>NEWARK UNIFIED</t>
  </si>
  <si>
    <t>0627060</t>
  </si>
  <si>
    <t>AUGUST SCHILLING ELEMENTARY</t>
  </si>
  <si>
    <t>062706004090</t>
  </si>
  <si>
    <t>OXNARD</t>
  </si>
  <si>
    <t>0629220</t>
  </si>
  <si>
    <t>NORMAN R. BREKKE ELEMENTARY</t>
  </si>
  <si>
    <t>062922007476</t>
  </si>
  <si>
    <t>PAJARO VALLEY UNIFIED</t>
  </si>
  <si>
    <t>0629490</t>
  </si>
  <si>
    <t>RENAISSANCE HIGH CONTINUATION</t>
  </si>
  <si>
    <t>062949004548</t>
  </si>
  <si>
    <t>RAVENSWOOD CITY ELEMENTARY</t>
  </si>
  <si>
    <t>0631860</t>
  </si>
  <si>
    <t>EDISON-BRENTWOOD ELEMENTARY</t>
  </si>
  <si>
    <t>063186008946</t>
  </si>
  <si>
    <t>RED BLUFF JOINT UNION HIGH</t>
  </si>
  <si>
    <t>0632010</t>
  </si>
  <si>
    <t>RED BLUFF HIGH</t>
  </si>
  <si>
    <t>063201004923</t>
  </si>
  <si>
    <t>REDLANDS UNIFIED</t>
  </si>
  <si>
    <t>0632070</t>
  </si>
  <si>
    <t>LUGONIA ELEMENTARY</t>
  </si>
  <si>
    <t>063207004939</t>
  </si>
  <si>
    <t>WEST CONTRA COSTA UNIFIED</t>
  </si>
  <si>
    <t>0632550</t>
  </si>
  <si>
    <t>OMEGA CONTINUATION HIGH</t>
  </si>
  <si>
    <t>063255000235</t>
  </si>
  <si>
    <t>SAN BERNARDINO CITY UNIFIED</t>
  </si>
  <si>
    <t>0634170</t>
  </si>
  <si>
    <t>ASA CHARTER</t>
  </si>
  <si>
    <t>063417011105</t>
  </si>
  <si>
    <t>SAN FRANCISCO UNIFIED</t>
  </si>
  <si>
    <t>0634410</t>
  </si>
  <si>
    <t>FRANCIS SCOTT KEY ELEMENTARY</t>
  </si>
  <si>
    <t>063441005609</t>
  </si>
  <si>
    <t>SAN LEANDRO UNIFIED</t>
  </si>
  <si>
    <t>0634680</t>
  </si>
  <si>
    <t>JEFFERSON ELEMENTARY</t>
  </si>
  <si>
    <t>063468005834</t>
  </si>
  <si>
    <t>SANTA PAULA ELEMENTARY</t>
  </si>
  <si>
    <t>0635730</t>
  </si>
  <si>
    <t>BARBARA WEBSTER ELEMENTARY</t>
  </si>
  <si>
    <t>063573006105</t>
  </si>
  <si>
    <t>BLANCHARD ELEMENTARY</t>
  </si>
  <si>
    <t>063573006106</t>
  </si>
  <si>
    <t>SILVER VALLEY UNIFIED</t>
  </si>
  <si>
    <t>0636820</t>
  </si>
  <si>
    <t>SILVER VALLEY HIGH</t>
  </si>
  <si>
    <t>063682007257</t>
  </si>
  <si>
    <t>SONORA ELEMENTARY</t>
  </si>
  <si>
    <t>0637230</t>
  </si>
  <si>
    <t>063723006305</t>
  </si>
  <si>
    <t>SUNDALE UNION ELEMENTARY</t>
  </si>
  <si>
    <t>0638340</t>
  </si>
  <si>
    <t>SUNDALE ELEMENTARY</t>
  </si>
  <si>
    <t>063834006453</t>
  </si>
  <si>
    <t>UPPER LAKE UNION ELEMENTARY</t>
  </si>
  <si>
    <t>0640470</t>
  </si>
  <si>
    <t>VALLE LINDO ELEMENTARY</t>
  </si>
  <si>
    <t>0640650</t>
  </si>
  <si>
    <t>NEW TEMPLE</t>
  </si>
  <si>
    <t>064065006714</t>
  </si>
  <si>
    <t>WHEATLAND UNION HIGH</t>
  </si>
  <si>
    <t>0642350</t>
  </si>
  <si>
    <t>064235006930</t>
  </si>
  <si>
    <t>WILLOWS UNIFIED</t>
  </si>
  <si>
    <t>0642710</t>
  </si>
  <si>
    <t>MURDOCK ELEMENTARY</t>
  </si>
  <si>
    <t>064271006977</t>
  </si>
  <si>
    <t>SAN DIEGO COUNTY OFFICE OF EDUCATION</t>
  </si>
  <si>
    <t>0691030</t>
  </si>
  <si>
    <t>SAN DIEGO COUNTY SPECIAL EDUCATION</t>
  </si>
  <si>
    <t>069103009244</t>
  </si>
  <si>
    <t>SANTA CLARA COUNTY OFFICE OF EDUCATION</t>
  </si>
  <si>
    <t>0691035</t>
  </si>
  <si>
    <t>COUNTY COMMUNITY</t>
  </si>
  <si>
    <t>069103507782</t>
  </si>
  <si>
    <t>LOS ANGELES COUNTY OFFICE OF EDUCATION</t>
  </si>
  <si>
    <t>0691078</t>
  </si>
  <si>
    <t>INTERNATIONAL POLYTECHNIC HIGH</t>
  </si>
  <si>
    <t>069107804580</t>
  </si>
  <si>
    <t>SOLEDAD ENRICHMENT ACTION CHARTER</t>
  </si>
  <si>
    <t>069107807106</t>
  </si>
  <si>
    <t>L.A. COUNTY HIGH SCHOOL FOR THE ARTS</t>
  </si>
  <si>
    <t>069107809663</t>
  </si>
  <si>
    <t>TODAY'S FRESH START CHARTER</t>
  </si>
  <si>
    <t>069107811336</t>
  </si>
  <si>
    <t>GOLDEN PLAINS UNIFIED</t>
  </si>
  <si>
    <t>0691134</t>
  </si>
  <si>
    <t>TRANQUILLITY HIGH</t>
  </si>
  <si>
    <t>069113410214</t>
  </si>
  <si>
    <t>CANTUA ELEMENTARY</t>
  </si>
  <si>
    <t>069113410215</t>
  </si>
  <si>
    <t>SAN JOAQUIN ELEMENTARY</t>
  </si>
  <si>
    <t>069113410217</t>
  </si>
  <si>
    <t>TRANQUILLITY ELEMENTARY</t>
  </si>
  <si>
    <t>069113410218</t>
  </si>
  <si>
    <t>Colorado</t>
  </si>
  <si>
    <t>SCHOOL DISTRICT NO. 1 IN THE COUNTY OF DENVER AND STATE OF C</t>
  </si>
  <si>
    <t>0803360</t>
  </si>
  <si>
    <t>PREP ASSESSMENT CENTER</t>
  </si>
  <si>
    <t>080336001795</t>
  </si>
  <si>
    <t>GREELEY,SCHOOL DISTRICT NO. 6, IN THE COUNTY OF WELD AND STA</t>
  </si>
  <si>
    <t>0804410</t>
  </si>
  <si>
    <t>TRADEMARK LEARNING CENTER</t>
  </si>
  <si>
    <t>080441000678</t>
  </si>
  <si>
    <t>Connecticut</t>
  </si>
  <si>
    <t>STAMFORD SCHOOL DISTRICT</t>
  </si>
  <si>
    <t>0904320</t>
  </si>
  <si>
    <t>K. T. MURPHY SCHOOL</t>
  </si>
  <si>
    <t>090432000859</t>
  </si>
  <si>
    <t>Delaware</t>
  </si>
  <si>
    <t>RED CLAY CONSOLIDATED SCHOOL DISTRICT</t>
  </si>
  <si>
    <t>1001300</t>
  </si>
  <si>
    <t>MEADOWOOD PROGRAM</t>
  </si>
  <si>
    <t>100130000249</t>
  </si>
  <si>
    <t>Florida</t>
  </si>
  <si>
    <t>CITRUS</t>
  </si>
  <si>
    <t>1200270</t>
  </si>
  <si>
    <t>CITRUS COUNTY RENAISSANCE CENTER</t>
  </si>
  <si>
    <t>120027003158</t>
  </si>
  <si>
    <t>DADE</t>
  </si>
  <si>
    <t>1200390</t>
  </si>
  <si>
    <t>DADE JUVENILE RESIDENTIAL FACILITY</t>
  </si>
  <si>
    <t>120039003565</t>
  </si>
  <si>
    <t>MANATEE</t>
  </si>
  <si>
    <t>1201230</t>
  </si>
  <si>
    <t>MANATEE ADOLESCENCE TREATMENT</t>
  </si>
  <si>
    <t>120123003004</t>
  </si>
  <si>
    <t>Georgia</t>
  </si>
  <si>
    <t>DEKALB COUNTY</t>
  </si>
  <si>
    <t>1301740</t>
  </si>
  <si>
    <t>DEKALB/ROCKDALE PSYCHOEDUCATION CENTER</t>
  </si>
  <si>
    <t>130174000250</t>
  </si>
  <si>
    <t>Illinois</t>
  </si>
  <si>
    <t>GALLATIN CUSD 7</t>
  </si>
  <si>
    <t>1700045</t>
  </si>
  <si>
    <t>GALLATIN HIGH SCHOOL</t>
  </si>
  <si>
    <t>170004505236</t>
  </si>
  <si>
    <t>FULTON/SCHUYLER ROE</t>
  </si>
  <si>
    <t>1700183</t>
  </si>
  <si>
    <t>FULTON REGIONAL SAFE SCHOOL</t>
  </si>
  <si>
    <t>170018302685</t>
  </si>
  <si>
    <t>LINCOLNSHIRE-PRAIRIEVIEW SD 103</t>
  </si>
  <si>
    <t>1723090</t>
  </si>
  <si>
    <t>LAURA B SPRAGUE SCHOOL</t>
  </si>
  <si>
    <t>172309002547</t>
  </si>
  <si>
    <t>MARTINSVILLE CUSD 3C</t>
  </si>
  <si>
    <t>1724900</t>
  </si>
  <si>
    <t>MARTINSVILLE ELEM SCHOOL</t>
  </si>
  <si>
    <t>172490004727</t>
  </si>
  <si>
    <t>NEW BERLIN CUSD 16</t>
  </si>
  <si>
    <t>1727990</t>
  </si>
  <si>
    <t>LOAMI ELEM SCHOOL</t>
  </si>
  <si>
    <t>172799004765</t>
  </si>
  <si>
    <t>OAK PARK ESD 97</t>
  </si>
  <si>
    <t>1729250</t>
  </si>
  <si>
    <t>HORACE MANN ELEM SCHOOL</t>
  </si>
  <si>
    <t>172925003062</t>
  </si>
  <si>
    <t>ROCK ISLAND SD 41</t>
  </si>
  <si>
    <t>1734410</t>
  </si>
  <si>
    <t>RICMS INTERMEDIATE</t>
  </si>
  <si>
    <t>173441003544</t>
  </si>
  <si>
    <t>RICMS PRIMARY</t>
  </si>
  <si>
    <t>173441005589</t>
  </si>
  <si>
    <t>VALMEYER CUSD 3</t>
  </si>
  <si>
    <t>1740080</t>
  </si>
  <si>
    <t>VALMEYER HIGH SCHOOL</t>
  </si>
  <si>
    <t>174008004039</t>
  </si>
  <si>
    <t>VALMEYER ELEMENTARY SCHOOL</t>
  </si>
  <si>
    <t>174008004865</t>
  </si>
  <si>
    <t>Iowa</t>
  </si>
  <si>
    <t>KNOXVILLE COMM SCHOOL DISTRICT</t>
  </si>
  <si>
    <t>1915840</t>
  </si>
  <si>
    <t>NORTHSTAR ELEMENTARY SCHOOL</t>
  </si>
  <si>
    <t>191584000950</t>
  </si>
  <si>
    <t>SAC COMM SCHOOL DISTRICT</t>
  </si>
  <si>
    <t>1925140</t>
  </si>
  <si>
    <t>EAST SAC COUNTY MIDDLE SCHOOL</t>
  </si>
  <si>
    <t>192514001511</t>
  </si>
  <si>
    <t>SOUTH CLAY COMM SCHOOL DISTRICT</t>
  </si>
  <si>
    <t>1926610</t>
  </si>
  <si>
    <t>ALLEN CO</t>
  </si>
  <si>
    <t>2100070</t>
  </si>
  <si>
    <t>ALLEN COUNTY-SCOTTSVILLE HIGH SCHOOL</t>
  </si>
  <si>
    <t>210007000010</t>
  </si>
  <si>
    <t>BOYLE CO</t>
  </si>
  <si>
    <t>2100630</t>
  </si>
  <si>
    <t>BOYLE COUNTY MIDDLE SCHOOL</t>
  </si>
  <si>
    <t>210063000119</t>
  </si>
  <si>
    <t>CARTER COUNTY</t>
  </si>
  <si>
    <t>2101020</t>
  </si>
  <si>
    <t>OLIVE HILL ELEMENTARY SCHOOL</t>
  </si>
  <si>
    <t>210102000198</t>
  </si>
  <si>
    <t>WEST CARTER MIDDLE SCHOOL</t>
  </si>
  <si>
    <t>210102001661</t>
  </si>
  <si>
    <t>EAST CARTER MIDDLE SCHOOL</t>
  </si>
  <si>
    <t>210102001698</t>
  </si>
  <si>
    <t>CASEY COUNTY</t>
  </si>
  <si>
    <t>2101050</t>
  </si>
  <si>
    <t>CASEY COUNTY HIGH SCHOOL</t>
  </si>
  <si>
    <t>210105000204</t>
  </si>
  <si>
    <t>CLAY COUNTY</t>
  </si>
  <si>
    <t>2101230</t>
  </si>
  <si>
    <t>CLAY COUNTY HIGH SCHOOL</t>
  </si>
  <si>
    <t>210123000249</t>
  </si>
  <si>
    <t>DAVIESS COUNTY</t>
  </si>
  <si>
    <t>2101470</t>
  </si>
  <si>
    <t>F T BURNS MIDDLE SCHOOL</t>
  </si>
  <si>
    <t>210147000296</t>
  </si>
  <si>
    <t>DAVIESS COUNTY MIDDLE SCHOOL</t>
  </si>
  <si>
    <t>210147000298</t>
  </si>
  <si>
    <t>DAYTON INDEPENDENT</t>
  </si>
  <si>
    <t>2101530</t>
  </si>
  <si>
    <t>210153000317</t>
  </si>
  <si>
    <t>FRANKLIN COUNTY</t>
  </si>
  <si>
    <t>2102010</t>
  </si>
  <si>
    <t>WESTERN HILLS HIGH SCHOOL</t>
  </si>
  <si>
    <t>210201001420</t>
  </si>
  <si>
    <t>GRAYSON COUNTY</t>
  </si>
  <si>
    <t>2102300</t>
  </si>
  <si>
    <t>GRAYSON COUNTY HIGH SCHOOL</t>
  </si>
  <si>
    <t>210230000486</t>
  </si>
  <si>
    <t>GRAYSON COUNTY MIDDLE SCHOOL</t>
  </si>
  <si>
    <t>210230000487</t>
  </si>
  <si>
    <t>HARLAN COUNTY</t>
  </si>
  <si>
    <t>2102540</t>
  </si>
  <si>
    <t>CUMBERLAND ELEMENTARY SCHOOL</t>
  </si>
  <si>
    <t>210254000091</t>
  </si>
  <si>
    <t>JEFFERSON COUNTY</t>
  </si>
  <si>
    <t>2102990</t>
  </si>
  <si>
    <t>WHEELER ELEMENTARY SCHOOL</t>
  </si>
  <si>
    <t>210299000699</t>
  </si>
  <si>
    <t>MYERS MIDDLE SCHOOL</t>
  </si>
  <si>
    <t>210299000723</t>
  </si>
  <si>
    <t>ALFRED BINET EDUCATION SCHOOL</t>
  </si>
  <si>
    <t>210299000732</t>
  </si>
  <si>
    <t>MEYZEEK MIDDLE SCHOOL</t>
  </si>
  <si>
    <t>210299000754</t>
  </si>
  <si>
    <t>BUECHEL METROPOLITAN HIGH SCHOOL</t>
  </si>
  <si>
    <t>210299000768</t>
  </si>
  <si>
    <t>CARTER TRADITIONAL ELEMENTARY SCHOOL</t>
  </si>
  <si>
    <t>210299000784</t>
  </si>
  <si>
    <t>CHURCHILL PARK</t>
  </si>
  <si>
    <t>210299000789</t>
  </si>
  <si>
    <t>PEACE ACADEMY SCHOOL</t>
  </si>
  <si>
    <t>210299001613</t>
  </si>
  <si>
    <t>MALCOLM B CHANCEY JR. ELEMENTARY SCHOOL</t>
  </si>
  <si>
    <t>210299001959</t>
  </si>
  <si>
    <t>KENTON COUNTY</t>
  </si>
  <si>
    <t>2103090</t>
  </si>
  <si>
    <t>DIXIE HEIGHTS HIGH SCHOOL</t>
  </si>
  <si>
    <t>210309000811</t>
  </si>
  <si>
    <t>KNOX COUNTY</t>
  </si>
  <si>
    <t>2103150</t>
  </si>
  <si>
    <t>KNOX CENTRAL HIGH SCHOOL</t>
  </si>
  <si>
    <t>210315000847</t>
  </si>
  <si>
    <t>KNOX COUNTY MIDDLE SCHOOL</t>
  </si>
  <si>
    <t>210315002029</t>
  </si>
  <si>
    <t>LETCHER COUNTY</t>
  </si>
  <si>
    <t>2103360</t>
  </si>
  <si>
    <t>LETCHER COUNTY CENTRAL HIGH SCHOOL</t>
  </si>
  <si>
    <t>210336001998</t>
  </si>
  <si>
    <t>LYON COUNTY</t>
  </si>
  <si>
    <t>2103690</t>
  </si>
  <si>
    <t>LYON COUNTY HIGH SCHOOL</t>
  </si>
  <si>
    <t>210369000943</t>
  </si>
  <si>
    <t>MADISON COUNTY</t>
  </si>
  <si>
    <t>2103720</t>
  </si>
  <si>
    <t>MADISON CENTRAL HIGH SCHOOL</t>
  </si>
  <si>
    <t>210372000949</t>
  </si>
  <si>
    <t>MADISON SOUTHERN HIGH SCHOOL</t>
  </si>
  <si>
    <t>210372001594</t>
  </si>
  <si>
    <t>OHIO COUNTY</t>
  </si>
  <si>
    <t>2104500</t>
  </si>
  <si>
    <t>OHIO COUNTY HIGH SCHOOL</t>
  </si>
  <si>
    <t>210450001116</t>
  </si>
  <si>
    <t>OWENSBORO INDEPENDENT</t>
  </si>
  <si>
    <t>2104590</t>
  </si>
  <si>
    <t>OWENSBORO MIDDLE SCHOOL</t>
  </si>
  <si>
    <t>210459001138</t>
  </si>
  <si>
    <t>PIKE COUNTY</t>
  </si>
  <si>
    <t>2104800</t>
  </si>
  <si>
    <t>ELKHORN CITY ELEMENTARY SCHOOL</t>
  </si>
  <si>
    <t>210480001185</t>
  </si>
  <si>
    <t>ROCKCASTLE COUNTY</t>
  </si>
  <si>
    <t>2105070</t>
  </si>
  <si>
    <t>MOUNT VERNON ELEMENTARY SCHOOL</t>
  </si>
  <si>
    <t>210507001251</t>
  </si>
  <si>
    <t>SIMPSON COUNTY</t>
  </si>
  <si>
    <t>2105400</t>
  </si>
  <si>
    <t>FRANKLIN-SIMPSON MIDDLE SCHOOL</t>
  </si>
  <si>
    <t>210540001300</t>
  </si>
  <si>
    <t>FRANKLIN-SIMPSON HIGH SCHOOL</t>
  </si>
  <si>
    <t>210540001301</t>
  </si>
  <si>
    <t>UNION COUNTY</t>
  </si>
  <si>
    <t>2105640</t>
  </si>
  <si>
    <t>MORGANFIELD ELEMENTARY SCHOOL</t>
  </si>
  <si>
    <t>210564001334</t>
  </si>
  <si>
    <t>UNION COUNTY HIGH SCHOOL</t>
  </si>
  <si>
    <t>210564001338</t>
  </si>
  <si>
    <t>Louisiana</t>
  </si>
  <si>
    <t>RECOVERY SCHOOL DISTRICT-LDE</t>
  </si>
  <si>
    <t>2200054</t>
  </si>
  <si>
    <t>JOHN DIBERT ELEMENTARY SCHOOL</t>
  </si>
  <si>
    <t>220005400877</t>
  </si>
  <si>
    <t>WASHINGTON PARISH</t>
  </si>
  <si>
    <t>2201860</t>
  </si>
  <si>
    <t>FRANKLINTON HIGH SCHOOL</t>
  </si>
  <si>
    <t>220186001424</t>
  </si>
  <si>
    <t>MT. HERMON SCHOOL</t>
  </si>
  <si>
    <t>220186001425</t>
  </si>
  <si>
    <t>VARNADO ELEMENTARY SCHOOL</t>
  </si>
  <si>
    <t>220186001428</t>
  </si>
  <si>
    <t>Michigan</t>
  </si>
  <si>
    <t>NATAKI TALIBAH SCHOOLHOUSE OF DETROIT</t>
  </si>
  <si>
    <t>2600126</t>
  </si>
  <si>
    <t>260012600776</t>
  </si>
  <si>
    <t>LIFE SKILLS CENTER OF METROPOLITAN DETROIT</t>
  </si>
  <si>
    <t>2600299</t>
  </si>
  <si>
    <t>260029901736</t>
  </si>
  <si>
    <t>ALLEGAN PUBLIC SCHOOLS</t>
  </si>
  <si>
    <t>2602220</t>
  </si>
  <si>
    <t>ALLEGAN ALTERNATIVE HIGH SCHOOL</t>
  </si>
  <si>
    <t>260222000110</t>
  </si>
  <si>
    <t>DETROIT CITY SCHOOL DISTRICT</t>
  </si>
  <si>
    <t>2612000</t>
  </si>
  <si>
    <t>BREWER ELEMENTARY SCHOOL</t>
  </si>
  <si>
    <t>261200000282</t>
  </si>
  <si>
    <t>BIRNEY ELEMENTARY SCHOOL</t>
  </si>
  <si>
    <t>261200004653</t>
  </si>
  <si>
    <t>COURTIS ELEMENTARY SCHOOL</t>
  </si>
  <si>
    <t>261200004687</t>
  </si>
  <si>
    <t>GUYTON ELEMENTARY SCHOOL</t>
  </si>
  <si>
    <t>261200004725</t>
  </si>
  <si>
    <t>MUNGER ELEMENTARY SCHOOL</t>
  </si>
  <si>
    <t>261200004794</t>
  </si>
  <si>
    <t>FISHER MAGNET</t>
  </si>
  <si>
    <t>261200004833</t>
  </si>
  <si>
    <t>STEPHENS ELEMENTARY SCHOOL</t>
  </si>
  <si>
    <t>261200004842</t>
  </si>
  <si>
    <t>STARK SCHOOL OF TECHNOLOGY</t>
  </si>
  <si>
    <t>261200004873</t>
  </si>
  <si>
    <t>RICHARD ELEMENTARY SCHOOL</t>
  </si>
  <si>
    <t>261200004893</t>
  </si>
  <si>
    <t>FENTON AREA PUBLIC SCHOOLS</t>
  </si>
  <si>
    <t>2614250</t>
  </si>
  <si>
    <t>FENTON INTERMEDIATE SCHOOL</t>
  </si>
  <si>
    <t>261425001339</t>
  </si>
  <si>
    <t>HIGHLAND PARK CITY SCHOOLS</t>
  </si>
  <si>
    <t>2618330</t>
  </si>
  <si>
    <t>CORTLAND ELEMENTARY SCHOOL</t>
  </si>
  <si>
    <t>261833005494</t>
  </si>
  <si>
    <t>LUDINGTON AREA SCHOOL DISTRICT</t>
  </si>
  <si>
    <t>2622200</t>
  </si>
  <si>
    <t>PERE MARQUETTE EARLY CHILDHOOD CENTER</t>
  </si>
  <si>
    <t>262220005935</t>
  </si>
  <si>
    <t>VESTABURG COMMUNITY SCHOOLS</t>
  </si>
  <si>
    <t>2634920</t>
  </si>
  <si>
    <t>VESTABURG COMMUNITY ELEM. SCHOOL</t>
  </si>
  <si>
    <t>263492007060</t>
  </si>
  <si>
    <t>WILLOW RUN COMMUNITY SCHOOLS</t>
  </si>
  <si>
    <t>2636450</t>
  </si>
  <si>
    <t>CHENEY ACADEMY</t>
  </si>
  <si>
    <t>263645007236</t>
  </si>
  <si>
    <t>WYOMING PUBLIC SCHOOLS</t>
  </si>
  <si>
    <t>2636570</t>
  </si>
  <si>
    <t>WYOMING COMMUNITY EDUC. CENTER</t>
  </si>
  <si>
    <t>263657001873</t>
  </si>
  <si>
    <t>GRATIOT-ISABELLA RESD</t>
  </si>
  <si>
    <t>2680460</t>
  </si>
  <si>
    <t>RESD GRATIOT COUNTY</t>
  </si>
  <si>
    <t>268046000530</t>
  </si>
  <si>
    <t>Mississippi</t>
  </si>
  <si>
    <t>GREENVILLE PUBLIC SCHOOLS</t>
  </si>
  <si>
    <t>2801620</t>
  </si>
  <si>
    <t>DARLING ELEMENTARY</t>
  </si>
  <si>
    <t>280162000241</t>
  </si>
  <si>
    <t>JACKSON CO SCHOOL DIST</t>
  </si>
  <si>
    <t>2802160</t>
  </si>
  <si>
    <t>VANCLEAVE UPPER ELEMENTARY</t>
  </si>
  <si>
    <t>280216000368</t>
  </si>
  <si>
    <t>EAST CENTRAL LOWER ELEMENTARY</t>
  </si>
  <si>
    <t>280216000962</t>
  </si>
  <si>
    <t>VANCLEAVE LOWER ELEMENTARY</t>
  </si>
  <si>
    <t>280216000964</t>
  </si>
  <si>
    <t>VANCLEAVE MIDDLE SCHOOL</t>
  </si>
  <si>
    <t>280216001049</t>
  </si>
  <si>
    <t>VANCLEAVE HIGH SCHOOL</t>
  </si>
  <si>
    <t>280216001050</t>
  </si>
  <si>
    <t>Missouri</t>
  </si>
  <si>
    <t>CHAFFEE R-II</t>
  </si>
  <si>
    <t>2908460</t>
  </si>
  <si>
    <t>DIXON R-I</t>
  </si>
  <si>
    <t>2910830</t>
  </si>
  <si>
    <t>DIXON ELEM.</t>
  </si>
  <si>
    <t>291083000367</t>
  </si>
  <si>
    <t>DIXON MIDDLE</t>
  </si>
  <si>
    <t>291083000368</t>
  </si>
  <si>
    <t>DIXON HIGH</t>
  </si>
  <si>
    <t>291083000369</t>
  </si>
  <si>
    <t>FERGUSON-FLORISSANT R-II</t>
  </si>
  <si>
    <t>2912010</t>
  </si>
  <si>
    <t>STUDENT SUPPORT CENTER</t>
  </si>
  <si>
    <t>291201000461</t>
  </si>
  <si>
    <t>FESTUS R-VI</t>
  </si>
  <si>
    <t>2912030</t>
  </si>
  <si>
    <t>KANSAS CITY 33</t>
  </si>
  <si>
    <t>2916400</t>
  </si>
  <si>
    <t>ACE COLLEGIUM PK-5 AT SE</t>
  </si>
  <si>
    <t>291640001718</t>
  </si>
  <si>
    <t>SPRINGFIELD R-XII</t>
  </si>
  <si>
    <t>2928860</t>
  </si>
  <si>
    <t>SHADY DELL EARLY CHILDHOOD CTR</t>
  </si>
  <si>
    <t>292886002905</t>
  </si>
  <si>
    <t>Nebraska</t>
  </si>
  <si>
    <t>GENEVA NORTH SCHOOL</t>
  </si>
  <si>
    <t>3100051</t>
  </si>
  <si>
    <t>GENEVA NORTH HIGH SCHOOL</t>
  </si>
  <si>
    <t>310005101872</t>
  </si>
  <si>
    <t>KEARNEY PUBLIC SCHOOLS</t>
  </si>
  <si>
    <t>3172390</t>
  </si>
  <si>
    <t>KEARNEY STUDENT SERVICES</t>
  </si>
  <si>
    <t>317239001895</t>
  </si>
  <si>
    <t>STATE-SPONSORED CHARTER SCHOOLS</t>
  </si>
  <si>
    <t>3200001</t>
  </si>
  <si>
    <t>SILVER STATE HIGH SCHOOL</t>
  </si>
  <si>
    <t>320000100614</t>
  </si>
  <si>
    <t>New Jersey</t>
  </si>
  <si>
    <t>ATLANTIC CTY SPEC SERV SD</t>
  </si>
  <si>
    <t>3400006</t>
  </si>
  <si>
    <t>SOUTH BERGEN JOINTURE COM</t>
  </si>
  <si>
    <t>3400007</t>
  </si>
  <si>
    <t>BERGEN COUNTY SPECIAL SER</t>
  </si>
  <si>
    <t>3401450</t>
  </si>
  <si>
    <t>PROG 6  AUTISTIC</t>
  </si>
  <si>
    <t>340145000073</t>
  </si>
  <si>
    <t>BURLINGTON COUNTY SPECIAL</t>
  </si>
  <si>
    <t>3402440</t>
  </si>
  <si>
    <t>CAPE MAY COUNTY SPECIAL S</t>
  </si>
  <si>
    <t>3402740</t>
  </si>
  <si>
    <t>IRVINGTON TOWNSHIP</t>
  </si>
  <si>
    <t>3407680</t>
  </si>
  <si>
    <t>MT VERNON AVE</t>
  </si>
  <si>
    <t>340768002945</t>
  </si>
  <si>
    <t>SALEM COUNTY VOCATIONAL S</t>
  </si>
  <si>
    <t>3414580</t>
  </si>
  <si>
    <t>UNION COUNTY EDUCATIONAL</t>
  </si>
  <si>
    <t>3416400</t>
  </si>
  <si>
    <t>MERCER COUNTY SPECIAL SER</t>
  </si>
  <si>
    <t>3480200</t>
  </si>
  <si>
    <t>SOMERSET COUNTY EDUCATION</t>
  </si>
  <si>
    <t>3480280</t>
  </si>
  <si>
    <t>GLOUCESTER COUNTY SPECIAL</t>
  </si>
  <si>
    <t>3480363</t>
  </si>
  <si>
    <t>New Mexico</t>
  </si>
  <si>
    <t>LAS VEGAS CITY PUBLIC SCHOOLS</t>
  </si>
  <si>
    <t>3501530</t>
  </si>
  <si>
    <t>LVCS EARLY CHILDHOOD</t>
  </si>
  <si>
    <t>350153000863</t>
  </si>
  <si>
    <t>SANTA FE PUBLIC SCHOOLS</t>
  </si>
  <si>
    <t>3502370</t>
  </si>
  <si>
    <t>MONTE DEL SOL CHARTER</t>
  </si>
  <si>
    <t>350237000816</t>
  </si>
  <si>
    <t>TURQUOISE TRAIL ELEMENTARY</t>
  </si>
  <si>
    <t>350237030008</t>
  </si>
  <si>
    <t>BOLIVAR-RICHBURG CENTRAL SCHOOL DISTRICT</t>
  </si>
  <si>
    <t>3600012</t>
  </si>
  <si>
    <t>CAMPBELL-SAVONA CENTRAL SCHOOL DISTRICT</t>
  </si>
  <si>
    <t>3600020</t>
  </si>
  <si>
    <t>CORNING CITY SCHOOL DISTRICT</t>
  </si>
  <si>
    <t>3608400</t>
  </si>
  <si>
    <t>FREDERICK CARDER ELEMENTARY SCHOOL</t>
  </si>
  <si>
    <t>360840000632</t>
  </si>
  <si>
    <t>HUNTER-TANNERSVILLE CENTRAL SCHOOL DISTRICT</t>
  </si>
  <si>
    <t>3615060</t>
  </si>
  <si>
    <t>HUNTINGTON UNION FREE SCHOOL DISTRICT</t>
  </si>
  <si>
    <t>3615090</t>
  </si>
  <si>
    <t>WEST IRONDEQUOIT CENTRAL SCHOOL DISTRICT</t>
  </si>
  <si>
    <t>3615390</t>
  </si>
  <si>
    <t>MEDINA CENTRAL SCHOOL DISTRICT</t>
  </si>
  <si>
    <t>3618960</t>
  </si>
  <si>
    <t>MINISINK VALLEY CENTRAL SCHOOL DISTRICT</t>
  </si>
  <si>
    <t>3619560</t>
  </si>
  <si>
    <t>PLAINVIEW-OLD BETHPAGE CENTRAL SCHOOL DISTRICT</t>
  </si>
  <si>
    <t>3623220</t>
  </si>
  <si>
    <t>PORT WASHINGTON UNION FREE SCHOOL DISTRICT</t>
  </si>
  <si>
    <t>3623580</t>
  </si>
  <si>
    <t>SOUTHERN CAYUGA CENTRAL SCHOOL DISTRICT</t>
  </si>
  <si>
    <t>3627570</t>
  </si>
  <si>
    <t>YONKERS CITY SCHOOL DISTRICT</t>
  </si>
  <si>
    <t>3631920</t>
  </si>
  <si>
    <t>North Carolina</t>
  </si>
  <si>
    <t>CASA ESPERANZA MONTESSORI</t>
  </si>
  <si>
    <t>3700131</t>
  </si>
  <si>
    <t>370013102681</t>
  </si>
  <si>
    <t>North Dakota</t>
  </si>
  <si>
    <t>NEW ROCKFORD-SHEYENNE 2</t>
  </si>
  <si>
    <t>3800059</t>
  </si>
  <si>
    <t>NEW ROCKFORD-SHEYENNE HIGH SCHOOL</t>
  </si>
  <si>
    <t>380005900491</t>
  </si>
  <si>
    <t>Ohio</t>
  </si>
  <si>
    <t>COLUMBUS HUMANITIES, ARTS AND TECHNOLOGY ACADEMY</t>
  </si>
  <si>
    <t>3900304</t>
  </si>
  <si>
    <t>390030404841</t>
  </si>
  <si>
    <t>CINCINNATI CITY</t>
  </si>
  <si>
    <t>3904375</t>
  </si>
  <si>
    <t>AIKEN UNIVERSITY HIGH SCHOOL</t>
  </si>
  <si>
    <t>390437504418</t>
  </si>
  <si>
    <t>CLEVELAND HEIGHTS-UNIVERSITY HEIGHTS CITY</t>
  </si>
  <si>
    <t>3904379</t>
  </si>
  <si>
    <t>NOBLE ELEMENTARY SCHOOL</t>
  </si>
  <si>
    <t>390437900574</t>
  </si>
  <si>
    <t>NEW LONDON LOCAL</t>
  </si>
  <si>
    <t>3904772</t>
  </si>
  <si>
    <t>NEW LONDON MIDDLE SCHOOL</t>
  </si>
  <si>
    <t>390477204621</t>
  </si>
  <si>
    <t>LAKOTA LOCAL</t>
  </si>
  <si>
    <t>3904956</t>
  </si>
  <si>
    <t>LAKOTA MIDDLE SCHOOL</t>
  </si>
  <si>
    <t>390495603632</t>
  </si>
  <si>
    <t>Oklahoma</t>
  </si>
  <si>
    <t>CROOKED OAK</t>
  </si>
  <si>
    <t>4009060</t>
  </si>
  <si>
    <t>WEST OAK PARK ES</t>
  </si>
  <si>
    <t>400906001959</t>
  </si>
  <si>
    <t>GANS</t>
  </si>
  <si>
    <t>4012390</t>
  </si>
  <si>
    <t>GANS HS</t>
  </si>
  <si>
    <t>401239000582</t>
  </si>
  <si>
    <t>STRINGTOWN</t>
  </si>
  <si>
    <t>4029010</t>
  </si>
  <si>
    <t>STRINGTOWN HS</t>
  </si>
  <si>
    <t>402901001522</t>
  </si>
  <si>
    <t>BETHLEHEM AREA SD</t>
  </si>
  <si>
    <t>4203570</t>
  </si>
  <si>
    <t>LINCOLN EL SCH</t>
  </si>
  <si>
    <t>420357003443</t>
  </si>
  <si>
    <t>BROUGHAL MS</t>
  </si>
  <si>
    <t>420357003464</t>
  </si>
  <si>
    <t>EAST HILLS MS</t>
  </si>
  <si>
    <t>420357004956</t>
  </si>
  <si>
    <t>CALIFORNIA AREA SD</t>
  </si>
  <si>
    <t>4204710</t>
  </si>
  <si>
    <t>CALIFORNIA AREA SHS</t>
  </si>
  <si>
    <t>420471004203</t>
  </si>
  <si>
    <t>DANIEL BOONE AREA SD</t>
  </si>
  <si>
    <t>4207290</t>
  </si>
  <si>
    <t>AMITY PRIMARY CTR</t>
  </si>
  <si>
    <t>420729000781</t>
  </si>
  <si>
    <t>NORTHERN CAMBRIA SD</t>
  </si>
  <si>
    <t>4217610</t>
  </si>
  <si>
    <t>NORTHERN CAMBRIA HS</t>
  </si>
  <si>
    <t>421761006201</t>
  </si>
  <si>
    <t>ROCKWOOD AREA EL SCH</t>
  </si>
  <si>
    <t>422052006209</t>
  </si>
  <si>
    <t>WEST YORK AREA SD</t>
  </si>
  <si>
    <t>4225980</t>
  </si>
  <si>
    <t>WALLACE EL SCH</t>
  </si>
  <si>
    <t>422598004626</t>
  </si>
  <si>
    <t>South Carolina</t>
  </si>
  <si>
    <t>SPARTANBURG 07</t>
  </si>
  <si>
    <t>4503660</t>
  </si>
  <si>
    <t>Z L MADDEN CTR</t>
  </si>
  <si>
    <t>450366001044</t>
  </si>
  <si>
    <t>South Dakota</t>
  </si>
  <si>
    <t>ALCESTER-HUDSON SCHOOL DISTRICT 61-1</t>
  </si>
  <si>
    <t>4600028</t>
  </si>
  <si>
    <t>ALCESTER-HUDSON HIGH SCHOOL - 01</t>
  </si>
  <si>
    <t>460002800014</t>
  </si>
  <si>
    <t>RAPID CITY AREA SCHOOL DISTRICT 51-4</t>
  </si>
  <si>
    <t>4659820</t>
  </si>
  <si>
    <t>9TH GRADE ACADEMY - 72</t>
  </si>
  <si>
    <t>465982001263</t>
  </si>
  <si>
    <t>Tennessee</t>
  </si>
  <si>
    <t>DAVIDSON COUNTY</t>
  </si>
  <si>
    <t>4703180</t>
  </si>
  <si>
    <t>HARRIS HILLMAN SPECIAL</t>
  </si>
  <si>
    <t>470318001311</t>
  </si>
  <si>
    <t>SOUTHWEST SCHOOL</t>
  </si>
  <si>
    <t>4800125</t>
  </si>
  <si>
    <t>TEXAS VIRTUAL ACADEMY AT SOUTHWEST</t>
  </si>
  <si>
    <t>480012511236</t>
  </si>
  <si>
    <t>PARADIGM ACCELERATED CHARTER SCHOOL</t>
  </si>
  <si>
    <t>4800207</t>
  </si>
  <si>
    <t>PARADIGM ACCELERATED CHARTER SCHOOL - COMANCHE</t>
  </si>
  <si>
    <t>480020711812</t>
  </si>
  <si>
    <t>ABILENE ISD</t>
  </si>
  <si>
    <t>4807440</t>
  </si>
  <si>
    <t>DAY NURSERY OF ABILENE</t>
  </si>
  <si>
    <t>480744011348</t>
  </si>
  <si>
    <t>AMARILLO ISD</t>
  </si>
  <si>
    <t>4808130</t>
  </si>
  <si>
    <t>AMARILLO AREA CTR FOR ADVANCED LRN</t>
  </si>
  <si>
    <t>480813007086</t>
  </si>
  <si>
    <t>GALVESTON ISD</t>
  </si>
  <si>
    <t>4820280</t>
  </si>
  <si>
    <t>CENTRAL MIDDLE</t>
  </si>
  <si>
    <t>482028001999</t>
  </si>
  <si>
    <t>LA VERNIA ISD</t>
  </si>
  <si>
    <t>4826310</t>
  </si>
  <si>
    <t>LA VERNIA EL</t>
  </si>
  <si>
    <t>482631002967</t>
  </si>
  <si>
    <t>LUBBOCK ISD</t>
  </si>
  <si>
    <t>4828500</t>
  </si>
  <si>
    <t>STUBBS EARLY CHILDHOOD CTR</t>
  </si>
  <si>
    <t>482850010932</t>
  </si>
  <si>
    <t>OAKWOOD ISD</t>
  </si>
  <si>
    <t>4833340</t>
  </si>
  <si>
    <t>OAKWOOD H S</t>
  </si>
  <si>
    <t>483334003742</t>
  </si>
  <si>
    <t>TOMBALL ISD</t>
  </si>
  <si>
    <t>4842960</t>
  </si>
  <si>
    <t>BECKENDORF INT</t>
  </si>
  <si>
    <t>484296004726</t>
  </si>
  <si>
    <t>Utah</t>
  </si>
  <si>
    <t>BOX ELDER DISTRICT</t>
  </si>
  <si>
    <t>4900090</t>
  </si>
  <si>
    <t>TRIUMPH CENTER FOR YOUTH (YIC)</t>
  </si>
  <si>
    <t>490009000914</t>
  </si>
  <si>
    <t>GRANITE DISTRICT</t>
  </si>
  <si>
    <t>4900360</t>
  </si>
  <si>
    <t>GRANITE HIGH</t>
  </si>
  <si>
    <t>490036000222</t>
  </si>
  <si>
    <t>ALTER SAFE SCH-HS</t>
  </si>
  <si>
    <t>490036000943</t>
  </si>
  <si>
    <t>Vermont</t>
  </si>
  <si>
    <t>NORWICH SCHOOL DISTRICT</t>
  </si>
  <si>
    <t>5006180</t>
  </si>
  <si>
    <t>WESTFORD SCHOOL DISTRICT</t>
  </si>
  <si>
    <t>5008940</t>
  </si>
  <si>
    <t>Virginia</t>
  </si>
  <si>
    <t>WISE CO PBLC SCHS</t>
  </si>
  <si>
    <t>5104080</t>
  </si>
  <si>
    <t>APPALACHIA HIGH</t>
  </si>
  <si>
    <t>510408001784</t>
  </si>
  <si>
    <t>Washington</t>
  </si>
  <si>
    <t>BELLINGHAM SCHOOL DISTRICT</t>
  </si>
  <si>
    <t>5300420</t>
  </si>
  <si>
    <t>LOWELL ELEMENTARY SCHOOL</t>
  </si>
  <si>
    <t>530042000108</t>
  </si>
  <si>
    <t>CAMAS SCHOOL DISTRICT</t>
  </si>
  <si>
    <t>5300810</t>
  </si>
  <si>
    <t>JAMES DAVID ZELLERBACH ELEM SCH</t>
  </si>
  <si>
    <t>530081000162</t>
  </si>
  <si>
    <t>CENTRALIA SCHOOL DISTRICT</t>
  </si>
  <si>
    <t>5301140</t>
  </si>
  <si>
    <t>FORDS PRAIRIE ELEMENTARY</t>
  </si>
  <si>
    <t>530114000208</t>
  </si>
  <si>
    <t>COLLEGE PLACE SCHOOL DISTRICT</t>
  </si>
  <si>
    <t>5301470</t>
  </si>
  <si>
    <t>JOHN SAGER MIDDLE SCHOOL</t>
  </si>
  <si>
    <t>530147000276</t>
  </si>
  <si>
    <t>West Virginia</t>
  </si>
  <si>
    <t>KANAWHA COUNTY SCHOOLS</t>
  </si>
  <si>
    <t>5400600</t>
  </si>
  <si>
    <t>KANAWHA COUNTY SCHOOLS ACADEMY</t>
  </si>
  <si>
    <t>540060000898</t>
  </si>
  <si>
    <t>Wisconsin</t>
  </si>
  <si>
    <t>FALL CREEK SCHOOL DISTRICT</t>
  </si>
  <si>
    <t>5504500</t>
  </si>
  <si>
    <t>FALL CREEK MIDDLE</t>
  </si>
  <si>
    <t>550450000482</t>
  </si>
  <si>
    <t>MILWAUKEE SCHOOL DISTRICT</t>
  </si>
  <si>
    <t>5509600</t>
  </si>
  <si>
    <t>DIAL - DOWNTOWN INSTITUTE OF ARTS &amp; LETTERS</t>
  </si>
  <si>
    <t>550960002655</t>
  </si>
  <si>
    <t>CARMEN HIGH AND TECHNOLOGY</t>
  </si>
  <si>
    <t>550960002755</t>
  </si>
  <si>
    <t>Puerto Rico</t>
  </si>
  <si>
    <t>PUERTO RICO DEPARTMENT OF EDUCATION</t>
  </si>
  <si>
    <t>7200030</t>
  </si>
  <si>
    <t>SIMON MADERA</t>
  </si>
  <si>
    <t>720003001870</t>
  </si>
  <si>
    <t>Enrollment count distribution across grades</t>
  </si>
  <si>
    <t>Free and Reduced Price Lunch Participation</t>
  </si>
  <si>
    <t>Student Membership Counts
Pupil Teacher Ratios
Free and Reduced Price Lunch Participation Counts 
Full-Time Equivalent Teacher Counts</t>
  </si>
  <si>
    <t>†</t>
  </si>
  <si>
    <t xml:space="preserve">Student Membership Counts
Pupil Teacher Ratios
</t>
  </si>
  <si>
    <t>1Data tools include the Elementary and Secondary Information System (ElSi), the CCD School Locator, and the CCD Build-a-Table (BAT) tool.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</si>
</sst>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 d\,\ yyyy;@"/>
  </numFmts>
  <fonts count="5"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0"/>
      <color indexed="8"/>
      <name val="Arial, Helvetica, Helv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Fill="1"/>
    <xf numFmtId="164" fontId="0" fillId="0" borderId="0" xfId="0" applyNumberFormat="1" applyFill="1" applyAlignment="1">
      <alignment horizontal="left" indent="1"/>
    </xf>
    <xf numFmtId="0" fontId="0" fillId="0" borderId="1" xfId="0" applyFill="1" applyBorder="1" applyAlignment="1">
      <alignment horizontal="left" indent="1"/>
    </xf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0" xfId="0" applyFill="1" applyAlignment="1">
      <alignment horizontal="left" vertical="top"/>
    </xf>
    <xf numFmtId="0" fontId="0" fillId="0" borderId="0" xfId="0" applyFill="1" applyAlignment="1">
      <alignment horizontal="left" vertical="top" wrapText="1"/>
    </xf>
    <xf numFmtId="0" fontId="1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top"/>
    </xf>
    <xf numFmtId="0" fontId="0" fillId="0" borderId="0" xfId="0" applyNumberFormat="1" applyFont="1" applyFill="1" applyBorder="1" applyAlignment="1" applyProtection="1">
      <alignment horizontal="left" vertical="top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0" fillId="0" borderId="0" xfId="0" applyFill="1" applyBorder="1" applyAlignment="1">
      <alignment horizontal="left" vertical="top"/>
    </xf>
    <xf numFmtId="0" fontId="3" fillId="0" borderId="0" xfId="0" applyNumberFormat="1" applyFont="1" applyFill="1" applyBorder="1" applyAlignment="1" applyProtection="1">
      <alignment horizontal="left"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/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left" indent="1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3"/>
  <sheetViews>
    <sheetView tabSelected="1" zoomScale="80" zoomScaleNormal="80" workbookViewId="0">
      <selection activeCell="B6" sqref="B6"/>
    </sheetView>
  </sheetViews>
  <sheetFormatPr defaultRowHeight="15"/>
  <cols>
    <col min="1" max="1" width="15.42578125" style="2" customWidth="1"/>
    <col min="2" max="2" width="35.42578125" style="2" customWidth="1"/>
    <col min="3" max="3" width="9.140625" style="2"/>
    <col min="4" max="4" width="45.7109375" style="2" customWidth="1"/>
    <col min="5" max="5" width="15" style="2" customWidth="1"/>
    <col min="6" max="6" width="59.85546875" style="2" customWidth="1"/>
    <col min="7" max="7" width="13.28515625" style="2" bestFit="1" customWidth="1"/>
    <col min="8" max="8" width="9.7109375" style="2" bestFit="1" customWidth="1"/>
    <col min="9" max="9" width="9.140625" style="2" customWidth="1"/>
    <col min="10" max="16384" width="9.140625" style="2"/>
  </cols>
  <sheetData>
    <row r="1" spans="1:8">
      <c r="A1" s="2" t="s">
        <v>6</v>
      </c>
    </row>
    <row r="2" spans="1:8">
      <c r="A2" s="2" t="s">
        <v>5</v>
      </c>
      <c r="B2" s="3">
        <v>41061</v>
      </c>
    </row>
    <row r="3" spans="1:8" ht="17.25">
      <c r="A3" s="20" t="s">
        <v>0</v>
      </c>
      <c r="B3" s="18" t="s">
        <v>1</v>
      </c>
      <c r="C3" s="18"/>
      <c r="D3" s="18" t="s">
        <v>4</v>
      </c>
      <c r="E3" s="18"/>
      <c r="F3" s="19" t="s">
        <v>21</v>
      </c>
      <c r="G3" s="18" t="s">
        <v>56</v>
      </c>
      <c r="H3" s="18"/>
    </row>
    <row r="4" spans="1:8">
      <c r="A4" s="20"/>
      <c r="B4" s="4" t="s">
        <v>2</v>
      </c>
      <c r="C4" s="5" t="s">
        <v>3</v>
      </c>
      <c r="D4" s="4" t="s">
        <v>2</v>
      </c>
      <c r="E4" s="6" t="s">
        <v>3</v>
      </c>
      <c r="F4" s="19"/>
      <c r="G4" s="5" t="s">
        <v>53</v>
      </c>
      <c r="H4" s="5" t="s">
        <v>54</v>
      </c>
    </row>
    <row r="5" spans="1:8" ht="33.75">
      <c r="A5" s="7" t="s">
        <v>110</v>
      </c>
      <c r="B5" s="7" t="s">
        <v>111</v>
      </c>
      <c r="C5" s="7" t="s">
        <v>112</v>
      </c>
      <c r="D5" s="7" t="s">
        <v>113</v>
      </c>
      <c r="E5" s="7" t="s">
        <v>114</v>
      </c>
      <c r="F5" s="8" t="s">
        <v>51</v>
      </c>
      <c r="G5" s="9" t="s">
        <v>55</v>
      </c>
    </row>
    <row r="6" spans="1:8" ht="45">
      <c r="A6" s="7" t="s">
        <v>110</v>
      </c>
      <c r="B6" s="7" t="s">
        <v>115</v>
      </c>
      <c r="C6" s="7" t="s">
        <v>116</v>
      </c>
      <c r="D6" s="7" t="s">
        <v>117</v>
      </c>
      <c r="E6" s="7" t="s">
        <v>118</v>
      </c>
      <c r="F6" s="1" t="s">
        <v>52</v>
      </c>
      <c r="G6" s="9" t="s">
        <v>55</v>
      </c>
    </row>
    <row r="7" spans="1:8" ht="45">
      <c r="A7" s="7" t="s">
        <v>110</v>
      </c>
      <c r="B7" s="7" t="s">
        <v>119</v>
      </c>
      <c r="C7" s="7" t="s">
        <v>120</v>
      </c>
      <c r="D7" s="7" t="s">
        <v>121</v>
      </c>
      <c r="E7" s="7" t="s">
        <v>122</v>
      </c>
      <c r="F7" s="1" t="s">
        <v>52</v>
      </c>
      <c r="G7" s="9" t="s">
        <v>55</v>
      </c>
    </row>
    <row r="8" spans="1:8" ht="45">
      <c r="A8" s="7" t="s">
        <v>110</v>
      </c>
      <c r="B8" s="7" t="s">
        <v>119</v>
      </c>
      <c r="C8" s="7" t="s">
        <v>120</v>
      </c>
      <c r="D8" s="7" t="s">
        <v>123</v>
      </c>
      <c r="E8" s="7" t="s">
        <v>124</v>
      </c>
      <c r="F8" s="1" t="s">
        <v>52</v>
      </c>
      <c r="G8" s="9" t="s">
        <v>55</v>
      </c>
    </row>
    <row r="9" spans="1:8" ht="45">
      <c r="A9" s="7" t="s">
        <v>110</v>
      </c>
      <c r="B9" s="7" t="s">
        <v>119</v>
      </c>
      <c r="C9" s="7" t="s">
        <v>120</v>
      </c>
      <c r="D9" s="7" t="s">
        <v>125</v>
      </c>
      <c r="E9" s="7" t="s">
        <v>126</v>
      </c>
      <c r="F9" s="1" t="s">
        <v>52</v>
      </c>
      <c r="G9" s="9" t="s">
        <v>55</v>
      </c>
    </row>
    <row r="10" spans="1:8" ht="45">
      <c r="A10" s="7" t="s">
        <v>110</v>
      </c>
      <c r="B10" s="7" t="s">
        <v>119</v>
      </c>
      <c r="C10" s="7" t="s">
        <v>120</v>
      </c>
      <c r="D10" s="7" t="s">
        <v>127</v>
      </c>
      <c r="E10" s="7" t="s">
        <v>128</v>
      </c>
      <c r="F10" s="1" t="s">
        <v>52</v>
      </c>
      <c r="G10" s="9" t="s">
        <v>55</v>
      </c>
    </row>
    <row r="11" spans="1:8" ht="33.75">
      <c r="A11" s="7" t="s">
        <v>110</v>
      </c>
      <c r="B11" s="7" t="s">
        <v>129</v>
      </c>
      <c r="C11" s="7" t="s">
        <v>130</v>
      </c>
      <c r="D11" s="7" t="s">
        <v>131</v>
      </c>
      <c r="E11" s="7" t="s">
        <v>132</v>
      </c>
      <c r="F11" s="8" t="s">
        <v>51</v>
      </c>
      <c r="G11" s="9" t="s">
        <v>55</v>
      </c>
    </row>
    <row r="12" spans="1:8" ht="45">
      <c r="A12" s="7" t="s">
        <v>110</v>
      </c>
      <c r="B12" s="7" t="s">
        <v>133</v>
      </c>
      <c r="C12" s="7" t="s">
        <v>134</v>
      </c>
      <c r="D12" s="7" t="s">
        <v>135</v>
      </c>
      <c r="E12" s="7" t="s">
        <v>136</v>
      </c>
      <c r="F12" s="1" t="s">
        <v>52</v>
      </c>
      <c r="G12" s="9" t="s">
        <v>55</v>
      </c>
    </row>
    <row r="13" spans="1:8" ht="33.75">
      <c r="A13" s="7" t="s">
        <v>110</v>
      </c>
      <c r="B13" s="7" t="s">
        <v>137</v>
      </c>
      <c r="C13" s="7" t="s">
        <v>138</v>
      </c>
      <c r="D13" s="7" t="s">
        <v>139</v>
      </c>
      <c r="E13" s="7" t="s">
        <v>140</v>
      </c>
      <c r="F13" s="8" t="s">
        <v>51</v>
      </c>
      <c r="G13" s="9" t="s">
        <v>55</v>
      </c>
    </row>
    <row r="14" spans="1:8" ht="45">
      <c r="A14" s="7" t="s">
        <v>110</v>
      </c>
      <c r="B14" s="7" t="s">
        <v>141</v>
      </c>
      <c r="C14" s="7" t="s">
        <v>142</v>
      </c>
      <c r="D14" s="7" t="s">
        <v>143</v>
      </c>
      <c r="E14" s="7" t="s">
        <v>144</v>
      </c>
      <c r="F14" s="1" t="s">
        <v>52</v>
      </c>
      <c r="G14" s="9" t="s">
        <v>55</v>
      </c>
    </row>
    <row r="15" spans="1:8" ht="33.75">
      <c r="A15" s="7" t="s">
        <v>145</v>
      </c>
      <c r="B15" s="7" t="s">
        <v>146</v>
      </c>
      <c r="C15" s="7" t="s">
        <v>147</v>
      </c>
      <c r="D15" s="7" t="s">
        <v>148</v>
      </c>
      <c r="E15" s="10" t="s">
        <v>1081</v>
      </c>
      <c r="F15" s="8" t="s">
        <v>51</v>
      </c>
      <c r="G15" s="9" t="s">
        <v>55</v>
      </c>
    </row>
    <row r="16" spans="1:8" ht="33.75">
      <c r="A16" s="7" t="s">
        <v>145</v>
      </c>
      <c r="B16" s="7" t="s">
        <v>149</v>
      </c>
      <c r="C16" s="7" t="s">
        <v>150</v>
      </c>
      <c r="D16" s="7" t="s">
        <v>151</v>
      </c>
      <c r="E16" s="7" t="s">
        <v>152</v>
      </c>
      <c r="F16" s="7" t="s">
        <v>1078</v>
      </c>
      <c r="G16" s="9" t="s">
        <v>55</v>
      </c>
    </row>
    <row r="17" spans="1:7" ht="33.75">
      <c r="A17" s="7" t="s">
        <v>49</v>
      </c>
      <c r="B17" s="7" t="s">
        <v>153</v>
      </c>
      <c r="C17" s="7" t="s">
        <v>154</v>
      </c>
      <c r="D17" s="7" t="s">
        <v>155</v>
      </c>
      <c r="E17" s="7" t="s">
        <v>156</v>
      </c>
      <c r="F17" s="7" t="s">
        <v>1079</v>
      </c>
      <c r="G17" s="9" t="s">
        <v>55</v>
      </c>
    </row>
    <row r="18" spans="1:7" ht="45">
      <c r="A18" s="7" t="s">
        <v>49</v>
      </c>
      <c r="B18" s="7" t="s">
        <v>157</v>
      </c>
      <c r="C18" s="7" t="s">
        <v>158</v>
      </c>
      <c r="D18" s="7" t="s">
        <v>159</v>
      </c>
      <c r="E18" s="7" t="s">
        <v>160</v>
      </c>
      <c r="F18" s="1" t="s">
        <v>52</v>
      </c>
      <c r="G18" s="9" t="s">
        <v>55</v>
      </c>
    </row>
    <row r="19" spans="1:7" ht="45">
      <c r="A19" s="7" t="s">
        <v>49</v>
      </c>
      <c r="B19" s="1" t="s">
        <v>27</v>
      </c>
      <c r="C19" s="7" t="str">
        <f>LEFT(E19,7)</f>
        <v>0401410</v>
      </c>
      <c r="D19" s="1" t="s">
        <v>25</v>
      </c>
      <c r="E19" s="11" t="s">
        <v>26</v>
      </c>
      <c r="F19" s="1" t="s">
        <v>52</v>
      </c>
      <c r="G19" s="12" t="s">
        <v>55</v>
      </c>
    </row>
    <row r="20" spans="1:7" ht="45">
      <c r="A20" s="7" t="s">
        <v>49</v>
      </c>
      <c r="B20" s="1" t="s">
        <v>27</v>
      </c>
      <c r="C20" s="7" t="str">
        <f>LEFT(E20,7)</f>
        <v>0401410</v>
      </c>
      <c r="D20" s="1" t="s">
        <v>31</v>
      </c>
      <c r="E20" s="11" t="s">
        <v>32</v>
      </c>
      <c r="F20" s="1" t="s">
        <v>52</v>
      </c>
      <c r="G20" s="12" t="s">
        <v>55</v>
      </c>
    </row>
    <row r="21" spans="1:7" ht="45">
      <c r="A21" s="7" t="s">
        <v>49</v>
      </c>
      <c r="B21" s="1" t="s">
        <v>27</v>
      </c>
      <c r="C21" s="7" t="str">
        <f>LEFT(E21,7)</f>
        <v>0401410</v>
      </c>
      <c r="D21" s="1" t="s">
        <v>46</v>
      </c>
      <c r="E21" s="11" t="s">
        <v>47</v>
      </c>
      <c r="F21" s="1" t="s">
        <v>52</v>
      </c>
      <c r="G21" s="12" t="s">
        <v>55</v>
      </c>
    </row>
    <row r="22" spans="1:7" ht="33.75">
      <c r="A22" s="7" t="s">
        <v>49</v>
      </c>
      <c r="B22" s="7" t="s">
        <v>161</v>
      </c>
      <c r="C22" s="7" t="s">
        <v>162</v>
      </c>
      <c r="D22" s="7" t="s">
        <v>163</v>
      </c>
      <c r="E22" s="7" t="s">
        <v>164</v>
      </c>
      <c r="F22" s="8" t="s">
        <v>51</v>
      </c>
      <c r="G22" s="9" t="s">
        <v>55</v>
      </c>
    </row>
    <row r="23" spans="1:7" ht="33.75">
      <c r="A23" s="7" t="s">
        <v>49</v>
      </c>
      <c r="B23" s="7" t="s">
        <v>165</v>
      </c>
      <c r="C23" s="7" t="s">
        <v>166</v>
      </c>
      <c r="D23" s="7" t="s">
        <v>167</v>
      </c>
      <c r="E23" s="7" t="s">
        <v>168</v>
      </c>
      <c r="F23" s="8" t="s">
        <v>51</v>
      </c>
      <c r="G23" s="9" t="s">
        <v>55</v>
      </c>
    </row>
    <row r="24" spans="1:7" ht="33.75">
      <c r="A24" s="7" t="s">
        <v>49</v>
      </c>
      <c r="B24" s="7" t="s">
        <v>169</v>
      </c>
      <c r="C24" s="7" t="s">
        <v>170</v>
      </c>
      <c r="D24" s="7" t="s">
        <v>171</v>
      </c>
      <c r="E24" s="7" t="s">
        <v>172</v>
      </c>
      <c r="F24" s="8" t="s">
        <v>51</v>
      </c>
      <c r="G24" s="9" t="s">
        <v>55</v>
      </c>
    </row>
    <row r="25" spans="1:7" ht="33.75">
      <c r="A25" s="7" t="s">
        <v>49</v>
      </c>
      <c r="B25" s="7" t="s">
        <v>173</v>
      </c>
      <c r="C25" s="7" t="s">
        <v>174</v>
      </c>
      <c r="D25" s="7" t="s">
        <v>175</v>
      </c>
      <c r="E25" s="7" t="s">
        <v>176</v>
      </c>
      <c r="F25" s="7" t="s">
        <v>1079</v>
      </c>
      <c r="G25" s="9" t="s">
        <v>55</v>
      </c>
    </row>
    <row r="26" spans="1:7" ht="33.75">
      <c r="A26" s="7" t="s">
        <v>49</v>
      </c>
      <c r="B26" s="7" t="s">
        <v>173</v>
      </c>
      <c r="C26" s="7" t="s">
        <v>174</v>
      </c>
      <c r="D26" s="7" t="s">
        <v>177</v>
      </c>
      <c r="E26" s="7" t="s">
        <v>178</v>
      </c>
      <c r="F26" s="7" t="s">
        <v>1079</v>
      </c>
      <c r="G26" s="9" t="s">
        <v>55</v>
      </c>
    </row>
    <row r="27" spans="1:7" ht="33.75">
      <c r="A27" s="7" t="s">
        <v>49</v>
      </c>
      <c r="B27" s="7" t="s">
        <v>179</v>
      </c>
      <c r="C27" s="7" t="s">
        <v>180</v>
      </c>
      <c r="D27" s="7" t="s">
        <v>181</v>
      </c>
      <c r="E27" s="7" t="s">
        <v>182</v>
      </c>
      <c r="F27" s="7" t="s">
        <v>1079</v>
      </c>
      <c r="G27" s="9" t="s">
        <v>55</v>
      </c>
    </row>
    <row r="28" spans="1:7" ht="33.75">
      <c r="A28" s="7" t="s">
        <v>49</v>
      </c>
      <c r="B28" s="7" t="s">
        <v>183</v>
      </c>
      <c r="C28" s="7" t="s">
        <v>184</v>
      </c>
      <c r="D28" s="7" t="s">
        <v>185</v>
      </c>
      <c r="E28" s="7" t="s">
        <v>186</v>
      </c>
      <c r="F28" s="8" t="s">
        <v>51</v>
      </c>
      <c r="G28" s="9" t="s">
        <v>55</v>
      </c>
    </row>
    <row r="29" spans="1:7" ht="33.75">
      <c r="A29" s="7" t="s">
        <v>49</v>
      </c>
      <c r="B29" s="7" t="s">
        <v>183</v>
      </c>
      <c r="C29" s="7" t="s">
        <v>184</v>
      </c>
      <c r="D29" s="7" t="s">
        <v>148</v>
      </c>
      <c r="E29" s="10" t="s">
        <v>1081</v>
      </c>
      <c r="F29" s="8" t="s">
        <v>51</v>
      </c>
      <c r="G29" s="9" t="s">
        <v>55</v>
      </c>
    </row>
    <row r="30" spans="1:7" ht="33.75">
      <c r="A30" s="7" t="s">
        <v>49</v>
      </c>
      <c r="B30" s="7" t="s">
        <v>187</v>
      </c>
      <c r="C30" s="7" t="s">
        <v>188</v>
      </c>
      <c r="D30" s="7" t="s">
        <v>189</v>
      </c>
      <c r="E30" s="7" t="s">
        <v>190</v>
      </c>
      <c r="F30" s="7" t="s">
        <v>1079</v>
      </c>
      <c r="G30" s="9" t="s">
        <v>55</v>
      </c>
    </row>
    <row r="31" spans="1:7" ht="33.75">
      <c r="A31" s="7" t="s">
        <v>49</v>
      </c>
      <c r="B31" s="7" t="s">
        <v>191</v>
      </c>
      <c r="C31" s="7" t="s">
        <v>192</v>
      </c>
      <c r="D31" s="7" t="s">
        <v>193</v>
      </c>
      <c r="E31" s="7" t="s">
        <v>194</v>
      </c>
      <c r="F31" s="7" t="s">
        <v>1079</v>
      </c>
      <c r="G31" s="9" t="s">
        <v>55</v>
      </c>
    </row>
    <row r="32" spans="1:7" ht="33.75">
      <c r="A32" s="7" t="s">
        <v>49</v>
      </c>
      <c r="B32" s="7" t="s">
        <v>195</v>
      </c>
      <c r="C32" s="7" t="s">
        <v>196</v>
      </c>
      <c r="D32" s="7" t="s">
        <v>197</v>
      </c>
      <c r="E32" s="7" t="s">
        <v>198</v>
      </c>
      <c r="F32" s="7" t="s">
        <v>1078</v>
      </c>
      <c r="G32" s="9" t="s">
        <v>55</v>
      </c>
    </row>
    <row r="33" spans="1:7" ht="33.75">
      <c r="A33" s="7" t="s">
        <v>49</v>
      </c>
      <c r="B33" s="7" t="s">
        <v>199</v>
      </c>
      <c r="C33" s="7" t="s">
        <v>200</v>
      </c>
      <c r="D33" s="7" t="s">
        <v>201</v>
      </c>
      <c r="E33" s="7" t="s">
        <v>202</v>
      </c>
      <c r="F33" s="7" t="s">
        <v>1079</v>
      </c>
      <c r="G33" s="9" t="s">
        <v>55</v>
      </c>
    </row>
    <row r="34" spans="1:7" ht="33.75">
      <c r="A34" s="7" t="s">
        <v>49</v>
      </c>
      <c r="B34" s="7" t="s">
        <v>199</v>
      </c>
      <c r="C34" s="7" t="s">
        <v>200</v>
      </c>
      <c r="D34" s="7" t="s">
        <v>203</v>
      </c>
      <c r="E34" s="7" t="s">
        <v>204</v>
      </c>
      <c r="F34" s="7" t="s">
        <v>1079</v>
      </c>
      <c r="G34" s="9" t="s">
        <v>55</v>
      </c>
    </row>
    <row r="35" spans="1:7" ht="33.75">
      <c r="A35" s="7" t="s">
        <v>49</v>
      </c>
      <c r="B35" s="7" t="s">
        <v>199</v>
      </c>
      <c r="C35" s="7" t="s">
        <v>200</v>
      </c>
      <c r="D35" s="7" t="s">
        <v>205</v>
      </c>
      <c r="E35" s="7" t="s">
        <v>206</v>
      </c>
      <c r="F35" s="7" t="s">
        <v>1079</v>
      </c>
      <c r="G35" s="9" t="s">
        <v>55</v>
      </c>
    </row>
    <row r="36" spans="1:7" ht="33.75">
      <c r="A36" s="7" t="s">
        <v>49</v>
      </c>
      <c r="B36" s="7" t="s">
        <v>199</v>
      </c>
      <c r="C36" s="7" t="s">
        <v>200</v>
      </c>
      <c r="D36" s="7" t="s">
        <v>207</v>
      </c>
      <c r="E36" s="7" t="s">
        <v>208</v>
      </c>
      <c r="F36" s="7" t="s">
        <v>1079</v>
      </c>
      <c r="G36" s="9" t="s">
        <v>55</v>
      </c>
    </row>
    <row r="37" spans="1:7" ht="33.75">
      <c r="A37" s="7" t="s">
        <v>49</v>
      </c>
      <c r="B37" s="7" t="s">
        <v>199</v>
      </c>
      <c r="C37" s="7" t="s">
        <v>200</v>
      </c>
      <c r="D37" s="7" t="s">
        <v>209</v>
      </c>
      <c r="E37" s="7" t="s">
        <v>210</v>
      </c>
      <c r="F37" s="7" t="s">
        <v>1079</v>
      </c>
      <c r="G37" s="9" t="s">
        <v>55</v>
      </c>
    </row>
    <row r="38" spans="1:7" ht="33.75">
      <c r="A38" s="7" t="s">
        <v>49</v>
      </c>
      <c r="B38" s="7" t="s">
        <v>199</v>
      </c>
      <c r="C38" s="7" t="s">
        <v>200</v>
      </c>
      <c r="D38" s="7" t="s">
        <v>211</v>
      </c>
      <c r="E38" s="7" t="s">
        <v>212</v>
      </c>
      <c r="F38" s="7" t="s">
        <v>1079</v>
      </c>
      <c r="G38" s="9" t="s">
        <v>55</v>
      </c>
    </row>
    <row r="39" spans="1:7" ht="33.75">
      <c r="A39" s="7" t="s">
        <v>49</v>
      </c>
      <c r="B39" s="7" t="s">
        <v>199</v>
      </c>
      <c r="C39" s="7" t="s">
        <v>200</v>
      </c>
      <c r="D39" s="7" t="s">
        <v>213</v>
      </c>
      <c r="E39" s="7" t="s">
        <v>214</v>
      </c>
      <c r="F39" s="7" t="s">
        <v>1079</v>
      </c>
      <c r="G39" s="9" t="s">
        <v>55</v>
      </c>
    </row>
    <row r="40" spans="1:7" ht="33.75">
      <c r="A40" s="7" t="s">
        <v>49</v>
      </c>
      <c r="B40" s="7" t="s">
        <v>199</v>
      </c>
      <c r="C40" s="7" t="s">
        <v>200</v>
      </c>
      <c r="D40" s="7" t="s">
        <v>215</v>
      </c>
      <c r="E40" s="7" t="s">
        <v>216</v>
      </c>
      <c r="F40" s="7" t="s">
        <v>1079</v>
      </c>
      <c r="G40" s="9" t="s">
        <v>55</v>
      </c>
    </row>
    <row r="41" spans="1:7" ht="33.75">
      <c r="A41" s="7" t="s">
        <v>49</v>
      </c>
      <c r="B41" s="7" t="s">
        <v>199</v>
      </c>
      <c r="C41" s="7" t="s">
        <v>200</v>
      </c>
      <c r="D41" s="7" t="s">
        <v>217</v>
      </c>
      <c r="E41" s="7" t="s">
        <v>218</v>
      </c>
      <c r="F41" s="7" t="s">
        <v>1079</v>
      </c>
      <c r="G41" s="9" t="s">
        <v>55</v>
      </c>
    </row>
    <row r="42" spans="1:7" ht="33.75">
      <c r="A42" s="7" t="s">
        <v>49</v>
      </c>
      <c r="B42" s="7" t="s">
        <v>199</v>
      </c>
      <c r="C42" s="7" t="s">
        <v>200</v>
      </c>
      <c r="D42" s="7" t="s">
        <v>219</v>
      </c>
      <c r="E42" s="7" t="s">
        <v>220</v>
      </c>
      <c r="F42" s="7" t="s">
        <v>1079</v>
      </c>
      <c r="G42" s="9" t="s">
        <v>55</v>
      </c>
    </row>
    <row r="43" spans="1:7" ht="33.75">
      <c r="A43" s="7" t="s">
        <v>49</v>
      </c>
      <c r="B43" s="7" t="s">
        <v>199</v>
      </c>
      <c r="C43" s="7" t="s">
        <v>200</v>
      </c>
      <c r="D43" s="7" t="s">
        <v>221</v>
      </c>
      <c r="E43" s="7" t="s">
        <v>222</v>
      </c>
      <c r="F43" s="7" t="s">
        <v>1079</v>
      </c>
      <c r="G43" s="9" t="s">
        <v>55</v>
      </c>
    </row>
    <row r="44" spans="1:7" ht="33.75">
      <c r="A44" s="7" t="s">
        <v>49</v>
      </c>
      <c r="B44" s="7" t="s">
        <v>199</v>
      </c>
      <c r="C44" s="7" t="s">
        <v>200</v>
      </c>
      <c r="D44" s="7" t="s">
        <v>223</v>
      </c>
      <c r="E44" s="7" t="s">
        <v>224</v>
      </c>
      <c r="F44" s="7" t="s">
        <v>1079</v>
      </c>
      <c r="G44" s="9" t="s">
        <v>55</v>
      </c>
    </row>
    <row r="45" spans="1:7" ht="33.75">
      <c r="A45" s="7" t="s">
        <v>50</v>
      </c>
      <c r="B45" s="7" t="s">
        <v>225</v>
      </c>
      <c r="C45" s="7" t="s">
        <v>226</v>
      </c>
      <c r="D45" s="7" t="s">
        <v>148</v>
      </c>
      <c r="E45" s="10" t="s">
        <v>1081</v>
      </c>
      <c r="F45" s="8" t="s">
        <v>51</v>
      </c>
      <c r="G45" s="9" t="s">
        <v>55</v>
      </c>
    </row>
    <row r="46" spans="1:7" ht="45">
      <c r="A46" s="7" t="s">
        <v>50</v>
      </c>
      <c r="B46" s="7" t="s">
        <v>227</v>
      </c>
      <c r="C46" s="7" t="s">
        <v>228</v>
      </c>
      <c r="D46" s="7" t="s">
        <v>229</v>
      </c>
      <c r="E46" s="7" t="s">
        <v>230</v>
      </c>
      <c r="F46" s="1" t="s">
        <v>52</v>
      </c>
      <c r="G46" s="9" t="s">
        <v>55</v>
      </c>
    </row>
    <row r="47" spans="1:7" ht="33.75">
      <c r="A47" s="7" t="s">
        <v>50</v>
      </c>
      <c r="B47" s="7" t="s">
        <v>231</v>
      </c>
      <c r="C47" s="7" t="s">
        <v>232</v>
      </c>
      <c r="D47" s="7" t="s">
        <v>233</v>
      </c>
      <c r="E47" s="7" t="s">
        <v>234</v>
      </c>
      <c r="F47" s="8" t="s">
        <v>51</v>
      </c>
      <c r="G47" s="9" t="s">
        <v>55</v>
      </c>
    </row>
    <row r="48" spans="1:7" ht="45">
      <c r="A48" s="7" t="s">
        <v>50</v>
      </c>
      <c r="B48" s="1" t="s">
        <v>30</v>
      </c>
      <c r="C48" s="7" t="str">
        <f>LEFT(E48,7)</f>
        <v>0600019</v>
      </c>
      <c r="D48" s="1" t="s">
        <v>28</v>
      </c>
      <c r="E48" s="11" t="s">
        <v>29</v>
      </c>
      <c r="F48" s="1" t="s">
        <v>52</v>
      </c>
      <c r="G48" s="12" t="s">
        <v>55</v>
      </c>
    </row>
    <row r="49" spans="1:7" ht="45">
      <c r="A49" s="7" t="s">
        <v>50</v>
      </c>
      <c r="B49" s="7" t="s">
        <v>30</v>
      </c>
      <c r="C49" s="7" t="s">
        <v>235</v>
      </c>
      <c r="D49" s="7" t="s">
        <v>236</v>
      </c>
      <c r="E49" s="7" t="s">
        <v>237</v>
      </c>
      <c r="F49" s="1" t="s">
        <v>52</v>
      </c>
      <c r="G49" s="9" t="s">
        <v>55</v>
      </c>
    </row>
    <row r="50" spans="1:7" ht="30.75" customHeight="1">
      <c r="A50" s="7" t="s">
        <v>50</v>
      </c>
      <c r="B50" s="7" t="s">
        <v>238</v>
      </c>
      <c r="C50" s="7" t="s">
        <v>239</v>
      </c>
      <c r="D50" s="7" t="s">
        <v>148</v>
      </c>
      <c r="E50" s="10" t="s">
        <v>1081</v>
      </c>
      <c r="F50" s="1" t="s">
        <v>1082</v>
      </c>
      <c r="G50" s="9" t="s">
        <v>55</v>
      </c>
    </row>
    <row r="51" spans="1:7" ht="45">
      <c r="A51" s="7" t="s">
        <v>50</v>
      </c>
      <c r="B51" s="7" t="s">
        <v>240</v>
      </c>
      <c r="C51" s="7" t="s">
        <v>241</v>
      </c>
      <c r="D51" s="7" t="s">
        <v>242</v>
      </c>
      <c r="E51" s="7" t="s">
        <v>243</v>
      </c>
      <c r="F51" s="1" t="s">
        <v>52</v>
      </c>
      <c r="G51" s="9" t="s">
        <v>55</v>
      </c>
    </row>
    <row r="52" spans="1:7" ht="33.75">
      <c r="A52" s="7" t="s">
        <v>50</v>
      </c>
      <c r="B52" s="7" t="s">
        <v>244</v>
      </c>
      <c r="C52" s="7" t="s">
        <v>245</v>
      </c>
      <c r="D52" s="7" t="s">
        <v>246</v>
      </c>
      <c r="E52" s="7" t="s">
        <v>247</v>
      </c>
      <c r="F52" s="8" t="s">
        <v>51</v>
      </c>
      <c r="G52" s="9" t="s">
        <v>55</v>
      </c>
    </row>
    <row r="53" spans="1:7" ht="33.75">
      <c r="A53" s="7" t="s">
        <v>50</v>
      </c>
      <c r="B53" s="7" t="s">
        <v>248</v>
      </c>
      <c r="C53" s="7" t="s">
        <v>249</v>
      </c>
      <c r="D53" s="7" t="s">
        <v>250</v>
      </c>
      <c r="E53" s="7" t="s">
        <v>251</v>
      </c>
      <c r="F53" s="7" t="s">
        <v>1079</v>
      </c>
      <c r="G53" s="9" t="s">
        <v>55</v>
      </c>
    </row>
    <row r="54" spans="1:7" ht="30.75" customHeight="1">
      <c r="A54" s="7" t="s">
        <v>50</v>
      </c>
      <c r="B54" s="7" t="s">
        <v>252</v>
      </c>
      <c r="C54" s="7" t="s">
        <v>253</v>
      </c>
      <c r="D54" s="7" t="s">
        <v>148</v>
      </c>
      <c r="E54" s="10" t="s">
        <v>1081</v>
      </c>
      <c r="F54" s="1" t="s">
        <v>1082</v>
      </c>
      <c r="G54" s="9" t="s">
        <v>55</v>
      </c>
    </row>
    <row r="55" spans="1:7" ht="33.75">
      <c r="A55" s="7" t="s">
        <v>50</v>
      </c>
      <c r="B55" s="7" t="s">
        <v>254</v>
      </c>
      <c r="C55" s="7" t="s">
        <v>255</v>
      </c>
      <c r="D55" s="7" t="s">
        <v>256</v>
      </c>
      <c r="E55" s="7" t="s">
        <v>257</v>
      </c>
      <c r="F55" s="7" t="s">
        <v>1078</v>
      </c>
      <c r="G55" s="9" t="s">
        <v>55</v>
      </c>
    </row>
    <row r="56" spans="1:7" ht="45">
      <c r="A56" s="7" t="s">
        <v>50</v>
      </c>
      <c r="B56" s="7" t="s">
        <v>258</v>
      </c>
      <c r="C56" s="7" t="s">
        <v>259</v>
      </c>
      <c r="D56" s="7" t="s">
        <v>260</v>
      </c>
      <c r="E56" s="7" t="s">
        <v>261</v>
      </c>
      <c r="F56" s="1" t="s">
        <v>52</v>
      </c>
      <c r="G56" s="9" t="s">
        <v>55</v>
      </c>
    </row>
    <row r="57" spans="1:7" ht="45">
      <c r="A57" s="7" t="s">
        <v>50</v>
      </c>
      <c r="B57" s="7" t="s">
        <v>258</v>
      </c>
      <c r="C57" s="7" t="s">
        <v>259</v>
      </c>
      <c r="D57" s="7" t="s">
        <v>262</v>
      </c>
      <c r="E57" s="7" t="s">
        <v>263</v>
      </c>
      <c r="F57" s="1" t="s">
        <v>52</v>
      </c>
      <c r="G57" s="9" t="s">
        <v>55</v>
      </c>
    </row>
    <row r="58" spans="1:7" ht="31.5" customHeight="1">
      <c r="A58" s="7" t="s">
        <v>50</v>
      </c>
      <c r="B58" s="7" t="s">
        <v>258</v>
      </c>
      <c r="C58" s="7" t="s">
        <v>259</v>
      </c>
      <c r="D58" s="7" t="s">
        <v>148</v>
      </c>
      <c r="E58" s="10" t="s">
        <v>1081</v>
      </c>
      <c r="F58" s="1" t="s">
        <v>1082</v>
      </c>
      <c r="G58" s="9" t="s">
        <v>55</v>
      </c>
    </row>
    <row r="59" spans="1:7" ht="33.75">
      <c r="A59" s="7" t="s">
        <v>50</v>
      </c>
      <c r="B59" s="7" t="s">
        <v>264</v>
      </c>
      <c r="C59" s="7" t="s">
        <v>265</v>
      </c>
      <c r="D59" s="7" t="s">
        <v>266</v>
      </c>
      <c r="E59" s="7" t="s">
        <v>267</v>
      </c>
      <c r="F59" s="8" t="s">
        <v>51</v>
      </c>
      <c r="G59" s="9" t="s">
        <v>55</v>
      </c>
    </row>
    <row r="60" spans="1:7" ht="33.75">
      <c r="A60" s="7" t="s">
        <v>50</v>
      </c>
      <c r="B60" s="7" t="s">
        <v>268</v>
      </c>
      <c r="C60" s="7" t="s">
        <v>269</v>
      </c>
      <c r="D60" s="7" t="s">
        <v>270</v>
      </c>
      <c r="E60" s="7" t="s">
        <v>271</v>
      </c>
      <c r="F60" s="8" t="s">
        <v>51</v>
      </c>
      <c r="G60" s="9" t="s">
        <v>55</v>
      </c>
    </row>
    <row r="61" spans="1:7" ht="45">
      <c r="A61" s="7" t="s">
        <v>50</v>
      </c>
      <c r="B61" s="7" t="s">
        <v>272</v>
      </c>
      <c r="C61" s="7" t="s">
        <v>273</v>
      </c>
      <c r="D61" s="7" t="s">
        <v>274</v>
      </c>
      <c r="E61" s="7" t="s">
        <v>275</v>
      </c>
      <c r="F61" s="1" t="s">
        <v>52</v>
      </c>
      <c r="G61" s="9" t="s">
        <v>55</v>
      </c>
    </row>
    <row r="62" spans="1:7" ht="30" customHeight="1">
      <c r="A62" s="7" t="s">
        <v>50</v>
      </c>
      <c r="B62" s="7" t="s">
        <v>272</v>
      </c>
      <c r="C62" s="7" t="s">
        <v>273</v>
      </c>
      <c r="D62" s="7" t="s">
        <v>148</v>
      </c>
      <c r="E62" s="10" t="s">
        <v>1081</v>
      </c>
      <c r="F62" s="1" t="s">
        <v>1082</v>
      </c>
      <c r="G62" s="9" t="s">
        <v>55</v>
      </c>
    </row>
    <row r="63" spans="1:7" ht="45">
      <c r="A63" s="7" t="s">
        <v>50</v>
      </c>
      <c r="B63" s="7" t="s">
        <v>276</v>
      </c>
      <c r="C63" s="7" t="s">
        <v>277</v>
      </c>
      <c r="D63" s="7" t="s">
        <v>278</v>
      </c>
      <c r="E63" s="7" t="s">
        <v>279</v>
      </c>
      <c r="F63" s="1" t="s">
        <v>52</v>
      </c>
      <c r="G63" s="9" t="s">
        <v>55</v>
      </c>
    </row>
    <row r="64" spans="1:7" ht="33.75">
      <c r="A64" s="7" t="s">
        <v>50</v>
      </c>
      <c r="B64" s="7" t="s">
        <v>280</v>
      </c>
      <c r="C64" s="7" t="s">
        <v>281</v>
      </c>
      <c r="D64" s="7" t="s">
        <v>282</v>
      </c>
      <c r="E64" s="7" t="s">
        <v>283</v>
      </c>
      <c r="F64" s="7" t="s">
        <v>1078</v>
      </c>
      <c r="G64" s="9" t="s">
        <v>55</v>
      </c>
    </row>
    <row r="65" spans="1:7" ht="33.75">
      <c r="A65" s="7" t="s">
        <v>50</v>
      </c>
      <c r="B65" s="7" t="s">
        <v>284</v>
      </c>
      <c r="C65" s="7" t="s">
        <v>285</v>
      </c>
      <c r="D65" s="7" t="s">
        <v>286</v>
      </c>
      <c r="E65" s="7" t="s">
        <v>287</v>
      </c>
      <c r="F65" s="8" t="s">
        <v>51</v>
      </c>
      <c r="G65" s="9" t="s">
        <v>55</v>
      </c>
    </row>
    <row r="66" spans="1:7" ht="33.75">
      <c r="A66" s="7" t="s">
        <v>50</v>
      </c>
      <c r="B66" s="7" t="s">
        <v>288</v>
      </c>
      <c r="C66" s="7" t="s">
        <v>289</v>
      </c>
      <c r="D66" s="7" t="s">
        <v>290</v>
      </c>
      <c r="E66" s="7" t="s">
        <v>291</v>
      </c>
      <c r="F66" s="8" t="s">
        <v>51</v>
      </c>
      <c r="G66" s="9" t="s">
        <v>55</v>
      </c>
    </row>
    <row r="67" spans="1:7" ht="45">
      <c r="A67" s="7" t="s">
        <v>50</v>
      </c>
      <c r="B67" s="7" t="s">
        <v>292</v>
      </c>
      <c r="C67" s="7" t="s">
        <v>293</v>
      </c>
      <c r="D67" s="7" t="s">
        <v>294</v>
      </c>
      <c r="E67" s="7" t="s">
        <v>295</v>
      </c>
      <c r="F67" s="1" t="s">
        <v>52</v>
      </c>
      <c r="G67" s="9" t="s">
        <v>55</v>
      </c>
    </row>
    <row r="68" spans="1:7" ht="33.75">
      <c r="A68" s="7" t="s">
        <v>50</v>
      </c>
      <c r="B68" s="7" t="s">
        <v>296</v>
      </c>
      <c r="C68" s="7" t="s">
        <v>297</v>
      </c>
      <c r="D68" s="7" t="s">
        <v>298</v>
      </c>
      <c r="E68" s="7" t="s">
        <v>299</v>
      </c>
      <c r="F68" s="7" t="s">
        <v>1078</v>
      </c>
      <c r="G68" s="9" t="s">
        <v>55</v>
      </c>
    </row>
    <row r="69" spans="1:7" ht="33.75">
      <c r="A69" s="7" t="s">
        <v>50</v>
      </c>
      <c r="B69" s="7" t="s">
        <v>300</v>
      </c>
      <c r="C69" s="7" t="s">
        <v>301</v>
      </c>
      <c r="D69" s="7" t="s">
        <v>302</v>
      </c>
      <c r="E69" s="7" t="s">
        <v>303</v>
      </c>
      <c r="F69" s="7" t="s">
        <v>1079</v>
      </c>
      <c r="G69" s="9" t="s">
        <v>55</v>
      </c>
    </row>
    <row r="70" spans="1:7" ht="45">
      <c r="A70" s="7" t="s">
        <v>50</v>
      </c>
      <c r="B70" s="7" t="s">
        <v>304</v>
      </c>
      <c r="C70" s="7" t="s">
        <v>305</v>
      </c>
      <c r="D70" s="7" t="s">
        <v>306</v>
      </c>
      <c r="E70" s="7" t="s">
        <v>307</v>
      </c>
      <c r="F70" s="1" t="s">
        <v>52</v>
      </c>
      <c r="G70" s="9" t="s">
        <v>55</v>
      </c>
    </row>
    <row r="71" spans="1:7" ht="45">
      <c r="A71" s="7" t="s">
        <v>50</v>
      </c>
      <c r="B71" s="7" t="s">
        <v>304</v>
      </c>
      <c r="C71" s="7" t="s">
        <v>305</v>
      </c>
      <c r="D71" s="7" t="s">
        <v>308</v>
      </c>
      <c r="E71" s="7" t="s">
        <v>309</v>
      </c>
      <c r="F71" s="1" t="s">
        <v>52</v>
      </c>
      <c r="G71" s="9" t="s">
        <v>55</v>
      </c>
    </row>
    <row r="72" spans="1:7" ht="45">
      <c r="A72" s="7" t="s">
        <v>50</v>
      </c>
      <c r="B72" s="7" t="s">
        <v>304</v>
      </c>
      <c r="C72" s="7" t="s">
        <v>305</v>
      </c>
      <c r="D72" s="7" t="s">
        <v>310</v>
      </c>
      <c r="E72" s="7" t="s">
        <v>311</v>
      </c>
      <c r="F72" s="1" t="s">
        <v>52</v>
      </c>
      <c r="G72" s="9" t="s">
        <v>55</v>
      </c>
    </row>
    <row r="73" spans="1:7" ht="45">
      <c r="A73" s="7" t="s">
        <v>50</v>
      </c>
      <c r="B73" s="7" t="s">
        <v>304</v>
      </c>
      <c r="C73" s="7" t="s">
        <v>305</v>
      </c>
      <c r="D73" s="7" t="s">
        <v>312</v>
      </c>
      <c r="E73" s="7" t="s">
        <v>313</v>
      </c>
      <c r="F73" s="1" t="s">
        <v>52</v>
      </c>
      <c r="G73" s="9" t="s">
        <v>55</v>
      </c>
    </row>
    <row r="74" spans="1:7" ht="60">
      <c r="A74" s="7" t="s">
        <v>50</v>
      </c>
      <c r="B74" s="7" t="s">
        <v>304</v>
      </c>
      <c r="C74" s="7" t="s">
        <v>305</v>
      </c>
      <c r="D74" s="7" t="s">
        <v>314</v>
      </c>
      <c r="E74" s="7" t="s">
        <v>315</v>
      </c>
      <c r="F74" s="1" t="s">
        <v>1080</v>
      </c>
      <c r="G74" s="9" t="s">
        <v>55</v>
      </c>
    </row>
    <row r="75" spans="1:7" ht="45">
      <c r="A75" s="7" t="s">
        <v>50</v>
      </c>
      <c r="B75" s="7" t="s">
        <v>304</v>
      </c>
      <c r="C75" s="7" t="s">
        <v>305</v>
      </c>
      <c r="D75" s="7" t="s">
        <v>316</v>
      </c>
      <c r="E75" s="7" t="s">
        <v>317</v>
      </c>
      <c r="F75" s="1" t="s">
        <v>52</v>
      </c>
      <c r="G75" s="9" t="s">
        <v>55</v>
      </c>
    </row>
    <row r="76" spans="1:7" ht="45">
      <c r="A76" s="7" t="s">
        <v>50</v>
      </c>
      <c r="B76" s="7" t="s">
        <v>304</v>
      </c>
      <c r="C76" s="7" t="s">
        <v>305</v>
      </c>
      <c r="D76" s="7" t="s">
        <v>318</v>
      </c>
      <c r="E76" s="7" t="s">
        <v>319</v>
      </c>
      <c r="F76" s="1" t="s">
        <v>52</v>
      </c>
      <c r="G76" s="9" t="s">
        <v>55</v>
      </c>
    </row>
    <row r="77" spans="1:7" ht="45">
      <c r="A77" s="7" t="s">
        <v>50</v>
      </c>
      <c r="B77" s="7" t="s">
        <v>304</v>
      </c>
      <c r="C77" s="7" t="s">
        <v>305</v>
      </c>
      <c r="D77" s="7" t="s">
        <v>320</v>
      </c>
      <c r="E77" s="7" t="s">
        <v>321</v>
      </c>
      <c r="F77" s="1" t="s">
        <v>52</v>
      </c>
      <c r="G77" s="9" t="s">
        <v>55</v>
      </c>
    </row>
    <row r="78" spans="1:7" ht="45">
      <c r="A78" s="7" t="s">
        <v>50</v>
      </c>
      <c r="B78" s="7" t="s">
        <v>304</v>
      </c>
      <c r="C78" s="7" t="s">
        <v>305</v>
      </c>
      <c r="D78" s="7" t="s">
        <v>322</v>
      </c>
      <c r="E78" s="7" t="s">
        <v>323</v>
      </c>
      <c r="F78" s="1" t="s">
        <v>52</v>
      </c>
      <c r="G78" s="9" t="s">
        <v>55</v>
      </c>
    </row>
    <row r="79" spans="1:7" ht="45">
      <c r="A79" s="7" t="s">
        <v>50</v>
      </c>
      <c r="B79" s="7" t="s">
        <v>304</v>
      </c>
      <c r="C79" s="7" t="s">
        <v>305</v>
      </c>
      <c r="D79" s="7" t="s">
        <v>324</v>
      </c>
      <c r="E79" s="7" t="s">
        <v>325</v>
      </c>
      <c r="F79" s="1" t="s">
        <v>52</v>
      </c>
      <c r="G79" s="9" t="s">
        <v>55</v>
      </c>
    </row>
    <row r="80" spans="1:7" ht="45">
      <c r="A80" s="7" t="s">
        <v>50</v>
      </c>
      <c r="B80" s="7" t="s">
        <v>304</v>
      </c>
      <c r="C80" s="7" t="s">
        <v>305</v>
      </c>
      <c r="D80" s="7" t="s">
        <v>326</v>
      </c>
      <c r="E80" s="7" t="s">
        <v>327</v>
      </c>
      <c r="F80" s="1" t="s">
        <v>52</v>
      </c>
      <c r="G80" s="9" t="s">
        <v>55</v>
      </c>
    </row>
    <row r="81" spans="1:8" ht="45">
      <c r="A81" s="7" t="s">
        <v>50</v>
      </c>
      <c r="B81" s="7" t="s">
        <v>304</v>
      </c>
      <c r="C81" s="7" t="s">
        <v>305</v>
      </c>
      <c r="D81" s="7" t="s">
        <v>328</v>
      </c>
      <c r="E81" s="7" t="s">
        <v>329</v>
      </c>
      <c r="F81" s="1" t="s">
        <v>52</v>
      </c>
      <c r="G81" s="9" t="s">
        <v>55</v>
      </c>
    </row>
    <row r="82" spans="1:8" ht="45">
      <c r="A82" s="7" t="s">
        <v>50</v>
      </c>
      <c r="B82" s="7" t="s">
        <v>304</v>
      </c>
      <c r="C82" s="7" t="s">
        <v>305</v>
      </c>
      <c r="D82" s="7" t="s">
        <v>330</v>
      </c>
      <c r="E82" s="7" t="s">
        <v>331</v>
      </c>
      <c r="F82" s="1" t="s">
        <v>52</v>
      </c>
      <c r="G82" s="9" t="s">
        <v>55</v>
      </c>
    </row>
    <row r="83" spans="1:8" ht="45">
      <c r="A83" s="7" t="s">
        <v>50</v>
      </c>
      <c r="B83" s="7" t="s">
        <v>304</v>
      </c>
      <c r="C83" s="7" t="s">
        <v>305</v>
      </c>
      <c r="D83" s="7" t="s">
        <v>332</v>
      </c>
      <c r="E83" s="7" t="s">
        <v>333</v>
      </c>
      <c r="F83" s="1" t="s">
        <v>52</v>
      </c>
      <c r="G83" s="9" t="s">
        <v>55</v>
      </c>
    </row>
    <row r="84" spans="1:8" ht="45">
      <c r="A84" s="7" t="s">
        <v>50</v>
      </c>
      <c r="B84" s="7" t="s">
        <v>304</v>
      </c>
      <c r="C84" s="7" t="s">
        <v>305</v>
      </c>
      <c r="D84" s="7" t="s">
        <v>334</v>
      </c>
      <c r="E84" s="7" t="s">
        <v>335</v>
      </c>
      <c r="F84" s="1" t="s">
        <v>52</v>
      </c>
      <c r="G84" s="9" t="s">
        <v>55</v>
      </c>
    </row>
    <row r="85" spans="1:8" ht="45">
      <c r="A85" s="7" t="s">
        <v>50</v>
      </c>
      <c r="B85" s="7" t="s">
        <v>304</v>
      </c>
      <c r="C85" s="7" t="s">
        <v>305</v>
      </c>
      <c r="D85" s="7" t="s">
        <v>336</v>
      </c>
      <c r="E85" s="7" t="s">
        <v>337</v>
      </c>
      <c r="F85" s="1" t="s">
        <v>52</v>
      </c>
      <c r="G85" s="9" t="s">
        <v>55</v>
      </c>
    </row>
    <row r="86" spans="1:8" ht="45">
      <c r="A86" s="7" t="s">
        <v>50</v>
      </c>
      <c r="B86" s="7" t="s">
        <v>304</v>
      </c>
      <c r="C86" s="7" t="s">
        <v>305</v>
      </c>
      <c r="D86" s="7" t="s">
        <v>338</v>
      </c>
      <c r="E86" s="7" t="s">
        <v>339</v>
      </c>
      <c r="F86" s="1" t="s">
        <v>52</v>
      </c>
      <c r="G86" s="9" t="s">
        <v>55</v>
      </c>
    </row>
    <row r="87" spans="1:8" ht="60">
      <c r="A87" s="7" t="s">
        <v>50</v>
      </c>
      <c r="B87" s="7" t="s">
        <v>304</v>
      </c>
      <c r="C87" s="7" t="s">
        <v>305</v>
      </c>
      <c r="D87" s="7" t="s">
        <v>340</v>
      </c>
      <c r="E87" s="7" t="s">
        <v>341</v>
      </c>
      <c r="F87" s="1" t="s">
        <v>1080</v>
      </c>
      <c r="G87" s="9" t="s">
        <v>55</v>
      </c>
    </row>
    <row r="88" spans="1:8" ht="31.5" customHeight="1">
      <c r="A88" s="7" t="s">
        <v>50</v>
      </c>
      <c r="B88" s="7" t="s">
        <v>304</v>
      </c>
      <c r="C88" s="7" t="s">
        <v>305</v>
      </c>
      <c r="D88" s="7" t="s">
        <v>148</v>
      </c>
      <c r="E88" s="10" t="s">
        <v>1081</v>
      </c>
      <c r="F88" s="1" t="s">
        <v>1082</v>
      </c>
      <c r="G88" s="9" t="s">
        <v>55</v>
      </c>
    </row>
    <row r="89" spans="1:8" ht="33.75">
      <c r="A89" s="7" t="s">
        <v>50</v>
      </c>
      <c r="B89" s="7" t="s">
        <v>342</v>
      </c>
      <c r="C89" s="7" t="s">
        <v>343</v>
      </c>
      <c r="D89" s="7" t="s">
        <v>344</v>
      </c>
      <c r="E89" s="7" t="s">
        <v>345</v>
      </c>
      <c r="F89" s="7" t="s">
        <v>1078</v>
      </c>
      <c r="G89" s="9" t="s">
        <v>55</v>
      </c>
    </row>
    <row r="90" spans="1:8" ht="33.75">
      <c r="A90" s="13" t="s">
        <v>50</v>
      </c>
      <c r="B90" s="13" t="s">
        <v>81</v>
      </c>
      <c r="C90" s="13" t="str">
        <f>MID(E90,1,7)</f>
        <v>0622710</v>
      </c>
      <c r="D90" s="14" t="s">
        <v>58</v>
      </c>
      <c r="E90" s="15" t="s">
        <v>57</v>
      </c>
      <c r="F90" s="16" t="s">
        <v>51</v>
      </c>
      <c r="G90" s="9" t="s">
        <v>55</v>
      </c>
      <c r="H90" s="17"/>
    </row>
    <row r="91" spans="1:8" ht="33.75">
      <c r="A91" s="7" t="s">
        <v>50</v>
      </c>
      <c r="B91" s="7" t="s">
        <v>81</v>
      </c>
      <c r="C91" s="7" t="s">
        <v>346</v>
      </c>
      <c r="D91" s="7" t="s">
        <v>347</v>
      </c>
      <c r="E91" s="7" t="s">
        <v>348</v>
      </c>
      <c r="F91" s="7" t="s">
        <v>1078</v>
      </c>
      <c r="G91" s="9" t="s">
        <v>55</v>
      </c>
    </row>
    <row r="92" spans="1:8" ht="45">
      <c r="A92" s="7" t="s">
        <v>50</v>
      </c>
      <c r="B92" s="7" t="s">
        <v>349</v>
      </c>
      <c r="C92" s="7" t="s">
        <v>350</v>
      </c>
      <c r="D92" s="7" t="s">
        <v>351</v>
      </c>
      <c r="E92" s="7" t="s">
        <v>352</v>
      </c>
      <c r="F92" s="1" t="s">
        <v>52</v>
      </c>
      <c r="G92" s="9" t="s">
        <v>55</v>
      </c>
    </row>
    <row r="93" spans="1:8" ht="45">
      <c r="A93" s="7" t="s">
        <v>50</v>
      </c>
      <c r="B93" s="7" t="s">
        <v>349</v>
      </c>
      <c r="C93" s="7" t="s">
        <v>350</v>
      </c>
      <c r="D93" s="7" t="s">
        <v>334</v>
      </c>
      <c r="E93" s="7" t="s">
        <v>353</v>
      </c>
      <c r="F93" s="1" t="s">
        <v>52</v>
      </c>
      <c r="G93" s="9" t="s">
        <v>55</v>
      </c>
    </row>
    <row r="94" spans="1:8" ht="60">
      <c r="A94" s="7" t="s">
        <v>50</v>
      </c>
      <c r="B94" s="7" t="s">
        <v>349</v>
      </c>
      <c r="C94" s="7" t="s">
        <v>350</v>
      </c>
      <c r="D94" s="7" t="s">
        <v>354</v>
      </c>
      <c r="E94" s="7" t="s">
        <v>355</v>
      </c>
      <c r="F94" s="1" t="s">
        <v>1080</v>
      </c>
      <c r="G94" s="9" t="s">
        <v>55</v>
      </c>
    </row>
    <row r="95" spans="1:8" ht="45">
      <c r="A95" s="7" t="s">
        <v>50</v>
      </c>
      <c r="B95" s="7" t="s">
        <v>349</v>
      </c>
      <c r="C95" s="7" t="s">
        <v>350</v>
      </c>
      <c r="D95" s="7" t="s">
        <v>356</v>
      </c>
      <c r="E95" s="7" t="s">
        <v>357</v>
      </c>
      <c r="F95" s="1" t="s">
        <v>52</v>
      </c>
      <c r="G95" s="9" t="s">
        <v>55</v>
      </c>
    </row>
    <row r="96" spans="1:8" ht="45">
      <c r="A96" s="7" t="s">
        <v>50</v>
      </c>
      <c r="B96" s="7" t="s">
        <v>349</v>
      </c>
      <c r="C96" s="7" t="s">
        <v>350</v>
      </c>
      <c r="D96" s="7" t="s">
        <v>358</v>
      </c>
      <c r="E96" s="7" t="s">
        <v>359</v>
      </c>
      <c r="F96" s="1" t="s">
        <v>52</v>
      </c>
      <c r="G96" s="9" t="s">
        <v>55</v>
      </c>
    </row>
    <row r="97" spans="1:7" ht="60">
      <c r="A97" s="7" t="s">
        <v>50</v>
      </c>
      <c r="B97" s="7" t="s">
        <v>349</v>
      </c>
      <c r="C97" s="7" t="s">
        <v>350</v>
      </c>
      <c r="D97" s="7" t="s">
        <v>250</v>
      </c>
      <c r="E97" s="7" t="s">
        <v>360</v>
      </c>
      <c r="F97" s="1" t="s">
        <v>1080</v>
      </c>
      <c r="G97" s="9" t="s">
        <v>55</v>
      </c>
    </row>
    <row r="98" spans="1:7" ht="45">
      <c r="A98" s="7" t="s">
        <v>50</v>
      </c>
      <c r="B98" s="7" t="s">
        <v>349</v>
      </c>
      <c r="C98" s="7" t="s">
        <v>350</v>
      </c>
      <c r="D98" s="7" t="s">
        <v>361</v>
      </c>
      <c r="E98" s="7" t="s">
        <v>362</v>
      </c>
      <c r="F98" s="1" t="s">
        <v>52</v>
      </c>
      <c r="G98" s="9" t="s">
        <v>55</v>
      </c>
    </row>
    <row r="99" spans="1:7" ht="45">
      <c r="A99" s="7" t="s">
        <v>50</v>
      </c>
      <c r="B99" s="7" t="s">
        <v>349</v>
      </c>
      <c r="C99" s="7" t="s">
        <v>350</v>
      </c>
      <c r="D99" s="7" t="s">
        <v>363</v>
      </c>
      <c r="E99" s="7" t="s">
        <v>364</v>
      </c>
      <c r="F99" s="1" t="s">
        <v>52</v>
      </c>
      <c r="G99" s="9" t="s">
        <v>55</v>
      </c>
    </row>
    <row r="100" spans="1:7" ht="45">
      <c r="A100" s="7" t="s">
        <v>50</v>
      </c>
      <c r="B100" s="7" t="s">
        <v>349</v>
      </c>
      <c r="C100" s="7" t="s">
        <v>350</v>
      </c>
      <c r="D100" s="7" t="s">
        <v>365</v>
      </c>
      <c r="E100" s="7" t="s">
        <v>366</v>
      </c>
      <c r="F100" s="1" t="s">
        <v>52</v>
      </c>
      <c r="G100" s="9" t="s">
        <v>55</v>
      </c>
    </row>
    <row r="101" spans="1:7" ht="45">
      <c r="A101" s="7" t="s">
        <v>50</v>
      </c>
      <c r="B101" s="7" t="s">
        <v>349</v>
      </c>
      <c r="C101" s="7" t="s">
        <v>350</v>
      </c>
      <c r="D101" s="7" t="s">
        <v>367</v>
      </c>
      <c r="E101" s="7" t="s">
        <v>368</v>
      </c>
      <c r="F101" s="1" t="s">
        <v>52</v>
      </c>
      <c r="G101" s="9" t="s">
        <v>55</v>
      </c>
    </row>
    <row r="102" spans="1:7" ht="45">
      <c r="A102" s="7" t="s">
        <v>50</v>
      </c>
      <c r="B102" s="7" t="s">
        <v>349</v>
      </c>
      <c r="C102" s="7" t="s">
        <v>350</v>
      </c>
      <c r="D102" s="7" t="s">
        <v>369</v>
      </c>
      <c r="E102" s="7" t="s">
        <v>370</v>
      </c>
      <c r="F102" s="1" t="s">
        <v>52</v>
      </c>
      <c r="G102" s="9" t="s">
        <v>55</v>
      </c>
    </row>
    <row r="103" spans="1:7" ht="45">
      <c r="A103" s="7" t="s">
        <v>50</v>
      </c>
      <c r="B103" s="7" t="s">
        <v>349</v>
      </c>
      <c r="C103" s="7" t="s">
        <v>350</v>
      </c>
      <c r="D103" s="7" t="s">
        <v>371</v>
      </c>
      <c r="E103" s="7" t="s">
        <v>372</v>
      </c>
      <c r="F103" s="1" t="s">
        <v>52</v>
      </c>
      <c r="G103" s="9" t="s">
        <v>55</v>
      </c>
    </row>
    <row r="104" spans="1:7" ht="45">
      <c r="A104" s="7" t="s">
        <v>50</v>
      </c>
      <c r="B104" s="7" t="s">
        <v>349</v>
      </c>
      <c r="C104" s="7" t="s">
        <v>350</v>
      </c>
      <c r="D104" s="7" t="s">
        <v>373</v>
      </c>
      <c r="E104" s="7" t="s">
        <v>374</v>
      </c>
      <c r="F104" s="1" t="s">
        <v>52</v>
      </c>
      <c r="G104" s="9" t="s">
        <v>55</v>
      </c>
    </row>
    <row r="105" spans="1:7" ht="45">
      <c r="A105" s="7" t="s">
        <v>50</v>
      </c>
      <c r="B105" s="7" t="s">
        <v>349</v>
      </c>
      <c r="C105" s="7" t="s">
        <v>350</v>
      </c>
      <c r="D105" s="7" t="s">
        <v>375</v>
      </c>
      <c r="E105" s="7" t="s">
        <v>376</v>
      </c>
      <c r="F105" s="1" t="s">
        <v>52</v>
      </c>
      <c r="G105" s="9" t="s">
        <v>55</v>
      </c>
    </row>
    <row r="106" spans="1:7" ht="45">
      <c r="A106" s="7" t="s">
        <v>50</v>
      </c>
      <c r="B106" s="7" t="s">
        <v>349</v>
      </c>
      <c r="C106" s="7" t="s">
        <v>350</v>
      </c>
      <c r="D106" s="7" t="s">
        <v>377</v>
      </c>
      <c r="E106" s="7" t="s">
        <v>378</v>
      </c>
      <c r="F106" s="1" t="s">
        <v>52</v>
      </c>
      <c r="G106" s="9" t="s">
        <v>55</v>
      </c>
    </row>
    <row r="107" spans="1:7" ht="31.5" customHeight="1">
      <c r="A107" s="7" t="s">
        <v>50</v>
      </c>
      <c r="B107" s="7" t="s">
        <v>349</v>
      </c>
      <c r="C107" s="7" t="s">
        <v>350</v>
      </c>
      <c r="D107" s="7" t="s">
        <v>148</v>
      </c>
      <c r="E107" s="10" t="s">
        <v>1081</v>
      </c>
      <c r="F107" s="1" t="s">
        <v>1082</v>
      </c>
      <c r="G107" s="9" t="s">
        <v>55</v>
      </c>
    </row>
    <row r="108" spans="1:7" ht="33.75">
      <c r="A108" s="7" t="s">
        <v>50</v>
      </c>
      <c r="B108" s="7" t="s">
        <v>379</v>
      </c>
      <c r="C108" s="7" t="s">
        <v>380</v>
      </c>
      <c r="D108" s="7" t="s">
        <v>381</v>
      </c>
      <c r="E108" s="7" t="s">
        <v>382</v>
      </c>
      <c r="F108" s="8" t="s">
        <v>51</v>
      </c>
      <c r="G108" s="9" t="s">
        <v>55</v>
      </c>
    </row>
    <row r="109" spans="1:7" ht="33.75">
      <c r="A109" s="7" t="s">
        <v>50</v>
      </c>
      <c r="B109" s="7" t="s">
        <v>383</v>
      </c>
      <c r="C109" s="7" t="s">
        <v>384</v>
      </c>
      <c r="D109" s="7" t="s">
        <v>385</v>
      </c>
      <c r="E109" s="7" t="s">
        <v>386</v>
      </c>
      <c r="F109" s="7" t="s">
        <v>1078</v>
      </c>
      <c r="G109" s="9" t="s">
        <v>55</v>
      </c>
    </row>
    <row r="110" spans="1:7" ht="33.75">
      <c r="A110" s="7" t="s">
        <v>50</v>
      </c>
      <c r="B110" s="7" t="s">
        <v>387</v>
      </c>
      <c r="C110" s="7" t="s">
        <v>388</v>
      </c>
      <c r="D110" s="7" t="s">
        <v>389</v>
      </c>
      <c r="E110" s="7" t="s">
        <v>390</v>
      </c>
      <c r="F110" s="7" t="s">
        <v>1079</v>
      </c>
      <c r="G110" s="9" t="s">
        <v>55</v>
      </c>
    </row>
    <row r="111" spans="1:7" ht="45">
      <c r="A111" s="7" t="s">
        <v>50</v>
      </c>
      <c r="B111" s="7" t="s">
        <v>391</v>
      </c>
      <c r="C111" s="7" t="s">
        <v>392</v>
      </c>
      <c r="D111" s="7" t="s">
        <v>393</v>
      </c>
      <c r="E111" s="7" t="s">
        <v>394</v>
      </c>
      <c r="F111" s="1" t="s">
        <v>52</v>
      </c>
      <c r="G111" s="9" t="s">
        <v>55</v>
      </c>
    </row>
    <row r="112" spans="1:7" ht="45">
      <c r="A112" s="7" t="s">
        <v>50</v>
      </c>
      <c r="B112" s="7" t="s">
        <v>391</v>
      </c>
      <c r="C112" s="7" t="s">
        <v>392</v>
      </c>
      <c r="D112" s="7" t="s">
        <v>395</v>
      </c>
      <c r="E112" s="7" t="s">
        <v>396</v>
      </c>
      <c r="F112" s="1" t="s">
        <v>52</v>
      </c>
      <c r="G112" s="9" t="s">
        <v>55</v>
      </c>
    </row>
    <row r="113" spans="1:7" ht="45">
      <c r="A113" s="7" t="s">
        <v>50</v>
      </c>
      <c r="B113" s="7" t="s">
        <v>391</v>
      </c>
      <c r="C113" s="7" t="s">
        <v>392</v>
      </c>
      <c r="D113" s="7" t="s">
        <v>397</v>
      </c>
      <c r="E113" s="7" t="s">
        <v>398</v>
      </c>
      <c r="F113" s="1" t="s">
        <v>52</v>
      </c>
      <c r="G113" s="9" t="s">
        <v>55</v>
      </c>
    </row>
    <row r="114" spans="1:7" ht="45">
      <c r="A114" s="7" t="s">
        <v>50</v>
      </c>
      <c r="B114" s="7" t="s">
        <v>391</v>
      </c>
      <c r="C114" s="7" t="s">
        <v>392</v>
      </c>
      <c r="D114" s="7" t="s">
        <v>399</v>
      </c>
      <c r="E114" s="7" t="s">
        <v>400</v>
      </c>
      <c r="F114" s="1" t="s">
        <v>52</v>
      </c>
      <c r="G114" s="9" t="s">
        <v>55</v>
      </c>
    </row>
    <row r="115" spans="1:7" ht="45">
      <c r="A115" s="7" t="s">
        <v>50</v>
      </c>
      <c r="B115" s="7" t="s">
        <v>391</v>
      </c>
      <c r="C115" s="7" t="s">
        <v>392</v>
      </c>
      <c r="D115" s="7" t="s">
        <v>401</v>
      </c>
      <c r="E115" s="7" t="s">
        <v>402</v>
      </c>
      <c r="F115" s="1" t="s">
        <v>52</v>
      </c>
      <c r="G115" s="9" t="s">
        <v>55</v>
      </c>
    </row>
    <row r="116" spans="1:7" ht="33" customHeight="1">
      <c r="A116" s="7" t="s">
        <v>50</v>
      </c>
      <c r="B116" s="7" t="s">
        <v>391</v>
      </c>
      <c r="C116" s="7" t="s">
        <v>392</v>
      </c>
      <c r="D116" s="7" t="s">
        <v>148</v>
      </c>
      <c r="E116" s="10" t="s">
        <v>1081</v>
      </c>
      <c r="F116" s="1" t="s">
        <v>1082</v>
      </c>
      <c r="G116" s="9" t="s">
        <v>55</v>
      </c>
    </row>
    <row r="117" spans="1:7" ht="33.75">
      <c r="A117" s="7" t="s">
        <v>50</v>
      </c>
      <c r="B117" s="7" t="s">
        <v>403</v>
      </c>
      <c r="C117" s="7" t="s">
        <v>404</v>
      </c>
      <c r="D117" s="7" t="s">
        <v>405</v>
      </c>
      <c r="E117" s="7" t="s">
        <v>406</v>
      </c>
      <c r="F117" s="8" t="s">
        <v>51</v>
      </c>
      <c r="G117" s="9" t="s">
        <v>55</v>
      </c>
    </row>
    <row r="118" spans="1:7" ht="33.75">
      <c r="A118" s="7" t="s">
        <v>50</v>
      </c>
      <c r="B118" s="7" t="s">
        <v>407</v>
      </c>
      <c r="C118" s="7" t="s">
        <v>408</v>
      </c>
      <c r="D118" s="7" t="s">
        <v>409</v>
      </c>
      <c r="E118" s="7" t="s">
        <v>410</v>
      </c>
      <c r="F118" s="8" t="s">
        <v>51</v>
      </c>
      <c r="G118" s="9" t="s">
        <v>55</v>
      </c>
    </row>
    <row r="119" spans="1:7" ht="45">
      <c r="A119" s="7" t="s">
        <v>50</v>
      </c>
      <c r="B119" s="7" t="s">
        <v>411</v>
      </c>
      <c r="C119" s="7" t="s">
        <v>412</v>
      </c>
      <c r="D119" s="7" t="s">
        <v>413</v>
      </c>
      <c r="E119" s="7" t="s">
        <v>414</v>
      </c>
      <c r="F119" s="1" t="s">
        <v>52</v>
      </c>
      <c r="G119" s="9" t="s">
        <v>55</v>
      </c>
    </row>
    <row r="120" spans="1:7" ht="33.75">
      <c r="A120" s="7" t="s">
        <v>50</v>
      </c>
      <c r="B120" s="7" t="s">
        <v>415</v>
      </c>
      <c r="C120" s="7" t="s">
        <v>416</v>
      </c>
      <c r="D120" s="7" t="s">
        <v>417</v>
      </c>
      <c r="E120" s="7" t="s">
        <v>418</v>
      </c>
      <c r="F120" s="8" t="s">
        <v>51</v>
      </c>
      <c r="G120" s="9" t="s">
        <v>55</v>
      </c>
    </row>
    <row r="121" spans="1:7" ht="33.75">
      <c r="A121" s="7" t="s">
        <v>50</v>
      </c>
      <c r="B121" s="7" t="s">
        <v>419</v>
      </c>
      <c r="C121" s="7" t="s">
        <v>420</v>
      </c>
      <c r="D121" s="7" t="s">
        <v>421</v>
      </c>
      <c r="E121" s="7" t="s">
        <v>422</v>
      </c>
      <c r="F121" s="7" t="s">
        <v>1078</v>
      </c>
      <c r="G121" s="9" t="s">
        <v>55</v>
      </c>
    </row>
    <row r="122" spans="1:7" ht="45">
      <c r="A122" s="7" t="s">
        <v>50</v>
      </c>
      <c r="B122" s="7" t="s">
        <v>423</v>
      </c>
      <c r="C122" s="7" t="s">
        <v>424</v>
      </c>
      <c r="D122" s="7" t="s">
        <v>425</v>
      </c>
      <c r="E122" s="7" t="s">
        <v>426</v>
      </c>
      <c r="F122" s="1" t="s">
        <v>52</v>
      </c>
      <c r="G122" s="9" t="s">
        <v>55</v>
      </c>
    </row>
    <row r="123" spans="1:7" ht="33.75">
      <c r="A123" s="7" t="s">
        <v>50</v>
      </c>
      <c r="B123" s="7" t="s">
        <v>427</v>
      </c>
      <c r="C123" s="7" t="s">
        <v>428</v>
      </c>
      <c r="D123" s="7" t="s">
        <v>429</v>
      </c>
      <c r="E123" s="7" t="s">
        <v>430</v>
      </c>
      <c r="F123" s="7" t="s">
        <v>1078</v>
      </c>
      <c r="G123" s="9" t="s">
        <v>55</v>
      </c>
    </row>
    <row r="124" spans="1:7" ht="45">
      <c r="A124" s="7" t="s">
        <v>50</v>
      </c>
      <c r="B124" s="7" t="s">
        <v>431</v>
      </c>
      <c r="C124" s="7" t="s">
        <v>432</v>
      </c>
      <c r="D124" s="7" t="s">
        <v>433</v>
      </c>
      <c r="E124" s="7" t="s">
        <v>434</v>
      </c>
      <c r="F124" s="1" t="s">
        <v>52</v>
      </c>
      <c r="G124" s="9" t="s">
        <v>55</v>
      </c>
    </row>
    <row r="125" spans="1:7" ht="33.75">
      <c r="A125" s="7" t="s">
        <v>50</v>
      </c>
      <c r="B125" s="7" t="s">
        <v>435</v>
      </c>
      <c r="C125" s="7" t="s">
        <v>436</v>
      </c>
      <c r="D125" s="7" t="s">
        <v>437</v>
      </c>
      <c r="E125" s="7" t="s">
        <v>438</v>
      </c>
      <c r="F125" s="8" t="s">
        <v>51</v>
      </c>
      <c r="G125" s="9" t="s">
        <v>55</v>
      </c>
    </row>
    <row r="126" spans="1:7" ht="33.75">
      <c r="A126" s="7" t="s">
        <v>50</v>
      </c>
      <c r="B126" s="7" t="s">
        <v>439</v>
      </c>
      <c r="C126" s="7" t="s">
        <v>440</v>
      </c>
      <c r="D126" s="7" t="s">
        <v>441</v>
      </c>
      <c r="E126" s="7" t="s">
        <v>442</v>
      </c>
      <c r="F126" s="8" t="s">
        <v>51</v>
      </c>
      <c r="G126" s="9" t="s">
        <v>55</v>
      </c>
    </row>
    <row r="127" spans="1:7" ht="45">
      <c r="A127" s="7" t="s">
        <v>50</v>
      </c>
      <c r="B127" s="1" t="s">
        <v>41</v>
      </c>
      <c r="C127" s="7" t="str">
        <f>LEFT(E127,7)</f>
        <v>0634880</v>
      </c>
      <c r="D127" s="1" t="s">
        <v>39</v>
      </c>
      <c r="E127" s="11" t="s">
        <v>40</v>
      </c>
      <c r="F127" s="1" t="s">
        <v>52</v>
      </c>
      <c r="G127" s="9" t="s">
        <v>55</v>
      </c>
    </row>
    <row r="128" spans="1:7" ht="33.75">
      <c r="A128" s="7" t="s">
        <v>50</v>
      </c>
      <c r="B128" s="7" t="s">
        <v>443</v>
      </c>
      <c r="C128" s="7" t="s">
        <v>444</v>
      </c>
      <c r="D128" s="7" t="s">
        <v>445</v>
      </c>
      <c r="E128" s="7" t="s">
        <v>446</v>
      </c>
      <c r="F128" s="7" t="s">
        <v>1079</v>
      </c>
      <c r="G128" s="9" t="s">
        <v>55</v>
      </c>
    </row>
    <row r="129" spans="1:7" ht="33.75">
      <c r="A129" s="7" t="s">
        <v>50</v>
      </c>
      <c r="B129" s="7" t="s">
        <v>443</v>
      </c>
      <c r="C129" s="7" t="s">
        <v>444</v>
      </c>
      <c r="D129" s="7" t="s">
        <v>447</v>
      </c>
      <c r="E129" s="7" t="s">
        <v>448</v>
      </c>
      <c r="F129" s="7" t="s">
        <v>1079</v>
      </c>
      <c r="G129" s="9" t="s">
        <v>55</v>
      </c>
    </row>
    <row r="130" spans="1:7" ht="33.75">
      <c r="A130" s="7" t="s">
        <v>50</v>
      </c>
      <c r="B130" s="7" t="s">
        <v>449</v>
      </c>
      <c r="C130" s="7" t="s">
        <v>450</v>
      </c>
      <c r="D130" s="7" t="s">
        <v>451</v>
      </c>
      <c r="E130" s="7" t="s">
        <v>452</v>
      </c>
      <c r="F130" s="7" t="s">
        <v>1078</v>
      </c>
      <c r="G130" s="9" t="s">
        <v>55</v>
      </c>
    </row>
    <row r="131" spans="1:7" ht="33.75">
      <c r="A131" s="7" t="s">
        <v>50</v>
      </c>
      <c r="B131" s="7" t="s">
        <v>453</v>
      </c>
      <c r="C131" s="7" t="s">
        <v>454</v>
      </c>
      <c r="D131" s="7" t="s">
        <v>453</v>
      </c>
      <c r="E131" s="7" t="s">
        <v>455</v>
      </c>
      <c r="F131" s="7" t="s">
        <v>1079</v>
      </c>
      <c r="G131" s="9" t="s">
        <v>55</v>
      </c>
    </row>
    <row r="132" spans="1:7" ht="33.75">
      <c r="A132" s="7" t="s">
        <v>50</v>
      </c>
      <c r="B132" s="7" t="s">
        <v>456</v>
      </c>
      <c r="C132" s="7" t="s">
        <v>457</v>
      </c>
      <c r="D132" s="7" t="s">
        <v>458</v>
      </c>
      <c r="E132" s="7" t="s">
        <v>459</v>
      </c>
      <c r="F132" s="7" t="s">
        <v>1079</v>
      </c>
      <c r="G132" s="9" t="s">
        <v>55</v>
      </c>
    </row>
    <row r="133" spans="1:7" ht="33" customHeight="1">
      <c r="A133" s="7" t="s">
        <v>50</v>
      </c>
      <c r="B133" s="7" t="s">
        <v>460</v>
      </c>
      <c r="C133" s="7" t="s">
        <v>461</v>
      </c>
      <c r="D133" s="7" t="s">
        <v>148</v>
      </c>
      <c r="E133" s="10" t="s">
        <v>1081</v>
      </c>
      <c r="F133" s="1" t="s">
        <v>1082</v>
      </c>
      <c r="G133" s="9" t="s">
        <v>55</v>
      </c>
    </row>
    <row r="134" spans="1:7" ht="33.75">
      <c r="A134" s="7" t="s">
        <v>50</v>
      </c>
      <c r="B134" s="7" t="s">
        <v>462</v>
      </c>
      <c r="C134" s="7" t="s">
        <v>463</v>
      </c>
      <c r="D134" s="7" t="s">
        <v>464</v>
      </c>
      <c r="E134" s="7" t="s">
        <v>465</v>
      </c>
      <c r="F134" s="8" t="s">
        <v>51</v>
      </c>
      <c r="G134" s="9" t="s">
        <v>55</v>
      </c>
    </row>
    <row r="135" spans="1:7" ht="33.75">
      <c r="A135" s="7" t="s">
        <v>50</v>
      </c>
      <c r="B135" s="7" t="s">
        <v>466</v>
      </c>
      <c r="C135" s="7" t="s">
        <v>467</v>
      </c>
      <c r="D135" s="7" t="s">
        <v>466</v>
      </c>
      <c r="E135" s="7" t="s">
        <v>468</v>
      </c>
      <c r="F135" s="7" t="s">
        <v>1078</v>
      </c>
      <c r="G135" s="9" t="s">
        <v>55</v>
      </c>
    </row>
    <row r="136" spans="1:7" ht="33.75">
      <c r="A136" s="7" t="s">
        <v>50</v>
      </c>
      <c r="B136" s="7" t="s">
        <v>469</v>
      </c>
      <c r="C136" s="7" t="s">
        <v>470</v>
      </c>
      <c r="D136" s="7" t="s">
        <v>471</v>
      </c>
      <c r="E136" s="7" t="s">
        <v>472</v>
      </c>
      <c r="F136" s="8" t="s">
        <v>51</v>
      </c>
      <c r="G136" s="9" t="s">
        <v>55</v>
      </c>
    </row>
    <row r="137" spans="1:7" ht="33.75">
      <c r="A137" s="7" t="s">
        <v>50</v>
      </c>
      <c r="B137" s="7" t="s">
        <v>473</v>
      </c>
      <c r="C137" s="7" t="s">
        <v>474</v>
      </c>
      <c r="D137" s="7" t="s">
        <v>475</v>
      </c>
      <c r="E137" s="7" t="s">
        <v>476</v>
      </c>
      <c r="F137" s="7" t="s">
        <v>1078</v>
      </c>
      <c r="G137" s="9" t="s">
        <v>55</v>
      </c>
    </row>
    <row r="138" spans="1:7" ht="33.75">
      <c r="A138" s="7" t="s">
        <v>50</v>
      </c>
      <c r="B138" s="7" t="s">
        <v>477</v>
      </c>
      <c r="C138" s="7" t="s">
        <v>478</v>
      </c>
      <c r="D138" s="7" t="s">
        <v>479</v>
      </c>
      <c r="E138" s="7" t="s">
        <v>480</v>
      </c>
      <c r="F138" s="8" t="s">
        <v>51</v>
      </c>
      <c r="G138" s="9" t="s">
        <v>55</v>
      </c>
    </row>
    <row r="139" spans="1:7" ht="45">
      <c r="A139" s="7" t="s">
        <v>50</v>
      </c>
      <c r="B139" s="7" t="s">
        <v>481</v>
      </c>
      <c r="C139" s="7" t="s">
        <v>482</v>
      </c>
      <c r="D139" s="7" t="s">
        <v>483</v>
      </c>
      <c r="E139" s="7" t="s">
        <v>484</v>
      </c>
      <c r="F139" s="1" t="s">
        <v>52</v>
      </c>
      <c r="G139" s="9" t="s">
        <v>55</v>
      </c>
    </row>
    <row r="140" spans="1:7" ht="45">
      <c r="A140" s="7" t="s">
        <v>50</v>
      </c>
      <c r="B140" s="7" t="s">
        <v>481</v>
      </c>
      <c r="C140" s="7" t="s">
        <v>482</v>
      </c>
      <c r="D140" s="7" t="s">
        <v>485</v>
      </c>
      <c r="E140" s="7" t="s">
        <v>486</v>
      </c>
      <c r="F140" s="1" t="s">
        <v>52</v>
      </c>
      <c r="G140" s="9" t="s">
        <v>55</v>
      </c>
    </row>
    <row r="141" spans="1:7" ht="33.75">
      <c r="A141" s="7" t="s">
        <v>50</v>
      </c>
      <c r="B141" s="7" t="s">
        <v>481</v>
      </c>
      <c r="C141" s="7" t="s">
        <v>482</v>
      </c>
      <c r="D141" s="7" t="s">
        <v>487</v>
      </c>
      <c r="E141" s="7" t="s">
        <v>488</v>
      </c>
      <c r="F141" s="7" t="s">
        <v>1078</v>
      </c>
      <c r="G141" s="9" t="s">
        <v>55</v>
      </c>
    </row>
    <row r="142" spans="1:7" ht="45">
      <c r="A142" s="7" t="s">
        <v>50</v>
      </c>
      <c r="B142" s="7" t="s">
        <v>481</v>
      </c>
      <c r="C142" s="7" t="s">
        <v>482</v>
      </c>
      <c r="D142" s="7" t="s">
        <v>489</v>
      </c>
      <c r="E142" s="7" t="s">
        <v>490</v>
      </c>
      <c r="F142" s="1" t="s">
        <v>52</v>
      </c>
      <c r="G142" s="9" t="s">
        <v>55</v>
      </c>
    </row>
    <row r="143" spans="1:7" ht="45">
      <c r="A143" s="7" t="s">
        <v>50</v>
      </c>
      <c r="B143" s="7" t="s">
        <v>491</v>
      </c>
      <c r="C143" s="7" t="s">
        <v>492</v>
      </c>
      <c r="D143" s="7" t="s">
        <v>493</v>
      </c>
      <c r="E143" s="7" t="s">
        <v>494</v>
      </c>
      <c r="F143" s="1" t="s">
        <v>52</v>
      </c>
      <c r="G143" s="9" t="s">
        <v>55</v>
      </c>
    </row>
    <row r="144" spans="1:7" ht="45">
      <c r="A144" s="7" t="s">
        <v>50</v>
      </c>
      <c r="B144" s="7" t="s">
        <v>491</v>
      </c>
      <c r="C144" s="7" t="s">
        <v>492</v>
      </c>
      <c r="D144" s="7" t="s">
        <v>495</v>
      </c>
      <c r="E144" s="7" t="s">
        <v>496</v>
      </c>
      <c r="F144" s="1" t="s">
        <v>52</v>
      </c>
      <c r="G144" s="9" t="s">
        <v>55</v>
      </c>
    </row>
    <row r="145" spans="1:7" ht="45">
      <c r="A145" s="7" t="s">
        <v>50</v>
      </c>
      <c r="B145" s="7" t="s">
        <v>491</v>
      </c>
      <c r="C145" s="7" t="s">
        <v>492</v>
      </c>
      <c r="D145" s="7" t="s">
        <v>497</v>
      </c>
      <c r="E145" s="7" t="s">
        <v>498</v>
      </c>
      <c r="F145" s="1" t="s">
        <v>52</v>
      </c>
      <c r="G145" s="9" t="s">
        <v>55</v>
      </c>
    </row>
    <row r="146" spans="1:7" ht="45">
      <c r="A146" s="7" t="s">
        <v>50</v>
      </c>
      <c r="B146" s="7" t="s">
        <v>491</v>
      </c>
      <c r="C146" s="7" t="s">
        <v>492</v>
      </c>
      <c r="D146" s="7" t="s">
        <v>499</v>
      </c>
      <c r="E146" s="7" t="s">
        <v>500</v>
      </c>
      <c r="F146" s="1" t="s">
        <v>52</v>
      </c>
      <c r="G146" s="9" t="s">
        <v>55</v>
      </c>
    </row>
    <row r="147" spans="1:7" ht="30.75" customHeight="1">
      <c r="A147" s="7" t="s">
        <v>50</v>
      </c>
      <c r="B147" s="7" t="s">
        <v>491</v>
      </c>
      <c r="C147" s="7" t="s">
        <v>492</v>
      </c>
      <c r="D147" s="7" t="s">
        <v>148</v>
      </c>
      <c r="E147" s="10" t="s">
        <v>1081</v>
      </c>
      <c r="F147" s="1" t="s">
        <v>1082</v>
      </c>
      <c r="G147" s="9" t="s">
        <v>55</v>
      </c>
    </row>
    <row r="148" spans="1:7" ht="33.75">
      <c r="A148" s="7" t="s">
        <v>501</v>
      </c>
      <c r="B148" s="7" t="s">
        <v>502</v>
      </c>
      <c r="C148" s="7" t="s">
        <v>503</v>
      </c>
      <c r="D148" s="7" t="s">
        <v>504</v>
      </c>
      <c r="E148" s="7" t="s">
        <v>505</v>
      </c>
      <c r="F148" s="7" t="s">
        <v>1078</v>
      </c>
      <c r="G148" s="9" t="s">
        <v>55</v>
      </c>
    </row>
    <row r="149" spans="1:7" ht="33.75">
      <c r="A149" s="7" t="s">
        <v>501</v>
      </c>
      <c r="B149" s="7" t="s">
        <v>506</v>
      </c>
      <c r="C149" s="7" t="s">
        <v>507</v>
      </c>
      <c r="D149" s="7" t="s">
        <v>508</v>
      </c>
      <c r="E149" s="7" t="s">
        <v>509</v>
      </c>
      <c r="F149" s="7" t="s">
        <v>1078</v>
      </c>
      <c r="G149" s="9" t="s">
        <v>55</v>
      </c>
    </row>
    <row r="150" spans="1:7" ht="33.75">
      <c r="A150" s="7" t="s">
        <v>510</v>
      </c>
      <c r="B150" s="7" t="s">
        <v>511</v>
      </c>
      <c r="C150" s="7" t="s">
        <v>512</v>
      </c>
      <c r="D150" s="7" t="s">
        <v>513</v>
      </c>
      <c r="E150" s="7" t="s">
        <v>514</v>
      </c>
      <c r="F150" s="7" t="s">
        <v>1079</v>
      </c>
      <c r="G150" s="9" t="s">
        <v>55</v>
      </c>
    </row>
    <row r="151" spans="1:7" ht="45">
      <c r="A151" s="7" t="s">
        <v>515</v>
      </c>
      <c r="B151" s="7" t="s">
        <v>516</v>
      </c>
      <c r="C151" s="7" t="s">
        <v>517</v>
      </c>
      <c r="D151" s="7" t="s">
        <v>518</v>
      </c>
      <c r="E151" s="7" t="s">
        <v>519</v>
      </c>
      <c r="F151" s="1" t="s">
        <v>52</v>
      </c>
      <c r="G151" s="9" t="s">
        <v>55</v>
      </c>
    </row>
    <row r="152" spans="1:7" ht="33.75">
      <c r="A152" s="7" t="s">
        <v>520</v>
      </c>
      <c r="B152" s="7" t="s">
        <v>521</v>
      </c>
      <c r="C152" s="7" t="s">
        <v>522</v>
      </c>
      <c r="D152" s="7" t="s">
        <v>523</v>
      </c>
      <c r="E152" s="7" t="s">
        <v>524</v>
      </c>
      <c r="F152" s="7" t="s">
        <v>1078</v>
      </c>
      <c r="G152" s="9" t="s">
        <v>55</v>
      </c>
    </row>
    <row r="153" spans="1:7" ht="33.75">
      <c r="A153" s="7" t="s">
        <v>520</v>
      </c>
      <c r="B153" s="7" t="s">
        <v>525</v>
      </c>
      <c r="C153" s="7" t="s">
        <v>526</v>
      </c>
      <c r="D153" s="7" t="s">
        <v>527</v>
      </c>
      <c r="E153" s="7" t="s">
        <v>528</v>
      </c>
      <c r="F153" s="7" t="s">
        <v>1079</v>
      </c>
      <c r="G153" s="9" t="s">
        <v>55</v>
      </c>
    </row>
    <row r="154" spans="1:7" ht="45">
      <c r="A154" s="7" t="s">
        <v>520</v>
      </c>
      <c r="B154" s="7" t="s">
        <v>529</v>
      </c>
      <c r="C154" s="7" t="s">
        <v>530</v>
      </c>
      <c r="D154" s="7" t="s">
        <v>531</v>
      </c>
      <c r="E154" s="7" t="s">
        <v>532</v>
      </c>
      <c r="F154" s="1" t="s">
        <v>52</v>
      </c>
      <c r="G154" s="9" t="s">
        <v>55</v>
      </c>
    </row>
    <row r="155" spans="1:7" ht="33.75">
      <c r="A155" s="7" t="s">
        <v>533</v>
      </c>
      <c r="B155" s="7" t="s">
        <v>534</v>
      </c>
      <c r="C155" s="7" t="s">
        <v>535</v>
      </c>
      <c r="D155" s="7" t="s">
        <v>536</v>
      </c>
      <c r="E155" s="7" t="s">
        <v>537</v>
      </c>
      <c r="F155" s="8" t="s">
        <v>51</v>
      </c>
      <c r="G155" s="9" t="s">
        <v>55</v>
      </c>
    </row>
    <row r="156" spans="1:7" ht="33.75">
      <c r="A156" s="7" t="s">
        <v>538</v>
      </c>
      <c r="B156" s="7" t="s">
        <v>539</v>
      </c>
      <c r="C156" s="7" t="s">
        <v>540</v>
      </c>
      <c r="D156" s="7" t="s">
        <v>541</v>
      </c>
      <c r="E156" s="7" t="s">
        <v>542</v>
      </c>
      <c r="F156" s="7" t="s">
        <v>1078</v>
      </c>
      <c r="G156" s="9" t="s">
        <v>55</v>
      </c>
    </row>
    <row r="157" spans="1:7" ht="33.75">
      <c r="A157" s="7" t="s">
        <v>538</v>
      </c>
      <c r="B157" s="7" t="s">
        <v>543</v>
      </c>
      <c r="C157" s="7" t="s">
        <v>544</v>
      </c>
      <c r="D157" s="7" t="s">
        <v>545</v>
      </c>
      <c r="E157" s="7" t="s">
        <v>546</v>
      </c>
      <c r="F157" s="7" t="s">
        <v>1078</v>
      </c>
      <c r="G157" s="9" t="s">
        <v>55</v>
      </c>
    </row>
    <row r="158" spans="1:7" ht="45">
      <c r="A158" s="7" t="s">
        <v>538</v>
      </c>
      <c r="B158" s="7" t="s">
        <v>547</v>
      </c>
      <c r="C158" s="7" t="s">
        <v>548</v>
      </c>
      <c r="D158" s="7" t="s">
        <v>549</v>
      </c>
      <c r="E158" s="7" t="s">
        <v>550</v>
      </c>
      <c r="F158" s="1" t="s">
        <v>52</v>
      </c>
      <c r="G158" s="9" t="s">
        <v>55</v>
      </c>
    </row>
    <row r="159" spans="1:7" ht="33.75">
      <c r="A159" s="7" t="s">
        <v>538</v>
      </c>
      <c r="B159" s="7" t="s">
        <v>551</v>
      </c>
      <c r="C159" s="7" t="s">
        <v>552</v>
      </c>
      <c r="D159" s="7" t="s">
        <v>553</v>
      </c>
      <c r="E159" s="7" t="s">
        <v>554</v>
      </c>
      <c r="F159" s="8" t="s">
        <v>51</v>
      </c>
      <c r="G159" s="9" t="s">
        <v>55</v>
      </c>
    </row>
    <row r="160" spans="1:7" ht="45">
      <c r="A160" s="7" t="s">
        <v>538</v>
      </c>
      <c r="B160" s="7" t="s">
        <v>555</v>
      </c>
      <c r="C160" s="7" t="s">
        <v>556</v>
      </c>
      <c r="D160" s="7" t="s">
        <v>557</v>
      </c>
      <c r="E160" s="7" t="s">
        <v>558</v>
      </c>
      <c r="F160" s="1" t="s">
        <v>52</v>
      </c>
      <c r="G160" s="9" t="s">
        <v>55</v>
      </c>
    </row>
    <row r="161" spans="1:7" ht="33.75">
      <c r="A161" s="7" t="s">
        <v>538</v>
      </c>
      <c r="B161" s="7" t="s">
        <v>559</v>
      </c>
      <c r="C161" s="7" t="s">
        <v>560</v>
      </c>
      <c r="D161" s="7" t="s">
        <v>561</v>
      </c>
      <c r="E161" s="7" t="s">
        <v>562</v>
      </c>
      <c r="F161" s="7" t="s">
        <v>1079</v>
      </c>
      <c r="G161" s="9" t="s">
        <v>55</v>
      </c>
    </row>
    <row r="162" spans="1:7" ht="45">
      <c r="A162" s="7" t="s">
        <v>538</v>
      </c>
      <c r="B162" s="7" t="s">
        <v>563</v>
      </c>
      <c r="C162" s="7" t="s">
        <v>564</v>
      </c>
      <c r="D162" s="7" t="s">
        <v>565</v>
      </c>
      <c r="E162" s="7" t="s">
        <v>566</v>
      </c>
      <c r="F162" s="1" t="s">
        <v>52</v>
      </c>
      <c r="G162" s="9" t="s">
        <v>55</v>
      </c>
    </row>
    <row r="163" spans="1:7" ht="45">
      <c r="A163" s="7" t="s">
        <v>538</v>
      </c>
      <c r="B163" s="7" t="s">
        <v>563</v>
      </c>
      <c r="C163" s="7" t="s">
        <v>564</v>
      </c>
      <c r="D163" s="7" t="s">
        <v>567</v>
      </c>
      <c r="E163" s="7" t="s">
        <v>568</v>
      </c>
      <c r="F163" s="1" t="s">
        <v>52</v>
      </c>
      <c r="G163" s="9" t="s">
        <v>55</v>
      </c>
    </row>
    <row r="164" spans="1:7" ht="45">
      <c r="A164" s="7" t="s">
        <v>538</v>
      </c>
      <c r="B164" s="7" t="s">
        <v>569</v>
      </c>
      <c r="C164" s="7" t="s">
        <v>570</v>
      </c>
      <c r="D164" s="7" t="s">
        <v>571</v>
      </c>
      <c r="E164" s="7" t="s">
        <v>572</v>
      </c>
      <c r="F164" s="1" t="s">
        <v>52</v>
      </c>
      <c r="G164" s="9" t="s">
        <v>55</v>
      </c>
    </row>
    <row r="165" spans="1:7" ht="45">
      <c r="A165" s="7" t="s">
        <v>538</v>
      </c>
      <c r="B165" s="7" t="s">
        <v>569</v>
      </c>
      <c r="C165" s="7" t="s">
        <v>570</v>
      </c>
      <c r="D165" s="7" t="s">
        <v>573</v>
      </c>
      <c r="E165" s="7" t="s">
        <v>574</v>
      </c>
      <c r="F165" s="1" t="s">
        <v>52</v>
      </c>
      <c r="G165" s="9" t="s">
        <v>55</v>
      </c>
    </row>
    <row r="166" spans="1:7" ht="29.25" customHeight="1">
      <c r="A166" s="7" t="s">
        <v>538</v>
      </c>
      <c r="B166" s="7" t="s">
        <v>569</v>
      </c>
      <c r="C166" s="7" t="s">
        <v>570</v>
      </c>
      <c r="D166" s="7" t="s">
        <v>148</v>
      </c>
      <c r="E166" s="10" t="s">
        <v>1081</v>
      </c>
      <c r="F166" s="1" t="s">
        <v>1082</v>
      </c>
      <c r="G166" s="9" t="s">
        <v>55</v>
      </c>
    </row>
    <row r="167" spans="1:7" ht="33.75">
      <c r="A167" s="7" t="s">
        <v>575</v>
      </c>
      <c r="B167" s="7" t="s">
        <v>576</v>
      </c>
      <c r="C167" s="7" t="s">
        <v>577</v>
      </c>
      <c r="D167" s="7" t="s">
        <v>578</v>
      </c>
      <c r="E167" s="7" t="s">
        <v>579</v>
      </c>
      <c r="F167" s="8" t="s">
        <v>51</v>
      </c>
      <c r="G167" s="9" t="s">
        <v>55</v>
      </c>
    </row>
    <row r="168" spans="1:7" ht="33.75">
      <c r="A168" s="7" t="s">
        <v>575</v>
      </c>
      <c r="B168" s="7" t="s">
        <v>580</v>
      </c>
      <c r="C168" s="7" t="s">
        <v>581</v>
      </c>
      <c r="D168" s="7" t="s">
        <v>582</v>
      </c>
      <c r="E168" s="7" t="s">
        <v>583</v>
      </c>
      <c r="F168" s="8" t="s">
        <v>51</v>
      </c>
      <c r="G168" s="9" t="s">
        <v>55</v>
      </c>
    </row>
    <row r="169" spans="1:7" ht="30.75" customHeight="1">
      <c r="A169" s="7" t="s">
        <v>575</v>
      </c>
      <c r="B169" s="7" t="s">
        <v>584</v>
      </c>
      <c r="C169" s="7" t="s">
        <v>585</v>
      </c>
      <c r="D169" s="7" t="s">
        <v>148</v>
      </c>
      <c r="E169" s="10" t="s">
        <v>1081</v>
      </c>
      <c r="F169" s="1" t="s">
        <v>1082</v>
      </c>
      <c r="G169" s="9" t="s">
        <v>55</v>
      </c>
    </row>
    <row r="170" spans="1:7" ht="33.75">
      <c r="A170" s="7" t="s">
        <v>82</v>
      </c>
      <c r="B170" s="7" t="s">
        <v>586</v>
      </c>
      <c r="C170" s="7" t="s">
        <v>587</v>
      </c>
      <c r="D170" s="7" t="s">
        <v>588</v>
      </c>
      <c r="E170" s="7" t="s">
        <v>589</v>
      </c>
      <c r="F170" s="8" t="s">
        <v>51</v>
      </c>
      <c r="G170" s="9" t="s">
        <v>55</v>
      </c>
    </row>
    <row r="171" spans="1:7" ht="33.75">
      <c r="A171" s="7" t="s">
        <v>82</v>
      </c>
      <c r="B171" s="7" t="s">
        <v>590</v>
      </c>
      <c r="C171" s="7" t="s">
        <v>591</v>
      </c>
      <c r="D171" s="7" t="s">
        <v>592</v>
      </c>
      <c r="E171" s="7" t="s">
        <v>593</v>
      </c>
      <c r="F171" s="8" t="s">
        <v>51</v>
      </c>
      <c r="G171" s="9" t="s">
        <v>55</v>
      </c>
    </row>
    <row r="172" spans="1:7" ht="33.75">
      <c r="A172" s="7" t="s">
        <v>82</v>
      </c>
      <c r="B172" s="7" t="s">
        <v>594</v>
      </c>
      <c r="C172" s="7" t="s">
        <v>595</v>
      </c>
      <c r="D172" s="7" t="s">
        <v>596</v>
      </c>
      <c r="E172" s="7" t="s">
        <v>597</v>
      </c>
      <c r="F172" s="8" t="s">
        <v>51</v>
      </c>
      <c r="G172" s="9" t="s">
        <v>55</v>
      </c>
    </row>
    <row r="173" spans="1:7" ht="33.75">
      <c r="A173" s="7" t="s">
        <v>82</v>
      </c>
      <c r="B173" s="7" t="s">
        <v>594</v>
      </c>
      <c r="C173" s="7" t="s">
        <v>595</v>
      </c>
      <c r="D173" s="7" t="s">
        <v>598</v>
      </c>
      <c r="E173" s="7" t="s">
        <v>599</v>
      </c>
      <c r="F173" s="8" t="s">
        <v>51</v>
      </c>
      <c r="G173" s="9" t="s">
        <v>55</v>
      </c>
    </row>
    <row r="174" spans="1:7" ht="33.75">
      <c r="A174" s="7" t="s">
        <v>82</v>
      </c>
      <c r="B174" s="7" t="s">
        <v>594</v>
      </c>
      <c r="C174" s="7" t="s">
        <v>595</v>
      </c>
      <c r="D174" s="7" t="s">
        <v>600</v>
      </c>
      <c r="E174" s="7" t="s">
        <v>601</v>
      </c>
      <c r="F174" s="8" t="s">
        <v>51</v>
      </c>
      <c r="G174" s="9" t="s">
        <v>55</v>
      </c>
    </row>
    <row r="175" spans="1:7" ht="33.75">
      <c r="A175" s="7" t="s">
        <v>82</v>
      </c>
      <c r="B175" s="7" t="s">
        <v>602</v>
      </c>
      <c r="C175" s="7" t="s">
        <v>603</v>
      </c>
      <c r="D175" s="7" t="s">
        <v>604</v>
      </c>
      <c r="E175" s="7" t="s">
        <v>605</v>
      </c>
      <c r="F175" s="8" t="s">
        <v>51</v>
      </c>
      <c r="G175" s="9" t="s">
        <v>55</v>
      </c>
    </row>
    <row r="176" spans="1:7" ht="33.75">
      <c r="A176" s="7" t="s">
        <v>82</v>
      </c>
      <c r="B176" s="7" t="s">
        <v>606</v>
      </c>
      <c r="C176" s="7" t="s">
        <v>607</v>
      </c>
      <c r="D176" s="7" t="s">
        <v>608</v>
      </c>
      <c r="E176" s="7" t="s">
        <v>609</v>
      </c>
      <c r="F176" s="8" t="s">
        <v>51</v>
      </c>
      <c r="G176" s="9" t="s">
        <v>55</v>
      </c>
    </row>
    <row r="177" spans="1:7" ht="33.75">
      <c r="A177" s="7" t="s">
        <v>82</v>
      </c>
      <c r="B177" s="7" t="s">
        <v>610</v>
      </c>
      <c r="C177" s="7" t="s">
        <v>611</v>
      </c>
      <c r="D177" s="7" t="s">
        <v>612</v>
      </c>
      <c r="E177" s="7" t="s">
        <v>613</v>
      </c>
      <c r="F177" s="8" t="s">
        <v>51</v>
      </c>
      <c r="G177" s="9" t="s">
        <v>55</v>
      </c>
    </row>
    <row r="178" spans="1:7" ht="33.75">
      <c r="A178" s="7" t="s">
        <v>82</v>
      </c>
      <c r="B178" s="7" t="s">
        <v>610</v>
      </c>
      <c r="C178" s="7" t="s">
        <v>611</v>
      </c>
      <c r="D178" s="7" t="s">
        <v>614</v>
      </c>
      <c r="E178" s="7" t="s">
        <v>615</v>
      </c>
      <c r="F178" s="8" t="s">
        <v>51</v>
      </c>
      <c r="G178" s="9" t="s">
        <v>55</v>
      </c>
    </row>
    <row r="179" spans="1:7" ht="33.75">
      <c r="A179" s="7" t="s">
        <v>82</v>
      </c>
      <c r="B179" s="7" t="s">
        <v>616</v>
      </c>
      <c r="C179" s="7" t="s">
        <v>617</v>
      </c>
      <c r="D179" s="7" t="s">
        <v>181</v>
      </c>
      <c r="E179" s="7" t="s">
        <v>618</v>
      </c>
      <c r="F179" s="8" t="s">
        <v>51</v>
      </c>
      <c r="G179" s="9" t="s">
        <v>55</v>
      </c>
    </row>
    <row r="180" spans="1:7" ht="33.75">
      <c r="A180" s="7" t="s">
        <v>82</v>
      </c>
      <c r="B180" s="7" t="s">
        <v>83</v>
      </c>
      <c r="C180" s="7" t="str">
        <f>MID(E180,1,7)</f>
        <v>2101650</v>
      </c>
      <c r="D180" s="14" t="s">
        <v>60</v>
      </c>
      <c r="E180" s="15" t="s">
        <v>59</v>
      </c>
      <c r="F180" s="8" t="s">
        <v>51</v>
      </c>
      <c r="G180" s="9" t="s">
        <v>55</v>
      </c>
    </row>
    <row r="181" spans="1:7" ht="33.75">
      <c r="A181" s="7" t="s">
        <v>82</v>
      </c>
      <c r="B181" s="7" t="s">
        <v>619</v>
      </c>
      <c r="C181" s="7" t="s">
        <v>620</v>
      </c>
      <c r="D181" s="7" t="s">
        <v>621</v>
      </c>
      <c r="E181" s="7" t="s">
        <v>622</v>
      </c>
      <c r="F181" s="8" t="s">
        <v>51</v>
      </c>
      <c r="G181" s="9" t="s">
        <v>55</v>
      </c>
    </row>
    <row r="182" spans="1:7" ht="33.75">
      <c r="A182" s="7" t="s">
        <v>82</v>
      </c>
      <c r="B182" s="7" t="s">
        <v>623</v>
      </c>
      <c r="C182" s="7" t="s">
        <v>624</v>
      </c>
      <c r="D182" s="7" t="s">
        <v>625</v>
      </c>
      <c r="E182" s="7" t="s">
        <v>626</v>
      </c>
      <c r="F182" s="8" t="s">
        <v>51</v>
      </c>
      <c r="G182" s="9" t="s">
        <v>55</v>
      </c>
    </row>
    <row r="183" spans="1:7" ht="33.75">
      <c r="A183" s="7" t="s">
        <v>82</v>
      </c>
      <c r="B183" s="7" t="s">
        <v>623</v>
      </c>
      <c r="C183" s="7" t="s">
        <v>624</v>
      </c>
      <c r="D183" s="7" t="s">
        <v>627</v>
      </c>
      <c r="E183" s="7" t="s">
        <v>628</v>
      </c>
      <c r="F183" s="8" t="s">
        <v>51</v>
      </c>
      <c r="G183" s="9" t="s">
        <v>55</v>
      </c>
    </row>
    <row r="184" spans="1:7" ht="33.75">
      <c r="A184" s="7" t="s">
        <v>82</v>
      </c>
      <c r="B184" s="7" t="s">
        <v>629</v>
      </c>
      <c r="C184" s="7" t="s">
        <v>630</v>
      </c>
      <c r="D184" s="7" t="s">
        <v>631</v>
      </c>
      <c r="E184" s="7" t="s">
        <v>632</v>
      </c>
      <c r="F184" s="8" t="s">
        <v>51</v>
      </c>
      <c r="G184" s="9" t="s">
        <v>55</v>
      </c>
    </row>
    <row r="185" spans="1:7" ht="33.75">
      <c r="A185" s="7" t="s">
        <v>82</v>
      </c>
      <c r="B185" s="7" t="s">
        <v>633</v>
      </c>
      <c r="C185" s="7" t="s">
        <v>634</v>
      </c>
      <c r="D185" s="7" t="s">
        <v>635</v>
      </c>
      <c r="E185" s="7" t="s">
        <v>636</v>
      </c>
      <c r="F185" s="8" t="s">
        <v>51</v>
      </c>
      <c r="G185" s="9" t="s">
        <v>55</v>
      </c>
    </row>
    <row r="186" spans="1:7" ht="33.75">
      <c r="A186" s="7" t="s">
        <v>82</v>
      </c>
      <c r="B186" s="7" t="s">
        <v>633</v>
      </c>
      <c r="C186" s="7" t="s">
        <v>634</v>
      </c>
      <c r="D186" s="7" t="s">
        <v>637</v>
      </c>
      <c r="E186" s="7" t="s">
        <v>638</v>
      </c>
      <c r="F186" s="8" t="s">
        <v>51</v>
      </c>
      <c r="G186" s="9" t="s">
        <v>55</v>
      </c>
    </row>
    <row r="187" spans="1:7" ht="33.75">
      <c r="A187" s="7" t="s">
        <v>82</v>
      </c>
      <c r="B187" s="7" t="s">
        <v>633</v>
      </c>
      <c r="C187" s="7" t="s">
        <v>634</v>
      </c>
      <c r="D187" s="7" t="s">
        <v>639</v>
      </c>
      <c r="E187" s="7" t="s">
        <v>640</v>
      </c>
      <c r="F187" s="8" t="s">
        <v>51</v>
      </c>
      <c r="G187" s="9" t="s">
        <v>55</v>
      </c>
    </row>
    <row r="188" spans="1:7" ht="33.75">
      <c r="A188" s="7" t="s">
        <v>82</v>
      </c>
      <c r="B188" s="7" t="s">
        <v>633</v>
      </c>
      <c r="C188" s="7" t="s">
        <v>634</v>
      </c>
      <c r="D188" s="7" t="s">
        <v>641</v>
      </c>
      <c r="E188" s="7" t="s">
        <v>642</v>
      </c>
      <c r="F188" s="8" t="s">
        <v>51</v>
      </c>
      <c r="G188" s="9" t="s">
        <v>55</v>
      </c>
    </row>
    <row r="189" spans="1:7" ht="33.75">
      <c r="A189" s="7" t="s">
        <v>82</v>
      </c>
      <c r="B189" s="7" t="s">
        <v>633</v>
      </c>
      <c r="C189" s="7" t="s">
        <v>634</v>
      </c>
      <c r="D189" s="7" t="s">
        <v>643</v>
      </c>
      <c r="E189" s="7" t="s">
        <v>644</v>
      </c>
      <c r="F189" s="8" t="s">
        <v>51</v>
      </c>
      <c r="G189" s="9" t="s">
        <v>55</v>
      </c>
    </row>
    <row r="190" spans="1:7" ht="33.75">
      <c r="A190" s="7" t="s">
        <v>82</v>
      </c>
      <c r="B190" s="7" t="s">
        <v>633</v>
      </c>
      <c r="C190" s="7" t="s">
        <v>634</v>
      </c>
      <c r="D190" s="7" t="s">
        <v>645</v>
      </c>
      <c r="E190" s="7" t="s">
        <v>646</v>
      </c>
      <c r="F190" s="8" t="s">
        <v>51</v>
      </c>
      <c r="G190" s="9" t="s">
        <v>55</v>
      </c>
    </row>
    <row r="191" spans="1:7" ht="33.75">
      <c r="A191" s="7" t="s">
        <v>82</v>
      </c>
      <c r="B191" s="7" t="s">
        <v>633</v>
      </c>
      <c r="C191" s="7" t="s">
        <v>634</v>
      </c>
      <c r="D191" s="7" t="s">
        <v>647</v>
      </c>
      <c r="E191" s="7" t="s">
        <v>648</v>
      </c>
      <c r="F191" s="8" t="s">
        <v>51</v>
      </c>
      <c r="G191" s="9" t="s">
        <v>55</v>
      </c>
    </row>
    <row r="192" spans="1:7" ht="33.75">
      <c r="A192" s="7" t="s">
        <v>82</v>
      </c>
      <c r="B192" s="7" t="s">
        <v>633</v>
      </c>
      <c r="C192" s="7" t="s">
        <v>634</v>
      </c>
      <c r="D192" s="7" t="s">
        <v>649</v>
      </c>
      <c r="E192" s="7" t="s">
        <v>650</v>
      </c>
      <c r="F192" s="8" t="s">
        <v>51</v>
      </c>
      <c r="G192" s="9" t="s">
        <v>55</v>
      </c>
    </row>
    <row r="193" spans="1:7" ht="33.75">
      <c r="A193" s="7" t="s">
        <v>82</v>
      </c>
      <c r="B193" s="7" t="s">
        <v>633</v>
      </c>
      <c r="C193" s="7" t="s">
        <v>634</v>
      </c>
      <c r="D193" s="7" t="s">
        <v>651</v>
      </c>
      <c r="E193" s="7" t="s">
        <v>652</v>
      </c>
      <c r="F193" s="8" t="s">
        <v>51</v>
      </c>
      <c r="G193" s="9" t="s">
        <v>55</v>
      </c>
    </row>
    <row r="194" spans="1:7" ht="33.75">
      <c r="A194" s="7" t="s">
        <v>82</v>
      </c>
      <c r="B194" s="7" t="s">
        <v>653</v>
      </c>
      <c r="C194" s="7" t="s">
        <v>654</v>
      </c>
      <c r="D194" s="7" t="s">
        <v>655</v>
      </c>
      <c r="E194" s="7" t="s">
        <v>656</v>
      </c>
      <c r="F194" s="8" t="s">
        <v>51</v>
      </c>
      <c r="G194" s="9" t="s">
        <v>55</v>
      </c>
    </row>
    <row r="195" spans="1:7" ht="33.75">
      <c r="A195" s="7" t="s">
        <v>82</v>
      </c>
      <c r="B195" s="7" t="s">
        <v>657</v>
      </c>
      <c r="C195" s="7" t="s">
        <v>658</v>
      </c>
      <c r="D195" s="7" t="s">
        <v>659</v>
      </c>
      <c r="E195" s="7" t="s">
        <v>660</v>
      </c>
      <c r="F195" s="8" t="s">
        <v>51</v>
      </c>
      <c r="G195" s="9" t="s">
        <v>55</v>
      </c>
    </row>
    <row r="196" spans="1:7" ht="33.75">
      <c r="A196" s="7" t="s">
        <v>82</v>
      </c>
      <c r="B196" s="7" t="s">
        <v>657</v>
      </c>
      <c r="C196" s="7" t="s">
        <v>658</v>
      </c>
      <c r="D196" s="7" t="s">
        <v>661</v>
      </c>
      <c r="E196" s="7" t="s">
        <v>662</v>
      </c>
      <c r="F196" s="8" t="s">
        <v>51</v>
      </c>
      <c r="G196" s="9" t="s">
        <v>55</v>
      </c>
    </row>
    <row r="197" spans="1:7" ht="33.75">
      <c r="A197" s="7" t="s">
        <v>82</v>
      </c>
      <c r="B197" s="7" t="s">
        <v>663</v>
      </c>
      <c r="C197" s="7" t="s">
        <v>664</v>
      </c>
      <c r="D197" s="7" t="s">
        <v>665</v>
      </c>
      <c r="E197" s="7" t="s">
        <v>666</v>
      </c>
      <c r="F197" s="8" t="s">
        <v>51</v>
      </c>
      <c r="G197" s="9" t="s">
        <v>55</v>
      </c>
    </row>
    <row r="198" spans="1:7" ht="33.75">
      <c r="A198" s="7" t="s">
        <v>82</v>
      </c>
      <c r="B198" s="7" t="s">
        <v>667</v>
      </c>
      <c r="C198" s="7" t="s">
        <v>668</v>
      </c>
      <c r="D198" s="7" t="s">
        <v>669</v>
      </c>
      <c r="E198" s="7" t="s">
        <v>670</v>
      </c>
      <c r="F198" s="8" t="s">
        <v>51</v>
      </c>
      <c r="G198" s="9" t="s">
        <v>55</v>
      </c>
    </row>
    <row r="199" spans="1:7" ht="33.75">
      <c r="A199" s="7" t="s">
        <v>82</v>
      </c>
      <c r="B199" s="7" t="s">
        <v>671</v>
      </c>
      <c r="C199" s="7" t="s">
        <v>672</v>
      </c>
      <c r="D199" s="7" t="s">
        <v>673</v>
      </c>
      <c r="E199" s="7" t="s">
        <v>674</v>
      </c>
      <c r="F199" s="8" t="s">
        <v>51</v>
      </c>
      <c r="G199" s="9" t="s">
        <v>55</v>
      </c>
    </row>
    <row r="200" spans="1:7" ht="33.75">
      <c r="A200" s="7" t="s">
        <v>82</v>
      </c>
      <c r="B200" s="7" t="s">
        <v>671</v>
      </c>
      <c r="C200" s="7" t="s">
        <v>672</v>
      </c>
      <c r="D200" s="7" t="s">
        <v>675</v>
      </c>
      <c r="E200" s="7" t="s">
        <v>676</v>
      </c>
      <c r="F200" s="8" t="s">
        <v>51</v>
      </c>
      <c r="G200" s="9" t="s">
        <v>55</v>
      </c>
    </row>
    <row r="201" spans="1:7" ht="33.75">
      <c r="A201" s="7" t="s">
        <v>82</v>
      </c>
      <c r="B201" s="7" t="s">
        <v>677</v>
      </c>
      <c r="C201" s="7" t="s">
        <v>678</v>
      </c>
      <c r="D201" s="7" t="s">
        <v>679</v>
      </c>
      <c r="E201" s="7" t="s">
        <v>680</v>
      </c>
      <c r="F201" s="8" t="s">
        <v>51</v>
      </c>
      <c r="G201" s="9" t="s">
        <v>55</v>
      </c>
    </row>
    <row r="202" spans="1:7" ht="33.75">
      <c r="A202" s="7" t="s">
        <v>82</v>
      </c>
      <c r="B202" s="7" t="s">
        <v>681</v>
      </c>
      <c r="C202" s="7" t="s">
        <v>682</v>
      </c>
      <c r="D202" s="7" t="s">
        <v>683</v>
      </c>
      <c r="E202" s="7" t="s">
        <v>684</v>
      </c>
      <c r="F202" s="8" t="s">
        <v>51</v>
      </c>
      <c r="G202" s="9" t="s">
        <v>55</v>
      </c>
    </row>
    <row r="203" spans="1:7" ht="33.75">
      <c r="A203" s="7" t="s">
        <v>82</v>
      </c>
      <c r="B203" s="7" t="s">
        <v>685</v>
      </c>
      <c r="C203" s="7" t="s">
        <v>686</v>
      </c>
      <c r="D203" s="7" t="s">
        <v>687</v>
      </c>
      <c r="E203" s="7" t="s">
        <v>688</v>
      </c>
      <c r="F203" s="8" t="s">
        <v>51</v>
      </c>
      <c r="G203" s="9" t="s">
        <v>55</v>
      </c>
    </row>
    <row r="204" spans="1:7" ht="33.75">
      <c r="A204" s="7" t="s">
        <v>82</v>
      </c>
      <c r="B204" s="7" t="s">
        <v>689</v>
      </c>
      <c r="C204" s="7" t="s">
        <v>690</v>
      </c>
      <c r="D204" s="7" t="s">
        <v>691</v>
      </c>
      <c r="E204" s="7" t="s">
        <v>692</v>
      </c>
      <c r="F204" s="8" t="s">
        <v>51</v>
      </c>
      <c r="G204" s="9" t="s">
        <v>55</v>
      </c>
    </row>
    <row r="205" spans="1:7" ht="33.75">
      <c r="A205" s="7" t="s">
        <v>82</v>
      </c>
      <c r="B205" s="7" t="s">
        <v>693</v>
      </c>
      <c r="C205" s="7" t="s">
        <v>694</v>
      </c>
      <c r="D205" s="7" t="s">
        <v>695</v>
      </c>
      <c r="E205" s="7" t="s">
        <v>696</v>
      </c>
      <c r="F205" s="8" t="s">
        <v>51</v>
      </c>
      <c r="G205" s="9" t="s">
        <v>55</v>
      </c>
    </row>
    <row r="206" spans="1:7" ht="33.75">
      <c r="A206" s="7" t="s">
        <v>82</v>
      </c>
      <c r="B206" s="7" t="s">
        <v>693</v>
      </c>
      <c r="C206" s="7" t="s">
        <v>694</v>
      </c>
      <c r="D206" s="7" t="s">
        <v>697</v>
      </c>
      <c r="E206" s="7" t="s">
        <v>698</v>
      </c>
      <c r="F206" s="8" t="s">
        <v>51</v>
      </c>
      <c r="G206" s="9" t="s">
        <v>55</v>
      </c>
    </row>
    <row r="207" spans="1:7" ht="33.75">
      <c r="A207" s="7" t="s">
        <v>82</v>
      </c>
      <c r="B207" s="7" t="s">
        <v>699</v>
      </c>
      <c r="C207" s="7" t="s">
        <v>700</v>
      </c>
      <c r="D207" s="7" t="s">
        <v>701</v>
      </c>
      <c r="E207" s="7" t="s">
        <v>702</v>
      </c>
      <c r="F207" s="8" t="s">
        <v>51</v>
      </c>
      <c r="G207" s="9" t="s">
        <v>55</v>
      </c>
    </row>
    <row r="208" spans="1:7" ht="33.75">
      <c r="A208" s="7" t="s">
        <v>82</v>
      </c>
      <c r="B208" s="7" t="s">
        <v>699</v>
      </c>
      <c r="C208" s="7" t="s">
        <v>700</v>
      </c>
      <c r="D208" s="7" t="s">
        <v>703</v>
      </c>
      <c r="E208" s="7" t="s">
        <v>704</v>
      </c>
      <c r="F208" s="8" t="s">
        <v>51</v>
      </c>
      <c r="G208" s="9" t="s">
        <v>55</v>
      </c>
    </row>
    <row r="209" spans="1:7" ht="45">
      <c r="A209" s="7" t="s">
        <v>705</v>
      </c>
      <c r="B209" s="7" t="s">
        <v>706</v>
      </c>
      <c r="C209" s="7" t="s">
        <v>707</v>
      </c>
      <c r="D209" s="7" t="s">
        <v>708</v>
      </c>
      <c r="E209" s="7" t="s">
        <v>709</v>
      </c>
      <c r="F209" s="1" t="s">
        <v>52</v>
      </c>
      <c r="G209" s="9" t="s">
        <v>55</v>
      </c>
    </row>
    <row r="210" spans="1:7" ht="33.75">
      <c r="A210" s="7" t="s">
        <v>705</v>
      </c>
      <c r="B210" s="7" t="s">
        <v>710</v>
      </c>
      <c r="C210" s="7" t="s">
        <v>711</v>
      </c>
      <c r="D210" s="7" t="s">
        <v>712</v>
      </c>
      <c r="E210" s="7" t="s">
        <v>713</v>
      </c>
      <c r="F210" s="8" t="s">
        <v>51</v>
      </c>
      <c r="G210" s="9" t="s">
        <v>55</v>
      </c>
    </row>
    <row r="211" spans="1:7" ht="33.75">
      <c r="A211" s="7" t="s">
        <v>705</v>
      </c>
      <c r="B211" s="7" t="s">
        <v>710</v>
      </c>
      <c r="C211" s="7" t="s">
        <v>711</v>
      </c>
      <c r="D211" s="7" t="s">
        <v>714</v>
      </c>
      <c r="E211" s="7" t="s">
        <v>715</v>
      </c>
      <c r="F211" s="8" t="s">
        <v>51</v>
      </c>
      <c r="G211" s="9" t="s">
        <v>55</v>
      </c>
    </row>
    <row r="212" spans="1:7" ht="33.75">
      <c r="A212" s="7" t="s">
        <v>705</v>
      </c>
      <c r="B212" s="7" t="s">
        <v>710</v>
      </c>
      <c r="C212" s="7" t="s">
        <v>711</v>
      </c>
      <c r="D212" s="7" t="s">
        <v>716</v>
      </c>
      <c r="E212" s="7" t="s">
        <v>717</v>
      </c>
      <c r="F212" s="8" t="s">
        <v>51</v>
      </c>
      <c r="G212" s="9" t="s">
        <v>55</v>
      </c>
    </row>
    <row r="213" spans="1:7" ht="33.75">
      <c r="A213" s="7" t="s">
        <v>705</v>
      </c>
      <c r="B213" s="7" t="s">
        <v>710</v>
      </c>
      <c r="C213" s="7" t="s">
        <v>711</v>
      </c>
      <c r="D213" s="7" t="s">
        <v>148</v>
      </c>
      <c r="E213" s="10" t="s">
        <v>1081</v>
      </c>
      <c r="F213" s="8" t="s">
        <v>51</v>
      </c>
      <c r="G213" s="9" t="s">
        <v>55</v>
      </c>
    </row>
    <row r="214" spans="1:7" ht="33.75">
      <c r="A214" s="7" t="s">
        <v>718</v>
      </c>
      <c r="B214" s="7" t="s">
        <v>719</v>
      </c>
      <c r="C214" s="7" t="s">
        <v>720</v>
      </c>
      <c r="D214" s="7" t="s">
        <v>719</v>
      </c>
      <c r="E214" s="7" t="s">
        <v>721</v>
      </c>
      <c r="F214" s="8" t="s">
        <v>51</v>
      </c>
      <c r="G214" s="9" t="s">
        <v>55</v>
      </c>
    </row>
    <row r="215" spans="1:7" ht="45">
      <c r="A215" s="7" t="s">
        <v>718</v>
      </c>
      <c r="B215" s="7" t="s">
        <v>722</v>
      </c>
      <c r="C215" s="7" t="s">
        <v>723</v>
      </c>
      <c r="D215" s="7" t="s">
        <v>722</v>
      </c>
      <c r="E215" s="7" t="s">
        <v>724</v>
      </c>
      <c r="F215" s="1" t="s">
        <v>52</v>
      </c>
      <c r="G215" s="9" t="s">
        <v>55</v>
      </c>
    </row>
    <row r="216" spans="1:7" ht="30.75" customHeight="1">
      <c r="A216" s="7" t="s">
        <v>718</v>
      </c>
      <c r="B216" s="7" t="s">
        <v>722</v>
      </c>
      <c r="C216" s="7" t="s">
        <v>723</v>
      </c>
      <c r="D216" s="7" t="s">
        <v>148</v>
      </c>
      <c r="E216" s="10" t="s">
        <v>1081</v>
      </c>
      <c r="F216" s="1" t="s">
        <v>1082</v>
      </c>
      <c r="G216" s="9" t="s">
        <v>55</v>
      </c>
    </row>
    <row r="217" spans="1:7" ht="33.75">
      <c r="A217" s="7" t="s">
        <v>718</v>
      </c>
      <c r="B217" s="7" t="s">
        <v>725</v>
      </c>
      <c r="C217" s="7" t="s">
        <v>726</v>
      </c>
      <c r="D217" s="7" t="s">
        <v>727</v>
      </c>
      <c r="E217" s="7" t="s">
        <v>728</v>
      </c>
      <c r="F217" s="7" t="s">
        <v>1078</v>
      </c>
      <c r="G217" s="9" t="s">
        <v>55</v>
      </c>
    </row>
    <row r="218" spans="1:7" ht="45">
      <c r="A218" s="7" t="s">
        <v>718</v>
      </c>
      <c r="B218" s="7" t="s">
        <v>729</v>
      </c>
      <c r="C218" s="7" t="s">
        <v>730</v>
      </c>
      <c r="D218" s="7" t="s">
        <v>731</v>
      </c>
      <c r="E218" s="7" t="s">
        <v>732</v>
      </c>
      <c r="F218" s="1" t="s">
        <v>52</v>
      </c>
      <c r="G218" s="9" t="s">
        <v>55</v>
      </c>
    </row>
    <row r="219" spans="1:7" ht="60">
      <c r="A219" s="7" t="s">
        <v>718</v>
      </c>
      <c r="B219" s="7" t="s">
        <v>729</v>
      </c>
      <c r="C219" s="7" t="s">
        <v>730</v>
      </c>
      <c r="D219" s="7" t="s">
        <v>733</v>
      </c>
      <c r="E219" s="7" t="s">
        <v>734</v>
      </c>
      <c r="F219" s="1" t="s">
        <v>1080</v>
      </c>
      <c r="G219" s="9" t="s">
        <v>55</v>
      </c>
    </row>
    <row r="220" spans="1:7" ht="33.75">
      <c r="A220" s="7" t="s">
        <v>718</v>
      </c>
      <c r="B220" s="7" t="s">
        <v>729</v>
      </c>
      <c r="C220" s="7" t="s">
        <v>730</v>
      </c>
      <c r="D220" s="7" t="s">
        <v>735</v>
      </c>
      <c r="E220" s="7" t="s">
        <v>736</v>
      </c>
      <c r="F220" s="8" t="s">
        <v>51</v>
      </c>
      <c r="G220" s="9" t="s">
        <v>55</v>
      </c>
    </row>
    <row r="221" spans="1:7" ht="60">
      <c r="A221" s="7" t="s">
        <v>718</v>
      </c>
      <c r="B221" s="7" t="s">
        <v>729</v>
      </c>
      <c r="C221" s="7" t="s">
        <v>730</v>
      </c>
      <c r="D221" s="7" t="s">
        <v>737</v>
      </c>
      <c r="E221" s="7" t="s">
        <v>738</v>
      </c>
      <c r="F221" s="1" t="s">
        <v>1080</v>
      </c>
      <c r="G221" s="9" t="s">
        <v>55</v>
      </c>
    </row>
    <row r="222" spans="1:7" ht="33.75">
      <c r="A222" s="7" t="s">
        <v>718</v>
      </c>
      <c r="B222" s="7" t="s">
        <v>729</v>
      </c>
      <c r="C222" s="7" t="s">
        <v>730</v>
      </c>
      <c r="D222" s="7" t="s">
        <v>739</v>
      </c>
      <c r="E222" s="7" t="s">
        <v>740</v>
      </c>
      <c r="F222" s="8" t="s">
        <v>51</v>
      </c>
      <c r="G222" s="9" t="s">
        <v>55</v>
      </c>
    </row>
    <row r="223" spans="1:7" ht="45">
      <c r="A223" s="7" t="s">
        <v>718</v>
      </c>
      <c r="B223" s="7" t="s">
        <v>729</v>
      </c>
      <c r="C223" s="7" t="s">
        <v>730</v>
      </c>
      <c r="D223" s="7" t="s">
        <v>741</v>
      </c>
      <c r="E223" s="7" t="s">
        <v>742</v>
      </c>
      <c r="F223" s="1" t="s">
        <v>52</v>
      </c>
      <c r="G223" s="9" t="s">
        <v>55</v>
      </c>
    </row>
    <row r="224" spans="1:7" ht="45">
      <c r="A224" s="7" t="s">
        <v>718</v>
      </c>
      <c r="B224" s="7" t="s">
        <v>729</v>
      </c>
      <c r="C224" s="7" t="s">
        <v>730</v>
      </c>
      <c r="D224" s="7" t="s">
        <v>743</v>
      </c>
      <c r="E224" s="7" t="s">
        <v>744</v>
      </c>
      <c r="F224" s="1" t="s">
        <v>52</v>
      </c>
      <c r="G224" s="9" t="s">
        <v>55</v>
      </c>
    </row>
    <row r="225" spans="1:7" ht="33.75">
      <c r="A225" s="7" t="s">
        <v>718</v>
      </c>
      <c r="B225" s="7" t="s">
        <v>729</v>
      </c>
      <c r="C225" s="7" t="s">
        <v>730</v>
      </c>
      <c r="D225" s="7" t="s">
        <v>745</v>
      </c>
      <c r="E225" s="7" t="s">
        <v>746</v>
      </c>
      <c r="F225" s="8" t="s">
        <v>51</v>
      </c>
      <c r="G225" s="9" t="s">
        <v>55</v>
      </c>
    </row>
    <row r="226" spans="1:7" ht="60">
      <c r="A226" s="7" t="s">
        <v>718</v>
      </c>
      <c r="B226" s="7" t="s">
        <v>729</v>
      </c>
      <c r="C226" s="7" t="s">
        <v>730</v>
      </c>
      <c r="D226" s="7" t="s">
        <v>747</v>
      </c>
      <c r="E226" s="7" t="s">
        <v>748</v>
      </c>
      <c r="F226" s="1" t="s">
        <v>1080</v>
      </c>
      <c r="G226" s="9" t="s">
        <v>55</v>
      </c>
    </row>
    <row r="227" spans="1:7" ht="60">
      <c r="A227" s="7" t="s">
        <v>718</v>
      </c>
      <c r="B227" s="7" t="s">
        <v>749</v>
      </c>
      <c r="C227" s="7" t="s">
        <v>750</v>
      </c>
      <c r="D227" s="7" t="s">
        <v>751</v>
      </c>
      <c r="E227" s="7" t="s">
        <v>752</v>
      </c>
      <c r="F227" s="1" t="s">
        <v>1080</v>
      </c>
      <c r="G227" s="9" t="s">
        <v>55</v>
      </c>
    </row>
    <row r="228" spans="1:7" ht="45">
      <c r="A228" s="7" t="s">
        <v>718</v>
      </c>
      <c r="B228" s="7" t="s">
        <v>753</v>
      </c>
      <c r="C228" s="7" t="s">
        <v>754</v>
      </c>
      <c r="D228" s="7" t="s">
        <v>755</v>
      </c>
      <c r="E228" s="7" t="s">
        <v>756</v>
      </c>
      <c r="F228" s="1" t="s">
        <v>52</v>
      </c>
      <c r="G228" s="9" t="s">
        <v>55</v>
      </c>
    </row>
    <row r="229" spans="1:7" ht="33.75">
      <c r="A229" s="7" t="s">
        <v>718</v>
      </c>
      <c r="B229" s="7" t="s">
        <v>757</v>
      </c>
      <c r="C229" s="7" t="s">
        <v>758</v>
      </c>
      <c r="D229" s="7" t="s">
        <v>759</v>
      </c>
      <c r="E229" s="7" t="s">
        <v>760</v>
      </c>
      <c r="F229" s="8" t="s">
        <v>51</v>
      </c>
      <c r="G229" s="9" t="s">
        <v>55</v>
      </c>
    </row>
    <row r="230" spans="1:7" ht="45">
      <c r="A230" s="7" t="s">
        <v>718</v>
      </c>
      <c r="B230" s="7" t="s">
        <v>761</v>
      </c>
      <c r="C230" s="7" t="s">
        <v>762</v>
      </c>
      <c r="D230" s="7" t="s">
        <v>763</v>
      </c>
      <c r="E230" s="7" t="s">
        <v>764</v>
      </c>
      <c r="F230" s="1" t="s">
        <v>52</v>
      </c>
      <c r="G230" s="9" t="s">
        <v>55</v>
      </c>
    </row>
    <row r="231" spans="1:7" ht="45">
      <c r="A231" s="7" t="s">
        <v>718</v>
      </c>
      <c r="B231" s="7" t="s">
        <v>765</v>
      </c>
      <c r="C231" s="7" t="s">
        <v>766</v>
      </c>
      <c r="D231" s="7" t="s">
        <v>767</v>
      </c>
      <c r="E231" s="7" t="s">
        <v>768</v>
      </c>
      <c r="F231" s="1" t="s">
        <v>52</v>
      </c>
      <c r="G231" s="9" t="s">
        <v>55</v>
      </c>
    </row>
    <row r="232" spans="1:7" ht="45">
      <c r="A232" s="7" t="s">
        <v>718</v>
      </c>
      <c r="B232" s="7" t="s">
        <v>769</v>
      </c>
      <c r="C232" s="7" t="s">
        <v>770</v>
      </c>
      <c r="D232" s="7" t="s">
        <v>771</v>
      </c>
      <c r="E232" s="7" t="s">
        <v>772</v>
      </c>
      <c r="F232" s="1" t="s">
        <v>52</v>
      </c>
      <c r="G232" s="9" t="s">
        <v>55</v>
      </c>
    </row>
    <row r="233" spans="1:7" ht="33.75">
      <c r="A233" s="7" t="s">
        <v>718</v>
      </c>
      <c r="B233" s="7" t="s">
        <v>773</v>
      </c>
      <c r="C233" s="7" t="s">
        <v>774</v>
      </c>
      <c r="D233" s="7" t="s">
        <v>775</v>
      </c>
      <c r="E233" s="7" t="s">
        <v>776</v>
      </c>
      <c r="F233" s="8" t="s">
        <v>51</v>
      </c>
      <c r="G233" s="9" t="s">
        <v>55</v>
      </c>
    </row>
    <row r="234" spans="1:7" ht="33.75">
      <c r="A234" s="7" t="s">
        <v>84</v>
      </c>
      <c r="B234" s="7" t="s">
        <v>85</v>
      </c>
      <c r="C234" s="7" t="str">
        <f>MID(E234,1,7)</f>
        <v>2723580</v>
      </c>
      <c r="D234" s="14" t="s">
        <v>62</v>
      </c>
      <c r="E234" s="15" t="s">
        <v>61</v>
      </c>
      <c r="F234" s="8" t="s">
        <v>51</v>
      </c>
      <c r="G234" s="9" t="s">
        <v>55</v>
      </c>
    </row>
    <row r="235" spans="1:7" ht="45">
      <c r="A235" s="7" t="s">
        <v>777</v>
      </c>
      <c r="B235" s="7" t="s">
        <v>778</v>
      </c>
      <c r="C235" s="7" t="s">
        <v>779</v>
      </c>
      <c r="D235" s="7" t="s">
        <v>780</v>
      </c>
      <c r="E235" s="7" t="s">
        <v>781</v>
      </c>
      <c r="F235" s="1" t="s">
        <v>52</v>
      </c>
      <c r="G235" s="9" t="s">
        <v>55</v>
      </c>
    </row>
    <row r="236" spans="1:7" ht="33.75">
      <c r="A236" s="7" t="s">
        <v>777</v>
      </c>
      <c r="B236" s="7" t="s">
        <v>782</v>
      </c>
      <c r="C236" s="7" t="s">
        <v>783</v>
      </c>
      <c r="D236" s="7" t="s">
        <v>784</v>
      </c>
      <c r="E236" s="7" t="s">
        <v>785</v>
      </c>
      <c r="F236" s="7" t="s">
        <v>1079</v>
      </c>
      <c r="G236" s="9" t="s">
        <v>55</v>
      </c>
    </row>
    <row r="237" spans="1:7" ht="33.75">
      <c r="A237" s="7" t="s">
        <v>777</v>
      </c>
      <c r="B237" s="7" t="s">
        <v>782</v>
      </c>
      <c r="C237" s="7" t="s">
        <v>783</v>
      </c>
      <c r="D237" s="7" t="s">
        <v>786</v>
      </c>
      <c r="E237" s="7" t="s">
        <v>787</v>
      </c>
      <c r="F237" s="7" t="s">
        <v>1079</v>
      </c>
      <c r="G237" s="9" t="s">
        <v>55</v>
      </c>
    </row>
    <row r="238" spans="1:7" ht="33.75">
      <c r="A238" s="7" t="s">
        <v>777</v>
      </c>
      <c r="B238" s="7" t="s">
        <v>782</v>
      </c>
      <c r="C238" s="7" t="s">
        <v>783</v>
      </c>
      <c r="D238" s="7" t="s">
        <v>788</v>
      </c>
      <c r="E238" s="7" t="s">
        <v>789</v>
      </c>
      <c r="F238" s="7" t="s">
        <v>1079</v>
      </c>
      <c r="G238" s="9" t="s">
        <v>55</v>
      </c>
    </row>
    <row r="239" spans="1:7" ht="33.75">
      <c r="A239" s="7" t="s">
        <v>777</v>
      </c>
      <c r="B239" s="7" t="s">
        <v>782</v>
      </c>
      <c r="C239" s="7" t="s">
        <v>783</v>
      </c>
      <c r="D239" s="7" t="s">
        <v>790</v>
      </c>
      <c r="E239" s="7" t="s">
        <v>791</v>
      </c>
      <c r="F239" s="7" t="s">
        <v>1079</v>
      </c>
      <c r="G239" s="9" t="s">
        <v>55</v>
      </c>
    </row>
    <row r="240" spans="1:7" ht="33.75">
      <c r="A240" s="7" t="s">
        <v>777</v>
      </c>
      <c r="B240" s="7" t="s">
        <v>782</v>
      </c>
      <c r="C240" s="7" t="s">
        <v>783</v>
      </c>
      <c r="D240" s="7" t="s">
        <v>792</v>
      </c>
      <c r="E240" s="7" t="s">
        <v>793</v>
      </c>
      <c r="F240" s="7" t="s">
        <v>1079</v>
      </c>
      <c r="G240" s="9" t="s">
        <v>55</v>
      </c>
    </row>
    <row r="241" spans="1:7" ht="33.75">
      <c r="A241" s="7" t="s">
        <v>794</v>
      </c>
      <c r="B241" s="7" t="s">
        <v>795</v>
      </c>
      <c r="C241" s="7" t="s">
        <v>796</v>
      </c>
      <c r="D241" s="7" t="s">
        <v>148</v>
      </c>
      <c r="E241" s="10" t="s">
        <v>1081</v>
      </c>
      <c r="F241" s="8" t="s">
        <v>51</v>
      </c>
      <c r="G241" s="9" t="s">
        <v>55</v>
      </c>
    </row>
    <row r="242" spans="1:7" ht="33.75">
      <c r="A242" s="7" t="s">
        <v>794</v>
      </c>
      <c r="B242" s="7" t="s">
        <v>797</v>
      </c>
      <c r="C242" s="7" t="s">
        <v>798</v>
      </c>
      <c r="D242" s="7" t="s">
        <v>799</v>
      </c>
      <c r="E242" s="7" t="s">
        <v>800</v>
      </c>
      <c r="F242" s="8" t="s">
        <v>51</v>
      </c>
      <c r="G242" s="9" t="s">
        <v>55</v>
      </c>
    </row>
    <row r="243" spans="1:7" ht="33.75">
      <c r="A243" s="7" t="s">
        <v>794</v>
      </c>
      <c r="B243" s="7" t="s">
        <v>797</v>
      </c>
      <c r="C243" s="7" t="s">
        <v>798</v>
      </c>
      <c r="D243" s="7" t="s">
        <v>801</v>
      </c>
      <c r="E243" s="7" t="s">
        <v>802</v>
      </c>
      <c r="F243" s="8" t="s">
        <v>51</v>
      </c>
      <c r="G243" s="9" t="s">
        <v>55</v>
      </c>
    </row>
    <row r="244" spans="1:7" ht="33.75">
      <c r="A244" s="7" t="s">
        <v>794</v>
      </c>
      <c r="B244" s="7" t="s">
        <v>797</v>
      </c>
      <c r="C244" s="7" t="s">
        <v>798</v>
      </c>
      <c r="D244" s="7" t="s">
        <v>803</v>
      </c>
      <c r="E244" s="7" t="s">
        <v>804</v>
      </c>
      <c r="F244" s="8" t="s">
        <v>51</v>
      </c>
      <c r="G244" s="9" t="s">
        <v>55</v>
      </c>
    </row>
    <row r="245" spans="1:7" ht="33.75">
      <c r="A245" s="7" t="s">
        <v>794</v>
      </c>
      <c r="B245" s="7" t="s">
        <v>797</v>
      </c>
      <c r="C245" s="7" t="s">
        <v>798</v>
      </c>
      <c r="D245" s="7" t="s">
        <v>148</v>
      </c>
      <c r="E245" s="10" t="s">
        <v>1081</v>
      </c>
      <c r="F245" s="8" t="s">
        <v>51</v>
      </c>
      <c r="G245" s="9" t="s">
        <v>55</v>
      </c>
    </row>
    <row r="246" spans="1:7" ht="45">
      <c r="A246" s="7" t="s">
        <v>794</v>
      </c>
      <c r="B246" s="7" t="s">
        <v>805</v>
      </c>
      <c r="C246" s="7" t="s">
        <v>806</v>
      </c>
      <c r="D246" s="7" t="s">
        <v>807</v>
      </c>
      <c r="E246" s="7" t="s">
        <v>808</v>
      </c>
      <c r="F246" s="1" t="s">
        <v>52</v>
      </c>
      <c r="G246" s="9" t="s">
        <v>55</v>
      </c>
    </row>
    <row r="247" spans="1:7" ht="33.75">
      <c r="A247" s="7" t="s">
        <v>794</v>
      </c>
      <c r="B247" s="7" t="s">
        <v>809</v>
      </c>
      <c r="C247" s="7" t="s">
        <v>810</v>
      </c>
      <c r="D247" s="7" t="s">
        <v>148</v>
      </c>
      <c r="E247" s="10" t="s">
        <v>1081</v>
      </c>
      <c r="F247" s="8" t="s">
        <v>51</v>
      </c>
      <c r="G247" s="9" t="s">
        <v>55</v>
      </c>
    </row>
    <row r="248" spans="1:7" ht="45">
      <c r="A248" s="7" t="s">
        <v>794</v>
      </c>
      <c r="B248" s="7" t="s">
        <v>811</v>
      </c>
      <c r="C248" s="7" t="s">
        <v>812</v>
      </c>
      <c r="D248" s="7" t="s">
        <v>813</v>
      </c>
      <c r="E248" s="7" t="s">
        <v>814</v>
      </c>
      <c r="F248" s="1" t="s">
        <v>52</v>
      </c>
      <c r="G248" s="9" t="s">
        <v>55</v>
      </c>
    </row>
    <row r="249" spans="1:7" ht="45">
      <c r="A249" s="7" t="s">
        <v>794</v>
      </c>
      <c r="B249" s="7" t="s">
        <v>815</v>
      </c>
      <c r="C249" s="7" t="s">
        <v>816</v>
      </c>
      <c r="D249" s="7" t="s">
        <v>817</v>
      </c>
      <c r="E249" s="7" t="s">
        <v>818</v>
      </c>
      <c r="F249" s="1" t="s">
        <v>52</v>
      </c>
      <c r="G249" s="9" t="s">
        <v>55</v>
      </c>
    </row>
    <row r="250" spans="1:7" ht="45">
      <c r="A250" s="7" t="s">
        <v>819</v>
      </c>
      <c r="B250" s="7" t="s">
        <v>820</v>
      </c>
      <c r="C250" s="7" t="s">
        <v>821</v>
      </c>
      <c r="D250" s="7" t="s">
        <v>822</v>
      </c>
      <c r="E250" s="7" t="s">
        <v>823</v>
      </c>
      <c r="F250" s="1" t="s">
        <v>52</v>
      </c>
      <c r="G250" s="9" t="s">
        <v>55</v>
      </c>
    </row>
    <row r="251" spans="1:7" ht="30" customHeight="1">
      <c r="A251" s="7" t="s">
        <v>819</v>
      </c>
      <c r="B251" s="7" t="s">
        <v>820</v>
      </c>
      <c r="C251" s="7" t="s">
        <v>821</v>
      </c>
      <c r="D251" s="7" t="s">
        <v>148</v>
      </c>
      <c r="E251" s="10" t="s">
        <v>1081</v>
      </c>
      <c r="F251" s="1" t="s">
        <v>1082</v>
      </c>
      <c r="G251" s="9" t="s">
        <v>55</v>
      </c>
    </row>
    <row r="252" spans="1:7" ht="45">
      <c r="A252" s="7" t="s">
        <v>819</v>
      </c>
      <c r="B252" s="7" t="s">
        <v>824</v>
      </c>
      <c r="C252" s="7" t="s">
        <v>825</v>
      </c>
      <c r="D252" s="7" t="s">
        <v>826</v>
      </c>
      <c r="E252" s="7" t="s">
        <v>827</v>
      </c>
      <c r="F252" s="1" t="s">
        <v>52</v>
      </c>
      <c r="G252" s="9" t="s">
        <v>55</v>
      </c>
    </row>
    <row r="253" spans="1:7" ht="33.75">
      <c r="A253" s="7" t="s">
        <v>48</v>
      </c>
      <c r="B253" s="7" t="s">
        <v>828</v>
      </c>
      <c r="C253" s="7" t="s">
        <v>829</v>
      </c>
      <c r="D253" s="7" t="s">
        <v>830</v>
      </c>
      <c r="E253" s="7" t="s">
        <v>831</v>
      </c>
      <c r="F253" s="7" t="s">
        <v>1078</v>
      </c>
      <c r="G253" s="9" t="s">
        <v>55</v>
      </c>
    </row>
    <row r="254" spans="1:7" ht="45">
      <c r="A254" s="7" t="s">
        <v>48</v>
      </c>
      <c r="B254" s="1" t="s">
        <v>24</v>
      </c>
      <c r="C254" s="7" t="str">
        <f t="shared" ref="C254:C259" si="0">LEFT(E254,7)</f>
        <v>3200060</v>
      </c>
      <c r="D254" s="1" t="s">
        <v>22</v>
      </c>
      <c r="E254" s="11" t="s">
        <v>23</v>
      </c>
      <c r="F254" s="1" t="s">
        <v>52</v>
      </c>
      <c r="G254" s="9" t="s">
        <v>55</v>
      </c>
    </row>
    <row r="255" spans="1:7" ht="45">
      <c r="A255" s="7" t="s">
        <v>48</v>
      </c>
      <c r="B255" s="1" t="s">
        <v>24</v>
      </c>
      <c r="C255" s="7" t="str">
        <f t="shared" si="0"/>
        <v>3200060</v>
      </c>
      <c r="D255" s="1" t="s">
        <v>37</v>
      </c>
      <c r="E255" s="11" t="s">
        <v>38</v>
      </c>
      <c r="F255" s="1" t="s">
        <v>52</v>
      </c>
      <c r="G255" s="9" t="s">
        <v>55</v>
      </c>
    </row>
    <row r="256" spans="1:7" ht="45">
      <c r="A256" s="7" t="s">
        <v>48</v>
      </c>
      <c r="B256" s="1" t="s">
        <v>24</v>
      </c>
      <c r="C256" s="7" t="str">
        <f t="shared" si="0"/>
        <v>3200060</v>
      </c>
      <c r="D256" s="1" t="s">
        <v>44</v>
      </c>
      <c r="E256" s="11" t="s">
        <v>45</v>
      </c>
      <c r="F256" s="1" t="s">
        <v>52</v>
      </c>
      <c r="G256" s="9" t="s">
        <v>55</v>
      </c>
    </row>
    <row r="257" spans="1:7" ht="45">
      <c r="A257" s="7" t="s">
        <v>48</v>
      </c>
      <c r="B257" s="1" t="s">
        <v>24</v>
      </c>
      <c r="C257" s="7" t="str">
        <f t="shared" si="0"/>
        <v>3200060</v>
      </c>
      <c r="D257" s="1" t="s">
        <v>42</v>
      </c>
      <c r="E257" s="11" t="s">
        <v>43</v>
      </c>
      <c r="F257" s="1" t="s">
        <v>52</v>
      </c>
      <c r="G257" s="9" t="s">
        <v>55</v>
      </c>
    </row>
    <row r="258" spans="1:7" ht="45">
      <c r="A258" s="7" t="s">
        <v>48</v>
      </c>
      <c r="B258" s="1" t="s">
        <v>24</v>
      </c>
      <c r="C258" s="7" t="str">
        <f t="shared" si="0"/>
        <v>3200060</v>
      </c>
      <c r="D258" s="1" t="s">
        <v>33</v>
      </c>
      <c r="E258" s="11" t="s">
        <v>34</v>
      </c>
      <c r="F258" s="1" t="s">
        <v>52</v>
      </c>
      <c r="G258" s="9" t="s">
        <v>55</v>
      </c>
    </row>
    <row r="259" spans="1:7" ht="45">
      <c r="A259" s="7" t="s">
        <v>48</v>
      </c>
      <c r="B259" s="1" t="s">
        <v>24</v>
      </c>
      <c r="C259" s="7" t="str">
        <f t="shared" si="0"/>
        <v>3200060</v>
      </c>
      <c r="D259" s="1" t="s">
        <v>35</v>
      </c>
      <c r="E259" s="11" t="s">
        <v>36</v>
      </c>
      <c r="F259" s="1" t="s">
        <v>52</v>
      </c>
      <c r="G259" s="9" t="s">
        <v>55</v>
      </c>
    </row>
    <row r="260" spans="1:7" ht="32.25" customHeight="1">
      <c r="A260" s="7" t="s">
        <v>832</v>
      </c>
      <c r="B260" s="7" t="s">
        <v>833</v>
      </c>
      <c r="C260" s="7" t="s">
        <v>834</v>
      </c>
      <c r="D260" s="7" t="s">
        <v>148</v>
      </c>
      <c r="E260" s="10" t="s">
        <v>1081</v>
      </c>
      <c r="F260" s="1" t="s">
        <v>1082</v>
      </c>
      <c r="G260" s="9" t="s">
        <v>55</v>
      </c>
    </row>
    <row r="261" spans="1:7" ht="32.25" customHeight="1">
      <c r="A261" s="7" t="s">
        <v>832</v>
      </c>
      <c r="B261" s="7" t="s">
        <v>835</v>
      </c>
      <c r="C261" s="7" t="s">
        <v>836</v>
      </c>
      <c r="D261" s="7" t="s">
        <v>148</v>
      </c>
      <c r="E261" s="10" t="s">
        <v>1081</v>
      </c>
      <c r="F261" s="1" t="s">
        <v>1082</v>
      </c>
      <c r="G261" s="9" t="s">
        <v>55</v>
      </c>
    </row>
    <row r="262" spans="1:7" ht="33.75">
      <c r="A262" s="7" t="s">
        <v>832</v>
      </c>
      <c r="B262" s="7" t="s">
        <v>837</v>
      </c>
      <c r="C262" s="7" t="s">
        <v>838</v>
      </c>
      <c r="D262" s="7" t="s">
        <v>839</v>
      </c>
      <c r="E262" s="7" t="s">
        <v>840</v>
      </c>
      <c r="F262" s="7" t="s">
        <v>1078</v>
      </c>
      <c r="G262" s="9" t="s">
        <v>55</v>
      </c>
    </row>
    <row r="263" spans="1:7" ht="30" customHeight="1">
      <c r="A263" s="7" t="s">
        <v>832</v>
      </c>
      <c r="B263" s="7" t="s">
        <v>837</v>
      </c>
      <c r="C263" s="7" t="s">
        <v>838</v>
      </c>
      <c r="D263" s="7" t="s">
        <v>148</v>
      </c>
      <c r="E263" s="10" t="s">
        <v>1081</v>
      </c>
      <c r="F263" s="1" t="s">
        <v>1082</v>
      </c>
      <c r="G263" s="9" t="s">
        <v>55</v>
      </c>
    </row>
    <row r="264" spans="1:7" ht="30" customHeight="1">
      <c r="A264" s="7" t="s">
        <v>832</v>
      </c>
      <c r="B264" s="7" t="s">
        <v>841</v>
      </c>
      <c r="C264" s="7" t="s">
        <v>842</v>
      </c>
      <c r="D264" s="7" t="s">
        <v>148</v>
      </c>
      <c r="E264" s="10" t="s">
        <v>1081</v>
      </c>
      <c r="F264" s="1" t="s">
        <v>1082</v>
      </c>
      <c r="G264" s="9" t="s">
        <v>55</v>
      </c>
    </row>
    <row r="265" spans="1:7" ht="30" customHeight="1">
      <c r="A265" s="7" t="s">
        <v>832</v>
      </c>
      <c r="B265" s="7" t="s">
        <v>843</v>
      </c>
      <c r="C265" s="7" t="s">
        <v>844</v>
      </c>
      <c r="D265" s="7" t="s">
        <v>148</v>
      </c>
      <c r="E265" s="10" t="s">
        <v>1081</v>
      </c>
      <c r="F265" s="1" t="s">
        <v>1082</v>
      </c>
      <c r="G265" s="9" t="s">
        <v>55</v>
      </c>
    </row>
    <row r="266" spans="1:7" ht="45">
      <c r="A266" s="7" t="s">
        <v>832</v>
      </c>
      <c r="B266" s="7" t="s">
        <v>845</v>
      </c>
      <c r="C266" s="7" t="s">
        <v>846</v>
      </c>
      <c r="D266" s="7" t="s">
        <v>847</v>
      </c>
      <c r="E266" s="7" t="s">
        <v>848</v>
      </c>
      <c r="F266" s="1" t="s">
        <v>52</v>
      </c>
      <c r="G266" s="9" t="s">
        <v>55</v>
      </c>
    </row>
    <row r="267" spans="1:7" ht="30.75" customHeight="1">
      <c r="A267" s="7" t="s">
        <v>832</v>
      </c>
      <c r="B267" s="7" t="s">
        <v>849</v>
      </c>
      <c r="C267" s="7" t="s">
        <v>850</v>
      </c>
      <c r="D267" s="7" t="s">
        <v>148</v>
      </c>
      <c r="E267" s="10" t="s">
        <v>1081</v>
      </c>
      <c r="F267" s="1" t="s">
        <v>1082</v>
      </c>
      <c r="G267" s="9" t="s">
        <v>55</v>
      </c>
    </row>
    <row r="268" spans="1:7" ht="30.75" customHeight="1">
      <c r="A268" s="7" t="s">
        <v>832</v>
      </c>
      <c r="B268" s="7" t="s">
        <v>851</v>
      </c>
      <c r="C268" s="7" t="s">
        <v>852</v>
      </c>
      <c r="D268" s="7" t="s">
        <v>148</v>
      </c>
      <c r="E268" s="10" t="s">
        <v>1081</v>
      </c>
      <c r="F268" s="1" t="s">
        <v>1082</v>
      </c>
      <c r="G268" s="9" t="s">
        <v>55</v>
      </c>
    </row>
    <row r="269" spans="1:7" ht="30.75" customHeight="1">
      <c r="A269" s="7" t="s">
        <v>832</v>
      </c>
      <c r="B269" s="7" t="s">
        <v>853</v>
      </c>
      <c r="C269" s="7" t="s">
        <v>854</v>
      </c>
      <c r="D269" s="7" t="s">
        <v>148</v>
      </c>
      <c r="E269" s="10" t="s">
        <v>1081</v>
      </c>
      <c r="F269" s="1" t="s">
        <v>1082</v>
      </c>
      <c r="G269" s="9" t="s">
        <v>55</v>
      </c>
    </row>
    <row r="270" spans="1:7" ht="30.75" customHeight="1">
      <c r="A270" s="7" t="s">
        <v>832</v>
      </c>
      <c r="B270" s="7" t="s">
        <v>855</v>
      </c>
      <c r="C270" s="7" t="s">
        <v>856</v>
      </c>
      <c r="D270" s="7" t="s">
        <v>148</v>
      </c>
      <c r="E270" s="10" t="s">
        <v>1081</v>
      </c>
      <c r="F270" s="1" t="s">
        <v>1082</v>
      </c>
      <c r="G270" s="9" t="s">
        <v>55</v>
      </c>
    </row>
    <row r="271" spans="1:7" ht="30.75" customHeight="1">
      <c r="A271" s="7" t="s">
        <v>832</v>
      </c>
      <c r="B271" s="7" t="s">
        <v>857</v>
      </c>
      <c r="C271" s="7" t="s">
        <v>858</v>
      </c>
      <c r="D271" s="7" t="s">
        <v>148</v>
      </c>
      <c r="E271" s="10" t="s">
        <v>1081</v>
      </c>
      <c r="F271" s="1" t="s">
        <v>1082</v>
      </c>
      <c r="G271" s="9" t="s">
        <v>55</v>
      </c>
    </row>
    <row r="272" spans="1:7" ht="33.75">
      <c r="A272" s="7" t="s">
        <v>859</v>
      </c>
      <c r="B272" s="7" t="s">
        <v>860</v>
      </c>
      <c r="C272" s="7" t="s">
        <v>861</v>
      </c>
      <c r="D272" s="7" t="s">
        <v>862</v>
      </c>
      <c r="E272" s="7" t="s">
        <v>863</v>
      </c>
      <c r="F272" s="7" t="s">
        <v>1079</v>
      </c>
      <c r="G272" s="9" t="s">
        <v>55</v>
      </c>
    </row>
    <row r="273" spans="1:7" ht="33.75">
      <c r="A273" s="7" t="s">
        <v>859</v>
      </c>
      <c r="B273" s="7" t="s">
        <v>864</v>
      </c>
      <c r="C273" s="7" t="s">
        <v>865</v>
      </c>
      <c r="D273" s="7" t="s">
        <v>866</v>
      </c>
      <c r="E273" s="7" t="s">
        <v>867</v>
      </c>
      <c r="F273" s="8" t="s">
        <v>51</v>
      </c>
      <c r="G273" s="9" t="s">
        <v>55</v>
      </c>
    </row>
    <row r="274" spans="1:7" ht="33.75">
      <c r="A274" s="7" t="s">
        <v>859</v>
      </c>
      <c r="B274" s="7" t="s">
        <v>864</v>
      </c>
      <c r="C274" s="7" t="s">
        <v>865</v>
      </c>
      <c r="D274" s="7" t="s">
        <v>868</v>
      </c>
      <c r="E274" s="7" t="s">
        <v>869</v>
      </c>
      <c r="F274" s="8" t="s">
        <v>51</v>
      </c>
      <c r="G274" s="9" t="s">
        <v>55</v>
      </c>
    </row>
    <row r="275" spans="1:7" ht="33.75">
      <c r="A275" s="7" t="s">
        <v>86</v>
      </c>
      <c r="B275" s="7" t="s">
        <v>870</v>
      </c>
      <c r="C275" s="7" t="s">
        <v>871</v>
      </c>
      <c r="D275" s="7" t="s">
        <v>148</v>
      </c>
      <c r="E275" s="10" t="s">
        <v>1081</v>
      </c>
      <c r="F275" s="8" t="s">
        <v>51</v>
      </c>
      <c r="G275" s="9" t="s">
        <v>55</v>
      </c>
    </row>
    <row r="276" spans="1:7" ht="33.75">
      <c r="A276" s="7" t="s">
        <v>86</v>
      </c>
      <c r="B276" s="7" t="s">
        <v>872</v>
      </c>
      <c r="C276" s="7" t="s">
        <v>873</v>
      </c>
      <c r="D276" s="7" t="s">
        <v>148</v>
      </c>
      <c r="E276" s="10" t="s">
        <v>1081</v>
      </c>
      <c r="F276" s="8" t="s">
        <v>51</v>
      </c>
      <c r="G276" s="9" t="s">
        <v>55</v>
      </c>
    </row>
    <row r="277" spans="1:7" ht="45">
      <c r="A277" s="7" t="s">
        <v>86</v>
      </c>
      <c r="B277" s="16" t="s">
        <v>88</v>
      </c>
      <c r="C277" s="7" t="s">
        <v>87</v>
      </c>
      <c r="D277" s="14" t="s">
        <v>64</v>
      </c>
      <c r="E277" s="15" t="s">
        <v>63</v>
      </c>
      <c r="F277" s="1" t="s">
        <v>52</v>
      </c>
      <c r="G277" s="9" t="s">
        <v>55</v>
      </c>
    </row>
    <row r="278" spans="1:7" ht="45">
      <c r="A278" s="7" t="s">
        <v>86</v>
      </c>
      <c r="B278" s="16" t="s">
        <v>90</v>
      </c>
      <c r="C278" s="7" t="s">
        <v>89</v>
      </c>
      <c r="D278" s="14" t="s">
        <v>66</v>
      </c>
      <c r="E278" s="15" t="s">
        <v>65</v>
      </c>
      <c r="F278" s="1" t="s">
        <v>52</v>
      </c>
      <c r="G278" s="9" t="s">
        <v>55</v>
      </c>
    </row>
    <row r="279" spans="1:7" ht="45">
      <c r="A279" s="7" t="s">
        <v>86</v>
      </c>
      <c r="B279" s="16" t="s">
        <v>90</v>
      </c>
      <c r="C279" s="7" t="s">
        <v>89</v>
      </c>
      <c r="D279" s="14" t="s">
        <v>68</v>
      </c>
      <c r="E279" s="15" t="s">
        <v>67</v>
      </c>
      <c r="F279" s="1" t="s">
        <v>52</v>
      </c>
      <c r="G279" s="9" t="s">
        <v>55</v>
      </c>
    </row>
    <row r="280" spans="1:7" ht="45">
      <c r="A280" s="7" t="s">
        <v>86</v>
      </c>
      <c r="B280" s="16" t="s">
        <v>92</v>
      </c>
      <c r="C280" s="7" t="s">
        <v>91</v>
      </c>
      <c r="D280" s="11" t="s">
        <v>106</v>
      </c>
      <c r="E280" s="11" t="s">
        <v>69</v>
      </c>
      <c r="F280" s="1" t="s">
        <v>52</v>
      </c>
      <c r="G280" s="9" t="s">
        <v>55</v>
      </c>
    </row>
    <row r="281" spans="1:7" ht="45">
      <c r="A281" s="7" t="s">
        <v>86</v>
      </c>
      <c r="B281" s="16" t="s">
        <v>94</v>
      </c>
      <c r="C281" s="7" t="s">
        <v>93</v>
      </c>
      <c r="D281" s="11" t="s">
        <v>107</v>
      </c>
      <c r="E281" s="11" t="s">
        <v>70</v>
      </c>
      <c r="F281" s="1" t="s">
        <v>52</v>
      </c>
      <c r="G281" s="9" t="s">
        <v>55</v>
      </c>
    </row>
    <row r="282" spans="1:7" ht="45">
      <c r="A282" s="7" t="s">
        <v>86</v>
      </c>
      <c r="B282" s="16" t="s">
        <v>94</v>
      </c>
      <c r="C282" s="7" t="s">
        <v>93</v>
      </c>
      <c r="D282" s="11" t="s">
        <v>108</v>
      </c>
      <c r="E282" s="11" t="s">
        <v>71</v>
      </c>
      <c r="F282" s="1" t="s">
        <v>52</v>
      </c>
      <c r="G282" s="9" t="s">
        <v>55</v>
      </c>
    </row>
    <row r="283" spans="1:7" ht="45">
      <c r="A283" s="7" t="s">
        <v>86</v>
      </c>
      <c r="B283" s="16" t="s">
        <v>96</v>
      </c>
      <c r="C283" s="7" t="s">
        <v>95</v>
      </c>
      <c r="D283" s="11" t="s">
        <v>109</v>
      </c>
      <c r="E283" s="11" t="s">
        <v>72</v>
      </c>
      <c r="F283" s="1" t="s">
        <v>52</v>
      </c>
      <c r="G283" s="9" t="s">
        <v>55</v>
      </c>
    </row>
    <row r="284" spans="1:7" ht="45">
      <c r="A284" s="7" t="s">
        <v>86</v>
      </c>
      <c r="B284" s="16" t="s">
        <v>98</v>
      </c>
      <c r="C284" s="7" t="s">
        <v>97</v>
      </c>
      <c r="D284" s="14" t="s">
        <v>74</v>
      </c>
      <c r="E284" s="15" t="s">
        <v>73</v>
      </c>
      <c r="F284" s="1" t="s">
        <v>52</v>
      </c>
      <c r="G284" s="9" t="s">
        <v>55</v>
      </c>
    </row>
    <row r="285" spans="1:7" ht="33.75">
      <c r="A285" s="7" t="s">
        <v>86</v>
      </c>
      <c r="B285" s="7" t="s">
        <v>874</v>
      </c>
      <c r="C285" s="7" t="s">
        <v>875</v>
      </c>
      <c r="D285" s="7" t="s">
        <v>876</v>
      </c>
      <c r="E285" s="7" t="s">
        <v>877</v>
      </c>
      <c r="F285" s="7" t="s">
        <v>1079</v>
      </c>
      <c r="G285" s="9" t="s">
        <v>55</v>
      </c>
    </row>
    <row r="286" spans="1:7" ht="33.75">
      <c r="A286" s="7" t="s">
        <v>86</v>
      </c>
      <c r="B286" s="7" t="s">
        <v>878</v>
      </c>
      <c r="C286" s="7" t="s">
        <v>879</v>
      </c>
      <c r="D286" s="7" t="s">
        <v>148</v>
      </c>
      <c r="E286" s="10" t="s">
        <v>1081</v>
      </c>
      <c r="F286" s="8" t="s">
        <v>51</v>
      </c>
      <c r="G286" s="9" t="s">
        <v>55</v>
      </c>
    </row>
    <row r="287" spans="1:7" ht="33.75">
      <c r="A287" s="7" t="s">
        <v>86</v>
      </c>
      <c r="B287" s="7" t="s">
        <v>880</v>
      </c>
      <c r="C287" s="7" t="s">
        <v>881</v>
      </c>
      <c r="D287" s="7" t="s">
        <v>148</v>
      </c>
      <c r="E287" s="10" t="s">
        <v>1081</v>
      </c>
      <c r="F287" s="8" t="s">
        <v>51</v>
      </c>
      <c r="G287" s="9" t="s">
        <v>55</v>
      </c>
    </row>
    <row r="288" spans="1:7" ht="33.75">
      <c r="A288" s="7" t="s">
        <v>86</v>
      </c>
      <c r="B288" s="7" t="s">
        <v>882</v>
      </c>
      <c r="C288" s="7" t="s">
        <v>883</v>
      </c>
      <c r="D288" s="7" t="s">
        <v>148</v>
      </c>
      <c r="E288" s="10" t="s">
        <v>1081</v>
      </c>
      <c r="F288" s="8" t="s">
        <v>51</v>
      </c>
      <c r="G288" s="9" t="s">
        <v>55</v>
      </c>
    </row>
    <row r="289" spans="1:7" ht="33.75">
      <c r="A289" s="7" t="s">
        <v>86</v>
      </c>
      <c r="B289" s="7" t="s">
        <v>884</v>
      </c>
      <c r="C289" s="7" t="s">
        <v>885</v>
      </c>
      <c r="D289" s="7" t="s">
        <v>148</v>
      </c>
      <c r="E289" s="10" t="s">
        <v>1081</v>
      </c>
      <c r="F289" s="8" t="s">
        <v>51</v>
      </c>
      <c r="G289" s="9" t="s">
        <v>55</v>
      </c>
    </row>
    <row r="290" spans="1:7" ht="33.75">
      <c r="A290" s="7" t="s">
        <v>86</v>
      </c>
      <c r="B290" s="7" t="s">
        <v>886</v>
      </c>
      <c r="C290" s="7" t="s">
        <v>887</v>
      </c>
      <c r="D290" s="7" t="s">
        <v>148</v>
      </c>
      <c r="E290" s="10" t="s">
        <v>1081</v>
      </c>
      <c r="F290" s="8" t="s">
        <v>51</v>
      </c>
      <c r="G290" s="9" t="s">
        <v>55</v>
      </c>
    </row>
    <row r="291" spans="1:7" ht="33.75">
      <c r="A291" s="7" t="s">
        <v>86</v>
      </c>
      <c r="B291" s="7" t="s">
        <v>888</v>
      </c>
      <c r="C291" s="7" t="s">
        <v>889</v>
      </c>
      <c r="D291" s="7" t="s">
        <v>148</v>
      </c>
      <c r="E291" s="10" t="s">
        <v>1081</v>
      </c>
      <c r="F291" s="8" t="s">
        <v>51</v>
      </c>
      <c r="G291" s="9" t="s">
        <v>55</v>
      </c>
    </row>
    <row r="292" spans="1:7" ht="33.75">
      <c r="A292" s="7" t="s">
        <v>86</v>
      </c>
      <c r="B292" s="7" t="s">
        <v>890</v>
      </c>
      <c r="C292" s="7" t="s">
        <v>891</v>
      </c>
      <c r="D292" s="7" t="s">
        <v>148</v>
      </c>
      <c r="E292" s="10" t="s">
        <v>1081</v>
      </c>
      <c r="F292" s="8" t="s">
        <v>51</v>
      </c>
      <c r="G292" s="9" t="s">
        <v>55</v>
      </c>
    </row>
    <row r="293" spans="1:7" ht="45">
      <c r="A293" s="7" t="s">
        <v>86</v>
      </c>
      <c r="B293" s="16" t="s">
        <v>100</v>
      </c>
      <c r="C293" s="7" t="s">
        <v>99</v>
      </c>
      <c r="D293" s="14" t="s">
        <v>76</v>
      </c>
      <c r="E293" s="15" t="s">
        <v>75</v>
      </c>
      <c r="F293" s="1" t="s">
        <v>52</v>
      </c>
      <c r="G293" s="9" t="s">
        <v>55</v>
      </c>
    </row>
    <row r="294" spans="1:7" ht="33.75">
      <c r="A294" s="7" t="s">
        <v>86</v>
      </c>
      <c r="B294" s="7" t="s">
        <v>892</v>
      </c>
      <c r="C294" s="7" t="s">
        <v>893</v>
      </c>
      <c r="D294" s="7" t="s">
        <v>148</v>
      </c>
      <c r="E294" s="10" t="s">
        <v>1081</v>
      </c>
      <c r="F294" s="8" t="s">
        <v>51</v>
      </c>
      <c r="G294" s="9" t="s">
        <v>55</v>
      </c>
    </row>
    <row r="295" spans="1:7" ht="33.75">
      <c r="A295" s="7" t="s">
        <v>86</v>
      </c>
      <c r="B295" s="7" t="s">
        <v>894</v>
      </c>
      <c r="C295" s="7" t="s">
        <v>895</v>
      </c>
      <c r="D295" s="7" t="s">
        <v>148</v>
      </c>
      <c r="E295" s="10" t="s">
        <v>1081</v>
      </c>
      <c r="F295" s="8" t="s">
        <v>51</v>
      </c>
      <c r="G295" s="9" t="s">
        <v>55</v>
      </c>
    </row>
    <row r="296" spans="1:7" ht="33.75">
      <c r="A296" s="7" t="s">
        <v>896</v>
      </c>
      <c r="B296" s="7" t="s">
        <v>897</v>
      </c>
      <c r="C296" s="7" t="s">
        <v>898</v>
      </c>
      <c r="D296" s="7" t="s">
        <v>897</v>
      </c>
      <c r="E296" s="7" t="s">
        <v>899</v>
      </c>
      <c r="F296" s="8" t="s">
        <v>51</v>
      </c>
      <c r="G296" s="9" t="s">
        <v>55</v>
      </c>
    </row>
    <row r="297" spans="1:7" ht="33.75">
      <c r="A297" s="7" t="s">
        <v>900</v>
      </c>
      <c r="B297" s="7" t="s">
        <v>901</v>
      </c>
      <c r="C297" s="7" t="s">
        <v>902</v>
      </c>
      <c r="D297" s="7" t="s">
        <v>903</v>
      </c>
      <c r="E297" s="7" t="s">
        <v>904</v>
      </c>
      <c r="F297" s="8" t="s">
        <v>51</v>
      </c>
      <c r="G297" s="9" t="s">
        <v>55</v>
      </c>
    </row>
    <row r="298" spans="1:7" ht="33.75">
      <c r="A298" s="7" t="s">
        <v>900</v>
      </c>
      <c r="B298" s="7" t="s">
        <v>901</v>
      </c>
      <c r="C298" s="7" t="s">
        <v>902</v>
      </c>
      <c r="D298" s="7" t="s">
        <v>148</v>
      </c>
      <c r="E298" s="10" t="s">
        <v>1081</v>
      </c>
      <c r="F298" s="8" t="s">
        <v>51</v>
      </c>
      <c r="G298" s="9" t="s">
        <v>55</v>
      </c>
    </row>
    <row r="299" spans="1:7" ht="33.75">
      <c r="A299" s="7" t="s">
        <v>905</v>
      </c>
      <c r="B299" s="7" t="s">
        <v>906</v>
      </c>
      <c r="C299" s="7" t="s">
        <v>907</v>
      </c>
      <c r="D299" s="7" t="s">
        <v>906</v>
      </c>
      <c r="E299" s="7" t="s">
        <v>908</v>
      </c>
      <c r="F299" s="8" t="s">
        <v>51</v>
      </c>
      <c r="G299" s="9" t="s">
        <v>55</v>
      </c>
    </row>
    <row r="300" spans="1:7" ht="33.75">
      <c r="A300" s="7" t="s">
        <v>905</v>
      </c>
      <c r="B300" s="7" t="s">
        <v>909</v>
      </c>
      <c r="C300" s="7" t="s">
        <v>910</v>
      </c>
      <c r="D300" s="7" t="s">
        <v>911</v>
      </c>
      <c r="E300" s="7" t="s">
        <v>912</v>
      </c>
      <c r="F300" s="7" t="s">
        <v>1078</v>
      </c>
      <c r="G300" s="9" t="s">
        <v>55</v>
      </c>
    </row>
    <row r="301" spans="1:7" ht="33.75">
      <c r="A301" s="7" t="s">
        <v>905</v>
      </c>
      <c r="B301" s="7" t="s">
        <v>913</v>
      </c>
      <c r="C301" s="7" t="s">
        <v>914</v>
      </c>
      <c r="D301" s="7" t="s">
        <v>915</v>
      </c>
      <c r="E301" s="7" t="s">
        <v>916</v>
      </c>
      <c r="F301" s="7" t="s">
        <v>1079</v>
      </c>
      <c r="G301" s="9" t="s">
        <v>55</v>
      </c>
    </row>
    <row r="302" spans="1:7" ht="33.75">
      <c r="A302" s="7" t="s">
        <v>905</v>
      </c>
      <c r="B302" s="7" t="s">
        <v>917</v>
      </c>
      <c r="C302" s="7" t="s">
        <v>918</v>
      </c>
      <c r="D302" s="7" t="s">
        <v>919</v>
      </c>
      <c r="E302" s="7" t="s">
        <v>920</v>
      </c>
      <c r="F302" s="7" t="s">
        <v>1079</v>
      </c>
      <c r="G302" s="9" t="s">
        <v>55</v>
      </c>
    </row>
    <row r="303" spans="1:7" ht="33.75">
      <c r="A303" s="7" t="s">
        <v>905</v>
      </c>
      <c r="B303" s="7" t="s">
        <v>921</v>
      </c>
      <c r="C303" s="7" t="s">
        <v>922</v>
      </c>
      <c r="D303" s="7" t="s">
        <v>923</v>
      </c>
      <c r="E303" s="7" t="s">
        <v>924</v>
      </c>
      <c r="F303" s="8" t="s">
        <v>51</v>
      </c>
      <c r="G303" s="9" t="s">
        <v>55</v>
      </c>
    </row>
    <row r="304" spans="1:7" ht="45">
      <c r="A304" s="7" t="s">
        <v>925</v>
      </c>
      <c r="B304" s="7" t="s">
        <v>926</v>
      </c>
      <c r="C304" s="7" t="s">
        <v>927</v>
      </c>
      <c r="D304" s="7" t="s">
        <v>928</v>
      </c>
      <c r="E304" s="7" t="s">
        <v>929</v>
      </c>
      <c r="F304" s="1" t="s">
        <v>52</v>
      </c>
      <c r="G304" s="9" t="s">
        <v>55</v>
      </c>
    </row>
    <row r="305" spans="1:8" ht="33.75">
      <c r="A305" s="7" t="s">
        <v>925</v>
      </c>
      <c r="B305" s="7" t="s">
        <v>930</v>
      </c>
      <c r="C305" s="7" t="s">
        <v>931</v>
      </c>
      <c r="D305" s="7" t="s">
        <v>932</v>
      </c>
      <c r="E305" s="7" t="s">
        <v>933</v>
      </c>
      <c r="F305" s="7" t="s">
        <v>1078</v>
      </c>
      <c r="G305" s="9" t="s">
        <v>55</v>
      </c>
    </row>
    <row r="306" spans="1:8" ht="45">
      <c r="A306" s="7" t="s">
        <v>925</v>
      </c>
      <c r="B306" s="7" t="s">
        <v>934</v>
      </c>
      <c r="C306" s="7" t="s">
        <v>935</v>
      </c>
      <c r="D306" s="7" t="s">
        <v>936</v>
      </c>
      <c r="E306" s="7" t="s">
        <v>937</v>
      </c>
      <c r="F306" s="1" t="s">
        <v>52</v>
      </c>
      <c r="G306" s="9" t="s">
        <v>55</v>
      </c>
    </row>
    <row r="307" spans="1:8" ht="30.75" customHeight="1">
      <c r="A307" s="7" t="s">
        <v>925</v>
      </c>
      <c r="B307" s="7" t="s">
        <v>934</v>
      </c>
      <c r="C307" s="7" t="s">
        <v>935</v>
      </c>
      <c r="D307" s="7" t="s">
        <v>148</v>
      </c>
      <c r="E307" s="10" t="s">
        <v>1081</v>
      </c>
      <c r="F307" s="1" t="s">
        <v>1082</v>
      </c>
      <c r="G307" s="9" t="s">
        <v>55</v>
      </c>
    </row>
    <row r="308" spans="1:8" ht="33.75">
      <c r="A308" s="7" t="s">
        <v>20</v>
      </c>
      <c r="B308" s="7" t="s">
        <v>938</v>
      </c>
      <c r="C308" s="7" t="s">
        <v>939</v>
      </c>
      <c r="D308" s="7" t="s">
        <v>940</v>
      </c>
      <c r="E308" s="7" t="s">
        <v>941</v>
      </c>
      <c r="F308" s="7" t="s">
        <v>1079</v>
      </c>
      <c r="G308" s="9" t="s">
        <v>55</v>
      </c>
    </row>
    <row r="309" spans="1:8" ht="33.75">
      <c r="A309" s="7" t="s">
        <v>20</v>
      </c>
      <c r="B309" s="7" t="s">
        <v>938</v>
      </c>
      <c r="C309" s="7" t="s">
        <v>939</v>
      </c>
      <c r="D309" s="7" t="s">
        <v>942</v>
      </c>
      <c r="E309" s="7" t="s">
        <v>943</v>
      </c>
      <c r="F309" s="7" t="s">
        <v>1079</v>
      </c>
      <c r="G309" s="9" t="s">
        <v>55</v>
      </c>
    </row>
    <row r="310" spans="1:8" ht="33.75">
      <c r="A310" s="7" t="s">
        <v>20</v>
      </c>
      <c r="B310" s="7" t="s">
        <v>938</v>
      </c>
      <c r="C310" s="7" t="s">
        <v>939</v>
      </c>
      <c r="D310" s="7" t="s">
        <v>944</v>
      </c>
      <c r="E310" s="7" t="s">
        <v>945</v>
      </c>
      <c r="F310" s="7" t="s">
        <v>1079</v>
      </c>
      <c r="G310" s="9" t="s">
        <v>55</v>
      </c>
    </row>
    <row r="311" spans="1:8" ht="33.75">
      <c r="A311" s="7" t="s">
        <v>20</v>
      </c>
      <c r="B311" s="7" t="s">
        <v>946</v>
      </c>
      <c r="C311" s="7" t="s">
        <v>947</v>
      </c>
      <c r="D311" s="7" t="s">
        <v>948</v>
      </c>
      <c r="E311" s="7" t="s">
        <v>949</v>
      </c>
      <c r="F311" s="7" t="s">
        <v>1078</v>
      </c>
      <c r="G311" s="9" t="s">
        <v>55</v>
      </c>
    </row>
    <row r="312" spans="1:8" ht="60">
      <c r="A312" s="7" t="s">
        <v>20</v>
      </c>
      <c r="B312" s="7" t="s">
        <v>950</v>
      </c>
      <c r="C312" s="7" t="s">
        <v>951</v>
      </c>
      <c r="D312" s="7" t="s">
        <v>952</v>
      </c>
      <c r="E312" s="7" t="s">
        <v>953</v>
      </c>
      <c r="F312" s="1" t="s">
        <v>1080</v>
      </c>
      <c r="G312" s="9" t="s">
        <v>55</v>
      </c>
    </row>
    <row r="313" spans="1:8" ht="33.75">
      <c r="A313" s="7" t="s">
        <v>20</v>
      </c>
      <c r="B313" s="1" t="s">
        <v>9</v>
      </c>
      <c r="C313" s="7" t="str">
        <f t="shared" ref="C313:C318" si="1">LEFT(E313,7)</f>
        <v>4210870</v>
      </c>
      <c r="D313" s="1" t="s">
        <v>10</v>
      </c>
      <c r="E313" s="11" t="s">
        <v>11</v>
      </c>
      <c r="F313" s="8" t="s">
        <v>51</v>
      </c>
      <c r="G313" s="9" t="s">
        <v>55</v>
      </c>
    </row>
    <row r="314" spans="1:8" ht="33.75">
      <c r="A314" s="7" t="s">
        <v>20</v>
      </c>
      <c r="B314" s="1" t="s">
        <v>9</v>
      </c>
      <c r="C314" s="7" t="str">
        <f t="shared" si="1"/>
        <v>4210870</v>
      </c>
      <c r="D314" s="1" t="s">
        <v>7</v>
      </c>
      <c r="E314" s="11" t="s">
        <v>8</v>
      </c>
      <c r="F314" s="8" t="s">
        <v>51</v>
      </c>
      <c r="G314" s="9" t="s">
        <v>55</v>
      </c>
    </row>
    <row r="315" spans="1:8" ht="33.75">
      <c r="A315" s="7" t="s">
        <v>20</v>
      </c>
      <c r="B315" s="1" t="s">
        <v>9</v>
      </c>
      <c r="C315" s="7" t="str">
        <f t="shared" si="1"/>
        <v>4210870</v>
      </c>
      <c r="D315" s="1" t="s">
        <v>14</v>
      </c>
      <c r="E315" s="11" t="s">
        <v>15</v>
      </c>
      <c r="F315" s="8" t="s">
        <v>51</v>
      </c>
      <c r="G315" s="9" t="s">
        <v>55</v>
      </c>
    </row>
    <row r="316" spans="1:8" ht="33.75">
      <c r="A316" s="7" t="s">
        <v>20</v>
      </c>
      <c r="B316" s="1" t="s">
        <v>9</v>
      </c>
      <c r="C316" s="7" t="str">
        <f t="shared" si="1"/>
        <v>4210870</v>
      </c>
      <c r="D316" s="1" t="s">
        <v>12</v>
      </c>
      <c r="E316" s="11" t="s">
        <v>13</v>
      </c>
      <c r="F316" s="8" t="s">
        <v>51</v>
      </c>
      <c r="G316" s="9" t="s">
        <v>55</v>
      </c>
    </row>
    <row r="317" spans="1:8" ht="33.75">
      <c r="A317" s="13" t="s">
        <v>20</v>
      </c>
      <c r="B317" s="1" t="s">
        <v>9</v>
      </c>
      <c r="C317" s="13" t="str">
        <f t="shared" si="1"/>
        <v>4210870</v>
      </c>
      <c r="D317" s="1" t="s">
        <v>18</v>
      </c>
      <c r="E317" s="11" t="s">
        <v>19</v>
      </c>
      <c r="F317" s="16" t="s">
        <v>51</v>
      </c>
      <c r="G317" s="9" t="s">
        <v>55</v>
      </c>
      <c r="H317" s="17"/>
    </row>
    <row r="318" spans="1:8" ht="33.75">
      <c r="A318" s="7" t="s">
        <v>20</v>
      </c>
      <c r="B318" s="1" t="s">
        <v>9</v>
      </c>
      <c r="C318" s="7" t="str">
        <f t="shared" si="1"/>
        <v>4210870</v>
      </c>
      <c r="D318" s="1" t="s">
        <v>16</v>
      </c>
      <c r="E318" s="11" t="s">
        <v>17</v>
      </c>
      <c r="F318" s="8" t="s">
        <v>51</v>
      </c>
      <c r="G318" s="9" t="s">
        <v>55</v>
      </c>
    </row>
    <row r="319" spans="1:8" ht="45">
      <c r="A319" s="7" t="s">
        <v>20</v>
      </c>
      <c r="B319" s="7" t="s">
        <v>954</v>
      </c>
      <c r="C319" s="7" t="s">
        <v>955</v>
      </c>
      <c r="D319" s="7" t="s">
        <v>956</v>
      </c>
      <c r="E319" s="7" t="s">
        <v>957</v>
      </c>
      <c r="F319" s="1" t="s">
        <v>52</v>
      </c>
      <c r="G319" s="9" t="s">
        <v>55</v>
      </c>
    </row>
    <row r="320" spans="1:8" ht="33.75">
      <c r="A320" s="7" t="s">
        <v>20</v>
      </c>
      <c r="B320" s="7" t="s">
        <v>102</v>
      </c>
      <c r="C320" s="7" t="s">
        <v>101</v>
      </c>
      <c r="D320" s="7" t="s">
        <v>958</v>
      </c>
      <c r="E320" s="7" t="s">
        <v>959</v>
      </c>
      <c r="F320" s="8" t="s">
        <v>51</v>
      </c>
      <c r="G320" s="9" t="s">
        <v>55</v>
      </c>
    </row>
    <row r="321" spans="1:7" ht="33.75">
      <c r="A321" s="7" t="s">
        <v>20</v>
      </c>
      <c r="B321" s="16" t="s">
        <v>102</v>
      </c>
      <c r="C321" s="7" t="s">
        <v>101</v>
      </c>
      <c r="D321" s="14" t="s">
        <v>78</v>
      </c>
      <c r="E321" s="15" t="s">
        <v>77</v>
      </c>
      <c r="F321" s="8" t="s">
        <v>51</v>
      </c>
      <c r="G321" s="9" t="s">
        <v>55</v>
      </c>
    </row>
    <row r="322" spans="1:7" ht="33.75">
      <c r="A322" s="7" t="s">
        <v>20</v>
      </c>
      <c r="B322" s="7" t="s">
        <v>102</v>
      </c>
      <c r="C322" s="7" t="s">
        <v>101</v>
      </c>
      <c r="D322" s="7" t="s">
        <v>148</v>
      </c>
      <c r="E322" s="10" t="s">
        <v>1081</v>
      </c>
      <c r="F322" s="8" t="s">
        <v>51</v>
      </c>
      <c r="G322" s="9" t="s">
        <v>55</v>
      </c>
    </row>
    <row r="323" spans="1:7" ht="45">
      <c r="A323" s="7" t="s">
        <v>20</v>
      </c>
      <c r="B323" s="7" t="s">
        <v>960</v>
      </c>
      <c r="C323" s="7" t="s">
        <v>961</v>
      </c>
      <c r="D323" s="7" t="s">
        <v>962</v>
      </c>
      <c r="E323" s="7" t="s">
        <v>963</v>
      </c>
      <c r="F323" s="1" t="s">
        <v>52</v>
      </c>
      <c r="G323" s="9" t="s">
        <v>55</v>
      </c>
    </row>
    <row r="324" spans="1:7" ht="45">
      <c r="A324" s="7" t="s">
        <v>964</v>
      </c>
      <c r="B324" s="7" t="s">
        <v>965</v>
      </c>
      <c r="C324" s="7" t="s">
        <v>966</v>
      </c>
      <c r="D324" s="7" t="s">
        <v>967</v>
      </c>
      <c r="E324" s="7" t="s">
        <v>968</v>
      </c>
      <c r="F324" s="1" t="s">
        <v>52</v>
      </c>
      <c r="G324" s="9" t="s">
        <v>55</v>
      </c>
    </row>
    <row r="325" spans="1:7" ht="33.75">
      <c r="A325" s="7" t="s">
        <v>969</v>
      </c>
      <c r="B325" s="7" t="s">
        <v>970</v>
      </c>
      <c r="C325" s="7" t="s">
        <v>971</v>
      </c>
      <c r="D325" s="7" t="s">
        <v>972</v>
      </c>
      <c r="E325" s="7" t="s">
        <v>973</v>
      </c>
      <c r="F325" s="7" t="s">
        <v>1078</v>
      </c>
      <c r="G325" s="9" t="s">
        <v>55</v>
      </c>
    </row>
    <row r="326" spans="1:7" ht="45">
      <c r="A326" s="7" t="s">
        <v>969</v>
      </c>
      <c r="B326" s="7" t="s">
        <v>974</v>
      </c>
      <c r="C326" s="7" t="s">
        <v>975</v>
      </c>
      <c r="D326" s="7" t="s">
        <v>976</v>
      </c>
      <c r="E326" s="7" t="s">
        <v>977</v>
      </c>
      <c r="F326" s="1" t="s">
        <v>52</v>
      </c>
      <c r="G326" s="9" t="s">
        <v>55</v>
      </c>
    </row>
    <row r="327" spans="1:7" ht="45">
      <c r="A327" s="7" t="s">
        <v>978</v>
      </c>
      <c r="B327" s="7" t="s">
        <v>979</v>
      </c>
      <c r="C327" s="7" t="s">
        <v>980</v>
      </c>
      <c r="D327" s="7" t="s">
        <v>981</v>
      </c>
      <c r="E327" s="7" t="s">
        <v>982</v>
      </c>
      <c r="F327" s="1" t="s">
        <v>52</v>
      </c>
      <c r="G327" s="9" t="s">
        <v>55</v>
      </c>
    </row>
    <row r="328" spans="1:7" ht="60">
      <c r="A328" s="7" t="s">
        <v>103</v>
      </c>
      <c r="B328" s="16" t="s">
        <v>105</v>
      </c>
      <c r="C328" s="7" t="s">
        <v>104</v>
      </c>
      <c r="D328" s="14" t="s">
        <v>80</v>
      </c>
      <c r="E328" s="15" t="s">
        <v>79</v>
      </c>
      <c r="F328" s="1" t="s">
        <v>1080</v>
      </c>
      <c r="G328" s="9" t="s">
        <v>55</v>
      </c>
    </row>
    <row r="329" spans="1:7" ht="33.75">
      <c r="A329" s="7" t="s">
        <v>103</v>
      </c>
      <c r="B329" s="7" t="s">
        <v>983</v>
      </c>
      <c r="C329" s="7" t="s">
        <v>984</v>
      </c>
      <c r="D329" s="7" t="s">
        <v>985</v>
      </c>
      <c r="E329" s="7" t="s">
        <v>986</v>
      </c>
      <c r="F329" s="7" t="s">
        <v>1079</v>
      </c>
      <c r="G329" s="9" t="s">
        <v>55</v>
      </c>
    </row>
    <row r="330" spans="1:7" ht="33.75">
      <c r="A330" s="7" t="s">
        <v>103</v>
      </c>
      <c r="B330" s="7" t="s">
        <v>987</v>
      </c>
      <c r="C330" s="7" t="s">
        <v>988</v>
      </c>
      <c r="D330" s="7" t="s">
        <v>989</v>
      </c>
      <c r="E330" s="7" t="s">
        <v>990</v>
      </c>
      <c r="F330" s="7" t="s">
        <v>1078</v>
      </c>
      <c r="G330" s="9" t="s">
        <v>55</v>
      </c>
    </row>
    <row r="331" spans="1:7" ht="45">
      <c r="A331" s="7" t="s">
        <v>103</v>
      </c>
      <c r="B331" s="7" t="s">
        <v>991</v>
      </c>
      <c r="C331" s="7" t="s">
        <v>992</v>
      </c>
      <c r="D331" s="7" t="s">
        <v>993</v>
      </c>
      <c r="E331" s="7" t="s">
        <v>994</v>
      </c>
      <c r="F331" s="1" t="s">
        <v>52</v>
      </c>
      <c r="G331" s="9" t="s">
        <v>55</v>
      </c>
    </row>
    <row r="332" spans="1:7" ht="33.75">
      <c r="A332" s="7" t="s">
        <v>103</v>
      </c>
      <c r="B332" s="7" t="s">
        <v>995</v>
      </c>
      <c r="C332" s="7" t="s">
        <v>996</v>
      </c>
      <c r="D332" s="7" t="s">
        <v>997</v>
      </c>
      <c r="E332" s="7" t="s">
        <v>998</v>
      </c>
      <c r="F332" s="7" t="s">
        <v>1078</v>
      </c>
      <c r="G332" s="9" t="s">
        <v>55</v>
      </c>
    </row>
    <row r="333" spans="1:7" ht="60">
      <c r="A333" s="7" t="s">
        <v>103</v>
      </c>
      <c r="B333" s="7" t="s">
        <v>999</v>
      </c>
      <c r="C333" s="7" t="s">
        <v>1000</v>
      </c>
      <c r="D333" s="7" t="s">
        <v>1001</v>
      </c>
      <c r="E333" s="7" t="s">
        <v>1002</v>
      </c>
      <c r="F333" s="1" t="s">
        <v>1080</v>
      </c>
      <c r="G333" s="9" t="s">
        <v>55</v>
      </c>
    </row>
    <row r="334" spans="1:7" ht="33.75">
      <c r="A334" s="7" t="s">
        <v>103</v>
      </c>
      <c r="B334" s="7" t="s">
        <v>1003</v>
      </c>
      <c r="C334" s="7" t="s">
        <v>1004</v>
      </c>
      <c r="D334" s="7" t="s">
        <v>1005</v>
      </c>
      <c r="E334" s="7" t="s">
        <v>1006</v>
      </c>
      <c r="F334" s="8" t="s">
        <v>51</v>
      </c>
      <c r="G334" s="9" t="s">
        <v>55</v>
      </c>
    </row>
    <row r="335" spans="1:7" ht="45">
      <c r="A335" s="7" t="s">
        <v>103</v>
      </c>
      <c r="B335" s="7" t="s">
        <v>1007</v>
      </c>
      <c r="C335" s="7" t="s">
        <v>1008</v>
      </c>
      <c r="D335" s="7" t="s">
        <v>1009</v>
      </c>
      <c r="E335" s="7" t="s">
        <v>1010</v>
      </c>
      <c r="F335" s="1" t="s">
        <v>52</v>
      </c>
      <c r="G335" s="9" t="s">
        <v>55</v>
      </c>
    </row>
    <row r="336" spans="1:7" ht="33.75">
      <c r="A336" s="7" t="s">
        <v>103</v>
      </c>
      <c r="B336" s="7" t="s">
        <v>1011</v>
      </c>
      <c r="C336" s="7" t="s">
        <v>1012</v>
      </c>
      <c r="D336" s="7" t="s">
        <v>1013</v>
      </c>
      <c r="E336" s="7" t="s">
        <v>1014</v>
      </c>
      <c r="F336" s="7" t="s">
        <v>1078</v>
      </c>
      <c r="G336" s="9" t="s">
        <v>55</v>
      </c>
    </row>
    <row r="337" spans="1:7" ht="60">
      <c r="A337" s="7" t="s">
        <v>103</v>
      </c>
      <c r="B337" s="7" t="s">
        <v>1015</v>
      </c>
      <c r="C337" s="7" t="s">
        <v>1016</v>
      </c>
      <c r="D337" s="7" t="s">
        <v>1017</v>
      </c>
      <c r="E337" s="7" t="s">
        <v>1018</v>
      </c>
      <c r="F337" s="1" t="s">
        <v>1080</v>
      </c>
      <c r="G337" s="9" t="s">
        <v>55</v>
      </c>
    </row>
    <row r="338" spans="1:7" ht="33.75">
      <c r="A338" s="7" t="s">
        <v>1019</v>
      </c>
      <c r="B338" s="7" t="s">
        <v>1020</v>
      </c>
      <c r="C338" s="7" t="s">
        <v>1021</v>
      </c>
      <c r="D338" s="7" t="s">
        <v>1022</v>
      </c>
      <c r="E338" s="7" t="s">
        <v>1023</v>
      </c>
      <c r="F338" s="7" t="s">
        <v>1079</v>
      </c>
      <c r="G338" s="9" t="s">
        <v>55</v>
      </c>
    </row>
    <row r="339" spans="1:7" ht="45">
      <c r="A339" s="7" t="s">
        <v>1019</v>
      </c>
      <c r="B339" s="7" t="s">
        <v>1024</v>
      </c>
      <c r="C339" s="7" t="s">
        <v>1025</v>
      </c>
      <c r="D339" s="7" t="s">
        <v>1026</v>
      </c>
      <c r="E339" s="7" t="s">
        <v>1027</v>
      </c>
      <c r="F339" s="1" t="s">
        <v>52</v>
      </c>
      <c r="G339" s="9" t="s">
        <v>55</v>
      </c>
    </row>
    <row r="340" spans="1:7" ht="33.75">
      <c r="A340" s="7" t="s">
        <v>1019</v>
      </c>
      <c r="B340" s="7" t="s">
        <v>1024</v>
      </c>
      <c r="C340" s="7" t="s">
        <v>1025</v>
      </c>
      <c r="D340" s="7" t="s">
        <v>1028</v>
      </c>
      <c r="E340" s="7" t="s">
        <v>1029</v>
      </c>
      <c r="F340" s="7" t="s">
        <v>1079</v>
      </c>
      <c r="G340" s="9" t="s">
        <v>55</v>
      </c>
    </row>
    <row r="341" spans="1:7" ht="33.75" customHeight="1">
      <c r="A341" s="7" t="s">
        <v>1030</v>
      </c>
      <c r="B341" s="7" t="s">
        <v>1031</v>
      </c>
      <c r="C341" s="7" t="s">
        <v>1032</v>
      </c>
      <c r="D341" s="7" t="s">
        <v>148</v>
      </c>
      <c r="E341" s="10" t="s">
        <v>1081</v>
      </c>
      <c r="F341" s="1" t="s">
        <v>1082</v>
      </c>
      <c r="G341" s="9" t="s">
        <v>55</v>
      </c>
    </row>
    <row r="342" spans="1:7" ht="33.75" customHeight="1">
      <c r="A342" s="7" t="s">
        <v>1030</v>
      </c>
      <c r="B342" s="7" t="s">
        <v>1033</v>
      </c>
      <c r="C342" s="7" t="s">
        <v>1034</v>
      </c>
      <c r="D342" s="7" t="s">
        <v>148</v>
      </c>
      <c r="E342" s="10" t="s">
        <v>1081</v>
      </c>
      <c r="F342" s="1" t="s">
        <v>1082</v>
      </c>
      <c r="G342" s="9" t="s">
        <v>55</v>
      </c>
    </row>
    <row r="343" spans="1:7" ht="33.75">
      <c r="A343" s="7" t="s">
        <v>1035</v>
      </c>
      <c r="B343" s="7" t="s">
        <v>1036</v>
      </c>
      <c r="C343" s="7" t="s">
        <v>1037</v>
      </c>
      <c r="D343" s="7" t="s">
        <v>1038</v>
      </c>
      <c r="E343" s="7" t="s">
        <v>1039</v>
      </c>
      <c r="F343" s="7" t="s">
        <v>1078</v>
      </c>
      <c r="G343" s="9" t="s">
        <v>55</v>
      </c>
    </row>
    <row r="344" spans="1:7" ht="33.75">
      <c r="A344" s="7" t="s">
        <v>1040</v>
      </c>
      <c r="B344" s="7" t="s">
        <v>1041</v>
      </c>
      <c r="C344" s="7" t="s">
        <v>1042</v>
      </c>
      <c r="D344" s="7" t="s">
        <v>1043</v>
      </c>
      <c r="E344" s="7" t="s">
        <v>1044</v>
      </c>
      <c r="F344" s="8" t="s">
        <v>51</v>
      </c>
      <c r="G344" s="9" t="s">
        <v>55</v>
      </c>
    </row>
    <row r="345" spans="1:7" ht="60">
      <c r="A345" s="7" t="s">
        <v>1040</v>
      </c>
      <c r="B345" s="7" t="s">
        <v>1045</v>
      </c>
      <c r="C345" s="7" t="s">
        <v>1046</v>
      </c>
      <c r="D345" s="7" t="s">
        <v>1047</v>
      </c>
      <c r="E345" s="7" t="s">
        <v>1048</v>
      </c>
      <c r="F345" s="1" t="s">
        <v>1080</v>
      </c>
      <c r="G345" s="9" t="s">
        <v>55</v>
      </c>
    </row>
    <row r="346" spans="1:7" ht="45">
      <c r="A346" s="7" t="s">
        <v>1040</v>
      </c>
      <c r="B346" s="7" t="s">
        <v>1049</v>
      </c>
      <c r="C346" s="7" t="s">
        <v>1050</v>
      </c>
      <c r="D346" s="7" t="s">
        <v>1051</v>
      </c>
      <c r="E346" s="7" t="s">
        <v>1052</v>
      </c>
      <c r="F346" s="1" t="s">
        <v>52</v>
      </c>
      <c r="G346" s="9" t="s">
        <v>55</v>
      </c>
    </row>
    <row r="347" spans="1:7" ht="33.75">
      <c r="A347" s="7" t="s">
        <v>1040</v>
      </c>
      <c r="B347" s="7" t="s">
        <v>1053</v>
      </c>
      <c r="C347" s="7" t="s">
        <v>1054</v>
      </c>
      <c r="D347" s="7" t="s">
        <v>1055</v>
      </c>
      <c r="E347" s="7" t="s">
        <v>1056</v>
      </c>
      <c r="F347" s="8" t="s">
        <v>51</v>
      </c>
      <c r="G347" s="9" t="s">
        <v>55</v>
      </c>
    </row>
    <row r="348" spans="1:7" ht="33.75">
      <c r="A348" s="7" t="s">
        <v>1057</v>
      </c>
      <c r="B348" s="7" t="s">
        <v>1058</v>
      </c>
      <c r="C348" s="7" t="s">
        <v>1059</v>
      </c>
      <c r="D348" s="7" t="s">
        <v>1060</v>
      </c>
      <c r="E348" s="7" t="s">
        <v>1061</v>
      </c>
      <c r="F348" s="8" t="s">
        <v>51</v>
      </c>
      <c r="G348" s="9" t="s">
        <v>55</v>
      </c>
    </row>
    <row r="349" spans="1:7" ht="33.75">
      <c r="A349" s="7" t="s">
        <v>1062</v>
      </c>
      <c r="B349" s="7" t="s">
        <v>1063</v>
      </c>
      <c r="C349" s="7" t="s">
        <v>1064</v>
      </c>
      <c r="D349" s="7" t="s">
        <v>1065</v>
      </c>
      <c r="E349" s="7" t="s">
        <v>1066</v>
      </c>
      <c r="F349" s="7" t="s">
        <v>1079</v>
      </c>
      <c r="G349" s="9" t="s">
        <v>55</v>
      </c>
    </row>
    <row r="350" spans="1:7" ht="33.75">
      <c r="A350" s="7" t="s">
        <v>1062</v>
      </c>
      <c r="B350" s="7" t="s">
        <v>1067</v>
      </c>
      <c r="C350" s="7" t="s">
        <v>1068</v>
      </c>
      <c r="D350" s="7" t="s">
        <v>1069</v>
      </c>
      <c r="E350" s="7" t="s">
        <v>1070</v>
      </c>
      <c r="F350" s="7" t="s">
        <v>1078</v>
      </c>
      <c r="G350" s="9" t="s">
        <v>55</v>
      </c>
    </row>
    <row r="351" spans="1:7" ht="33.75">
      <c r="A351" s="7" t="s">
        <v>1062</v>
      </c>
      <c r="B351" s="7" t="s">
        <v>1067</v>
      </c>
      <c r="C351" s="7" t="s">
        <v>1068</v>
      </c>
      <c r="D351" s="7" t="s">
        <v>1071</v>
      </c>
      <c r="E351" s="7" t="s">
        <v>1072</v>
      </c>
      <c r="F351" s="8" t="s">
        <v>51</v>
      </c>
      <c r="G351" s="9" t="s">
        <v>55</v>
      </c>
    </row>
    <row r="352" spans="1:7" ht="45">
      <c r="A352" s="7" t="s">
        <v>1073</v>
      </c>
      <c r="B352" s="7" t="s">
        <v>1074</v>
      </c>
      <c r="C352" s="7" t="s">
        <v>1075</v>
      </c>
      <c r="D352" s="7" t="s">
        <v>1076</v>
      </c>
      <c r="E352" s="7" t="s">
        <v>1077</v>
      </c>
      <c r="F352" s="1" t="s">
        <v>52</v>
      </c>
      <c r="G352" s="9" t="s">
        <v>55</v>
      </c>
    </row>
    <row r="353" spans="1:1">
      <c r="A353" s="7" t="s">
        <v>1083</v>
      </c>
    </row>
  </sheetData>
  <sortState ref="A5:H376">
    <sortCondition ref="C5:C376"/>
    <sortCondition ref="E5:E376"/>
  </sortState>
  <mergeCells count="5">
    <mergeCell ref="G3:H3"/>
    <mergeCell ref="F3:F4"/>
    <mergeCell ref="D3:E3"/>
    <mergeCell ref="B3:C3"/>
    <mergeCell ref="A3:A4"/>
  </mergeCells>
  <pageMargins left="0.7" right="0.7" top="0.75" bottom="0.75" header="0.3" footer="0.3"/>
  <pageSetup scale="6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U.S.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Stillwell</dc:creator>
  <cp:lastModifiedBy>Authorised User</cp:lastModifiedBy>
  <cp:lastPrinted>2012-05-15T18:56:12Z</cp:lastPrinted>
  <dcterms:created xsi:type="dcterms:W3CDTF">2012-05-14T19:02:19Z</dcterms:created>
  <dcterms:modified xsi:type="dcterms:W3CDTF">2012-06-01T14:34:41Z</dcterms:modified>
</cp:coreProperties>
</file>