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35" windowWidth="21075" windowHeight="9780" firstSheet="1" activeTab="1"/>
  </bookViews>
  <sheets>
    <sheet name="BoostToolkitClipBoard2010" sheetId="4" state="veryHidden" r:id="rId1"/>
    <sheet name="ReadMe" sheetId="12" r:id="rId2"/>
    <sheet name="IS" sheetId="1" r:id="rId3"/>
    <sheet name="BS" sheetId="10" r:id="rId4"/>
    <sheet name="CF" sheetId="11" r:id="rId5"/>
    <sheet name="Scen" sheetId="9" r:id="rId6"/>
    <sheet name="HC" sheetId="5" r:id="rId7"/>
  </sheets>
  <definedNames>
    <definedName name="_xlnm.Print_Area" localSheetId="3">BS!$A$1:$S$54</definedName>
    <definedName name="_xlnm.Print_Area" localSheetId="4">CF!$A$1:$S$44</definedName>
    <definedName name="_xlnm.Print_Area" localSheetId="6">HC!$A$1:$S$38</definedName>
    <definedName name="_xlnm.Print_Area" localSheetId="2">IS!$A$1:$S$63</definedName>
    <definedName name="_xlnm.Print_Area" localSheetId="1">ReadMe!$A$1:$S$24</definedName>
    <definedName name="_xlnm.Print_Area" localSheetId="5">Scen!$A$1:$S$37</definedName>
  </definedNames>
  <calcPr calcId="125725"/>
</workbook>
</file>

<file path=xl/calcChain.xml><?xml version="1.0" encoding="utf-8"?>
<calcChain xmlns="http://schemas.openxmlformats.org/spreadsheetml/2006/main">
  <c r="F19" i="10"/>
  <c r="D19"/>
  <c r="U20" i="11"/>
  <c r="T20"/>
  <c r="S20"/>
  <c r="R20"/>
  <c r="Q20"/>
  <c r="P20"/>
  <c r="O20"/>
  <c r="N20"/>
  <c r="M20"/>
  <c r="L20"/>
  <c r="K20"/>
  <c r="J20"/>
  <c r="I20"/>
  <c r="H20"/>
  <c r="G20"/>
  <c r="F20"/>
  <c r="E20"/>
  <c r="D20"/>
  <c r="C20"/>
  <c r="A20"/>
  <c r="A61" i="1"/>
  <c r="C19" i="10"/>
  <c r="E19" s="1"/>
  <c r="C47"/>
  <c r="D47" s="1"/>
  <c r="E47" s="1"/>
  <c r="F47" s="1"/>
  <c r="G47" s="1"/>
  <c r="H47" s="1"/>
  <c r="I47" s="1"/>
  <c r="J47" s="1"/>
  <c r="K47" s="1"/>
  <c r="L47" s="1"/>
  <c r="M47" s="1"/>
  <c r="N47" s="1"/>
  <c r="O47" s="1"/>
  <c r="P47" s="1"/>
  <c r="Q47" s="1"/>
  <c r="R47" s="1"/>
  <c r="S47" s="1"/>
  <c r="T47" s="1"/>
  <c r="U47" s="1"/>
  <c r="A38" i="11"/>
  <c r="B22" i="10"/>
  <c r="C47" i="1"/>
  <c r="C20" i="10" s="1"/>
  <c r="C46"/>
  <c r="D46" s="1"/>
  <c r="E46" s="1"/>
  <c r="F46" s="1"/>
  <c r="G46" s="1"/>
  <c r="H46" s="1"/>
  <c r="I46" s="1"/>
  <c r="J46" s="1"/>
  <c r="K46" s="1"/>
  <c r="L46" s="1"/>
  <c r="M46" s="1"/>
  <c r="N46" s="1"/>
  <c r="O46" s="1"/>
  <c r="P46" s="1"/>
  <c r="Q46" s="1"/>
  <c r="R46" s="1"/>
  <c r="S46" s="1"/>
  <c r="T46" s="1"/>
  <c r="U46" s="1"/>
  <c r="C45"/>
  <c r="D45" s="1"/>
  <c r="E45" s="1"/>
  <c r="C40"/>
  <c r="D40" s="1"/>
  <c r="C39"/>
  <c r="D39" s="1"/>
  <c r="S13" i="9"/>
  <c r="T13" s="1"/>
  <c r="U13" s="1"/>
  <c r="S12"/>
  <c r="T12" s="1"/>
  <c r="U12" s="1"/>
  <c r="S11"/>
  <c r="T11" s="1"/>
  <c r="U11" s="1"/>
  <c r="S10"/>
  <c r="T10" s="1"/>
  <c r="U10" s="1"/>
  <c r="S9"/>
  <c r="T9" s="1"/>
  <c r="U9" s="1"/>
  <c r="P14"/>
  <c r="P21"/>
  <c r="A51" i="1"/>
  <c r="A50"/>
  <c r="C51"/>
  <c r="D50"/>
  <c r="C50"/>
  <c r="D14" i="11"/>
  <c r="E14"/>
  <c r="F14"/>
  <c r="G14"/>
  <c r="H14"/>
  <c r="I14"/>
  <c r="J14"/>
  <c r="K14"/>
  <c r="L14"/>
  <c r="M14"/>
  <c r="N14"/>
  <c r="O14"/>
  <c r="P14"/>
  <c r="Q14"/>
  <c r="R14"/>
  <c r="S14"/>
  <c r="T14"/>
  <c r="U14"/>
  <c r="D15"/>
  <c r="E15"/>
  <c r="F15"/>
  <c r="G15"/>
  <c r="H15"/>
  <c r="I15"/>
  <c r="J15"/>
  <c r="K15"/>
  <c r="L15"/>
  <c r="M15"/>
  <c r="N15"/>
  <c r="O15"/>
  <c r="P15"/>
  <c r="Q15"/>
  <c r="R15"/>
  <c r="S15"/>
  <c r="T15"/>
  <c r="U15"/>
  <c r="D16"/>
  <c r="E16"/>
  <c r="F16"/>
  <c r="G16"/>
  <c r="H16"/>
  <c r="I16"/>
  <c r="J16"/>
  <c r="K16"/>
  <c r="L16"/>
  <c r="M16"/>
  <c r="N16"/>
  <c r="O16"/>
  <c r="P16"/>
  <c r="Q16"/>
  <c r="R16"/>
  <c r="S16"/>
  <c r="T16"/>
  <c r="U16"/>
  <c r="D18"/>
  <c r="E18"/>
  <c r="F18"/>
  <c r="G18"/>
  <c r="H18"/>
  <c r="I18"/>
  <c r="J18"/>
  <c r="K18"/>
  <c r="L18"/>
  <c r="M18"/>
  <c r="N18"/>
  <c r="O18"/>
  <c r="P18"/>
  <c r="Q18"/>
  <c r="R18"/>
  <c r="S18"/>
  <c r="T18"/>
  <c r="U18"/>
  <c r="D19"/>
  <c r="E19"/>
  <c r="F19"/>
  <c r="G19"/>
  <c r="H19"/>
  <c r="I19"/>
  <c r="J19"/>
  <c r="K19"/>
  <c r="L19"/>
  <c r="M19"/>
  <c r="N19"/>
  <c r="O19"/>
  <c r="P19"/>
  <c r="Q19"/>
  <c r="R19"/>
  <c r="S19"/>
  <c r="T19"/>
  <c r="U19"/>
  <c r="D21"/>
  <c r="E21"/>
  <c r="F21"/>
  <c r="G21"/>
  <c r="H21"/>
  <c r="I21"/>
  <c r="J21"/>
  <c r="K21"/>
  <c r="L21"/>
  <c r="M21"/>
  <c r="N21"/>
  <c r="O21"/>
  <c r="P21"/>
  <c r="Q21"/>
  <c r="R21"/>
  <c r="S21"/>
  <c r="T21"/>
  <c r="U21"/>
  <c r="D28"/>
  <c r="E28"/>
  <c r="F28"/>
  <c r="G28"/>
  <c r="H28"/>
  <c r="I28"/>
  <c r="J28"/>
  <c r="K28"/>
  <c r="L28"/>
  <c r="M28"/>
  <c r="N28"/>
  <c r="O28"/>
  <c r="P28"/>
  <c r="Q28"/>
  <c r="R28"/>
  <c r="S28"/>
  <c r="T28"/>
  <c r="U28"/>
  <c r="D40"/>
  <c r="E40"/>
  <c r="F40"/>
  <c r="G40"/>
  <c r="H40"/>
  <c r="I40"/>
  <c r="J40"/>
  <c r="K40"/>
  <c r="L40"/>
  <c r="M40"/>
  <c r="N40"/>
  <c r="O40"/>
  <c r="P40"/>
  <c r="Q40"/>
  <c r="R40"/>
  <c r="S40"/>
  <c r="T40"/>
  <c r="U40"/>
  <c r="C40"/>
  <c r="A40"/>
  <c r="A37"/>
  <c r="A36"/>
  <c r="A35"/>
  <c r="A34"/>
  <c r="C28"/>
  <c r="A28"/>
  <c r="A23"/>
  <c r="C21"/>
  <c r="C19"/>
  <c r="C18"/>
  <c r="A21"/>
  <c r="A19"/>
  <c r="A18"/>
  <c r="C16"/>
  <c r="C15"/>
  <c r="C14"/>
  <c r="A16"/>
  <c r="A15"/>
  <c r="A14"/>
  <c r="A13"/>
  <c r="B50" i="10"/>
  <c r="B42"/>
  <c r="B36"/>
  <c r="B16"/>
  <c r="B6"/>
  <c r="B5"/>
  <c r="U6" i="11"/>
  <c r="T6"/>
  <c r="S6"/>
  <c r="R6"/>
  <c r="Q6"/>
  <c r="P6"/>
  <c r="O6"/>
  <c r="N6"/>
  <c r="M6"/>
  <c r="L6"/>
  <c r="K6"/>
  <c r="J6"/>
  <c r="I6"/>
  <c r="H6"/>
  <c r="G6"/>
  <c r="F6"/>
  <c r="E6"/>
  <c r="D6"/>
  <c r="C6"/>
  <c r="A3"/>
  <c r="A1"/>
  <c r="A50" i="10"/>
  <c r="C42"/>
  <c r="A42"/>
  <c r="U36"/>
  <c r="T36"/>
  <c r="S36"/>
  <c r="R36"/>
  <c r="Q36"/>
  <c r="P36"/>
  <c r="O36"/>
  <c r="N36"/>
  <c r="M36"/>
  <c r="L36"/>
  <c r="K36"/>
  <c r="J36"/>
  <c r="I36"/>
  <c r="H36"/>
  <c r="G36"/>
  <c r="F36"/>
  <c r="E36"/>
  <c r="D36"/>
  <c r="C36"/>
  <c r="A36"/>
  <c r="A16"/>
  <c r="U6"/>
  <c r="T6"/>
  <c r="S6"/>
  <c r="R6"/>
  <c r="Q6"/>
  <c r="P6"/>
  <c r="O6"/>
  <c r="N6"/>
  <c r="M6"/>
  <c r="L6"/>
  <c r="K6"/>
  <c r="J6"/>
  <c r="I6"/>
  <c r="H6"/>
  <c r="G6"/>
  <c r="F6"/>
  <c r="E6"/>
  <c r="D6"/>
  <c r="C6"/>
  <c r="A3"/>
  <c r="A1"/>
  <c r="A10" i="1"/>
  <c r="S21" i="9"/>
  <c r="S10" i="1" s="1"/>
  <c r="O21" i="9"/>
  <c r="O10" i="1" s="1"/>
  <c r="N21" i="9"/>
  <c r="N10" i="1" s="1"/>
  <c r="M21" i="9"/>
  <c r="M10" i="1" s="1"/>
  <c r="L21" i="9"/>
  <c r="L10" i="1" s="1"/>
  <c r="K21" i="9"/>
  <c r="K10" i="1" s="1"/>
  <c r="J21" i="9"/>
  <c r="J10" i="1" s="1"/>
  <c r="I21" i="9"/>
  <c r="I10" i="1" s="1"/>
  <c r="H21" i="9"/>
  <c r="H10" i="1" s="1"/>
  <c r="G21" i="9"/>
  <c r="G10" i="1" s="1"/>
  <c r="F21" i="9"/>
  <c r="F10" i="1" s="1"/>
  <c r="E21" i="9"/>
  <c r="E10" i="1" s="1"/>
  <c r="D21" i="9"/>
  <c r="D10" i="1" s="1"/>
  <c r="C21" i="9"/>
  <c r="C10" i="1" s="1"/>
  <c r="A17" i="9"/>
  <c r="A18" s="1"/>
  <c r="A19" s="1"/>
  <c r="A20" s="1"/>
  <c r="A9" i="1"/>
  <c r="F14" i="9"/>
  <c r="F9" i="1" s="1"/>
  <c r="E14" i="9"/>
  <c r="E9" i="1" s="1"/>
  <c r="D14" i="9"/>
  <c r="D9" i="1" s="1"/>
  <c r="C14" i="9"/>
  <c r="C9" i="1" s="1"/>
  <c r="D2" i="9"/>
  <c r="A10"/>
  <c r="A11" s="1"/>
  <c r="A12" s="1"/>
  <c r="A13" s="1"/>
  <c r="U6"/>
  <c r="T6"/>
  <c r="S6"/>
  <c r="R6"/>
  <c r="Q6"/>
  <c r="P6"/>
  <c r="O6"/>
  <c r="N6"/>
  <c r="M6"/>
  <c r="L6"/>
  <c r="K6"/>
  <c r="J6"/>
  <c r="I6"/>
  <c r="H6"/>
  <c r="G6"/>
  <c r="F6"/>
  <c r="E6"/>
  <c r="D6"/>
  <c r="C6"/>
  <c r="A3"/>
  <c r="A1"/>
  <c r="A3" i="5"/>
  <c r="A1"/>
  <c r="A30"/>
  <c r="A29"/>
  <c r="A28"/>
  <c r="A27"/>
  <c r="A26"/>
  <c r="A25"/>
  <c r="A24"/>
  <c r="A23"/>
  <c r="A22"/>
  <c r="A21"/>
  <c r="U6"/>
  <c r="U29" s="1"/>
  <c r="T6"/>
  <c r="T30" s="1"/>
  <c r="S6"/>
  <c r="S29" s="1"/>
  <c r="R6"/>
  <c r="R30" s="1"/>
  <c r="Q6"/>
  <c r="Q29" s="1"/>
  <c r="P6"/>
  <c r="P30" s="1"/>
  <c r="O6"/>
  <c r="O29" s="1"/>
  <c r="N6"/>
  <c r="N30" s="1"/>
  <c r="M6"/>
  <c r="M29" s="1"/>
  <c r="L6"/>
  <c r="L30" s="1"/>
  <c r="K6"/>
  <c r="K29" s="1"/>
  <c r="J6"/>
  <c r="J30" s="1"/>
  <c r="I6"/>
  <c r="I29" s="1"/>
  <c r="H6"/>
  <c r="H30" s="1"/>
  <c r="G6"/>
  <c r="G29" s="1"/>
  <c r="F6"/>
  <c r="F30" s="1"/>
  <c r="E6"/>
  <c r="E29" s="1"/>
  <c r="D6"/>
  <c r="D30" s="1"/>
  <c r="C6"/>
  <c r="C29" s="1"/>
  <c r="U4" i="1"/>
  <c r="U4" i="5" s="1"/>
  <c r="T4" i="1"/>
  <c r="T4" i="5" s="1"/>
  <c r="S4" i="1"/>
  <c r="S4" i="5" s="1"/>
  <c r="R4" i="1"/>
  <c r="R4" i="5" s="1"/>
  <c r="Q4" i="1"/>
  <c r="Q4" i="5" s="1"/>
  <c r="P4" i="1"/>
  <c r="P4" i="5" s="1"/>
  <c r="O4" i="1"/>
  <c r="O4" i="5" s="1"/>
  <c r="N4" i="1"/>
  <c r="N4" i="5" s="1"/>
  <c r="M4" i="1"/>
  <c r="M4" i="5" s="1"/>
  <c r="L4" i="1"/>
  <c r="L4" i="5" s="1"/>
  <c r="K4" i="1"/>
  <c r="K4" i="5" s="1"/>
  <c r="J4" i="1"/>
  <c r="J4" i="5" s="1"/>
  <c r="I4" i="1"/>
  <c r="I4" i="5" s="1"/>
  <c r="H4" i="1"/>
  <c r="H4" i="5" s="1"/>
  <c r="G4" i="1"/>
  <c r="G4" i="5" s="1"/>
  <c r="F4" i="1"/>
  <c r="F4" i="5" s="1"/>
  <c r="E4" i="1"/>
  <c r="E4" i="5" s="1"/>
  <c r="D4" i="1"/>
  <c r="D4" i="5" s="1"/>
  <c r="C4" i="1"/>
  <c r="C4" i="5" s="1"/>
  <c r="B4" i="1"/>
  <c r="B4" i="10" s="1"/>
  <c r="A53" i="1"/>
  <c r="A20"/>
  <c r="C10" i="11" l="1"/>
  <c r="G19" i="10"/>
  <c r="H19" s="1"/>
  <c r="I19" s="1"/>
  <c r="J19" s="1"/>
  <c r="K19" s="1"/>
  <c r="L19" s="1"/>
  <c r="M19" s="1"/>
  <c r="N19" s="1"/>
  <c r="O19" s="1"/>
  <c r="P19" s="1"/>
  <c r="Q19" s="1"/>
  <c r="R19" s="1"/>
  <c r="S19" s="1"/>
  <c r="T19" s="1"/>
  <c r="U19" s="1"/>
  <c r="D51" i="1"/>
  <c r="B27" i="10"/>
  <c r="E40"/>
  <c r="F40" s="1"/>
  <c r="E51" i="1"/>
  <c r="E39" i="10"/>
  <c r="F39" s="1"/>
  <c r="E50" i="1"/>
  <c r="D42" i="10"/>
  <c r="E42"/>
  <c r="D47" i="1"/>
  <c r="D10" i="11" s="1"/>
  <c r="F45" i="10"/>
  <c r="C22"/>
  <c r="F47" i="1"/>
  <c r="F10" i="11" s="1"/>
  <c r="E47" i="1"/>
  <c r="E10" i="11" s="1"/>
  <c r="U21" i="9"/>
  <c r="T21"/>
  <c r="U14"/>
  <c r="T14"/>
  <c r="R21"/>
  <c r="Q21"/>
  <c r="R14"/>
  <c r="Q14"/>
  <c r="U10" i="1"/>
  <c r="Q10"/>
  <c r="P10"/>
  <c r="B52" i="10"/>
  <c r="B54" s="1"/>
  <c r="D4" i="11"/>
  <c r="F4"/>
  <c r="H4"/>
  <c r="J4"/>
  <c r="L4"/>
  <c r="N4"/>
  <c r="P4"/>
  <c r="R4"/>
  <c r="T4"/>
  <c r="C4"/>
  <c r="E4"/>
  <c r="G4"/>
  <c r="I4"/>
  <c r="K4"/>
  <c r="M4"/>
  <c r="O4"/>
  <c r="Q4"/>
  <c r="S4"/>
  <c r="U4"/>
  <c r="G14" i="9"/>
  <c r="C4" i="10"/>
  <c r="G4"/>
  <c r="K4"/>
  <c r="O4"/>
  <c r="S4"/>
  <c r="E4"/>
  <c r="I4"/>
  <c r="M4"/>
  <c r="Q4"/>
  <c r="U4"/>
  <c r="D4" i="9"/>
  <c r="F4"/>
  <c r="H4"/>
  <c r="J4"/>
  <c r="L4"/>
  <c r="N4"/>
  <c r="P4"/>
  <c r="R4"/>
  <c r="T4"/>
  <c r="C4"/>
  <c r="E4"/>
  <c r="G4"/>
  <c r="I4"/>
  <c r="K4"/>
  <c r="M4"/>
  <c r="O4"/>
  <c r="Q4"/>
  <c r="S4"/>
  <c r="U4"/>
  <c r="D4" i="10"/>
  <c r="F4"/>
  <c r="H4"/>
  <c r="J4"/>
  <c r="L4"/>
  <c r="N4"/>
  <c r="P4"/>
  <c r="R4"/>
  <c r="T4"/>
  <c r="C20" i="1"/>
  <c r="D20"/>
  <c r="D11" i="10" s="1"/>
  <c r="D21" i="5"/>
  <c r="F21"/>
  <c r="H21"/>
  <c r="J21"/>
  <c r="L21"/>
  <c r="N21"/>
  <c r="P21"/>
  <c r="R21"/>
  <c r="T21"/>
  <c r="C22"/>
  <c r="E22"/>
  <c r="G22"/>
  <c r="I22"/>
  <c r="K22"/>
  <c r="M22"/>
  <c r="O22"/>
  <c r="Q22"/>
  <c r="S22"/>
  <c r="U22"/>
  <c r="D23"/>
  <c r="F23"/>
  <c r="H23"/>
  <c r="J23"/>
  <c r="L23"/>
  <c r="N23"/>
  <c r="P23"/>
  <c r="R23"/>
  <c r="T23"/>
  <c r="C24"/>
  <c r="E24"/>
  <c r="G24"/>
  <c r="I24"/>
  <c r="K24"/>
  <c r="M24"/>
  <c r="O24"/>
  <c r="Q24"/>
  <c r="S24"/>
  <c r="U24"/>
  <c r="D25"/>
  <c r="F25"/>
  <c r="H25"/>
  <c r="J25"/>
  <c r="L25"/>
  <c r="N25"/>
  <c r="P25"/>
  <c r="R25"/>
  <c r="T25"/>
  <c r="C26"/>
  <c r="E26"/>
  <c r="G26"/>
  <c r="I26"/>
  <c r="K26"/>
  <c r="M26"/>
  <c r="O26"/>
  <c r="Q26"/>
  <c r="S26"/>
  <c r="U26"/>
  <c r="D27"/>
  <c r="F27"/>
  <c r="H27"/>
  <c r="J27"/>
  <c r="L27"/>
  <c r="N27"/>
  <c r="P27"/>
  <c r="R27"/>
  <c r="T27"/>
  <c r="C28"/>
  <c r="E28"/>
  <c r="G28"/>
  <c r="I28"/>
  <c r="K28"/>
  <c r="M28"/>
  <c r="O28"/>
  <c r="Q28"/>
  <c r="S28"/>
  <c r="U28"/>
  <c r="D29"/>
  <c r="F29"/>
  <c r="H29"/>
  <c r="J29"/>
  <c r="L29"/>
  <c r="N29"/>
  <c r="P29"/>
  <c r="R29"/>
  <c r="T29"/>
  <c r="C30"/>
  <c r="E30"/>
  <c r="G30"/>
  <c r="I30"/>
  <c r="K30"/>
  <c r="M30"/>
  <c r="O30"/>
  <c r="Q30"/>
  <c r="S30"/>
  <c r="U30"/>
  <c r="C21"/>
  <c r="E21"/>
  <c r="G21"/>
  <c r="I21"/>
  <c r="K21"/>
  <c r="M21"/>
  <c r="O21"/>
  <c r="Q21"/>
  <c r="S21"/>
  <c r="U21"/>
  <c r="D22"/>
  <c r="F22"/>
  <c r="H22"/>
  <c r="J22"/>
  <c r="L22"/>
  <c r="N22"/>
  <c r="P22"/>
  <c r="R22"/>
  <c r="T22"/>
  <c r="C23"/>
  <c r="E23"/>
  <c r="G23"/>
  <c r="I23"/>
  <c r="K23"/>
  <c r="M23"/>
  <c r="O23"/>
  <c r="Q23"/>
  <c r="S23"/>
  <c r="U23"/>
  <c r="D24"/>
  <c r="F24"/>
  <c r="H24"/>
  <c r="J24"/>
  <c r="L24"/>
  <c r="N24"/>
  <c r="P24"/>
  <c r="R24"/>
  <c r="T24"/>
  <c r="C25"/>
  <c r="E25"/>
  <c r="G25"/>
  <c r="I25"/>
  <c r="K25"/>
  <c r="M25"/>
  <c r="O25"/>
  <c r="Q25"/>
  <c r="S25"/>
  <c r="U25"/>
  <c r="D26"/>
  <c r="F26"/>
  <c r="H26"/>
  <c r="J26"/>
  <c r="L26"/>
  <c r="N26"/>
  <c r="P26"/>
  <c r="R26"/>
  <c r="T26"/>
  <c r="C27"/>
  <c r="E27"/>
  <c r="G27"/>
  <c r="I27"/>
  <c r="K27"/>
  <c r="M27"/>
  <c r="O27"/>
  <c r="Q27"/>
  <c r="S27"/>
  <c r="U27"/>
  <c r="D28"/>
  <c r="F28"/>
  <c r="H28"/>
  <c r="J28"/>
  <c r="L28"/>
  <c r="N28"/>
  <c r="P28"/>
  <c r="R28"/>
  <c r="T28"/>
  <c r="R10" i="1" l="1"/>
  <c r="G9"/>
  <c r="T10"/>
  <c r="F51"/>
  <c r="F50"/>
  <c r="G50"/>
  <c r="G39" i="10"/>
  <c r="F42"/>
  <c r="G40"/>
  <c r="G51" i="1"/>
  <c r="C11" i="10"/>
  <c r="D13" i="11" s="1"/>
  <c r="D20" i="10"/>
  <c r="D22" s="1"/>
  <c r="G45"/>
  <c r="E20"/>
  <c r="G47" i="1"/>
  <c r="G10" i="11" s="1"/>
  <c r="H14" i="9"/>
  <c r="U32" i="5"/>
  <c r="Q32"/>
  <c r="M32"/>
  <c r="I32"/>
  <c r="E32"/>
  <c r="T32"/>
  <c r="P32"/>
  <c r="L32"/>
  <c r="H32"/>
  <c r="D32"/>
  <c r="S32"/>
  <c r="O32"/>
  <c r="K32"/>
  <c r="G32"/>
  <c r="C32"/>
  <c r="R32"/>
  <c r="N32"/>
  <c r="J32"/>
  <c r="F32"/>
  <c r="C5" i="1"/>
  <c r="C5" i="11" s="1"/>
  <c r="F20" i="10" l="1"/>
  <c r="F22" s="1"/>
  <c r="H9" i="1"/>
  <c r="H39" i="10"/>
  <c r="G42"/>
  <c r="H50" i="1"/>
  <c r="C13" i="11"/>
  <c r="H40" i="10"/>
  <c r="H51" i="1"/>
  <c r="G20" i="10"/>
  <c r="G22" s="1"/>
  <c r="H45"/>
  <c r="E22"/>
  <c r="H47" i="1"/>
  <c r="H10" i="11" s="1"/>
  <c r="E20" i="1"/>
  <c r="E11" i="10" s="1"/>
  <c r="E13" i="11" s="1"/>
  <c r="I14" i="9"/>
  <c r="C5" i="10"/>
  <c r="C5" i="9"/>
  <c r="F33" i="5"/>
  <c r="F24" i="1" s="1"/>
  <c r="F23"/>
  <c r="N33" i="5"/>
  <c r="N24" i="1" s="1"/>
  <c r="N23"/>
  <c r="C23"/>
  <c r="C33" i="5"/>
  <c r="C24" i="1" s="1"/>
  <c r="K23"/>
  <c r="K33" i="5"/>
  <c r="K24" i="1" s="1"/>
  <c r="S23"/>
  <c r="S33" i="5"/>
  <c r="S24" i="1" s="1"/>
  <c r="H33" i="5"/>
  <c r="H24" i="1" s="1"/>
  <c r="H23"/>
  <c r="P33" i="5"/>
  <c r="P24" i="1" s="1"/>
  <c r="P23"/>
  <c r="E23"/>
  <c r="E33" i="5"/>
  <c r="E24" i="1" s="1"/>
  <c r="M23"/>
  <c r="M33" i="5"/>
  <c r="M24" i="1" s="1"/>
  <c r="U23"/>
  <c r="U33" i="5"/>
  <c r="U24" i="1" s="1"/>
  <c r="D5"/>
  <c r="D5" i="11" s="1"/>
  <c r="C5" i="5"/>
  <c r="J33"/>
  <c r="J24" i="1" s="1"/>
  <c r="J23"/>
  <c r="R33" i="5"/>
  <c r="R24" i="1" s="1"/>
  <c r="R23"/>
  <c r="G23"/>
  <c r="G33" i="5"/>
  <c r="G24" i="1" s="1"/>
  <c r="O23"/>
  <c r="O33" i="5"/>
  <c r="O24" i="1" s="1"/>
  <c r="D33" i="5"/>
  <c r="D24" i="1" s="1"/>
  <c r="D23"/>
  <c r="L33" i="5"/>
  <c r="L24" i="1" s="1"/>
  <c r="L23"/>
  <c r="T33" i="5"/>
  <c r="T24" i="1" s="1"/>
  <c r="T23"/>
  <c r="I23"/>
  <c r="I33" i="5"/>
  <c r="I24" i="1" s="1"/>
  <c r="Q23"/>
  <c r="Q33" i="5"/>
  <c r="Q24" i="1" s="1"/>
  <c r="I9" l="1"/>
  <c r="I40" i="10"/>
  <c r="I51" i="1"/>
  <c r="I50"/>
  <c r="I39" i="10"/>
  <c r="H42"/>
  <c r="I45"/>
  <c r="H20"/>
  <c r="H22" s="1"/>
  <c r="I47" i="1"/>
  <c r="I10" i="11" s="1"/>
  <c r="J14" i="9"/>
  <c r="D5"/>
  <c r="D5" i="10"/>
  <c r="T46" i="1"/>
  <c r="L46"/>
  <c r="D46"/>
  <c r="D49" s="1"/>
  <c r="D53" s="1"/>
  <c r="D55" s="1"/>
  <c r="R46"/>
  <c r="J46"/>
  <c r="P46"/>
  <c r="H46"/>
  <c r="H49" s="1"/>
  <c r="H53" s="1"/>
  <c r="N46"/>
  <c r="F46"/>
  <c r="F49" s="1"/>
  <c r="F53" s="1"/>
  <c r="E5"/>
  <c r="E5" i="11" s="1"/>
  <c r="D5" i="5"/>
  <c r="Q46" i="1"/>
  <c r="I46"/>
  <c r="I49" s="1"/>
  <c r="I53" s="1"/>
  <c r="O46"/>
  <c r="G46"/>
  <c r="G49" s="1"/>
  <c r="G53" s="1"/>
  <c r="U46"/>
  <c r="M46"/>
  <c r="E46"/>
  <c r="E49" s="1"/>
  <c r="E53" s="1"/>
  <c r="E55" s="1"/>
  <c r="S46"/>
  <c r="K46"/>
  <c r="C46"/>
  <c r="C49" s="1"/>
  <c r="C53" s="1"/>
  <c r="C55" s="1"/>
  <c r="J9" l="1"/>
  <c r="J40" i="10"/>
  <c r="J51" i="1"/>
  <c r="J39" i="10"/>
  <c r="I42"/>
  <c r="J50" i="1"/>
  <c r="E66"/>
  <c r="D66"/>
  <c r="C66"/>
  <c r="I20" i="10"/>
  <c r="I22" s="1"/>
  <c r="J45"/>
  <c r="J47" i="1"/>
  <c r="J10" i="11" s="1"/>
  <c r="F20" i="1"/>
  <c r="F11" i="10" s="1"/>
  <c r="F13" i="11" s="1"/>
  <c r="K14" i="9"/>
  <c r="E5" i="10"/>
  <c r="E5" i="9"/>
  <c r="F5" i="1"/>
  <c r="F5" i="11" s="1"/>
  <c r="E5" i="5"/>
  <c r="K9" i="1" l="1"/>
  <c r="K50"/>
  <c r="K39" i="10"/>
  <c r="J42"/>
  <c r="K40"/>
  <c r="K51" i="1"/>
  <c r="E68"/>
  <c r="D68"/>
  <c r="C67"/>
  <c r="C68"/>
  <c r="K45" i="10"/>
  <c r="K47" i="1"/>
  <c r="J20" i="10"/>
  <c r="J49" i="1"/>
  <c r="J53" s="1"/>
  <c r="G20"/>
  <c r="F55"/>
  <c r="L14" i="9"/>
  <c r="F5"/>
  <c r="F5" i="10"/>
  <c r="G5" i="1"/>
  <c r="G5" i="11" s="1"/>
  <c r="F5" i="5"/>
  <c r="L9" i="1" l="1"/>
  <c r="L40" i="10"/>
  <c r="L51" i="1"/>
  <c r="L39" i="10"/>
  <c r="K42"/>
  <c r="L50" i="1"/>
  <c r="C69"/>
  <c r="C70" s="1"/>
  <c r="C72"/>
  <c r="D67" s="1"/>
  <c r="D69" s="1"/>
  <c r="D70" s="1"/>
  <c r="F66"/>
  <c r="K20" i="10"/>
  <c r="K22" s="1"/>
  <c r="L45"/>
  <c r="J22"/>
  <c r="K10" i="11"/>
  <c r="K49" i="1"/>
  <c r="K53" s="1"/>
  <c r="L47"/>
  <c r="G11" i="10"/>
  <c r="G13" i="11" s="1"/>
  <c r="G55" i="1"/>
  <c r="H20"/>
  <c r="M14" i="9"/>
  <c r="G5" i="10"/>
  <c r="G5" i="9"/>
  <c r="H5" i="1"/>
  <c r="H5" i="11" s="1"/>
  <c r="G5" i="5"/>
  <c r="M9" i="1" l="1"/>
  <c r="M50"/>
  <c r="M39" i="10"/>
  <c r="L42"/>
  <c r="M40"/>
  <c r="M51" i="1"/>
  <c r="D58"/>
  <c r="D59"/>
  <c r="D11" i="11" s="1"/>
  <c r="C58" i="1"/>
  <c r="C59"/>
  <c r="C11" i="11" s="1"/>
  <c r="D72" i="1"/>
  <c r="F68"/>
  <c r="G66"/>
  <c r="M45" i="10"/>
  <c r="M47" i="1"/>
  <c r="L10" i="11"/>
  <c r="L49" i="1"/>
  <c r="L53" s="1"/>
  <c r="L20" i="10"/>
  <c r="H11"/>
  <c r="H13" i="11" s="1"/>
  <c r="H55" i="1"/>
  <c r="I20"/>
  <c r="N14" i="9"/>
  <c r="H5"/>
  <c r="H5" i="10"/>
  <c r="I5" i="1"/>
  <c r="I5" i="11" s="1"/>
  <c r="H5" i="5"/>
  <c r="N9" i="1" l="1"/>
  <c r="N40" i="10"/>
  <c r="N51" i="1"/>
  <c r="N39" i="10"/>
  <c r="M42"/>
  <c r="N50" i="1"/>
  <c r="C24" i="10"/>
  <c r="D24" s="1"/>
  <c r="D61" i="1"/>
  <c r="D63" s="1"/>
  <c r="D9" i="11" s="1"/>
  <c r="D23" s="1"/>
  <c r="D30" s="1"/>
  <c r="D42" s="1"/>
  <c r="C61" i="1"/>
  <c r="C63" s="1"/>
  <c r="C9" i="11" s="1"/>
  <c r="E67" i="1"/>
  <c r="E69" s="1"/>
  <c r="E70" s="1"/>
  <c r="G68"/>
  <c r="H66"/>
  <c r="M20" i="10"/>
  <c r="M22" s="1"/>
  <c r="N45"/>
  <c r="L22"/>
  <c r="N47" i="1"/>
  <c r="M10" i="11"/>
  <c r="M49" i="1"/>
  <c r="M53" s="1"/>
  <c r="I11" i="10"/>
  <c r="I13" i="11" s="1"/>
  <c r="I55" i="1"/>
  <c r="J20"/>
  <c r="O14" i="9"/>
  <c r="I5" i="10"/>
  <c r="I5" i="9"/>
  <c r="J5" i="1"/>
  <c r="J5" i="11" s="1"/>
  <c r="I5" i="5"/>
  <c r="O9" i="1" l="1"/>
  <c r="O50"/>
  <c r="O39" i="10"/>
  <c r="N42"/>
  <c r="O40"/>
  <c r="O51" i="1"/>
  <c r="E58"/>
  <c r="E59"/>
  <c r="E11" i="11" s="1"/>
  <c r="E24" i="10" s="1"/>
  <c r="C23" i="11"/>
  <c r="C30" s="1"/>
  <c r="C42" s="1"/>
  <c r="C10" i="10" s="1"/>
  <c r="C48"/>
  <c r="E72" i="1"/>
  <c r="F67" s="1"/>
  <c r="F69" s="1"/>
  <c r="F70" s="1"/>
  <c r="H68"/>
  <c r="I66"/>
  <c r="O45" i="10"/>
  <c r="N10" i="11"/>
  <c r="N49" i="1"/>
  <c r="N53" s="1"/>
  <c r="O47"/>
  <c r="N20" i="10"/>
  <c r="J11"/>
  <c r="J13" i="11" s="1"/>
  <c r="J55" i="1"/>
  <c r="K20"/>
  <c r="P9"/>
  <c r="J5" i="9"/>
  <c r="J5" i="10"/>
  <c r="K5" i="1"/>
  <c r="K5" i="11" s="1"/>
  <c r="J5" i="5"/>
  <c r="P40" i="10" l="1"/>
  <c r="P51" i="1"/>
  <c r="P39" i="10"/>
  <c r="O42"/>
  <c r="P50" i="1"/>
  <c r="E61"/>
  <c r="E63" s="1"/>
  <c r="E9" i="11" s="1"/>
  <c r="E23" s="1"/>
  <c r="E30" s="1"/>
  <c r="E42" s="1"/>
  <c r="F58" i="1"/>
  <c r="F59"/>
  <c r="F11" i="11" s="1"/>
  <c r="F24" i="10" s="1"/>
  <c r="C16"/>
  <c r="C27" s="1"/>
  <c r="D10"/>
  <c r="C50"/>
  <c r="C52" s="1"/>
  <c r="D48"/>
  <c r="F72" i="1"/>
  <c r="G67" s="1"/>
  <c r="G69" s="1"/>
  <c r="G70" s="1"/>
  <c r="I68"/>
  <c r="J66"/>
  <c r="O20" i="10"/>
  <c r="O22" s="1"/>
  <c r="P45"/>
  <c r="N22"/>
  <c r="O10" i="11"/>
  <c r="O49" i="1"/>
  <c r="O53" s="1"/>
  <c r="P47"/>
  <c r="K11" i="10"/>
  <c r="K13" i="11" s="1"/>
  <c r="K55" i="1"/>
  <c r="L20"/>
  <c r="Q9"/>
  <c r="K5" i="10"/>
  <c r="K5" i="9"/>
  <c r="L5" i="1"/>
  <c r="L5" i="11" s="1"/>
  <c r="K5" i="5"/>
  <c r="Q50" i="1" l="1"/>
  <c r="Q39" i="10"/>
  <c r="P42"/>
  <c r="Q40"/>
  <c r="Q51" i="1"/>
  <c r="G58"/>
  <c r="G59"/>
  <c r="G11" i="11" s="1"/>
  <c r="G24" i="10" s="1"/>
  <c r="F61" i="1"/>
  <c r="F63" s="1"/>
  <c r="F9" i="11" s="1"/>
  <c r="F23" s="1"/>
  <c r="F30" s="1"/>
  <c r="F42" s="1"/>
  <c r="C54" i="10"/>
  <c r="E48"/>
  <c r="D50"/>
  <c r="D52" s="1"/>
  <c r="E10"/>
  <c r="D16"/>
  <c r="D27" s="1"/>
  <c r="G72" i="1"/>
  <c r="J68"/>
  <c r="K66"/>
  <c r="Q45" i="10"/>
  <c r="P10" i="11"/>
  <c r="P49" i="1"/>
  <c r="P53" s="1"/>
  <c r="P20" i="10"/>
  <c r="P22" s="1"/>
  <c r="Q47" i="1"/>
  <c r="L11" i="10"/>
  <c r="L13" i="11" s="1"/>
  <c r="L55" i="1"/>
  <c r="M20"/>
  <c r="R9"/>
  <c r="L5" i="9"/>
  <c r="L5" i="10"/>
  <c r="M5" i="1"/>
  <c r="M5" i="11" s="1"/>
  <c r="L5" i="5"/>
  <c r="F10" i="10" l="1"/>
  <c r="R40"/>
  <c r="R51" i="1"/>
  <c r="R39" i="10"/>
  <c r="Q42"/>
  <c r="R50" i="1"/>
  <c r="G61"/>
  <c r="G63" s="1"/>
  <c r="G9" i="11" s="1"/>
  <c r="G23" s="1"/>
  <c r="G30" s="1"/>
  <c r="G42" s="1"/>
  <c r="E16" i="10"/>
  <c r="E27" s="1"/>
  <c r="D54"/>
  <c r="F48"/>
  <c r="E50"/>
  <c r="E52" s="1"/>
  <c r="H67" i="1"/>
  <c r="H69" s="1"/>
  <c r="H70" s="1"/>
  <c r="K68"/>
  <c r="L66"/>
  <c r="R45" i="10"/>
  <c r="Q20"/>
  <c r="Q22" s="1"/>
  <c r="R47" i="1"/>
  <c r="Q10" i="11"/>
  <c r="Q49" i="1"/>
  <c r="Q53" s="1"/>
  <c r="M11" i="10"/>
  <c r="M13" i="11" s="1"/>
  <c r="M55" i="1"/>
  <c r="O20"/>
  <c r="N20"/>
  <c r="S14" i="9"/>
  <c r="M5" i="10"/>
  <c r="M5" i="9"/>
  <c r="N5" i="1"/>
  <c r="N5" i="11" s="1"/>
  <c r="M5" i="5"/>
  <c r="S9" i="1" l="1"/>
  <c r="S50"/>
  <c r="S39" i="10"/>
  <c r="R42"/>
  <c r="S40"/>
  <c r="S51" i="1"/>
  <c r="E54" i="10"/>
  <c r="H58" i="1"/>
  <c r="H59"/>
  <c r="H11" i="11" s="1"/>
  <c r="H24" i="10" s="1"/>
  <c r="G10"/>
  <c r="G16" s="1"/>
  <c r="G27" s="1"/>
  <c r="F16"/>
  <c r="F27" s="1"/>
  <c r="G48"/>
  <c r="G50" s="1"/>
  <c r="G52" s="1"/>
  <c r="F50"/>
  <c r="F52" s="1"/>
  <c r="H72" i="1"/>
  <c r="I67" s="1"/>
  <c r="I69" s="1"/>
  <c r="I70" s="1"/>
  <c r="L68"/>
  <c r="M66"/>
  <c r="R20" i="10"/>
  <c r="R22" s="1"/>
  <c r="S45"/>
  <c r="S47" i="1"/>
  <c r="R10" i="11"/>
  <c r="R49" i="1"/>
  <c r="R53" s="1"/>
  <c r="N11" i="10"/>
  <c r="N13" i="11" s="1"/>
  <c r="N55" i="1"/>
  <c r="O11" i="10"/>
  <c r="O55" i="1"/>
  <c r="U9"/>
  <c r="T9"/>
  <c r="N5" i="9"/>
  <c r="N5" i="10"/>
  <c r="O5" i="1"/>
  <c r="O5" i="11" s="1"/>
  <c r="N5" i="5"/>
  <c r="T40" i="10" l="1"/>
  <c r="T51" i="1"/>
  <c r="T39" i="10"/>
  <c r="S42"/>
  <c r="T50" i="1"/>
  <c r="H61"/>
  <c r="H63" s="1"/>
  <c r="H9" i="11" s="1"/>
  <c r="H23" s="1"/>
  <c r="H30" s="1"/>
  <c r="H42" s="1"/>
  <c r="H10" i="10" s="1"/>
  <c r="H16" s="1"/>
  <c r="H27" s="1"/>
  <c r="G54"/>
  <c r="F54"/>
  <c r="I58" i="1"/>
  <c r="I59"/>
  <c r="I11" i="11" s="1"/>
  <c r="I24" i="10" s="1"/>
  <c r="I72" i="1"/>
  <c r="M68"/>
  <c r="O66"/>
  <c r="N66"/>
  <c r="S20" i="10"/>
  <c r="S22" s="1"/>
  <c r="T45"/>
  <c r="O13" i="11"/>
  <c r="T47" i="1"/>
  <c r="S10" i="11"/>
  <c r="S49" i="1"/>
  <c r="S53" s="1"/>
  <c r="P20"/>
  <c r="P11" i="10" s="1"/>
  <c r="P13" i="11" s="1"/>
  <c r="O5" i="10"/>
  <c r="O5" i="9"/>
  <c r="P5" i="1"/>
  <c r="P5" i="11" s="1"/>
  <c r="O5" i="5"/>
  <c r="T20" i="10" l="1"/>
  <c r="U50" i="1"/>
  <c r="U39" i="10"/>
  <c r="T42"/>
  <c r="U40"/>
  <c r="U51" i="1"/>
  <c r="H48" i="10"/>
  <c r="H50" s="1"/>
  <c r="H52" s="1"/>
  <c r="H54" s="1"/>
  <c r="I61" i="1"/>
  <c r="I63" s="1"/>
  <c r="I9" i="11" s="1"/>
  <c r="I23" s="1"/>
  <c r="I30" s="1"/>
  <c r="I42" s="1"/>
  <c r="I10" i="10" s="1"/>
  <c r="I16" s="1"/>
  <c r="I27" s="1"/>
  <c r="J67" i="1"/>
  <c r="J69" s="1"/>
  <c r="J70" s="1"/>
  <c r="O68"/>
  <c r="N68"/>
  <c r="U45" i="10"/>
  <c r="T22"/>
  <c r="U47" i="1"/>
  <c r="T10" i="11"/>
  <c r="T49" i="1"/>
  <c r="T53" s="1"/>
  <c r="P55"/>
  <c r="Q20"/>
  <c r="P5" i="9"/>
  <c r="P5" i="10"/>
  <c r="Q5" i="1"/>
  <c r="Q5" i="11" s="1"/>
  <c r="P5" i="5"/>
  <c r="U20" i="10" l="1"/>
  <c r="U22" s="1"/>
  <c r="U42"/>
  <c r="I48"/>
  <c r="I50" s="1"/>
  <c r="I52" s="1"/>
  <c r="I54" s="1"/>
  <c r="J58" i="1"/>
  <c r="J59"/>
  <c r="J11" i="11" s="1"/>
  <c r="J24" i="10" s="1"/>
  <c r="J72" i="1"/>
  <c r="P66"/>
  <c r="U10" i="11"/>
  <c r="U49" i="1"/>
  <c r="U53" s="1"/>
  <c r="Q11" i="10"/>
  <c r="Q13" i="11" s="1"/>
  <c r="Q55" i="1"/>
  <c r="R20"/>
  <c r="Q5" i="10"/>
  <c r="Q5" i="9"/>
  <c r="R5" i="1"/>
  <c r="R5" i="11" s="1"/>
  <c r="Q5" i="5"/>
  <c r="J61" i="1" l="1"/>
  <c r="J63" s="1"/>
  <c r="J9" i="11" s="1"/>
  <c r="K67" i="1"/>
  <c r="K69" s="1"/>
  <c r="K70" s="1"/>
  <c r="P68"/>
  <c r="Q66"/>
  <c r="R11" i="10"/>
  <c r="R13" i="11" s="1"/>
  <c r="R55" i="1"/>
  <c r="S20"/>
  <c r="R5" i="9"/>
  <c r="R5" i="10"/>
  <c r="S5" i="1"/>
  <c r="S5" i="11" s="1"/>
  <c r="R5" i="5"/>
  <c r="J48" i="10" l="1"/>
  <c r="J50" s="1"/>
  <c r="J52" s="1"/>
  <c r="J23" i="11"/>
  <c r="J30" s="1"/>
  <c r="J42" s="1"/>
  <c r="J10" i="10" s="1"/>
  <c r="J16" s="1"/>
  <c r="J27" s="1"/>
  <c r="K58" i="1"/>
  <c r="K59"/>
  <c r="K11" i="11" s="1"/>
  <c r="K24" i="10" s="1"/>
  <c r="K72" i="1"/>
  <c r="L67" s="1"/>
  <c r="L69" s="1"/>
  <c r="L70" s="1"/>
  <c r="Q68"/>
  <c r="R66"/>
  <c r="S11" i="10"/>
  <c r="S13" i="11" s="1"/>
  <c r="S55" i="1"/>
  <c r="U20"/>
  <c r="T20"/>
  <c r="S5" i="10"/>
  <c r="S5" i="9"/>
  <c r="T5" i="1"/>
  <c r="T5" i="11" s="1"/>
  <c r="S5" i="5"/>
  <c r="J54" i="10" l="1"/>
  <c r="L58" i="1"/>
  <c r="L59"/>
  <c r="L11" i="11" s="1"/>
  <c r="L24" i="10" s="1"/>
  <c r="K61" i="1"/>
  <c r="K63" s="1"/>
  <c r="K9" i="11" s="1"/>
  <c r="L72" i="1"/>
  <c r="R68"/>
  <c r="S66"/>
  <c r="U11" i="10"/>
  <c r="U55" i="1"/>
  <c r="T11" i="10"/>
  <c r="T13" i="11" s="1"/>
  <c r="T55" i="1"/>
  <c r="T5" i="9"/>
  <c r="T5" i="10"/>
  <c r="U5" i="1"/>
  <c r="U5" i="11" s="1"/>
  <c r="T5" i="5"/>
  <c r="K23" i="11" l="1"/>
  <c r="K30" s="1"/>
  <c r="K42" s="1"/>
  <c r="K10" i="10" s="1"/>
  <c r="K16" s="1"/>
  <c r="K27" s="1"/>
  <c r="K48"/>
  <c r="L61" i="1"/>
  <c r="L63" s="1"/>
  <c r="L9" i="11" s="1"/>
  <c r="L23" s="1"/>
  <c r="L30" s="1"/>
  <c r="L42" s="1"/>
  <c r="M67" i="1"/>
  <c r="M69" s="1"/>
  <c r="M70" s="1"/>
  <c r="S68"/>
  <c r="T66"/>
  <c r="U66"/>
  <c r="U13" i="11"/>
  <c r="U5" i="5"/>
  <c r="U5" i="10"/>
  <c r="U5" i="9"/>
  <c r="L10" i="10" l="1"/>
  <c r="L16" s="1"/>
  <c r="L27" s="1"/>
  <c r="M58" i="1"/>
  <c r="M59"/>
  <c r="M11" i="11" s="1"/>
  <c r="M24" i="10" s="1"/>
  <c r="K50"/>
  <c r="K52" s="1"/>
  <c r="K54" s="1"/>
  <c r="L48"/>
  <c r="L50" s="1"/>
  <c r="L52" s="1"/>
  <c r="L54" s="1"/>
  <c r="M72" i="1"/>
  <c r="T68"/>
  <c r="U68"/>
  <c r="M61" l="1"/>
  <c r="M63" s="1"/>
  <c r="M9" i="11" s="1"/>
  <c r="N67" i="1"/>
  <c r="N69" s="1"/>
  <c r="N70" s="1"/>
  <c r="N58" l="1"/>
  <c r="N59"/>
  <c r="N11" i="11" s="1"/>
  <c r="N24" i="10" s="1"/>
  <c r="M23" i="11"/>
  <c r="M30" s="1"/>
  <c r="M42" s="1"/>
  <c r="M10" i="10" s="1"/>
  <c r="M16" s="1"/>
  <c r="M27" s="1"/>
  <c r="M48"/>
  <c r="M50" s="1"/>
  <c r="M52" s="1"/>
  <c r="N72" i="1"/>
  <c r="O67" s="1"/>
  <c r="O69" s="1"/>
  <c r="O70" s="1"/>
  <c r="O58" l="1"/>
  <c r="O59"/>
  <c r="O11" i="11" s="1"/>
  <c r="O24" i="10" s="1"/>
  <c r="M54"/>
  <c r="N61" i="1"/>
  <c r="N63" s="1"/>
  <c r="N9" i="11" s="1"/>
  <c r="O72" i="1"/>
  <c r="P67" s="1"/>
  <c r="N23" i="11" l="1"/>
  <c r="N30" s="1"/>
  <c r="N42" s="1"/>
  <c r="N10" i="10" s="1"/>
  <c r="N16" s="1"/>
  <c r="N27" s="1"/>
  <c r="N48"/>
  <c r="O61" i="1"/>
  <c r="O63" s="1"/>
  <c r="O9" i="11" s="1"/>
  <c r="O23" s="1"/>
  <c r="O30" s="1"/>
  <c r="O42" s="1"/>
  <c r="P69" i="1"/>
  <c r="P70" s="1"/>
  <c r="P72"/>
  <c r="Q67" s="1"/>
  <c r="Q69" s="1"/>
  <c r="Q70" s="1"/>
  <c r="O10" i="10" l="1"/>
  <c r="O16" s="1"/>
  <c r="O27" s="1"/>
  <c r="Q58" i="1"/>
  <c r="Q59"/>
  <c r="Q11" i="11" s="1"/>
  <c r="P58" i="1"/>
  <c r="P59"/>
  <c r="P11" i="11" s="1"/>
  <c r="P24" i="10" s="1"/>
  <c r="Q24" s="1"/>
  <c r="N50"/>
  <c r="N52" s="1"/>
  <c r="N54" s="1"/>
  <c r="O48"/>
  <c r="O50" s="1"/>
  <c r="O52" s="1"/>
  <c r="O54" s="1"/>
  <c r="Q72" i="1"/>
  <c r="R67" s="1"/>
  <c r="P61" l="1"/>
  <c r="P63" s="1"/>
  <c r="P9" i="11" s="1"/>
  <c r="P23" s="1"/>
  <c r="P30" s="1"/>
  <c r="P42" s="1"/>
  <c r="P10" i="10" s="1"/>
  <c r="Q61" i="1"/>
  <c r="Q63" s="1"/>
  <c r="Q9" i="11" s="1"/>
  <c r="Q23" s="1"/>
  <c r="Q30" s="1"/>
  <c r="Q42" s="1"/>
  <c r="R69" i="1"/>
  <c r="R70" s="1"/>
  <c r="R72"/>
  <c r="S67" s="1"/>
  <c r="S69" s="1"/>
  <c r="S70" s="1"/>
  <c r="S58" l="1"/>
  <c r="S59"/>
  <c r="S11" i="11" s="1"/>
  <c r="P16" i="10"/>
  <c r="P27" s="1"/>
  <c r="Q10"/>
  <c r="Q16" s="1"/>
  <c r="Q27" s="1"/>
  <c r="R58" i="1"/>
  <c r="R59"/>
  <c r="R11" i="11" s="1"/>
  <c r="R24" i="10" s="1"/>
  <c r="S24" s="1"/>
  <c r="P48"/>
  <c r="S72" i="1"/>
  <c r="T67" s="1"/>
  <c r="P50" i="10" l="1"/>
  <c r="P52" s="1"/>
  <c r="P54" s="1"/>
  <c r="Q48"/>
  <c r="R61" i="1"/>
  <c r="R63" s="1"/>
  <c r="R9" i="11" s="1"/>
  <c r="R23" s="1"/>
  <c r="R30" s="1"/>
  <c r="R42" s="1"/>
  <c r="R10" i="10" s="1"/>
  <c r="S61" i="1"/>
  <c r="S63" s="1"/>
  <c r="S9" i="11" s="1"/>
  <c r="S23" s="1"/>
  <c r="S30" s="1"/>
  <c r="S42" s="1"/>
  <c r="T69" i="1"/>
  <c r="T70" s="1"/>
  <c r="T72"/>
  <c r="U67" s="1"/>
  <c r="U69" s="1"/>
  <c r="U70" s="1"/>
  <c r="T58" l="1"/>
  <c r="T59"/>
  <c r="T11" i="11" s="1"/>
  <c r="T24" i="10" s="1"/>
  <c r="U58" i="1"/>
  <c r="U59"/>
  <c r="U11" i="11" s="1"/>
  <c r="S10" i="10"/>
  <c r="S16" s="1"/>
  <c r="S27" s="1"/>
  <c r="R16"/>
  <c r="R27" s="1"/>
  <c r="Q50"/>
  <c r="Q52" s="1"/>
  <c r="Q54" s="1"/>
  <c r="R48"/>
  <c r="U72" i="1"/>
  <c r="U24" i="10" l="1"/>
  <c r="S48"/>
  <c r="R50"/>
  <c r="R52" s="1"/>
  <c r="R54" s="1"/>
  <c r="U61" i="1"/>
  <c r="U63" s="1"/>
  <c r="U9" i="11" s="1"/>
  <c r="U23" s="1"/>
  <c r="U30" s="1"/>
  <c r="U42" s="1"/>
  <c r="T61" i="1"/>
  <c r="T63" s="1"/>
  <c r="T9" i="11" s="1"/>
  <c r="T23" s="1"/>
  <c r="T30" s="1"/>
  <c r="T42" s="1"/>
  <c r="T10" i="10" s="1"/>
  <c r="U10" l="1"/>
  <c r="U16" s="1"/>
  <c r="U27" s="1"/>
  <c r="T16"/>
  <c r="T27" s="1"/>
  <c r="T48"/>
  <c r="S50"/>
  <c r="S52" s="1"/>
  <c r="S54" s="1"/>
  <c r="T50" l="1"/>
  <c r="T52" s="1"/>
  <c r="T54" s="1"/>
  <c r="U48"/>
  <c r="U50" s="1"/>
  <c r="U52" s="1"/>
  <c r="U54" s="1"/>
</calcChain>
</file>

<file path=xl/comments1.xml><?xml version="1.0" encoding="utf-8"?>
<comments xmlns="http://schemas.openxmlformats.org/spreadsheetml/2006/main">
  <authors>
    <author>Vin</author>
  </authors>
  <commentList>
    <comment ref="A8" authorId="0">
      <text>
        <r>
          <rPr>
            <b/>
            <sz val="9"/>
            <color indexed="81"/>
            <rFont val="Tahoma"/>
            <family val="2"/>
          </rPr>
          <t>Vin:</t>
        </r>
        <r>
          <rPr>
            <sz val="9"/>
            <color indexed="81"/>
            <rFont val="Tahoma"/>
            <family val="2"/>
          </rPr>
          <t xml:space="preserve">
Sample linked rows (green) draw from revenue scenario tables. Feel free to dupe those scenario tables for anything else you want to be case-specific. Then link from there to here.</t>
        </r>
      </text>
    </comment>
    <comment ref="A47" authorId="0">
      <text>
        <r>
          <rPr>
            <b/>
            <sz val="9"/>
            <color indexed="81"/>
            <rFont val="Tahoma"/>
            <family val="2"/>
          </rPr>
          <t>Vin:</t>
        </r>
        <r>
          <rPr>
            <sz val="9"/>
            <color indexed="81"/>
            <rFont val="Tahoma"/>
            <family val="2"/>
          </rPr>
          <t xml:space="preserve">
Remember that if you project for more years than the asset life then you'd need to adjust your formulas for the fact that some of the assets are fully depreciated.</t>
        </r>
      </text>
    </comment>
    <comment ref="A57" authorId="0">
      <text>
        <r>
          <rPr>
            <b/>
            <sz val="9"/>
            <color indexed="81"/>
            <rFont val="Tahoma"/>
            <family val="2"/>
          </rPr>
          <t>Vin:</t>
        </r>
        <r>
          <rPr>
            <sz val="9"/>
            <color indexed="81"/>
            <rFont val="Tahoma"/>
            <family val="2"/>
          </rPr>
          <t xml:space="preserve">
There are many reasons why cash taxes don't equal the expense shown on the income statement (the gap is called a Deferred Tax). The most important difference for a startup can arise due to a net operating loss. The government doesn't pay the startup for losing money!  So if you just multiplied the tax rate times the amount of your pretax loss and showed that as money coming in the door from the government, you'd be mistaken!</t>
        </r>
      </text>
    </comment>
  </commentList>
</comments>
</file>

<file path=xl/comments2.xml><?xml version="1.0" encoding="utf-8"?>
<comments xmlns="http://schemas.openxmlformats.org/spreadsheetml/2006/main">
  <authors>
    <author>Vin</author>
  </authors>
  <commentList>
    <comment ref="A11" authorId="0">
      <text>
        <r>
          <rPr>
            <b/>
            <sz val="9"/>
            <color indexed="81"/>
            <rFont val="Tahoma"/>
            <family val="2"/>
          </rPr>
          <t>Vin:</t>
        </r>
        <r>
          <rPr>
            <sz val="9"/>
            <color indexed="81"/>
            <rFont val="Tahoma"/>
            <family val="2"/>
          </rPr>
          <t xml:space="preserve">
Based on 30 days to get paid (use 30 days if mostly credit card; use 60 days if mostly enterprises)</t>
        </r>
      </text>
    </comment>
  </commentList>
</comments>
</file>

<file path=xl/comments3.xml><?xml version="1.0" encoding="utf-8"?>
<comments xmlns="http://schemas.openxmlformats.org/spreadsheetml/2006/main">
  <authors>
    <author>Vin</author>
  </authors>
  <commentList>
    <comment ref="A26" authorId="0">
      <text>
        <r>
          <rPr>
            <b/>
            <sz val="9"/>
            <color indexed="81"/>
            <rFont val="Tahoma"/>
            <family val="2"/>
          </rPr>
          <t>Vin:</t>
        </r>
        <r>
          <rPr>
            <sz val="9"/>
            <color indexed="81"/>
            <rFont val="Tahoma"/>
            <family val="2"/>
          </rPr>
          <t xml:space="preserve">
Use a negative number</t>
        </r>
      </text>
    </comment>
  </commentList>
</comments>
</file>

<file path=xl/sharedStrings.xml><?xml version="1.0" encoding="utf-8"?>
<sst xmlns="http://schemas.openxmlformats.org/spreadsheetml/2006/main" count="413" uniqueCount="111">
  <si>
    <t>($ in 000s)</t>
  </si>
  <si>
    <t>Mos in Pd</t>
  </si>
  <si>
    <t>Pd. End</t>
  </si>
  <si>
    <t>Revenue</t>
  </si>
  <si>
    <t>Payroll</t>
  </si>
  <si>
    <t>Payroll Tax</t>
  </si>
  <si>
    <t>Legal</t>
  </si>
  <si>
    <t>Consulting</t>
  </si>
  <si>
    <t>Internet Sales</t>
  </si>
  <si>
    <t>Expenses</t>
  </si>
  <si>
    <t xml:space="preserve"> </t>
  </si>
  <si>
    <t>Rent/Occupancy</t>
  </si>
  <si>
    <t>Cloud Computing</t>
  </si>
  <si>
    <t>T&amp;E</t>
  </si>
  <si>
    <t>Insurance</t>
  </si>
  <si>
    <t>Office Supplies</t>
  </si>
  <si>
    <t>Depreciation</t>
  </si>
  <si>
    <t>Pretax Income</t>
  </si>
  <si>
    <t>Net Income</t>
  </si>
  <si>
    <t>Miscellaneous</t>
  </si>
  <si>
    <t>Other Revenue</t>
  </si>
  <si>
    <t>Client Licenses</t>
  </si>
  <si>
    <t>Client Monthly</t>
  </si>
  <si>
    <t>Client Sales</t>
  </si>
  <si>
    <t>Internet Monthly</t>
  </si>
  <si>
    <t>Outsourced Dev</t>
  </si>
  <si>
    <t>Subtotal</t>
  </si>
  <si>
    <t>Telecomm.</t>
  </si>
  <si>
    <t>Designers</t>
  </si>
  <si>
    <t>Operating Ep.</t>
  </si>
  <si>
    <t>Income Statement</t>
  </si>
  <si>
    <t>Headcount</t>
  </si>
  <si>
    <t>$/yr</t>
  </si>
  <si>
    <t>Name/Role</t>
  </si>
  <si>
    <t>Employee 1</t>
  </si>
  <si>
    <t>Employee 2</t>
  </si>
  <si>
    <t>Employee 3</t>
  </si>
  <si>
    <t>Employee 4</t>
  </si>
  <si>
    <t>Employee 5</t>
  </si>
  <si>
    <t>Employee 6</t>
  </si>
  <si>
    <t>Employee 7</t>
  </si>
  <si>
    <t>Employee 8</t>
  </si>
  <si>
    <t>Employee 9</t>
  </si>
  <si>
    <t>Employee 10</t>
  </si>
  <si>
    <t>% of Period</t>
  </si>
  <si>
    <t>$ Impact</t>
  </si>
  <si>
    <t>Simple Tech Startup</t>
  </si>
  <si>
    <t>Case</t>
  </si>
  <si>
    <t>Case A</t>
  </si>
  <si>
    <t>Case B</t>
  </si>
  <si>
    <t>Case C</t>
  </si>
  <si>
    <t>Case D</t>
  </si>
  <si>
    <t>Case E</t>
  </si>
  <si>
    <t>Balance Sheet</t>
  </si>
  <si>
    <t>Cash</t>
  </si>
  <si>
    <t>Accounts Receivable</t>
  </si>
  <si>
    <t>Inventory</t>
  </si>
  <si>
    <t>Prepaid Expenses</t>
  </si>
  <si>
    <t>Current Assets</t>
  </si>
  <si>
    <t>Other Current Assets</t>
  </si>
  <si>
    <t>PP&amp;E</t>
  </si>
  <si>
    <t>PP&amp;E Gross</t>
  </si>
  <si>
    <t>Net PP&amp;E</t>
  </si>
  <si>
    <t>Other N.C. Assets</t>
  </si>
  <si>
    <t>Total Assets</t>
  </si>
  <si>
    <t>Less: Accumlated Depn.</t>
  </si>
  <si>
    <t>ASSETS</t>
  </si>
  <si>
    <t>LIABILITIES &amp; EQUITY</t>
  </si>
  <si>
    <t>Current Liabilities</t>
  </si>
  <si>
    <t>Accounts Payable</t>
  </si>
  <si>
    <t>Accrued Expenses</t>
  </si>
  <si>
    <t>Other Current Liabs.</t>
  </si>
  <si>
    <t>Non-Current Liabs</t>
  </si>
  <si>
    <t>Loan 1</t>
  </si>
  <si>
    <t>Loan 2</t>
  </si>
  <si>
    <t>Equity</t>
  </si>
  <si>
    <t>Preferred A</t>
  </si>
  <si>
    <t>Preferred B</t>
  </si>
  <si>
    <t>Common</t>
  </si>
  <si>
    <t>Retained Earnings</t>
  </si>
  <si>
    <t>Liabilities &amp; Equity</t>
  </si>
  <si>
    <t>Check</t>
  </si>
  <si>
    <t>Cash Flow Statement</t>
  </si>
  <si>
    <t>Plus: Depreciation</t>
  </si>
  <si>
    <t>Less: Increase in Non-Cash Current Assets</t>
  </si>
  <si>
    <t>Plus: Increase in Non-Cash Current Liabilities</t>
  </si>
  <si>
    <t>Cash from Operations</t>
  </si>
  <si>
    <t>Cash from Investing</t>
  </si>
  <si>
    <t>Change in Cash</t>
  </si>
  <si>
    <t>Financing Activities</t>
  </si>
  <si>
    <t>Scenarios Ex.</t>
  </si>
  <si>
    <t>Less: Capex</t>
  </si>
  <si>
    <t>Deferred Tax (NOL)</t>
  </si>
  <si>
    <t>Income Taxes</t>
  </si>
  <si>
    <t>Deferred Tax</t>
  </si>
  <si>
    <t>Cash Taxes</t>
  </si>
  <si>
    <t>Cash Tax</t>
  </si>
  <si>
    <t>Income Tax Calculation</t>
  </si>
  <si>
    <t>NOL Balance</t>
  </si>
  <si>
    <t>Taxable Income</t>
  </si>
  <si>
    <t>Apply Prior Pd. Losses</t>
  </si>
  <si>
    <t>Add to NOL</t>
  </si>
  <si>
    <t>Deferred Taxes</t>
  </si>
  <si>
    <t>Plus Borrowing &amp; Investment, Net</t>
  </si>
  <si>
    <t>Deferred Revenue</t>
  </si>
  <si>
    <t>Startup Model Template</t>
  </si>
  <si>
    <t>© 2012 by OpSpark, Inc.</t>
  </si>
  <si>
    <t>www.opspark.com</t>
  </si>
  <si>
    <t>http://blog.opspark.com</t>
  </si>
  <si>
    <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</si>
  <si>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Licensed under the MIT License:</t>
  </si>
</sst>
</file>

<file path=xl/styles.xml><?xml version="1.0" encoding="utf-8"?>
<styleSheet xmlns="http://schemas.openxmlformats.org/spreadsheetml/2006/main">
  <numFmts count="7">
    <numFmt numFmtId="164" formatCode="[$-409]mmm\-yy;@"/>
    <numFmt numFmtId="165" formatCode="#,##0_);\(#,##0\);@_)"/>
    <numFmt numFmtId="166" formatCode="#,##0.0_);\(#,##0.0\);@_)"/>
    <numFmt numFmtId="167" formatCode="&quot;$&quot;#,##0.0_);\(&quot;$&quot;#,##0.0\);@_)"/>
    <numFmt numFmtId="168" formatCode="0%_);\(0%\);@_)"/>
    <numFmt numFmtId="169" formatCode="0.0%_);\(0.0%\);@_)"/>
    <numFmt numFmtId="170" formatCode="0\ &quot;yrs.&quot;"/>
  </numFmts>
  <fonts count="23">
    <font>
      <sz val="11"/>
      <color theme="1"/>
      <name val="Calibri"/>
      <family val="2"/>
      <scheme val="minor"/>
    </font>
    <font>
      <b/>
      <sz val="11"/>
      <color theme="1"/>
      <name val="Calibri"/>
      <family val="2"/>
      <scheme val="minor"/>
    </font>
    <font>
      <i/>
      <sz val="11"/>
      <color theme="1"/>
      <name val="Calibri"/>
      <family val="2"/>
      <scheme val="minor"/>
    </font>
    <font>
      <sz val="11"/>
      <color rgb="FF0000FF"/>
      <name val="Calibri"/>
      <family val="2"/>
      <scheme val="minor"/>
    </font>
    <font>
      <u/>
      <sz val="11"/>
      <color theme="1"/>
      <name val="Calibri"/>
      <family val="2"/>
      <scheme val="minor"/>
    </font>
    <font>
      <u val="singleAccounting"/>
      <sz val="11"/>
      <color theme="1"/>
      <name val="Calibri"/>
      <family val="2"/>
      <scheme val="minor"/>
    </font>
    <font>
      <sz val="11"/>
      <color rgb="FF000000"/>
      <name val="Calibri"/>
      <family val="2"/>
      <scheme val="minor"/>
    </font>
    <font>
      <sz val="11"/>
      <color rgb="FF008000"/>
      <name val="Calibri"/>
      <family val="2"/>
      <scheme val="minor"/>
    </font>
    <font>
      <b/>
      <sz val="11"/>
      <color rgb="FF0000FF"/>
      <name val="Calibri"/>
      <family val="2"/>
      <scheme val="minor"/>
    </font>
    <font>
      <b/>
      <sz val="11"/>
      <color rgb="FF008000"/>
      <name val="Calibri"/>
      <family val="2"/>
      <scheme val="minor"/>
    </font>
    <font>
      <i/>
      <u/>
      <sz val="11"/>
      <color theme="1"/>
      <name val="Calibri"/>
      <family val="2"/>
      <scheme val="minor"/>
    </font>
    <font>
      <i/>
      <sz val="11"/>
      <color rgb="FF0000FF"/>
      <name val="Calibri"/>
      <family val="2"/>
      <scheme val="minor"/>
    </font>
    <font>
      <b/>
      <sz val="12"/>
      <color theme="1"/>
      <name val="Calibri"/>
      <family val="2"/>
      <scheme val="minor"/>
    </font>
    <font>
      <b/>
      <sz val="14"/>
      <color rgb="FF008000"/>
      <name val="Calibri"/>
      <family val="2"/>
      <scheme val="minor"/>
    </font>
    <font>
      <i/>
      <sz val="11"/>
      <color rgb="FF008000"/>
      <name val="Calibri"/>
      <family val="2"/>
      <scheme val="minor"/>
    </font>
    <font>
      <b/>
      <sz val="12"/>
      <color rgb="FF000000"/>
      <name val="Calibri"/>
      <family val="2"/>
      <scheme val="minor"/>
    </font>
    <font>
      <b/>
      <sz val="14"/>
      <color rgb="FF000000"/>
      <name val="Calibri"/>
      <family val="2"/>
      <scheme val="minor"/>
    </font>
    <font>
      <b/>
      <sz val="11"/>
      <color rgb="FF000000"/>
      <name val="Calibri"/>
      <family val="2"/>
      <scheme val="minor"/>
    </font>
    <font>
      <sz val="9"/>
      <color indexed="81"/>
      <name val="Tahoma"/>
      <family val="2"/>
    </font>
    <font>
      <b/>
      <sz val="9"/>
      <color indexed="81"/>
      <name val="Tahoma"/>
      <family val="2"/>
    </font>
    <font>
      <sz val="11"/>
      <color rgb="FF800080"/>
      <name val="Calibri"/>
      <family val="2"/>
      <scheme val="minor"/>
    </font>
    <font>
      <u/>
      <sz val="9.9"/>
      <color theme="10"/>
      <name val="Calibri"/>
      <family val="2"/>
    </font>
    <font>
      <b/>
      <sz val="16"/>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1" fillId="0" borderId="0" applyNumberFormat="0" applyFill="0" applyBorder="0" applyAlignment="0" applyProtection="0">
      <alignment vertical="top"/>
      <protection locked="0"/>
    </xf>
  </cellStyleXfs>
  <cellXfs count="44">
    <xf numFmtId="0" fontId="0" fillId="0" borderId="0" xfId="0"/>
    <xf numFmtId="0" fontId="2" fillId="0" borderId="0" xfId="0" applyFont="1"/>
    <xf numFmtId="0" fontId="0" fillId="0" borderId="0" xfId="0" applyAlignment="1">
      <alignment horizontal="center"/>
    </xf>
    <xf numFmtId="0" fontId="0" fillId="0" borderId="0" xfId="0" applyFont="1"/>
    <xf numFmtId="0" fontId="3" fillId="0" borderId="0" xfId="0" applyFont="1" applyAlignment="1">
      <alignment horizontal="center"/>
    </xf>
    <xf numFmtId="164" fontId="1" fillId="0" borderId="0" xfId="0" applyNumberFormat="1" applyFont="1" applyAlignment="1">
      <alignment horizontal="center"/>
    </xf>
    <xf numFmtId="0" fontId="4" fillId="0" borderId="0" xfId="0" applyFont="1"/>
    <xf numFmtId="165" fontId="3" fillId="0" borderId="0" xfId="0" applyNumberFormat="1" applyFont="1"/>
    <xf numFmtId="0" fontId="5" fillId="0" borderId="0" xfId="0" quotePrefix="1" applyFont="1"/>
    <xf numFmtId="165" fontId="0" fillId="0" borderId="0" xfId="0" applyNumberFormat="1" applyFont="1"/>
    <xf numFmtId="37" fontId="0" fillId="0" borderId="0" xfId="0" applyNumberFormat="1"/>
    <xf numFmtId="165" fontId="6" fillId="0" borderId="0" xfId="0" applyNumberFormat="1" applyFont="1"/>
    <xf numFmtId="0" fontId="7" fillId="0" borderId="0" xfId="0" applyFont="1" applyAlignment="1">
      <alignment horizontal="center"/>
    </xf>
    <xf numFmtId="164" fontId="8" fillId="0" borderId="0" xfId="0" applyNumberFormat="1" applyFont="1" applyAlignment="1">
      <alignment horizontal="center"/>
    </xf>
    <xf numFmtId="164" fontId="9" fillId="0" borderId="0" xfId="0" applyNumberFormat="1" applyFont="1" applyAlignment="1">
      <alignment horizontal="center"/>
    </xf>
    <xf numFmtId="166" fontId="0" fillId="0" borderId="0" xfId="0" applyNumberFormat="1" applyFont="1"/>
    <xf numFmtId="168" fontId="3" fillId="0" borderId="0" xfId="0" applyNumberFormat="1" applyFont="1"/>
    <xf numFmtId="0" fontId="3" fillId="0" borderId="0" xfId="0" applyFont="1"/>
    <xf numFmtId="0" fontId="10" fillId="0" borderId="0" xfId="0" applyFont="1"/>
    <xf numFmtId="167" fontId="11" fillId="0" borderId="0" xfId="0" applyNumberFormat="1" applyFont="1"/>
    <xf numFmtId="169" fontId="11" fillId="0" borderId="0" xfId="0" applyNumberFormat="1" applyFont="1"/>
    <xf numFmtId="165" fontId="7" fillId="0" borderId="0" xfId="0" applyNumberFormat="1"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2" borderId="1" xfId="0" applyFont="1" applyFill="1" applyBorder="1"/>
    <xf numFmtId="0" fontId="8" fillId="2" borderId="2" xfId="0" applyFont="1" applyFill="1" applyBorder="1"/>
    <xf numFmtId="0" fontId="0" fillId="2" borderId="2" xfId="0" applyFill="1" applyBorder="1"/>
    <xf numFmtId="0" fontId="0" fillId="2" borderId="3" xfId="0" applyFill="1" applyBorder="1"/>
    <xf numFmtId="0" fontId="1" fillId="2" borderId="2" xfId="0" applyFont="1" applyFill="1" applyBorder="1"/>
    <xf numFmtId="166" fontId="2" fillId="0" borderId="0" xfId="0" applyNumberFormat="1" applyFont="1"/>
    <xf numFmtId="0" fontId="0" fillId="0" borderId="0" xfId="0" applyAlignment="1">
      <alignment horizontal="left" indent="1"/>
    </xf>
    <xf numFmtId="168" fontId="11" fillId="0" borderId="0" xfId="0" applyNumberFormat="1" applyFont="1"/>
    <xf numFmtId="170" fontId="11" fillId="0" borderId="0" xfId="0" applyNumberFormat="1" applyFont="1"/>
    <xf numFmtId="165" fontId="5" fillId="0" borderId="0" xfId="0" quotePrefix="1" applyNumberFormat="1" applyFont="1"/>
    <xf numFmtId="165" fontId="20" fillId="0" borderId="0" xfId="0" applyNumberFormat="1" applyFont="1"/>
    <xf numFmtId="0" fontId="20" fillId="0" borderId="0" xfId="0" applyFont="1"/>
    <xf numFmtId="0" fontId="0" fillId="0" borderId="0" xfId="0" applyAlignment="1">
      <alignment horizontal="left"/>
    </xf>
    <xf numFmtId="0" fontId="21" fillId="0" borderId="0" xfId="1" applyAlignment="1" applyProtection="1">
      <alignment horizontal="left"/>
    </xf>
    <xf numFmtId="0" fontId="21" fillId="0" borderId="0" xfId="1" applyAlignment="1" applyProtection="1"/>
    <xf numFmtId="0" fontId="0" fillId="0" borderId="0" xfId="0" applyAlignment="1">
      <alignment horizontal="left" wrapText="1"/>
    </xf>
    <xf numFmtId="0" fontId="22" fillId="0" borderId="0" xfId="0" applyFont="1"/>
  </cellXfs>
  <cellStyles count="2">
    <cellStyle name="Hyperlink" xfId="1" builtinId="8"/>
    <cellStyle name="Normal" xfId="0" builtinId="0"/>
  </cellStyles>
  <dxfs count="3">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179917</xdr:colOff>
      <xdr:row>7</xdr:row>
      <xdr:rowOff>74083</xdr:rowOff>
    </xdr:from>
    <xdr:to>
      <xdr:col>18</xdr:col>
      <xdr:colOff>351367</xdr:colOff>
      <xdr:row>23</xdr:row>
      <xdr:rowOff>134407</xdr:rowOff>
    </xdr:to>
    <xdr:pic>
      <xdr:nvPicPr>
        <xdr:cNvPr id="4100" name="Picture 4" descr="C:\vscafaria-share\spark.png"/>
        <xdr:cNvPicPr>
          <a:picLocks noChangeAspect="1" noChangeArrowheads="1"/>
        </xdr:cNvPicPr>
      </xdr:nvPicPr>
      <xdr:blipFill>
        <a:blip xmlns:r="http://schemas.openxmlformats.org/officeDocument/2006/relationships" r:embed="rId1" cstate="print"/>
        <a:srcRect/>
        <a:stretch>
          <a:fillRect/>
        </a:stretch>
      </xdr:blipFill>
      <xdr:spPr bwMode="auto">
        <a:xfrm>
          <a:off x="6847417" y="3418416"/>
          <a:ext cx="3282950" cy="3034241"/>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opensource.org/licenses/mit-license.php" TargetMode="External"/><Relationship Id="rId2" Type="http://schemas.openxmlformats.org/officeDocument/2006/relationships/hyperlink" Target="http://blog.opspark.com/" TargetMode="External"/><Relationship Id="rId1" Type="http://schemas.openxmlformats.org/officeDocument/2006/relationships/hyperlink" Target="http://www.opspark.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showGridLines="0" tabSelected="1" zoomScale="90" zoomScaleNormal="90" workbookViewId="0"/>
  </sheetViews>
  <sheetFormatPr defaultColWidth="9.140625" defaultRowHeight="15"/>
  <cols>
    <col min="1" max="1" width="14.42578125" customWidth="1"/>
    <col min="2" max="21" width="7.7109375" customWidth="1"/>
  </cols>
  <sheetData>
    <row r="1" spans="1:19" ht="21">
      <c r="A1" s="43" t="s">
        <v>105</v>
      </c>
    </row>
    <row r="2" spans="1:19">
      <c r="A2" t="s">
        <v>106</v>
      </c>
    </row>
    <row r="3" spans="1:19">
      <c r="A3" s="41" t="s">
        <v>107</v>
      </c>
    </row>
    <row r="4" spans="1:19">
      <c r="A4" s="41" t="s">
        <v>108</v>
      </c>
    </row>
    <row r="6" spans="1:19">
      <c r="A6" s="41" t="s">
        <v>110</v>
      </c>
    </row>
    <row r="7" spans="1:19" ht="168.75" customHeight="1">
      <c r="A7" s="42" t="s">
        <v>109</v>
      </c>
      <c r="B7" s="42"/>
      <c r="C7" s="42"/>
      <c r="D7" s="42"/>
      <c r="E7" s="42"/>
      <c r="F7" s="42"/>
      <c r="G7" s="42"/>
      <c r="H7" s="42"/>
      <c r="I7" s="42"/>
      <c r="J7" s="42"/>
      <c r="K7" s="42"/>
      <c r="L7" s="42"/>
      <c r="M7" s="42"/>
      <c r="N7" s="42"/>
      <c r="O7" s="42"/>
      <c r="P7" s="42"/>
      <c r="Q7" s="42"/>
      <c r="R7" s="42"/>
      <c r="S7" s="42"/>
    </row>
    <row r="14" spans="1:19">
      <c r="A14" s="3"/>
    </row>
    <row r="21" ht="9" customHeight="1"/>
  </sheetData>
  <mergeCells count="1">
    <mergeCell ref="A7:S7"/>
  </mergeCells>
  <hyperlinks>
    <hyperlink ref="A3" r:id="rId1"/>
    <hyperlink ref="A4" r:id="rId2"/>
    <hyperlink ref="A6" r:id="rId3"/>
  </hyperlinks>
  <pageMargins left="0.5" right="0.5" top="0.5" bottom="0.5" header="0.3" footer="0.3"/>
  <pageSetup scale="80" orientation="landscape" r:id="rId4"/>
  <drawing r:id="rId5"/>
</worksheet>
</file>

<file path=xl/worksheets/sheet3.xml><?xml version="1.0" encoding="utf-8"?>
<worksheet xmlns="http://schemas.openxmlformats.org/spreadsheetml/2006/main" xmlns:r="http://schemas.openxmlformats.org/officeDocument/2006/relationships">
  <dimension ref="A1:U72"/>
  <sheetViews>
    <sheetView showGridLines="0" zoomScale="90" zoomScaleNormal="90" workbookViewId="0"/>
  </sheetViews>
  <sheetFormatPr defaultColWidth="9.140625" defaultRowHeight="15" outlineLevelRow="1"/>
  <cols>
    <col min="1" max="1" width="14.42578125" customWidth="1"/>
    <col min="2" max="21" width="7.7109375" customWidth="1"/>
  </cols>
  <sheetData>
    <row r="1" spans="1:21" ht="18.75">
      <c r="A1" s="26" t="s">
        <v>46</v>
      </c>
      <c r="R1" s="40"/>
    </row>
    <row r="2" spans="1:21" ht="15.75">
      <c r="A2" s="22" t="s">
        <v>30</v>
      </c>
      <c r="R2" s="39"/>
    </row>
    <row r="3" spans="1:21">
      <c r="A3" s="1" t="s">
        <v>0</v>
      </c>
    </row>
    <row r="4" spans="1:21">
      <c r="B4" s="2" t="str">
        <f>IF(B6=1,"Mo.",IF(B6=3,"Qtr.",IF(B6=12,"Year",IF(B6="","Founded","ERROR"))))</f>
        <v>Founded</v>
      </c>
      <c r="C4" s="2" t="str">
        <f t="shared" ref="C4:U4" si="0">IF(C6=1,"Mo.",IF(C6=3,"Qtr.",IF(C6=12,"Year",IF(C6="","Founded","ERROR"))))</f>
        <v>Mo.</v>
      </c>
      <c r="D4" s="2" t="str">
        <f t="shared" si="0"/>
        <v>Mo.</v>
      </c>
      <c r="E4" s="2" t="str">
        <f t="shared" si="0"/>
        <v>Mo.</v>
      </c>
      <c r="F4" s="2" t="str">
        <f t="shared" si="0"/>
        <v>Mo.</v>
      </c>
      <c r="G4" s="2" t="str">
        <f t="shared" si="0"/>
        <v>Mo.</v>
      </c>
      <c r="H4" s="2" t="str">
        <f t="shared" si="0"/>
        <v>Mo.</v>
      </c>
      <c r="I4" s="2" t="str">
        <f t="shared" si="0"/>
        <v>Mo.</v>
      </c>
      <c r="J4" s="2" t="str">
        <f t="shared" si="0"/>
        <v>Mo.</v>
      </c>
      <c r="K4" s="2" t="str">
        <f t="shared" si="0"/>
        <v>Mo.</v>
      </c>
      <c r="L4" s="2" t="str">
        <f t="shared" si="0"/>
        <v>Mo.</v>
      </c>
      <c r="M4" s="2" t="str">
        <f t="shared" si="0"/>
        <v>Mo.</v>
      </c>
      <c r="N4" s="2" t="str">
        <f t="shared" si="0"/>
        <v>Mo.</v>
      </c>
      <c r="O4" s="2" t="str">
        <f t="shared" si="0"/>
        <v>Qtr.</v>
      </c>
      <c r="P4" s="2" t="str">
        <f t="shared" si="0"/>
        <v>Qtr.</v>
      </c>
      <c r="Q4" s="2" t="str">
        <f t="shared" si="0"/>
        <v>Qtr.</v>
      </c>
      <c r="R4" s="2" t="str">
        <f t="shared" si="0"/>
        <v>Qtr.</v>
      </c>
      <c r="S4" s="2" t="str">
        <f t="shared" si="0"/>
        <v>Year</v>
      </c>
      <c r="T4" s="2" t="str">
        <f t="shared" si="0"/>
        <v>Year</v>
      </c>
      <c r="U4" s="2" t="str">
        <f t="shared" si="0"/>
        <v>Year</v>
      </c>
    </row>
    <row r="5" spans="1:21">
      <c r="A5" t="s">
        <v>2</v>
      </c>
      <c r="B5" s="13">
        <v>40908</v>
      </c>
      <c r="C5" s="5">
        <f>B5+C6*30</f>
        <v>40938</v>
      </c>
      <c r="D5" s="5">
        <f t="shared" ref="D5:U5" si="1">C5+D6*30</f>
        <v>40968</v>
      </c>
      <c r="E5" s="5">
        <f t="shared" si="1"/>
        <v>40998</v>
      </c>
      <c r="F5" s="5">
        <f t="shared" si="1"/>
        <v>41028</v>
      </c>
      <c r="G5" s="5">
        <f t="shared" si="1"/>
        <v>41058</v>
      </c>
      <c r="H5" s="5">
        <f t="shared" si="1"/>
        <v>41088</v>
      </c>
      <c r="I5" s="5">
        <f t="shared" si="1"/>
        <v>41118</v>
      </c>
      <c r="J5" s="5">
        <f t="shared" si="1"/>
        <v>41148</v>
      </c>
      <c r="K5" s="5">
        <f t="shared" si="1"/>
        <v>41178</v>
      </c>
      <c r="L5" s="5">
        <f t="shared" si="1"/>
        <v>41208</v>
      </c>
      <c r="M5" s="5">
        <f t="shared" si="1"/>
        <v>41238</v>
      </c>
      <c r="N5" s="5">
        <f t="shared" si="1"/>
        <v>41268</v>
      </c>
      <c r="O5" s="5">
        <f t="shared" si="1"/>
        <v>41358</v>
      </c>
      <c r="P5" s="5">
        <f t="shared" si="1"/>
        <v>41448</v>
      </c>
      <c r="Q5" s="5">
        <f t="shared" si="1"/>
        <v>41538</v>
      </c>
      <c r="R5" s="5">
        <f t="shared" si="1"/>
        <v>41628</v>
      </c>
      <c r="S5" s="5">
        <f t="shared" si="1"/>
        <v>41988</v>
      </c>
      <c r="T5" s="5">
        <f t="shared" si="1"/>
        <v>42348</v>
      </c>
      <c r="U5" s="5">
        <f t="shared" si="1"/>
        <v>42708</v>
      </c>
    </row>
    <row r="6" spans="1:21" s="3" customFormat="1" hidden="1" outlineLevel="1">
      <c r="A6" s="3" t="s">
        <v>1</v>
      </c>
      <c r="B6" s="4"/>
      <c r="C6" s="4">
        <v>1</v>
      </c>
      <c r="D6" s="4">
        <v>1</v>
      </c>
      <c r="E6" s="4">
        <v>1</v>
      </c>
      <c r="F6" s="4">
        <v>1</v>
      </c>
      <c r="G6" s="4">
        <v>1</v>
      </c>
      <c r="H6" s="4">
        <v>1</v>
      </c>
      <c r="I6" s="4">
        <v>1</v>
      </c>
      <c r="J6" s="4">
        <v>1</v>
      </c>
      <c r="K6" s="4">
        <v>1</v>
      </c>
      <c r="L6" s="4">
        <v>1</v>
      </c>
      <c r="M6" s="4">
        <v>1</v>
      </c>
      <c r="N6" s="4">
        <v>1</v>
      </c>
      <c r="O6" s="4">
        <v>3</v>
      </c>
      <c r="P6" s="4">
        <v>3</v>
      </c>
      <c r="Q6" s="4">
        <v>3</v>
      </c>
      <c r="R6" s="4">
        <v>3</v>
      </c>
      <c r="S6" s="4">
        <v>12</v>
      </c>
      <c r="T6" s="4">
        <v>12</v>
      </c>
      <c r="U6" s="4">
        <v>12</v>
      </c>
    </row>
    <row r="7" spans="1:21" collapsed="1"/>
    <row r="8" spans="1:21">
      <c r="A8" s="6" t="s">
        <v>3</v>
      </c>
    </row>
    <row r="9" spans="1:21">
      <c r="A9" s="38" t="str">
        <f>Scen!A14</f>
        <v>Consulting</v>
      </c>
      <c r="B9" s="7"/>
      <c r="C9" s="37">
        <f ca="1">Scen!C14</f>
        <v>20</v>
      </c>
      <c r="D9" s="37">
        <f ca="1">Scen!D14</f>
        <v>21</v>
      </c>
      <c r="E9" s="37">
        <f ca="1">Scen!E14</f>
        <v>22</v>
      </c>
      <c r="F9" s="37">
        <f ca="1">Scen!F14</f>
        <v>23</v>
      </c>
      <c r="G9" s="37">
        <f ca="1">Scen!G14</f>
        <v>24</v>
      </c>
      <c r="H9" s="37">
        <f ca="1">Scen!H14</f>
        <v>25</v>
      </c>
      <c r="I9" s="37">
        <f ca="1">Scen!I14</f>
        <v>26</v>
      </c>
      <c r="J9" s="37">
        <f ca="1">Scen!J14</f>
        <v>27</v>
      </c>
      <c r="K9" s="37">
        <f ca="1">Scen!K14</f>
        <v>28</v>
      </c>
      <c r="L9" s="37">
        <f ca="1">Scen!L14</f>
        <v>29</v>
      </c>
      <c r="M9" s="37">
        <f ca="1">Scen!M14</f>
        <v>30</v>
      </c>
      <c r="N9" s="37">
        <f ca="1">Scen!N14</f>
        <v>31</v>
      </c>
      <c r="O9" s="37">
        <f ca="1">Scen!O14</f>
        <v>93</v>
      </c>
      <c r="P9" s="37">
        <f ca="1">Scen!P14</f>
        <v>113</v>
      </c>
      <c r="Q9" s="37">
        <f ca="1">Scen!Q14</f>
        <v>133</v>
      </c>
      <c r="R9" s="37">
        <f ca="1">Scen!R14</f>
        <v>153</v>
      </c>
      <c r="S9" s="37">
        <f ca="1">Scen!S14</f>
        <v>203</v>
      </c>
      <c r="T9" s="37">
        <f ca="1">Scen!T14</f>
        <v>253</v>
      </c>
      <c r="U9" s="37">
        <f ca="1">Scen!U14</f>
        <v>303</v>
      </c>
    </row>
    <row r="10" spans="1:21">
      <c r="A10" s="38" t="str">
        <f>Scen!A21</f>
        <v>Client Sales</v>
      </c>
      <c r="B10" s="7"/>
      <c r="C10" s="37">
        <f ca="1">Scen!C21</f>
        <v>20</v>
      </c>
      <c r="D10" s="37">
        <f ca="1">Scen!D21</f>
        <v>21</v>
      </c>
      <c r="E10" s="37">
        <f ca="1">Scen!E21</f>
        <v>22</v>
      </c>
      <c r="F10" s="37">
        <f ca="1">Scen!F21</f>
        <v>23</v>
      </c>
      <c r="G10" s="37">
        <f ca="1">Scen!G21</f>
        <v>24</v>
      </c>
      <c r="H10" s="37">
        <f ca="1">Scen!H21</f>
        <v>25</v>
      </c>
      <c r="I10" s="37">
        <f ca="1">Scen!I21</f>
        <v>26</v>
      </c>
      <c r="J10" s="37">
        <f ca="1">Scen!J21</f>
        <v>27</v>
      </c>
      <c r="K10" s="37">
        <f ca="1">Scen!K21</f>
        <v>28</v>
      </c>
      <c r="L10" s="37">
        <f ca="1">Scen!L21</f>
        <v>29</v>
      </c>
      <c r="M10" s="37">
        <f ca="1">Scen!M21</f>
        <v>30</v>
      </c>
      <c r="N10" s="37">
        <f ca="1">Scen!N21</f>
        <v>31</v>
      </c>
      <c r="O10" s="37">
        <f ca="1">Scen!O21</f>
        <v>93</v>
      </c>
      <c r="P10" s="37">
        <f ca="1">Scen!P21</f>
        <v>113</v>
      </c>
      <c r="Q10" s="37">
        <f ca="1">Scen!Q21</f>
        <v>133</v>
      </c>
      <c r="R10" s="37">
        <f ca="1">Scen!R21</f>
        <v>153</v>
      </c>
      <c r="S10" s="37">
        <f ca="1">Scen!S21</f>
        <v>203</v>
      </c>
      <c r="T10" s="37">
        <f ca="1">Scen!T21</f>
        <v>253</v>
      </c>
      <c r="U10" s="37">
        <f ca="1">Scen!U21</f>
        <v>303</v>
      </c>
    </row>
    <row r="11" spans="1:21">
      <c r="A11" s="3" t="s">
        <v>22</v>
      </c>
      <c r="B11" s="7"/>
      <c r="C11" s="7">
        <v>5</v>
      </c>
      <c r="D11" s="7">
        <v>6</v>
      </c>
      <c r="E11" s="7">
        <v>7.1999999999999993</v>
      </c>
      <c r="F11" s="7">
        <v>8.6399999999999988</v>
      </c>
      <c r="G11" s="7">
        <v>10.367999999999999</v>
      </c>
      <c r="H11" s="7">
        <v>12.441599999999998</v>
      </c>
      <c r="I11" s="7">
        <v>14.929919999999996</v>
      </c>
      <c r="J11" s="7">
        <v>17.915903999999994</v>
      </c>
      <c r="K11" s="7">
        <v>21.499084799999991</v>
      </c>
      <c r="L11" s="7">
        <v>25.798901759999989</v>
      </c>
      <c r="M11" s="7">
        <v>30.958682111999984</v>
      </c>
      <c r="N11" s="7">
        <v>37.150418534399982</v>
      </c>
      <c r="O11" s="7">
        <v>133.74150672383993</v>
      </c>
      <c r="P11" s="7">
        <v>160.48980806860791</v>
      </c>
      <c r="Q11" s="7">
        <v>192.58776968232948</v>
      </c>
      <c r="R11" s="7">
        <v>231.10532361879535</v>
      </c>
      <c r="S11" s="7">
        <v>1109.3055533702177</v>
      </c>
      <c r="T11" s="7">
        <v>1331.1666640442611</v>
      </c>
      <c r="U11" s="7">
        <v>1597.3999968531132</v>
      </c>
    </row>
    <row r="12" spans="1:21">
      <c r="A12" s="3" t="s">
        <v>21</v>
      </c>
      <c r="B12" s="7"/>
      <c r="C12" s="7">
        <v>4</v>
      </c>
      <c r="D12" s="7">
        <v>4.8</v>
      </c>
      <c r="E12" s="7">
        <v>5.76</v>
      </c>
      <c r="F12" s="7">
        <v>6.9119999999999999</v>
      </c>
      <c r="G12" s="7">
        <v>8.2943999999999996</v>
      </c>
      <c r="H12" s="7">
        <v>9.9532799999999995</v>
      </c>
      <c r="I12" s="7">
        <v>11.943935999999999</v>
      </c>
      <c r="J12" s="7">
        <v>14.332723199999998</v>
      </c>
      <c r="K12" s="7">
        <v>17.199267839999997</v>
      </c>
      <c r="L12" s="7">
        <v>20.639121407999998</v>
      </c>
      <c r="M12" s="7">
        <v>24.766945689599996</v>
      </c>
      <c r="N12" s="7">
        <v>29.720334827519995</v>
      </c>
      <c r="O12" s="7">
        <v>106.99320537907197</v>
      </c>
      <c r="P12" s="7">
        <v>128.39184645488635</v>
      </c>
      <c r="Q12" s="7">
        <v>154.07021574586361</v>
      </c>
      <c r="R12" s="7">
        <v>184.88425889503631</v>
      </c>
      <c r="S12" s="7">
        <v>887.44444269617429</v>
      </c>
      <c r="T12" s="7">
        <v>1064.933331235409</v>
      </c>
      <c r="U12" s="7">
        <v>1277.9199974824908</v>
      </c>
    </row>
    <row r="13" spans="1:21">
      <c r="A13" s="3" t="s">
        <v>8</v>
      </c>
      <c r="B13" s="7"/>
      <c r="C13" s="7">
        <v>3</v>
      </c>
      <c r="D13" s="7">
        <v>3.5999999999999996</v>
      </c>
      <c r="E13" s="7">
        <v>4.3199999999999994</v>
      </c>
      <c r="F13" s="7">
        <v>5.1839999999999993</v>
      </c>
      <c r="G13" s="7">
        <v>6.2207999999999988</v>
      </c>
      <c r="H13" s="7">
        <v>7.4649599999999978</v>
      </c>
      <c r="I13" s="7">
        <v>8.957951999999997</v>
      </c>
      <c r="J13" s="7">
        <v>10.749542399999996</v>
      </c>
      <c r="K13" s="7">
        <v>12.899450879999995</v>
      </c>
      <c r="L13" s="7">
        <v>15.479341055999992</v>
      </c>
      <c r="M13" s="7">
        <v>18.575209267199991</v>
      </c>
      <c r="N13" s="7">
        <v>22.29025112063999</v>
      </c>
      <c r="O13" s="7">
        <v>80.244904034303957</v>
      </c>
      <c r="P13" s="7">
        <v>96.29388484116474</v>
      </c>
      <c r="Q13" s="7">
        <v>115.55266180939768</v>
      </c>
      <c r="R13" s="7">
        <v>138.66319417127721</v>
      </c>
      <c r="S13" s="7">
        <v>665.58333202213055</v>
      </c>
      <c r="T13" s="7">
        <v>798.69999842655659</v>
      </c>
      <c r="U13" s="7">
        <v>958.43999811186791</v>
      </c>
    </row>
    <row r="14" spans="1:21">
      <c r="A14" s="3" t="s">
        <v>24</v>
      </c>
      <c r="B14" s="7"/>
      <c r="C14" s="7">
        <v>2</v>
      </c>
      <c r="D14" s="7">
        <v>2.4</v>
      </c>
      <c r="E14" s="7">
        <v>2.88</v>
      </c>
      <c r="F14" s="7">
        <v>3.456</v>
      </c>
      <c r="G14" s="7">
        <v>4.1471999999999998</v>
      </c>
      <c r="H14" s="7">
        <v>4.9766399999999997</v>
      </c>
      <c r="I14" s="7">
        <v>5.9719679999999995</v>
      </c>
      <c r="J14" s="7">
        <v>7.1663615999999992</v>
      </c>
      <c r="K14" s="7">
        <v>8.5996339199999987</v>
      </c>
      <c r="L14" s="7">
        <v>10.319560703999999</v>
      </c>
      <c r="M14" s="7">
        <v>12.383472844799998</v>
      </c>
      <c r="N14" s="7">
        <v>14.860167413759998</v>
      </c>
      <c r="O14" s="7">
        <v>53.496602689535983</v>
      </c>
      <c r="P14" s="7">
        <v>64.195923227443174</v>
      </c>
      <c r="Q14" s="7">
        <v>77.035107872931803</v>
      </c>
      <c r="R14" s="7">
        <v>92.442129447518155</v>
      </c>
      <c r="S14" s="7">
        <v>443.72222134808715</v>
      </c>
      <c r="T14" s="7">
        <v>532.46666561770451</v>
      </c>
      <c r="U14" s="7">
        <v>638.95999874124539</v>
      </c>
    </row>
    <row r="15" spans="1:21" hidden="1" outlineLevel="1">
      <c r="A15" s="3" t="s">
        <v>20</v>
      </c>
      <c r="B15" s="7"/>
      <c r="C15" s="7">
        <v>0</v>
      </c>
      <c r="D15" s="7">
        <v>0</v>
      </c>
      <c r="E15" s="7">
        <v>0</v>
      </c>
      <c r="F15" s="7">
        <v>0</v>
      </c>
      <c r="G15" s="7">
        <v>0</v>
      </c>
      <c r="H15" s="7">
        <v>0</v>
      </c>
      <c r="I15" s="7">
        <v>0</v>
      </c>
      <c r="J15" s="7">
        <v>0</v>
      </c>
      <c r="K15" s="7">
        <v>0</v>
      </c>
      <c r="L15" s="7">
        <v>0</v>
      </c>
      <c r="M15" s="7">
        <v>0</v>
      </c>
      <c r="N15" s="7">
        <v>0</v>
      </c>
      <c r="O15" s="7">
        <v>0</v>
      </c>
      <c r="P15" s="7">
        <v>0</v>
      </c>
      <c r="Q15" s="7">
        <v>0</v>
      </c>
      <c r="R15" s="7">
        <v>0</v>
      </c>
      <c r="S15" s="7">
        <v>0</v>
      </c>
      <c r="T15" s="7">
        <v>0</v>
      </c>
      <c r="U15" s="7">
        <v>0</v>
      </c>
    </row>
    <row r="16" spans="1:21" hidden="1" outlineLevel="1">
      <c r="A16" s="3" t="s">
        <v>20</v>
      </c>
      <c r="B16" s="7"/>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row>
    <row r="17" spans="1:21" hidden="1" outlineLevel="1">
      <c r="A17" s="3" t="s">
        <v>20</v>
      </c>
      <c r="B17" s="7"/>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row>
    <row r="18" spans="1:21" hidden="1" outlineLevel="1">
      <c r="A18" s="3" t="s">
        <v>20</v>
      </c>
      <c r="B18" s="7"/>
      <c r="C18" s="7">
        <v>0</v>
      </c>
      <c r="D18" s="7">
        <v>0</v>
      </c>
      <c r="E18" s="7">
        <v>0</v>
      </c>
      <c r="F18" s="7">
        <v>0</v>
      </c>
      <c r="G18" s="7">
        <v>0</v>
      </c>
      <c r="H18" s="7">
        <v>0</v>
      </c>
      <c r="I18" s="7">
        <v>0</v>
      </c>
      <c r="J18" s="7">
        <v>0</v>
      </c>
      <c r="K18" s="7">
        <v>0</v>
      </c>
      <c r="L18" s="7">
        <v>0</v>
      </c>
      <c r="M18" s="7">
        <v>0</v>
      </c>
      <c r="N18" s="7">
        <v>0</v>
      </c>
      <c r="O18" s="7">
        <v>0</v>
      </c>
      <c r="P18" s="7">
        <v>0</v>
      </c>
      <c r="Q18" s="7">
        <v>0</v>
      </c>
      <c r="R18" s="7">
        <v>0</v>
      </c>
      <c r="S18" s="7">
        <v>0</v>
      </c>
      <c r="T18" s="7">
        <v>0</v>
      </c>
      <c r="U18" s="7">
        <v>0</v>
      </c>
    </row>
    <row r="19" spans="1:21" ht="9" customHeight="1" collapsed="1">
      <c r="A19" s="3"/>
      <c r="B19" s="8"/>
      <c r="C19" s="36" t="s">
        <v>10</v>
      </c>
      <c r="D19" s="36" t="s">
        <v>10</v>
      </c>
      <c r="E19" s="36" t="s">
        <v>10</v>
      </c>
      <c r="F19" s="36" t="s">
        <v>10</v>
      </c>
      <c r="G19" s="36" t="s">
        <v>10</v>
      </c>
      <c r="H19" s="36" t="s">
        <v>10</v>
      </c>
      <c r="I19" s="36" t="s">
        <v>10</v>
      </c>
      <c r="J19" s="36" t="s">
        <v>10</v>
      </c>
      <c r="K19" s="36" t="s">
        <v>10</v>
      </c>
      <c r="L19" s="36" t="s">
        <v>10</v>
      </c>
      <c r="M19" s="36" t="s">
        <v>10</v>
      </c>
      <c r="N19" s="36" t="s">
        <v>10</v>
      </c>
      <c r="O19" s="36" t="s">
        <v>10</v>
      </c>
      <c r="P19" s="36" t="s">
        <v>10</v>
      </c>
      <c r="Q19" s="36" t="s">
        <v>10</v>
      </c>
      <c r="R19" s="36" t="s">
        <v>10</v>
      </c>
      <c r="S19" s="36" t="s">
        <v>10</v>
      </c>
      <c r="T19" s="36" t="s">
        <v>10</v>
      </c>
      <c r="U19" s="36" t="s">
        <v>10</v>
      </c>
    </row>
    <row r="20" spans="1:21">
      <c r="A20" s="3" t="str">
        <f>A8</f>
        <v>Revenue</v>
      </c>
      <c r="B20" s="9"/>
      <c r="C20" s="9">
        <f t="shared" ref="C20:U20" ca="1" si="2">SUM(C8:C19)</f>
        <v>54</v>
      </c>
      <c r="D20" s="9">
        <f t="shared" ca="1" si="2"/>
        <v>58.8</v>
      </c>
      <c r="E20" s="9">
        <f t="shared" ca="1" si="2"/>
        <v>64.16</v>
      </c>
      <c r="F20" s="9">
        <f t="shared" ca="1" si="2"/>
        <v>70.192000000000007</v>
      </c>
      <c r="G20" s="9">
        <f t="shared" ca="1" si="2"/>
        <v>77.030399999999986</v>
      </c>
      <c r="H20" s="9">
        <f t="shared" ca="1" si="2"/>
        <v>84.836479999999995</v>
      </c>
      <c r="I20" s="9">
        <f t="shared" ca="1" si="2"/>
        <v>93.803775999999985</v>
      </c>
      <c r="J20" s="9">
        <f t="shared" ca="1" si="2"/>
        <v>104.1645312</v>
      </c>
      <c r="K20" s="9">
        <f t="shared" ca="1" si="2"/>
        <v>116.19743743999999</v>
      </c>
      <c r="L20" s="9">
        <f t="shared" ca="1" si="2"/>
        <v>130.23692492799998</v>
      </c>
      <c r="M20" s="9">
        <f t="shared" ca="1" si="2"/>
        <v>146.68430991359998</v>
      </c>
      <c r="N20" s="9">
        <f t="shared" ca="1" si="2"/>
        <v>166.02117189631997</v>
      </c>
      <c r="O20" s="9">
        <f t="shared" ca="1" si="2"/>
        <v>560.47621882675185</v>
      </c>
      <c r="P20" s="9">
        <f t="shared" ca="1" si="2"/>
        <v>675.37146259210215</v>
      </c>
      <c r="Q20" s="9">
        <f t="shared" ca="1" si="2"/>
        <v>805.24575511052262</v>
      </c>
      <c r="R20" s="9">
        <f t="shared" ca="1" si="2"/>
        <v>953.09490613262699</v>
      </c>
      <c r="S20" s="9">
        <f t="shared" ca="1" si="2"/>
        <v>3512.0555494366095</v>
      </c>
      <c r="T20" s="9">
        <f t="shared" ca="1" si="2"/>
        <v>4233.266659323931</v>
      </c>
      <c r="U20" s="9">
        <f t="shared" ca="1" si="2"/>
        <v>5078.7199911887174</v>
      </c>
    </row>
    <row r="21" spans="1:21">
      <c r="A21" s="3"/>
      <c r="C21" s="7"/>
      <c r="D21" s="7"/>
      <c r="E21" s="7"/>
      <c r="F21" s="7"/>
      <c r="G21" s="7"/>
      <c r="H21" s="7"/>
      <c r="I21" s="7"/>
      <c r="J21" s="7"/>
      <c r="K21" s="7"/>
      <c r="L21" s="7"/>
      <c r="M21" s="7"/>
      <c r="N21" s="7"/>
      <c r="O21" s="7"/>
      <c r="P21" s="7"/>
      <c r="Q21" s="7"/>
      <c r="R21" s="7"/>
      <c r="S21" s="7"/>
      <c r="T21" s="7"/>
      <c r="U21" s="7"/>
    </row>
    <row r="22" spans="1:21">
      <c r="A22" s="6" t="s">
        <v>9</v>
      </c>
      <c r="C22" s="7"/>
      <c r="D22" s="7"/>
      <c r="E22" s="7"/>
      <c r="F22" s="7"/>
      <c r="G22" s="7"/>
      <c r="H22" s="7"/>
      <c r="I22" s="7"/>
      <c r="J22" s="7"/>
      <c r="K22" s="7"/>
      <c r="L22" s="7"/>
      <c r="M22" s="7"/>
      <c r="N22" s="7"/>
      <c r="O22" s="7"/>
      <c r="P22" s="7"/>
      <c r="Q22" s="7"/>
      <c r="R22" s="7"/>
      <c r="S22" s="7"/>
      <c r="T22" s="7"/>
      <c r="U22" s="7"/>
    </row>
    <row r="23" spans="1:21">
      <c r="A23" s="3" t="s">
        <v>4</v>
      </c>
      <c r="B23" s="7"/>
      <c r="C23" s="21">
        <f>HC!C32</f>
        <v>12.5</v>
      </c>
      <c r="D23" s="21">
        <f>HC!D32</f>
        <v>12.5</v>
      </c>
      <c r="E23" s="21">
        <f>HC!E32</f>
        <v>25</v>
      </c>
      <c r="F23" s="21">
        <f>HC!F32</f>
        <v>25</v>
      </c>
      <c r="G23" s="21">
        <f>HC!G32</f>
        <v>25</v>
      </c>
      <c r="H23" s="21">
        <f>HC!H32</f>
        <v>31.25</v>
      </c>
      <c r="I23" s="21">
        <f>HC!I32</f>
        <v>31.25</v>
      </c>
      <c r="J23" s="21">
        <f>HC!J32</f>
        <v>31.25</v>
      </c>
      <c r="K23" s="21">
        <f>HC!K32</f>
        <v>31.25</v>
      </c>
      <c r="L23" s="21">
        <f>HC!L32</f>
        <v>37.5</v>
      </c>
      <c r="M23" s="21">
        <f>HC!M32</f>
        <v>37.5</v>
      </c>
      <c r="N23" s="21">
        <f>HC!N32</f>
        <v>37.5</v>
      </c>
      <c r="O23" s="21">
        <f>HC!O32</f>
        <v>187.5</v>
      </c>
      <c r="P23" s="21">
        <f>HC!P32</f>
        <v>187.5</v>
      </c>
      <c r="Q23" s="21">
        <f>HC!Q32</f>
        <v>187.5</v>
      </c>
      <c r="R23" s="21">
        <f>HC!R32</f>
        <v>187.5</v>
      </c>
      <c r="S23" s="21">
        <f>HC!S32</f>
        <v>750</v>
      </c>
      <c r="T23" s="21">
        <f>HC!T32</f>
        <v>750</v>
      </c>
      <c r="U23" s="21">
        <f>HC!U32</f>
        <v>750</v>
      </c>
    </row>
    <row r="24" spans="1:21">
      <c r="A24" s="3" t="s">
        <v>5</v>
      </c>
      <c r="B24" s="7"/>
      <c r="C24" s="21">
        <f>HC!C33</f>
        <v>0.9375</v>
      </c>
      <c r="D24" s="21">
        <f>HC!D33</f>
        <v>0.9375</v>
      </c>
      <c r="E24" s="21">
        <f>HC!E33</f>
        <v>1.875</v>
      </c>
      <c r="F24" s="21">
        <f>HC!F33</f>
        <v>1.875</v>
      </c>
      <c r="G24" s="21">
        <f>HC!G33</f>
        <v>1.875</v>
      </c>
      <c r="H24" s="21">
        <f>HC!H33</f>
        <v>2.34375</v>
      </c>
      <c r="I24" s="21">
        <f>HC!I33</f>
        <v>2.34375</v>
      </c>
      <c r="J24" s="21">
        <f>HC!J33</f>
        <v>2.34375</v>
      </c>
      <c r="K24" s="21">
        <f>HC!K33</f>
        <v>2.34375</v>
      </c>
      <c r="L24" s="21">
        <f>HC!L33</f>
        <v>2.8125</v>
      </c>
      <c r="M24" s="21">
        <f>HC!M33</f>
        <v>2.8125</v>
      </c>
      <c r="N24" s="21">
        <f>HC!N33</f>
        <v>2.8125</v>
      </c>
      <c r="O24" s="21">
        <f>HC!O33</f>
        <v>14.0625</v>
      </c>
      <c r="P24" s="21">
        <f>HC!P33</f>
        <v>14.0625</v>
      </c>
      <c r="Q24" s="21">
        <f>HC!Q33</f>
        <v>14.0625</v>
      </c>
      <c r="R24" s="21">
        <f>HC!R33</f>
        <v>14.0625</v>
      </c>
      <c r="S24" s="21">
        <f>HC!S33</f>
        <v>56.25</v>
      </c>
      <c r="T24" s="21">
        <f>HC!T33</f>
        <v>56.25</v>
      </c>
      <c r="U24" s="21">
        <f>HC!U33</f>
        <v>56.25</v>
      </c>
    </row>
    <row r="25" spans="1:21">
      <c r="A25" s="3" t="s">
        <v>25</v>
      </c>
      <c r="B25" s="7"/>
      <c r="C25" s="7">
        <v>1</v>
      </c>
      <c r="D25" s="7">
        <v>1</v>
      </c>
      <c r="E25" s="7">
        <v>1</v>
      </c>
      <c r="F25" s="7">
        <v>1</v>
      </c>
      <c r="G25" s="7">
        <v>1</v>
      </c>
      <c r="H25" s="7">
        <v>1</v>
      </c>
      <c r="I25" s="7">
        <v>1</v>
      </c>
      <c r="J25" s="7">
        <v>1</v>
      </c>
      <c r="K25" s="7">
        <v>1</v>
      </c>
      <c r="L25" s="7">
        <v>1</v>
      </c>
      <c r="M25" s="7">
        <v>1</v>
      </c>
      <c r="N25" s="7">
        <v>1</v>
      </c>
      <c r="O25" s="7">
        <v>3</v>
      </c>
      <c r="P25" s="7">
        <v>3</v>
      </c>
      <c r="Q25" s="7">
        <v>3</v>
      </c>
      <c r="R25" s="7">
        <v>3</v>
      </c>
      <c r="S25" s="7">
        <v>10</v>
      </c>
      <c r="T25" s="7">
        <v>10</v>
      </c>
      <c r="U25" s="7">
        <v>10</v>
      </c>
    </row>
    <row r="26" spans="1:21">
      <c r="A26" s="3" t="s">
        <v>6</v>
      </c>
      <c r="B26" s="7"/>
      <c r="C26" s="7">
        <v>20</v>
      </c>
      <c r="D26" s="7">
        <v>1</v>
      </c>
      <c r="E26" s="7">
        <v>1</v>
      </c>
      <c r="F26" s="7">
        <v>1</v>
      </c>
      <c r="G26" s="7">
        <v>1</v>
      </c>
      <c r="H26" s="7">
        <v>1</v>
      </c>
      <c r="I26" s="7">
        <v>1</v>
      </c>
      <c r="J26" s="7">
        <v>1</v>
      </c>
      <c r="K26" s="7">
        <v>1</v>
      </c>
      <c r="L26" s="7">
        <v>1</v>
      </c>
      <c r="M26" s="7">
        <v>1</v>
      </c>
      <c r="N26" s="7">
        <v>1</v>
      </c>
      <c r="O26" s="7">
        <v>3</v>
      </c>
      <c r="P26" s="7">
        <v>3</v>
      </c>
      <c r="Q26" s="7">
        <v>3</v>
      </c>
      <c r="R26" s="7">
        <v>3</v>
      </c>
      <c r="S26" s="7">
        <v>10</v>
      </c>
      <c r="T26" s="7">
        <v>10</v>
      </c>
      <c r="U26" s="7">
        <v>10</v>
      </c>
    </row>
    <row r="27" spans="1:21">
      <c r="A27" s="3" t="s">
        <v>11</v>
      </c>
      <c r="B27" s="7"/>
      <c r="C27" s="7">
        <v>1</v>
      </c>
      <c r="D27" s="7">
        <v>1</v>
      </c>
      <c r="E27" s="7">
        <v>1</v>
      </c>
      <c r="F27" s="7">
        <v>1</v>
      </c>
      <c r="G27" s="7">
        <v>1</v>
      </c>
      <c r="H27" s="7">
        <v>1</v>
      </c>
      <c r="I27" s="7">
        <v>1</v>
      </c>
      <c r="J27" s="7">
        <v>1</v>
      </c>
      <c r="K27" s="7">
        <v>1</v>
      </c>
      <c r="L27" s="7">
        <v>1</v>
      </c>
      <c r="M27" s="7">
        <v>1</v>
      </c>
      <c r="N27" s="7">
        <v>1</v>
      </c>
      <c r="O27" s="7">
        <v>3</v>
      </c>
      <c r="P27" s="7">
        <v>3</v>
      </c>
      <c r="Q27" s="7">
        <v>3</v>
      </c>
      <c r="R27" s="7">
        <v>3</v>
      </c>
      <c r="S27" s="7">
        <v>10</v>
      </c>
      <c r="T27" s="7">
        <v>10</v>
      </c>
      <c r="U27" s="7">
        <v>10</v>
      </c>
    </row>
    <row r="28" spans="1:21">
      <c r="A28" s="3" t="s">
        <v>12</v>
      </c>
      <c r="B28" s="7"/>
      <c r="C28" s="7">
        <v>1</v>
      </c>
      <c r="D28" s="7">
        <v>1</v>
      </c>
      <c r="E28" s="7">
        <v>1</v>
      </c>
      <c r="F28" s="7">
        <v>1</v>
      </c>
      <c r="G28" s="7">
        <v>1</v>
      </c>
      <c r="H28" s="7">
        <v>1</v>
      </c>
      <c r="I28" s="7">
        <v>1</v>
      </c>
      <c r="J28" s="7">
        <v>1</v>
      </c>
      <c r="K28" s="7">
        <v>1</v>
      </c>
      <c r="L28" s="7">
        <v>1</v>
      </c>
      <c r="M28" s="7">
        <v>1</v>
      </c>
      <c r="N28" s="7">
        <v>1</v>
      </c>
      <c r="O28" s="7">
        <v>3</v>
      </c>
      <c r="P28" s="7">
        <v>3</v>
      </c>
      <c r="Q28" s="7">
        <v>3</v>
      </c>
      <c r="R28" s="7">
        <v>3</v>
      </c>
      <c r="S28" s="7">
        <v>10</v>
      </c>
      <c r="T28" s="7">
        <v>10</v>
      </c>
      <c r="U28" s="7">
        <v>10</v>
      </c>
    </row>
    <row r="29" spans="1:21">
      <c r="A29" s="3" t="s">
        <v>13</v>
      </c>
      <c r="B29" s="7"/>
      <c r="C29" s="7">
        <v>1</v>
      </c>
      <c r="D29" s="7">
        <v>1</v>
      </c>
      <c r="E29" s="7">
        <v>1</v>
      </c>
      <c r="F29" s="7">
        <v>1</v>
      </c>
      <c r="G29" s="7">
        <v>1</v>
      </c>
      <c r="H29" s="7">
        <v>1</v>
      </c>
      <c r="I29" s="7">
        <v>1</v>
      </c>
      <c r="J29" s="7">
        <v>1</v>
      </c>
      <c r="K29" s="7">
        <v>1</v>
      </c>
      <c r="L29" s="7">
        <v>1</v>
      </c>
      <c r="M29" s="7">
        <v>1</v>
      </c>
      <c r="N29" s="7">
        <v>1</v>
      </c>
      <c r="O29" s="7">
        <v>3</v>
      </c>
      <c r="P29" s="7">
        <v>3</v>
      </c>
      <c r="Q29" s="7">
        <v>3</v>
      </c>
      <c r="R29" s="7">
        <v>3</v>
      </c>
      <c r="S29" s="7">
        <v>10</v>
      </c>
      <c r="T29" s="7">
        <v>10</v>
      </c>
      <c r="U29" s="7">
        <v>10</v>
      </c>
    </row>
    <row r="30" spans="1:21">
      <c r="A30" s="3" t="s">
        <v>28</v>
      </c>
      <c r="B30" s="7"/>
      <c r="C30" s="7">
        <v>10</v>
      </c>
      <c r="D30" s="7">
        <v>0</v>
      </c>
      <c r="E30" s="7">
        <v>0</v>
      </c>
      <c r="F30" s="7">
        <v>0</v>
      </c>
      <c r="G30" s="7">
        <v>0</v>
      </c>
      <c r="H30" s="7">
        <v>0</v>
      </c>
      <c r="I30" s="7">
        <v>0</v>
      </c>
      <c r="J30" s="7">
        <v>0</v>
      </c>
      <c r="K30" s="7">
        <v>0</v>
      </c>
      <c r="L30" s="7">
        <v>0</v>
      </c>
      <c r="M30" s="7">
        <v>0</v>
      </c>
      <c r="N30" s="7">
        <v>0</v>
      </c>
      <c r="O30" s="7">
        <v>0</v>
      </c>
      <c r="P30" s="7">
        <v>0</v>
      </c>
      <c r="Q30" s="7">
        <v>0</v>
      </c>
      <c r="R30" s="7">
        <v>0</v>
      </c>
      <c r="S30" s="7">
        <v>0</v>
      </c>
      <c r="T30" s="7">
        <v>0</v>
      </c>
      <c r="U30" s="7">
        <v>0</v>
      </c>
    </row>
    <row r="31" spans="1:21">
      <c r="A31" s="3" t="s">
        <v>27</v>
      </c>
      <c r="B31" s="7"/>
      <c r="C31" s="7">
        <v>0</v>
      </c>
      <c r="D31" s="7">
        <v>1</v>
      </c>
      <c r="E31" s="7">
        <v>1</v>
      </c>
      <c r="F31" s="7">
        <v>1</v>
      </c>
      <c r="G31" s="7">
        <v>1</v>
      </c>
      <c r="H31" s="7">
        <v>1</v>
      </c>
      <c r="I31" s="7">
        <v>1</v>
      </c>
      <c r="J31" s="7">
        <v>1</v>
      </c>
      <c r="K31" s="7">
        <v>1</v>
      </c>
      <c r="L31" s="7">
        <v>1</v>
      </c>
      <c r="M31" s="7">
        <v>1</v>
      </c>
      <c r="N31" s="7">
        <v>1</v>
      </c>
      <c r="O31" s="7">
        <v>3</v>
      </c>
      <c r="P31" s="7">
        <v>3</v>
      </c>
      <c r="Q31" s="7">
        <v>3</v>
      </c>
      <c r="R31" s="7">
        <v>3</v>
      </c>
      <c r="S31" s="7">
        <v>10</v>
      </c>
      <c r="T31" s="7">
        <v>10</v>
      </c>
      <c r="U31" s="7">
        <v>10</v>
      </c>
    </row>
    <row r="32" spans="1:21">
      <c r="A32" s="3" t="s">
        <v>14</v>
      </c>
      <c r="B32" s="7"/>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row>
    <row r="33" spans="1:21">
      <c r="A33" s="3" t="s">
        <v>15</v>
      </c>
      <c r="B33" s="7"/>
      <c r="C33" s="7">
        <v>0</v>
      </c>
      <c r="D33" s="7">
        <v>1</v>
      </c>
      <c r="E33" s="7">
        <v>1</v>
      </c>
      <c r="F33" s="7">
        <v>1</v>
      </c>
      <c r="G33" s="7">
        <v>1</v>
      </c>
      <c r="H33" s="7">
        <v>1</v>
      </c>
      <c r="I33" s="7">
        <v>1</v>
      </c>
      <c r="J33" s="7">
        <v>1</v>
      </c>
      <c r="K33" s="7">
        <v>1</v>
      </c>
      <c r="L33" s="7">
        <v>1</v>
      </c>
      <c r="M33" s="7">
        <v>1</v>
      </c>
      <c r="N33" s="7">
        <v>1</v>
      </c>
      <c r="O33" s="7">
        <v>3</v>
      </c>
      <c r="P33" s="7">
        <v>3</v>
      </c>
      <c r="Q33" s="7">
        <v>3</v>
      </c>
      <c r="R33" s="7">
        <v>3</v>
      </c>
      <c r="S33" s="7">
        <v>10</v>
      </c>
      <c r="T33" s="7">
        <v>10</v>
      </c>
      <c r="U33" s="7">
        <v>10</v>
      </c>
    </row>
    <row r="34" spans="1:21" hidden="1" outlineLevel="1">
      <c r="A34" s="3" t="s">
        <v>19</v>
      </c>
      <c r="B34" s="7"/>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row>
    <row r="35" spans="1:21" hidden="1" outlineLevel="1">
      <c r="A35" s="3" t="s">
        <v>19</v>
      </c>
      <c r="B35" s="7"/>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row>
    <row r="36" spans="1:21" hidden="1" outlineLevel="1">
      <c r="A36" s="3" t="s">
        <v>19</v>
      </c>
      <c r="B36" s="7"/>
      <c r="C36" s="7">
        <v>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row>
    <row r="37" spans="1:21" hidden="1" outlineLevel="1">
      <c r="A37" s="3" t="s">
        <v>19</v>
      </c>
      <c r="B37" s="7"/>
      <c r="C37" s="7">
        <v>0</v>
      </c>
      <c r="D37" s="7">
        <v>0</v>
      </c>
      <c r="E37" s="7">
        <v>0</v>
      </c>
      <c r="F37" s="7">
        <v>0</v>
      </c>
      <c r="G37" s="7">
        <v>0</v>
      </c>
      <c r="H37" s="7">
        <v>0</v>
      </c>
      <c r="I37" s="7">
        <v>0</v>
      </c>
      <c r="J37" s="7">
        <v>0</v>
      </c>
      <c r="K37" s="7">
        <v>0</v>
      </c>
      <c r="L37" s="7">
        <v>0</v>
      </c>
      <c r="M37" s="7">
        <v>0</v>
      </c>
      <c r="N37" s="7">
        <v>0</v>
      </c>
      <c r="O37" s="7">
        <v>0</v>
      </c>
      <c r="P37" s="7">
        <v>0</v>
      </c>
      <c r="Q37" s="7">
        <v>0</v>
      </c>
      <c r="R37" s="7">
        <v>0</v>
      </c>
      <c r="S37" s="7">
        <v>0</v>
      </c>
      <c r="T37" s="7">
        <v>0</v>
      </c>
      <c r="U37" s="7">
        <v>0</v>
      </c>
    </row>
    <row r="38" spans="1:21" hidden="1" outlineLevel="1">
      <c r="A38" s="3" t="s">
        <v>19</v>
      </c>
      <c r="B38" s="7"/>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row>
    <row r="39" spans="1:21" hidden="1" outlineLevel="1">
      <c r="A39" s="3" t="s">
        <v>19</v>
      </c>
      <c r="B39" s="7"/>
      <c r="C39" s="7">
        <v>0</v>
      </c>
      <c r="D39" s="7">
        <v>0</v>
      </c>
      <c r="E39" s="7">
        <v>0</v>
      </c>
      <c r="F39" s="7">
        <v>0</v>
      </c>
      <c r="G39" s="7">
        <v>0</v>
      </c>
      <c r="H39" s="7">
        <v>0</v>
      </c>
      <c r="I39" s="7">
        <v>0</v>
      </c>
      <c r="J39" s="7">
        <v>0</v>
      </c>
      <c r="K39" s="7">
        <v>0</v>
      </c>
      <c r="L39" s="7">
        <v>0</v>
      </c>
      <c r="M39" s="7">
        <v>0</v>
      </c>
      <c r="N39" s="7">
        <v>0</v>
      </c>
      <c r="O39" s="7">
        <v>0</v>
      </c>
      <c r="P39" s="7">
        <v>0</v>
      </c>
      <c r="Q39" s="7">
        <v>0</v>
      </c>
      <c r="R39" s="7">
        <v>0</v>
      </c>
      <c r="S39" s="7">
        <v>0</v>
      </c>
      <c r="T39" s="7">
        <v>0</v>
      </c>
      <c r="U39" s="7">
        <v>0</v>
      </c>
    </row>
    <row r="40" spans="1:21" hidden="1" outlineLevel="1">
      <c r="A40" s="3" t="s">
        <v>19</v>
      </c>
      <c r="B40" s="7"/>
      <c r="C40" s="7">
        <v>0</v>
      </c>
      <c r="D40" s="7">
        <v>0</v>
      </c>
      <c r="E40" s="7">
        <v>0</v>
      </c>
      <c r="F40" s="7">
        <v>0</v>
      </c>
      <c r="G40" s="7">
        <v>0</v>
      </c>
      <c r="H40" s="7">
        <v>0</v>
      </c>
      <c r="I40" s="7">
        <v>0</v>
      </c>
      <c r="J40" s="7">
        <v>0</v>
      </c>
      <c r="K40" s="7">
        <v>0</v>
      </c>
      <c r="L40" s="7">
        <v>0</v>
      </c>
      <c r="M40" s="7">
        <v>0</v>
      </c>
      <c r="N40" s="7">
        <v>0</v>
      </c>
      <c r="O40" s="7">
        <v>0</v>
      </c>
      <c r="P40" s="7">
        <v>0</v>
      </c>
      <c r="Q40" s="7">
        <v>0</v>
      </c>
      <c r="R40" s="7">
        <v>0</v>
      </c>
      <c r="S40" s="7">
        <v>0</v>
      </c>
      <c r="T40" s="7">
        <v>0</v>
      </c>
      <c r="U40" s="7">
        <v>0</v>
      </c>
    </row>
    <row r="41" spans="1:21" hidden="1" outlineLevel="1">
      <c r="A41" s="3" t="s">
        <v>19</v>
      </c>
      <c r="B41" s="7"/>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row>
    <row r="42" spans="1:21" hidden="1" outlineLevel="1">
      <c r="A42" s="3" t="s">
        <v>19</v>
      </c>
      <c r="B42" s="7"/>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row>
    <row r="43" spans="1:21" hidden="1" outlineLevel="1">
      <c r="A43" s="3" t="s">
        <v>19</v>
      </c>
      <c r="B43" s="7"/>
      <c r="C43" s="7">
        <v>0</v>
      </c>
      <c r="D43" s="7">
        <v>0</v>
      </c>
      <c r="E43" s="7">
        <v>0</v>
      </c>
      <c r="F43" s="7">
        <v>0</v>
      </c>
      <c r="G43" s="7">
        <v>0</v>
      </c>
      <c r="H43" s="7">
        <v>0</v>
      </c>
      <c r="I43" s="7">
        <v>0</v>
      </c>
      <c r="J43" s="7">
        <v>0</v>
      </c>
      <c r="K43" s="7">
        <v>0</v>
      </c>
      <c r="L43" s="7">
        <v>0</v>
      </c>
      <c r="M43" s="7">
        <v>0</v>
      </c>
      <c r="N43" s="7">
        <v>0</v>
      </c>
      <c r="O43" s="7">
        <v>0</v>
      </c>
      <c r="P43" s="7">
        <v>0</v>
      </c>
      <c r="Q43" s="7">
        <v>0</v>
      </c>
      <c r="R43" s="7">
        <v>0</v>
      </c>
      <c r="S43" s="7">
        <v>0</v>
      </c>
      <c r="T43" s="7">
        <v>0</v>
      </c>
      <c r="U43" s="7">
        <v>0</v>
      </c>
    </row>
    <row r="44" spans="1:21" ht="15" hidden="1" customHeight="1" outlineLevel="1">
      <c r="A44" s="3" t="s">
        <v>19</v>
      </c>
      <c r="B44" s="7"/>
      <c r="C44" s="7">
        <v>0</v>
      </c>
      <c r="D44" s="7">
        <v>0</v>
      </c>
      <c r="E44" s="7">
        <v>0</v>
      </c>
      <c r="F44" s="7">
        <v>0</v>
      </c>
      <c r="G44" s="7">
        <v>0</v>
      </c>
      <c r="H44" s="7">
        <v>0</v>
      </c>
      <c r="I44" s="7">
        <v>0</v>
      </c>
      <c r="J44" s="7">
        <v>0</v>
      </c>
      <c r="K44" s="7">
        <v>0</v>
      </c>
      <c r="L44" s="7">
        <v>0</v>
      </c>
      <c r="M44" s="7">
        <v>0</v>
      </c>
      <c r="N44" s="7">
        <v>0</v>
      </c>
      <c r="O44" s="7">
        <v>0</v>
      </c>
      <c r="P44" s="7">
        <v>0</v>
      </c>
      <c r="Q44" s="7">
        <v>0</v>
      </c>
      <c r="R44" s="7">
        <v>0</v>
      </c>
      <c r="S44" s="7">
        <v>0</v>
      </c>
      <c r="T44" s="7">
        <v>0</v>
      </c>
      <c r="U44" s="7">
        <v>0</v>
      </c>
    </row>
    <row r="45" spans="1:21" ht="9" customHeight="1" collapsed="1">
      <c r="A45" s="3"/>
      <c r="B45" s="8"/>
      <c r="C45" s="36" t="s">
        <v>10</v>
      </c>
      <c r="D45" s="36" t="s">
        <v>10</v>
      </c>
      <c r="E45" s="36" t="s">
        <v>10</v>
      </c>
      <c r="F45" s="36" t="s">
        <v>10</v>
      </c>
      <c r="G45" s="36" t="s">
        <v>10</v>
      </c>
      <c r="H45" s="36" t="s">
        <v>10</v>
      </c>
      <c r="I45" s="36" t="s">
        <v>10</v>
      </c>
      <c r="J45" s="36" t="s">
        <v>10</v>
      </c>
      <c r="K45" s="36" t="s">
        <v>10</v>
      </c>
      <c r="L45" s="36" t="s">
        <v>10</v>
      </c>
      <c r="M45" s="36" t="s">
        <v>10</v>
      </c>
      <c r="N45" s="36" t="s">
        <v>10</v>
      </c>
      <c r="O45" s="36" t="s">
        <v>10</v>
      </c>
      <c r="P45" s="36" t="s">
        <v>10</v>
      </c>
      <c r="Q45" s="36" t="s">
        <v>10</v>
      </c>
      <c r="R45" s="36" t="s">
        <v>10</v>
      </c>
      <c r="S45" s="36" t="s">
        <v>10</v>
      </c>
      <c r="T45" s="36" t="s">
        <v>10</v>
      </c>
      <c r="U45" s="36" t="s">
        <v>10</v>
      </c>
    </row>
    <row r="46" spans="1:21">
      <c r="A46" t="s">
        <v>26</v>
      </c>
      <c r="B46" s="9"/>
      <c r="C46" s="9">
        <f t="shared" ref="C46:U46" si="3">SUM(C22:C45)</f>
        <v>47.4375</v>
      </c>
      <c r="D46" s="9">
        <f t="shared" si="3"/>
        <v>20.4375</v>
      </c>
      <c r="E46" s="9">
        <f t="shared" si="3"/>
        <v>33.875</v>
      </c>
      <c r="F46" s="9">
        <f t="shared" si="3"/>
        <v>33.875</v>
      </c>
      <c r="G46" s="9">
        <f t="shared" si="3"/>
        <v>33.875</v>
      </c>
      <c r="H46" s="9">
        <f t="shared" si="3"/>
        <v>40.59375</v>
      </c>
      <c r="I46" s="9">
        <f t="shared" si="3"/>
        <v>40.59375</v>
      </c>
      <c r="J46" s="9">
        <f t="shared" si="3"/>
        <v>40.59375</v>
      </c>
      <c r="K46" s="9">
        <f t="shared" si="3"/>
        <v>40.59375</v>
      </c>
      <c r="L46" s="9">
        <f t="shared" si="3"/>
        <v>47.3125</v>
      </c>
      <c r="M46" s="9">
        <f t="shared" si="3"/>
        <v>47.3125</v>
      </c>
      <c r="N46" s="9">
        <f t="shared" si="3"/>
        <v>47.3125</v>
      </c>
      <c r="O46" s="9">
        <f t="shared" si="3"/>
        <v>222.5625</v>
      </c>
      <c r="P46" s="9">
        <f t="shared" si="3"/>
        <v>222.5625</v>
      </c>
      <c r="Q46" s="9">
        <f t="shared" si="3"/>
        <v>222.5625</v>
      </c>
      <c r="R46" s="9">
        <f t="shared" si="3"/>
        <v>222.5625</v>
      </c>
      <c r="S46" s="9">
        <f t="shared" si="3"/>
        <v>876.25</v>
      </c>
      <c r="T46" s="9">
        <f t="shared" si="3"/>
        <v>876.25</v>
      </c>
      <c r="U46" s="9">
        <f t="shared" si="3"/>
        <v>876.25</v>
      </c>
    </row>
    <row r="47" spans="1:21">
      <c r="A47" t="s">
        <v>16</v>
      </c>
      <c r="B47" s="35">
        <v>5</v>
      </c>
      <c r="C47" s="21">
        <f>BS!B19*IS!C$6/(12*IS!$B47)</f>
        <v>0</v>
      </c>
      <c r="D47" s="21">
        <f>BS!C19*IS!D$6/(12*IS!$B47)</f>
        <v>0</v>
      </c>
      <c r="E47" s="21">
        <f>BS!D19*IS!E$6/(12*IS!$B47)</f>
        <v>0</v>
      </c>
      <c r="F47" s="21">
        <f>BS!E19*IS!F$6/(12*IS!$B47)</f>
        <v>0</v>
      </c>
      <c r="G47" s="21">
        <f>BS!F19*IS!G$6/(12*IS!$B47)</f>
        <v>0</v>
      </c>
      <c r="H47" s="21">
        <f>BS!G19*IS!H$6/(12*IS!$B47)</f>
        <v>0</v>
      </c>
      <c r="I47" s="21">
        <f>BS!H19*IS!I$6/(12*IS!$B47)</f>
        <v>0</v>
      </c>
      <c r="J47" s="21">
        <f>BS!I19*IS!J$6/(12*IS!$B47)</f>
        <v>0</v>
      </c>
      <c r="K47" s="21">
        <f>BS!J19*IS!K$6/(12*IS!$B47)</f>
        <v>0</v>
      </c>
      <c r="L47" s="21">
        <f>BS!K19*IS!L$6/(12*IS!$B47)</f>
        <v>0</v>
      </c>
      <c r="M47" s="21">
        <f>BS!L19*IS!M$6/(12*IS!$B47)</f>
        <v>0</v>
      </c>
      <c r="N47" s="21">
        <f>BS!M19*IS!N$6/(12*IS!$B47)</f>
        <v>0</v>
      </c>
      <c r="O47" s="21">
        <f>BS!N19*IS!O$6/(12*IS!$B47)</f>
        <v>0</v>
      </c>
      <c r="P47" s="21">
        <f>BS!O19*IS!P$6/(12*IS!$B47)</f>
        <v>0</v>
      </c>
      <c r="Q47" s="21">
        <f>BS!P19*IS!Q$6/(12*IS!$B47)</f>
        <v>0</v>
      </c>
      <c r="R47" s="21">
        <f>BS!Q19*IS!R$6/(12*IS!$B47)</f>
        <v>0</v>
      </c>
      <c r="S47" s="21">
        <f>BS!R19*IS!S$6/(12*IS!$B47)</f>
        <v>0</v>
      </c>
      <c r="T47" s="21">
        <f>BS!S19*IS!T$6/(12*IS!$B47)</f>
        <v>0</v>
      </c>
      <c r="U47" s="21">
        <f>BS!T19*IS!U$6/(12*IS!$B47)</f>
        <v>0</v>
      </c>
    </row>
    <row r="48" spans="1:21" ht="9" customHeight="1">
      <c r="A48" s="3"/>
      <c r="B48" s="8"/>
      <c r="C48" s="36" t="s">
        <v>10</v>
      </c>
      <c r="D48" s="36" t="s">
        <v>10</v>
      </c>
      <c r="E48" s="36" t="s">
        <v>10</v>
      </c>
      <c r="F48" s="36" t="s">
        <v>10</v>
      </c>
      <c r="G48" s="36" t="s">
        <v>10</v>
      </c>
      <c r="H48" s="36" t="s">
        <v>10</v>
      </c>
      <c r="I48" s="36" t="s">
        <v>10</v>
      </c>
      <c r="J48" s="36" t="s">
        <v>10</v>
      </c>
      <c r="K48" s="36" t="s">
        <v>10</v>
      </c>
      <c r="L48" s="36" t="s">
        <v>10</v>
      </c>
      <c r="M48" s="36" t="s">
        <v>10</v>
      </c>
      <c r="N48" s="36" t="s">
        <v>10</v>
      </c>
      <c r="O48" s="36" t="s">
        <v>10</v>
      </c>
      <c r="P48" s="36" t="s">
        <v>10</v>
      </c>
      <c r="Q48" s="36" t="s">
        <v>10</v>
      </c>
      <c r="R48" s="36" t="s">
        <v>10</v>
      </c>
      <c r="S48" s="36" t="s">
        <v>10</v>
      </c>
      <c r="T48" s="36" t="s">
        <v>10</v>
      </c>
      <c r="U48" s="36" t="s">
        <v>10</v>
      </c>
    </row>
    <row r="49" spans="1:21">
      <c r="A49" t="s">
        <v>29</v>
      </c>
      <c r="B49" s="10"/>
      <c r="C49" s="9">
        <f t="shared" ref="C49:U49" si="4">SUM(C46:C48)</f>
        <v>47.4375</v>
      </c>
      <c r="D49" s="9">
        <f t="shared" si="4"/>
        <v>20.4375</v>
      </c>
      <c r="E49" s="9">
        <f t="shared" si="4"/>
        <v>33.875</v>
      </c>
      <c r="F49" s="9">
        <f t="shared" si="4"/>
        <v>33.875</v>
      </c>
      <c r="G49" s="9">
        <f t="shared" si="4"/>
        <v>33.875</v>
      </c>
      <c r="H49" s="9">
        <f t="shared" si="4"/>
        <v>40.59375</v>
      </c>
      <c r="I49" s="9">
        <f t="shared" si="4"/>
        <v>40.59375</v>
      </c>
      <c r="J49" s="9">
        <f t="shared" si="4"/>
        <v>40.59375</v>
      </c>
      <c r="K49" s="9">
        <f t="shared" si="4"/>
        <v>40.59375</v>
      </c>
      <c r="L49" s="9">
        <f t="shared" si="4"/>
        <v>47.3125</v>
      </c>
      <c r="M49" s="9">
        <f t="shared" si="4"/>
        <v>47.3125</v>
      </c>
      <c r="N49" s="9">
        <f t="shared" si="4"/>
        <v>47.3125</v>
      </c>
      <c r="O49" s="9">
        <f t="shared" si="4"/>
        <v>222.5625</v>
      </c>
      <c r="P49" s="9">
        <f t="shared" si="4"/>
        <v>222.5625</v>
      </c>
      <c r="Q49" s="9">
        <f t="shared" si="4"/>
        <v>222.5625</v>
      </c>
      <c r="R49" s="9">
        <f t="shared" si="4"/>
        <v>222.5625</v>
      </c>
      <c r="S49" s="9">
        <f t="shared" si="4"/>
        <v>876.25</v>
      </c>
      <c r="T49" s="9">
        <f t="shared" si="4"/>
        <v>876.25</v>
      </c>
      <c r="U49" s="9">
        <f t="shared" si="4"/>
        <v>876.25</v>
      </c>
    </row>
    <row r="50" spans="1:21">
      <c r="A50" t="str">
        <f>BS!A39&amp;" Interest"</f>
        <v>Loan 1 Interest</v>
      </c>
      <c r="B50" s="34">
        <v>7.0000000000000007E-2</v>
      </c>
      <c r="C50" s="11">
        <f>$B50*BS!B39*C$6/12</f>
        <v>0</v>
      </c>
      <c r="D50" s="11">
        <f>$B50*BS!C39*D$6/12</f>
        <v>0</v>
      </c>
      <c r="E50" s="11">
        <f>$B50*BS!D39*E$6/12</f>
        <v>0</v>
      </c>
      <c r="F50" s="11">
        <f>$B50*BS!E39*F$6/12</f>
        <v>0</v>
      </c>
      <c r="G50" s="11">
        <f>$B50*BS!F39*G$6/12</f>
        <v>0</v>
      </c>
      <c r="H50" s="11">
        <f>$B50*BS!G39*H$6/12</f>
        <v>0</v>
      </c>
      <c r="I50" s="11">
        <f>$B50*BS!H39*I$6/12</f>
        <v>0</v>
      </c>
      <c r="J50" s="11">
        <f>$B50*BS!I39*J$6/12</f>
        <v>0</v>
      </c>
      <c r="K50" s="11">
        <f>$B50*BS!J39*K$6/12</f>
        <v>0</v>
      </c>
      <c r="L50" s="11">
        <f>$B50*BS!K39*L$6/12</f>
        <v>0</v>
      </c>
      <c r="M50" s="11">
        <f>$B50*BS!L39*M$6/12</f>
        <v>0</v>
      </c>
      <c r="N50" s="11">
        <f>$B50*BS!M39*N$6/12</f>
        <v>0</v>
      </c>
      <c r="O50" s="11">
        <f>$B50*BS!N39*O$6/12</f>
        <v>0</v>
      </c>
      <c r="P50" s="11">
        <f>$B50*BS!O39*P$6/12</f>
        <v>0</v>
      </c>
      <c r="Q50" s="11">
        <f>$B50*BS!P39*Q$6/12</f>
        <v>0</v>
      </c>
      <c r="R50" s="11">
        <f>$B50*BS!Q39*R$6/12</f>
        <v>0</v>
      </c>
      <c r="S50" s="11">
        <f>$B50*BS!R39*S$6/12</f>
        <v>0</v>
      </c>
      <c r="T50" s="11">
        <f>$B50*BS!S39*T$6/12</f>
        <v>0</v>
      </c>
      <c r="U50" s="11">
        <f>$B50*BS!T39*U$6/12</f>
        <v>0</v>
      </c>
    </row>
    <row r="51" spans="1:21">
      <c r="A51" t="str">
        <f>BS!A40&amp;" Interest"</f>
        <v>Loan 2 Interest</v>
      </c>
      <c r="B51" s="34">
        <v>0.08</v>
      </c>
      <c r="C51" s="11">
        <f>$B51*BS!B40*C$6/12</f>
        <v>0</v>
      </c>
      <c r="D51" s="11">
        <f>$B51*BS!C40*D$6/12</f>
        <v>0</v>
      </c>
      <c r="E51" s="11">
        <f>$B51*BS!D40*E$6/12</f>
        <v>0</v>
      </c>
      <c r="F51" s="11">
        <f>$B51*BS!E40*F$6/12</f>
        <v>0</v>
      </c>
      <c r="G51" s="11">
        <f>$B51*BS!F40*G$6/12</f>
        <v>0</v>
      </c>
      <c r="H51" s="11">
        <f>$B51*BS!G40*H$6/12</f>
        <v>0</v>
      </c>
      <c r="I51" s="11">
        <f>$B51*BS!H40*I$6/12</f>
        <v>0</v>
      </c>
      <c r="J51" s="11">
        <f>$B51*BS!I40*J$6/12</f>
        <v>0</v>
      </c>
      <c r="K51" s="11">
        <f>$B51*BS!J40*K$6/12</f>
        <v>0</v>
      </c>
      <c r="L51" s="11">
        <f>$B51*BS!K40*L$6/12</f>
        <v>0</v>
      </c>
      <c r="M51" s="11">
        <f>$B51*BS!L40*M$6/12</f>
        <v>0</v>
      </c>
      <c r="N51" s="11">
        <f>$B51*BS!M40*N$6/12</f>
        <v>0</v>
      </c>
      <c r="O51" s="11">
        <f>$B51*BS!N40*O$6/12</f>
        <v>0</v>
      </c>
      <c r="P51" s="11">
        <f>$B51*BS!O40*P$6/12</f>
        <v>0</v>
      </c>
      <c r="Q51" s="11">
        <f>$B51*BS!P40*Q$6/12</f>
        <v>0</v>
      </c>
      <c r="R51" s="11">
        <f>$B51*BS!Q40*R$6/12</f>
        <v>0</v>
      </c>
      <c r="S51" s="11">
        <f>$B51*BS!R40*S$6/12</f>
        <v>0</v>
      </c>
      <c r="T51" s="11">
        <f>$B51*BS!S40*T$6/12</f>
        <v>0</v>
      </c>
      <c r="U51" s="11">
        <f>$B51*BS!T40*U$6/12</f>
        <v>0</v>
      </c>
    </row>
    <row r="52" spans="1:21" ht="9" customHeight="1">
      <c r="A52" s="3"/>
      <c r="B52" s="8"/>
      <c r="C52" s="36" t="s">
        <v>10</v>
      </c>
      <c r="D52" s="36" t="s">
        <v>10</v>
      </c>
      <c r="E52" s="36" t="s">
        <v>10</v>
      </c>
      <c r="F52" s="36" t="s">
        <v>10</v>
      </c>
      <c r="G52" s="36" t="s">
        <v>10</v>
      </c>
      <c r="H52" s="36" t="s">
        <v>10</v>
      </c>
      <c r="I52" s="36" t="s">
        <v>10</v>
      </c>
      <c r="J52" s="36" t="s">
        <v>10</v>
      </c>
      <c r="K52" s="36" t="s">
        <v>10</v>
      </c>
      <c r="L52" s="36" t="s">
        <v>10</v>
      </c>
      <c r="M52" s="36" t="s">
        <v>10</v>
      </c>
      <c r="N52" s="36" t="s">
        <v>10</v>
      </c>
      <c r="O52" s="36" t="s">
        <v>10</v>
      </c>
      <c r="P52" s="36" t="s">
        <v>10</v>
      </c>
      <c r="Q52" s="36" t="s">
        <v>10</v>
      </c>
      <c r="R52" s="36" t="s">
        <v>10</v>
      </c>
      <c r="S52" s="36" t="s">
        <v>10</v>
      </c>
      <c r="T52" s="36" t="s">
        <v>10</v>
      </c>
      <c r="U52" s="36" t="s">
        <v>10</v>
      </c>
    </row>
    <row r="53" spans="1:21">
      <c r="A53" s="3" t="str">
        <f>A22</f>
        <v>Expenses</v>
      </c>
      <c r="B53" s="11"/>
      <c r="C53" s="11">
        <f t="shared" ref="C53:U53" si="5">SUM(C49:C52)</f>
        <v>47.4375</v>
      </c>
      <c r="D53" s="11">
        <f t="shared" si="5"/>
        <v>20.4375</v>
      </c>
      <c r="E53" s="11">
        <f t="shared" si="5"/>
        <v>33.875</v>
      </c>
      <c r="F53" s="11">
        <f t="shared" si="5"/>
        <v>33.875</v>
      </c>
      <c r="G53" s="11">
        <f t="shared" si="5"/>
        <v>33.875</v>
      </c>
      <c r="H53" s="11">
        <f t="shared" si="5"/>
        <v>40.59375</v>
      </c>
      <c r="I53" s="11">
        <f t="shared" si="5"/>
        <v>40.59375</v>
      </c>
      <c r="J53" s="11">
        <f t="shared" si="5"/>
        <v>40.59375</v>
      </c>
      <c r="K53" s="11">
        <f t="shared" si="5"/>
        <v>40.59375</v>
      </c>
      <c r="L53" s="11">
        <f t="shared" si="5"/>
        <v>47.3125</v>
      </c>
      <c r="M53" s="11">
        <f t="shared" si="5"/>
        <v>47.3125</v>
      </c>
      <c r="N53" s="11">
        <f t="shared" si="5"/>
        <v>47.3125</v>
      </c>
      <c r="O53" s="11">
        <f t="shared" si="5"/>
        <v>222.5625</v>
      </c>
      <c r="P53" s="11">
        <f t="shared" si="5"/>
        <v>222.5625</v>
      </c>
      <c r="Q53" s="11">
        <f t="shared" si="5"/>
        <v>222.5625</v>
      </c>
      <c r="R53" s="11">
        <f t="shared" si="5"/>
        <v>222.5625</v>
      </c>
      <c r="S53" s="11">
        <f t="shared" si="5"/>
        <v>876.25</v>
      </c>
      <c r="T53" s="11">
        <f t="shared" si="5"/>
        <v>876.25</v>
      </c>
      <c r="U53" s="11">
        <f t="shared" si="5"/>
        <v>876.25</v>
      </c>
    </row>
    <row r="54" spans="1:21">
      <c r="C54" s="9"/>
      <c r="D54" s="9"/>
      <c r="E54" s="9"/>
      <c r="F54" s="9"/>
      <c r="G54" s="9"/>
      <c r="H54" s="9"/>
      <c r="I54" s="9"/>
      <c r="J54" s="9"/>
      <c r="K54" s="9"/>
      <c r="L54" s="9"/>
      <c r="M54" s="9"/>
      <c r="N54" s="9"/>
      <c r="O54" s="9"/>
      <c r="P54" s="9"/>
      <c r="Q54" s="9"/>
      <c r="R54" s="9"/>
      <c r="S54" s="9"/>
      <c r="T54" s="9"/>
      <c r="U54" s="9"/>
    </row>
    <row r="55" spans="1:21">
      <c r="A55" t="s">
        <v>17</v>
      </c>
      <c r="B55" s="10"/>
      <c r="C55" s="9">
        <f t="shared" ref="C55:U55" ca="1" si="6">C20-C53</f>
        <v>6.5625</v>
      </c>
      <c r="D55" s="9">
        <f t="shared" ca="1" si="6"/>
        <v>38.362499999999997</v>
      </c>
      <c r="E55" s="9">
        <f t="shared" ca="1" si="6"/>
        <v>30.284999999999997</v>
      </c>
      <c r="F55" s="9">
        <f t="shared" ca="1" si="6"/>
        <v>36.317000000000007</v>
      </c>
      <c r="G55" s="9">
        <f t="shared" ca="1" si="6"/>
        <v>43.155399999999986</v>
      </c>
      <c r="H55" s="9">
        <f t="shared" ca="1" si="6"/>
        <v>44.242729999999995</v>
      </c>
      <c r="I55" s="9">
        <f t="shared" ca="1" si="6"/>
        <v>53.210025999999985</v>
      </c>
      <c r="J55" s="9">
        <f t="shared" ca="1" si="6"/>
        <v>63.570781199999999</v>
      </c>
      <c r="K55" s="9">
        <f t="shared" ca="1" si="6"/>
        <v>75.603687439999987</v>
      </c>
      <c r="L55" s="9">
        <f t="shared" ca="1" si="6"/>
        <v>82.924424927999979</v>
      </c>
      <c r="M55" s="9">
        <f t="shared" ca="1" si="6"/>
        <v>99.371809913599975</v>
      </c>
      <c r="N55" s="9">
        <f t="shared" ca="1" si="6"/>
        <v>118.70867189631997</v>
      </c>
      <c r="O55" s="9">
        <f t="shared" ca="1" si="6"/>
        <v>337.91371882675185</v>
      </c>
      <c r="P55" s="9">
        <f t="shared" ca="1" si="6"/>
        <v>452.80896259210215</v>
      </c>
      <c r="Q55" s="9">
        <f t="shared" ca="1" si="6"/>
        <v>582.68325511052262</v>
      </c>
      <c r="R55" s="9">
        <f t="shared" ca="1" si="6"/>
        <v>730.53240613262699</v>
      </c>
      <c r="S55" s="9">
        <f t="shared" ca="1" si="6"/>
        <v>2635.8055494366095</v>
      </c>
      <c r="T55" s="9">
        <f t="shared" ca="1" si="6"/>
        <v>3357.016659323931</v>
      </c>
      <c r="U55" s="9">
        <f t="shared" ca="1" si="6"/>
        <v>4202.4699911887174</v>
      </c>
    </row>
    <row r="56" spans="1:21">
      <c r="B56" s="10"/>
      <c r="C56" s="9"/>
      <c r="D56" s="9"/>
      <c r="E56" s="9"/>
      <c r="F56" s="9"/>
      <c r="G56" s="9"/>
      <c r="H56" s="9"/>
      <c r="I56" s="9"/>
      <c r="J56" s="9"/>
      <c r="K56" s="9"/>
      <c r="L56" s="9"/>
      <c r="M56" s="9"/>
      <c r="N56" s="9"/>
      <c r="O56" s="9"/>
      <c r="P56" s="9"/>
      <c r="Q56" s="9"/>
      <c r="R56" s="9"/>
      <c r="S56" s="9"/>
      <c r="T56" s="9"/>
      <c r="U56" s="9"/>
    </row>
    <row r="57" spans="1:21">
      <c r="A57" s="6" t="s">
        <v>93</v>
      </c>
      <c r="B57" s="34">
        <v>0.4</v>
      </c>
      <c r="C57" s="9"/>
      <c r="D57" s="9"/>
      <c r="E57" s="9"/>
      <c r="F57" s="9"/>
      <c r="G57" s="9"/>
      <c r="H57" s="9"/>
      <c r="I57" s="9"/>
      <c r="J57" s="9"/>
      <c r="K57" s="9"/>
      <c r="L57" s="9"/>
      <c r="M57" s="9"/>
      <c r="N57" s="9"/>
      <c r="O57" s="9"/>
      <c r="P57" s="9"/>
      <c r="Q57" s="9"/>
      <c r="R57" s="9"/>
      <c r="S57" s="9"/>
      <c r="T57" s="9"/>
      <c r="U57" s="9"/>
    </row>
    <row r="58" spans="1:21">
      <c r="A58" t="s">
        <v>96</v>
      </c>
      <c r="B58" s="7"/>
      <c r="C58" s="11">
        <f ca="1">C70</f>
        <v>2.625</v>
      </c>
      <c r="D58" s="11">
        <f t="shared" ref="D58:U58" ca="1" si="7">D70</f>
        <v>15.344999999999999</v>
      </c>
      <c r="E58" s="11">
        <f t="shared" ca="1" si="7"/>
        <v>12.113999999999999</v>
      </c>
      <c r="F58" s="11">
        <f t="shared" ca="1" si="7"/>
        <v>14.526800000000003</v>
      </c>
      <c r="G58" s="11">
        <f t="shared" ca="1" si="7"/>
        <v>17.262159999999994</v>
      </c>
      <c r="H58" s="11">
        <f t="shared" ca="1" si="7"/>
        <v>17.697091999999998</v>
      </c>
      <c r="I58" s="11">
        <f t="shared" ca="1" si="7"/>
        <v>21.284010399999996</v>
      </c>
      <c r="J58" s="11">
        <f t="shared" ca="1" si="7"/>
        <v>25.428312480000002</v>
      </c>
      <c r="K58" s="11">
        <f t="shared" ca="1" si="7"/>
        <v>30.241474975999996</v>
      </c>
      <c r="L58" s="11">
        <f t="shared" ca="1" si="7"/>
        <v>33.16976997119999</v>
      </c>
      <c r="M58" s="11">
        <f t="shared" ca="1" si="7"/>
        <v>39.748723965439993</v>
      </c>
      <c r="N58" s="11">
        <f t="shared" ca="1" si="7"/>
        <v>47.483468758527991</v>
      </c>
      <c r="O58" s="11">
        <f t="shared" ca="1" si="7"/>
        <v>135.16548753070074</v>
      </c>
      <c r="P58" s="11">
        <f t="shared" ca="1" si="7"/>
        <v>181.12358503684086</v>
      </c>
      <c r="Q58" s="11">
        <f t="shared" ca="1" si="7"/>
        <v>233.07330204420907</v>
      </c>
      <c r="R58" s="11">
        <f t="shared" ca="1" si="7"/>
        <v>292.21296245305081</v>
      </c>
      <c r="S58" s="11">
        <f t="shared" ca="1" si="7"/>
        <v>1054.3222197746438</v>
      </c>
      <c r="T58" s="11">
        <f t="shared" ca="1" si="7"/>
        <v>1342.8066637295724</v>
      </c>
      <c r="U58" s="11">
        <f t="shared" ca="1" si="7"/>
        <v>1680.9879964754871</v>
      </c>
    </row>
    <row r="59" spans="1:21">
      <c r="A59" t="s">
        <v>94</v>
      </c>
      <c r="B59" s="7"/>
      <c r="C59" s="11">
        <f ca="1">$B$57*C55-C70</f>
        <v>0</v>
      </c>
      <c r="D59" s="11">
        <f t="shared" ref="D59:U59" ca="1" si="8">$B$57*D55-D70</f>
        <v>0</v>
      </c>
      <c r="E59" s="11">
        <f t="shared" ca="1" si="8"/>
        <v>0</v>
      </c>
      <c r="F59" s="11">
        <f t="shared" ca="1" si="8"/>
        <v>0</v>
      </c>
      <c r="G59" s="11">
        <f t="shared" ca="1" si="8"/>
        <v>0</v>
      </c>
      <c r="H59" s="11">
        <f t="shared" ca="1" si="8"/>
        <v>0</v>
      </c>
      <c r="I59" s="11">
        <f t="shared" ca="1" si="8"/>
        <v>0</v>
      </c>
      <c r="J59" s="11">
        <f t="shared" ca="1" si="8"/>
        <v>0</v>
      </c>
      <c r="K59" s="11">
        <f t="shared" ca="1" si="8"/>
        <v>0</v>
      </c>
      <c r="L59" s="11">
        <f t="shared" ca="1" si="8"/>
        <v>0</v>
      </c>
      <c r="M59" s="11">
        <f t="shared" ca="1" si="8"/>
        <v>0</v>
      </c>
      <c r="N59" s="11">
        <f t="shared" ca="1" si="8"/>
        <v>0</v>
      </c>
      <c r="O59" s="11">
        <f t="shared" ca="1" si="8"/>
        <v>0</v>
      </c>
      <c r="P59" s="11">
        <f t="shared" ca="1" si="8"/>
        <v>0</v>
      </c>
      <c r="Q59" s="11">
        <f t="shared" ca="1" si="8"/>
        <v>0</v>
      </c>
      <c r="R59" s="11">
        <f t="shared" ca="1" si="8"/>
        <v>0</v>
      </c>
      <c r="S59" s="11">
        <f t="shared" ca="1" si="8"/>
        <v>0</v>
      </c>
      <c r="T59" s="11">
        <f t="shared" ca="1" si="8"/>
        <v>0</v>
      </c>
      <c r="U59" s="11">
        <f t="shared" ca="1" si="8"/>
        <v>0</v>
      </c>
    </row>
    <row r="60" spans="1:21" ht="9" customHeight="1">
      <c r="A60" s="3"/>
      <c r="B60" s="8"/>
      <c r="C60" s="36" t="s">
        <v>10</v>
      </c>
      <c r="D60" s="36" t="s">
        <v>10</v>
      </c>
      <c r="E60" s="36" t="s">
        <v>10</v>
      </c>
      <c r="F60" s="36" t="s">
        <v>10</v>
      </c>
      <c r="G60" s="36" t="s">
        <v>10</v>
      </c>
      <c r="H60" s="36" t="s">
        <v>10</v>
      </c>
      <c r="I60" s="36" t="s">
        <v>10</v>
      </c>
      <c r="J60" s="36" t="s">
        <v>10</v>
      </c>
      <c r="K60" s="36" t="s">
        <v>10</v>
      </c>
      <c r="L60" s="36" t="s">
        <v>10</v>
      </c>
      <c r="M60" s="36" t="s">
        <v>10</v>
      </c>
      <c r="N60" s="36" t="s">
        <v>10</v>
      </c>
      <c r="O60" s="36" t="s">
        <v>10</v>
      </c>
      <c r="P60" s="36" t="s">
        <v>10</v>
      </c>
      <c r="Q60" s="36" t="s">
        <v>10</v>
      </c>
      <c r="R60" s="36" t="s">
        <v>10</v>
      </c>
      <c r="S60" s="36" t="s">
        <v>10</v>
      </c>
      <c r="T60" s="36" t="s">
        <v>10</v>
      </c>
      <c r="U60" s="36" t="s">
        <v>10</v>
      </c>
    </row>
    <row r="61" spans="1:21">
      <c r="A61" s="3" t="str">
        <f>A57</f>
        <v>Income Taxes</v>
      </c>
      <c r="B61" s="11"/>
      <c r="C61" s="11">
        <f ca="1">SUM(C58:C60)</f>
        <v>2.625</v>
      </c>
      <c r="D61" s="11">
        <f t="shared" ref="D61:U61" ca="1" si="9">SUM(D58:D60)</f>
        <v>15.344999999999999</v>
      </c>
      <c r="E61" s="11">
        <f t="shared" ca="1" si="9"/>
        <v>12.113999999999999</v>
      </c>
      <c r="F61" s="11">
        <f t="shared" ca="1" si="9"/>
        <v>14.526800000000003</v>
      </c>
      <c r="G61" s="11">
        <f t="shared" ca="1" si="9"/>
        <v>17.262159999999994</v>
      </c>
      <c r="H61" s="11">
        <f t="shared" ca="1" si="9"/>
        <v>17.697091999999998</v>
      </c>
      <c r="I61" s="11">
        <f t="shared" ca="1" si="9"/>
        <v>21.284010399999996</v>
      </c>
      <c r="J61" s="11">
        <f t="shared" ca="1" si="9"/>
        <v>25.428312480000002</v>
      </c>
      <c r="K61" s="11">
        <f t="shared" ca="1" si="9"/>
        <v>30.241474975999996</v>
      </c>
      <c r="L61" s="11">
        <f t="shared" ca="1" si="9"/>
        <v>33.16976997119999</v>
      </c>
      <c r="M61" s="11">
        <f t="shared" ca="1" si="9"/>
        <v>39.748723965439993</v>
      </c>
      <c r="N61" s="11">
        <f t="shared" ca="1" si="9"/>
        <v>47.483468758527991</v>
      </c>
      <c r="O61" s="11">
        <f t="shared" ca="1" si="9"/>
        <v>135.16548753070074</v>
      </c>
      <c r="P61" s="11">
        <f t="shared" ca="1" si="9"/>
        <v>181.12358503684086</v>
      </c>
      <c r="Q61" s="11">
        <f t="shared" ca="1" si="9"/>
        <v>233.07330204420907</v>
      </c>
      <c r="R61" s="11">
        <f t="shared" ca="1" si="9"/>
        <v>292.21296245305081</v>
      </c>
      <c r="S61" s="11">
        <f t="shared" ca="1" si="9"/>
        <v>1054.3222197746438</v>
      </c>
      <c r="T61" s="11">
        <f t="shared" ca="1" si="9"/>
        <v>1342.8066637295724</v>
      </c>
      <c r="U61" s="11">
        <f t="shared" ca="1" si="9"/>
        <v>1680.9879964754871</v>
      </c>
    </row>
    <row r="62" spans="1:21">
      <c r="A62" s="3"/>
      <c r="B62" s="11"/>
      <c r="C62" s="11"/>
      <c r="D62" s="11"/>
      <c r="E62" s="11"/>
      <c r="F62" s="11"/>
      <c r="G62" s="11"/>
      <c r="H62" s="11"/>
      <c r="I62" s="11"/>
      <c r="J62" s="11"/>
      <c r="K62" s="11"/>
      <c r="L62" s="11"/>
      <c r="M62" s="11"/>
      <c r="N62" s="11"/>
      <c r="O62" s="11"/>
      <c r="P62" s="11"/>
      <c r="Q62" s="11"/>
      <c r="R62" s="11"/>
      <c r="S62" s="11"/>
      <c r="T62" s="11"/>
      <c r="U62" s="11"/>
    </row>
    <row r="63" spans="1:21">
      <c r="A63" t="s">
        <v>18</v>
      </c>
      <c r="B63" s="10"/>
      <c r="C63" s="9">
        <f ca="1">C55-C61</f>
        <v>3.9375</v>
      </c>
      <c r="D63" s="9">
        <f t="shared" ref="D63:U63" ca="1" si="10">D55-D61</f>
        <v>23.017499999999998</v>
      </c>
      <c r="E63" s="9">
        <f t="shared" ca="1" si="10"/>
        <v>18.170999999999999</v>
      </c>
      <c r="F63" s="9">
        <f t="shared" ca="1" si="10"/>
        <v>21.790200000000006</v>
      </c>
      <c r="G63" s="9">
        <f t="shared" ca="1" si="10"/>
        <v>25.893239999999992</v>
      </c>
      <c r="H63" s="9">
        <f t="shared" ca="1" si="10"/>
        <v>26.545637999999997</v>
      </c>
      <c r="I63" s="9">
        <f t="shared" ca="1" si="10"/>
        <v>31.926015599999989</v>
      </c>
      <c r="J63" s="9">
        <f t="shared" ca="1" si="10"/>
        <v>38.142468719999997</v>
      </c>
      <c r="K63" s="9">
        <f t="shared" ca="1" si="10"/>
        <v>45.362212463999995</v>
      </c>
      <c r="L63" s="9">
        <f t="shared" ca="1" si="10"/>
        <v>49.754654956799989</v>
      </c>
      <c r="M63" s="9">
        <f t="shared" ca="1" si="10"/>
        <v>59.623085948159982</v>
      </c>
      <c r="N63" s="9">
        <f t="shared" ca="1" si="10"/>
        <v>71.225203137791979</v>
      </c>
      <c r="O63" s="9">
        <f t="shared" ca="1" si="10"/>
        <v>202.7482312960511</v>
      </c>
      <c r="P63" s="9">
        <f t="shared" ca="1" si="10"/>
        <v>271.68537755526131</v>
      </c>
      <c r="Q63" s="9">
        <f t="shared" ca="1" si="10"/>
        <v>349.60995306631355</v>
      </c>
      <c r="R63" s="9">
        <f t="shared" ca="1" si="10"/>
        <v>438.31944367957618</v>
      </c>
      <c r="S63" s="9">
        <f t="shared" ca="1" si="10"/>
        <v>1581.4833296619656</v>
      </c>
      <c r="T63" s="9">
        <f t="shared" ca="1" si="10"/>
        <v>2014.2099955943586</v>
      </c>
      <c r="U63" s="9">
        <f t="shared" ca="1" si="10"/>
        <v>2521.4819947132301</v>
      </c>
    </row>
    <row r="64" spans="1:21">
      <c r="C64" s="9"/>
      <c r="D64" s="9"/>
      <c r="E64" s="9"/>
      <c r="F64" s="9"/>
      <c r="G64" s="9"/>
      <c r="H64" s="9"/>
      <c r="I64" s="9"/>
      <c r="J64" s="9"/>
      <c r="K64" s="9"/>
      <c r="L64" s="9"/>
      <c r="M64" s="9"/>
      <c r="N64" s="9"/>
      <c r="O64" s="9"/>
      <c r="P64" s="9"/>
      <c r="Q64" s="9"/>
      <c r="R64" s="9"/>
      <c r="S64" s="9"/>
      <c r="T64" s="9"/>
      <c r="U64" s="9"/>
    </row>
    <row r="65" spans="1:21">
      <c r="A65" s="18" t="s">
        <v>97</v>
      </c>
      <c r="C65" s="9"/>
      <c r="D65" s="9"/>
      <c r="E65" s="9"/>
      <c r="F65" s="9"/>
      <c r="G65" s="9"/>
      <c r="H65" s="9"/>
      <c r="I65" s="9"/>
      <c r="J65" s="9"/>
      <c r="K65" s="9"/>
      <c r="L65" s="9"/>
      <c r="M65" s="9"/>
      <c r="N65" s="9"/>
      <c r="O65" s="9"/>
      <c r="P65" s="9"/>
      <c r="Q65" s="9"/>
      <c r="R65" s="9"/>
      <c r="S65" s="9"/>
      <c r="T65" s="9"/>
      <c r="U65" s="9"/>
    </row>
    <row r="66" spans="1:21">
      <c r="A66" t="s">
        <v>17</v>
      </c>
      <c r="C66" s="9">
        <f ca="1">C55</f>
        <v>6.5625</v>
      </c>
      <c r="D66" s="9">
        <f t="shared" ref="D66:U66" ca="1" si="11">D55</f>
        <v>38.362499999999997</v>
      </c>
      <c r="E66" s="9">
        <f t="shared" ca="1" si="11"/>
        <v>30.284999999999997</v>
      </c>
      <c r="F66" s="9">
        <f t="shared" ca="1" si="11"/>
        <v>36.317000000000007</v>
      </c>
      <c r="G66" s="9">
        <f t="shared" ca="1" si="11"/>
        <v>43.155399999999986</v>
      </c>
      <c r="H66" s="9">
        <f t="shared" ca="1" si="11"/>
        <v>44.242729999999995</v>
      </c>
      <c r="I66" s="9">
        <f t="shared" ca="1" si="11"/>
        <v>53.210025999999985</v>
      </c>
      <c r="J66" s="9">
        <f t="shared" ca="1" si="11"/>
        <v>63.570781199999999</v>
      </c>
      <c r="K66" s="9">
        <f t="shared" ca="1" si="11"/>
        <v>75.603687439999987</v>
      </c>
      <c r="L66" s="9">
        <f t="shared" ca="1" si="11"/>
        <v>82.924424927999979</v>
      </c>
      <c r="M66" s="9">
        <f t="shared" ca="1" si="11"/>
        <v>99.371809913599975</v>
      </c>
      <c r="N66" s="9">
        <f t="shared" ca="1" si="11"/>
        <v>118.70867189631997</v>
      </c>
      <c r="O66" s="9">
        <f t="shared" ca="1" si="11"/>
        <v>337.91371882675185</v>
      </c>
      <c r="P66" s="9">
        <f t="shared" ca="1" si="11"/>
        <v>452.80896259210215</v>
      </c>
      <c r="Q66" s="9">
        <f t="shared" ca="1" si="11"/>
        <v>582.68325511052262</v>
      </c>
      <c r="R66" s="9">
        <f t="shared" ca="1" si="11"/>
        <v>730.53240613262699</v>
      </c>
      <c r="S66" s="9">
        <f t="shared" ca="1" si="11"/>
        <v>2635.8055494366095</v>
      </c>
      <c r="T66" s="9">
        <f t="shared" ca="1" si="11"/>
        <v>3357.016659323931</v>
      </c>
      <c r="U66" s="9">
        <f t="shared" ca="1" si="11"/>
        <v>4202.4699911887174</v>
      </c>
    </row>
    <row r="67" spans="1:21">
      <c r="A67" t="s">
        <v>100</v>
      </c>
      <c r="C67" s="9">
        <f ca="1">IF(C66&lt;0,0,MIN(C66,B72))</f>
        <v>0</v>
      </c>
      <c r="D67" s="9">
        <f t="shared" ref="D67:U67" ca="1" si="12">IF(D66&lt;0,0,MIN(D66,C72))</f>
        <v>0</v>
      </c>
      <c r="E67" s="9">
        <f t="shared" ca="1" si="12"/>
        <v>0</v>
      </c>
      <c r="F67" s="9">
        <f t="shared" ca="1" si="12"/>
        <v>0</v>
      </c>
      <c r="G67" s="9">
        <f t="shared" ca="1" si="12"/>
        <v>0</v>
      </c>
      <c r="H67" s="9">
        <f t="shared" ca="1" si="12"/>
        <v>0</v>
      </c>
      <c r="I67" s="9">
        <f t="shared" ca="1" si="12"/>
        <v>0</v>
      </c>
      <c r="J67" s="9">
        <f t="shared" ca="1" si="12"/>
        <v>0</v>
      </c>
      <c r="K67" s="9">
        <f t="shared" ca="1" si="12"/>
        <v>0</v>
      </c>
      <c r="L67" s="9">
        <f t="shared" ca="1" si="12"/>
        <v>0</v>
      </c>
      <c r="M67" s="9">
        <f t="shared" ca="1" si="12"/>
        <v>0</v>
      </c>
      <c r="N67" s="9">
        <f t="shared" ca="1" si="12"/>
        <v>0</v>
      </c>
      <c r="O67" s="9">
        <f t="shared" ca="1" si="12"/>
        <v>0</v>
      </c>
      <c r="P67" s="9">
        <f t="shared" ca="1" si="12"/>
        <v>0</v>
      </c>
      <c r="Q67" s="9">
        <f t="shared" ca="1" si="12"/>
        <v>0</v>
      </c>
      <c r="R67" s="9">
        <f t="shared" ca="1" si="12"/>
        <v>0</v>
      </c>
      <c r="S67" s="9">
        <f t="shared" ca="1" si="12"/>
        <v>0</v>
      </c>
      <c r="T67" s="9">
        <f t="shared" ca="1" si="12"/>
        <v>0</v>
      </c>
      <c r="U67" s="9">
        <f t="shared" ca="1" si="12"/>
        <v>0</v>
      </c>
    </row>
    <row r="68" spans="1:21">
      <c r="A68" t="s">
        <v>101</v>
      </c>
      <c r="C68" s="9">
        <f ca="1">IF(C66&lt;0,-C66,0)</f>
        <v>0</v>
      </c>
      <c r="D68" s="9">
        <f t="shared" ref="D68:U68" ca="1" si="13">IF(D66&lt;0,-D66,0)</f>
        <v>0</v>
      </c>
      <c r="E68" s="9">
        <f t="shared" ca="1" si="13"/>
        <v>0</v>
      </c>
      <c r="F68" s="9">
        <f t="shared" ca="1" si="13"/>
        <v>0</v>
      </c>
      <c r="G68" s="9">
        <f t="shared" ca="1" si="13"/>
        <v>0</v>
      </c>
      <c r="H68" s="9">
        <f t="shared" ca="1" si="13"/>
        <v>0</v>
      </c>
      <c r="I68" s="9">
        <f t="shared" ca="1" si="13"/>
        <v>0</v>
      </c>
      <c r="J68" s="9">
        <f t="shared" ca="1" si="13"/>
        <v>0</v>
      </c>
      <c r="K68" s="9">
        <f t="shared" ca="1" si="13"/>
        <v>0</v>
      </c>
      <c r="L68" s="9">
        <f t="shared" ca="1" si="13"/>
        <v>0</v>
      </c>
      <c r="M68" s="9">
        <f t="shared" ca="1" si="13"/>
        <v>0</v>
      </c>
      <c r="N68" s="9">
        <f t="shared" ca="1" si="13"/>
        <v>0</v>
      </c>
      <c r="O68" s="9">
        <f t="shared" ca="1" si="13"/>
        <v>0</v>
      </c>
      <c r="P68" s="9">
        <f t="shared" ca="1" si="13"/>
        <v>0</v>
      </c>
      <c r="Q68" s="9">
        <f t="shared" ca="1" si="13"/>
        <v>0</v>
      </c>
      <c r="R68" s="9">
        <f t="shared" ca="1" si="13"/>
        <v>0</v>
      </c>
      <c r="S68" s="9">
        <f t="shared" ca="1" si="13"/>
        <v>0</v>
      </c>
      <c r="T68" s="9">
        <f t="shared" ca="1" si="13"/>
        <v>0</v>
      </c>
      <c r="U68" s="9">
        <f t="shared" ca="1" si="13"/>
        <v>0</v>
      </c>
    </row>
    <row r="69" spans="1:21">
      <c r="A69" t="s">
        <v>99</v>
      </c>
      <c r="C69" s="9">
        <f ca="1">C66-C67+C68</f>
        <v>6.5625</v>
      </c>
      <c r="D69" s="9">
        <f t="shared" ref="D69:U69" ca="1" si="14">D66-D67+D68</f>
        <v>38.362499999999997</v>
      </c>
      <c r="E69" s="9">
        <f t="shared" ca="1" si="14"/>
        <v>30.284999999999997</v>
      </c>
      <c r="F69" s="9">
        <f t="shared" ca="1" si="14"/>
        <v>36.317000000000007</v>
      </c>
      <c r="G69" s="9">
        <f t="shared" ca="1" si="14"/>
        <v>43.155399999999986</v>
      </c>
      <c r="H69" s="9">
        <f t="shared" ca="1" si="14"/>
        <v>44.242729999999995</v>
      </c>
      <c r="I69" s="9">
        <f t="shared" ca="1" si="14"/>
        <v>53.210025999999985</v>
      </c>
      <c r="J69" s="9">
        <f t="shared" ca="1" si="14"/>
        <v>63.570781199999999</v>
      </c>
      <c r="K69" s="9">
        <f t="shared" ca="1" si="14"/>
        <v>75.603687439999987</v>
      </c>
      <c r="L69" s="9">
        <f t="shared" ca="1" si="14"/>
        <v>82.924424927999979</v>
      </c>
      <c r="M69" s="9">
        <f t="shared" ca="1" si="14"/>
        <v>99.371809913599975</v>
      </c>
      <c r="N69" s="9">
        <f t="shared" ca="1" si="14"/>
        <v>118.70867189631997</v>
      </c>
      <c r="O69" s="9">
        <f t="shared" ca="1" si="14"/>
        <v>337.91371882675185</v>
      </c>
      <c r="P69" s="9">
        <f t="shared" ca="1" si="14"/>
        <v>452.80896259210215</v>
      </c>
      <c r="Q69" s="9">
        <f t="shared" ca="1" si="14"/>
        <v>582.68325511052262</v>
      </c>
      <c r="R69" s="9">
        <f t="shared" ca="1" si="14"/>
        <v>730.53240613262699</v>
      </c>
      <c r="S69" s="9">
        <f t="shared" ca="1" si="14"/>
        <v>2635.8055494366095</v>
      </c>
      <c r="T69" s="9">
        <f t="shared" ca="1" si="14"/>
        <v>3357.016659323931</v>
      </c>
      <c r="U69" s="9">
        <f t="shared" ca="1" si="14"/>
        <v>4202.4699911887174</v>
      </c>
    </row>
    <row r="70" spans="1:21">
      <c r="A70" t="s">
        <v>95</v>
      </c>
      <c r="C70" s="9">
        <f ca="1">$B$57*C69</f>
        <v>2.625</v>
      </c>
      <c r="D70" s="9">
        <f t="shared" ref="D70:U70" ca="1" si="15">$B$57*D69</f>
        <v>15.344999999999999</v>
      </c>
      <c r="E70" s="9">
        <f t="shared" ca="1" si="15"/>
        <v>12.113999999999999</v>
      </c>
      <c r="F70" s="9">
        <f t="shared" ca="1" si="15"/>
        <v>14.526800000000003</v>
      </c>
      <c r="G70" s="9">
        <f t="shared" ca="1" si="15"/>
        <v>17.262159999999994</v>
      </c>
      <c r="H70" s="9">
        <f t="shared" ca="1" si="15"/>
        <v>17.697091999999998</v>
      </c>
      <c r="I70" s="9">
        <f t="shared" ca="1" si="15"/>
        <v>21.284010399999996</v>
      </c>
      <c r="J70" s="9">
        <f t="shared" ca="1" si="15"/>
        <v>25.428312480000002</v>
      </c>
      <c r="K70" s="9">
        <f t="shared" ca="1" si="15"/>
        <v>30.241474975999996</v>
      </c>
      <c r="L70" s="9">
        <f t="shared" ca="1" si="15"/>
        <v>33.16976997119999</v>
      </c>
      <c r="M70" s="9">
        <f t="shared" ca="1" si="15"/>
        <v>39.748723965439993</v>
      </c>
      <c r="N70" s="9">
        <f t="shared" ca="1" si="15"/>
        <v>47.483468758527991</v>
      </c>
      <c r="O70" s="9">
        <f t="shared" ca="1" si="15"/>
        <v>135.16548753070074</v>
      </c>
      <c r="P70" s="9">
        <f t="shared" ca="1" si="15"/>
        <v>181.12358503684086</v>
      </c>
      <c r="Q70" s="9">
        <f t="shared" ca="1" si="15"/>
        <v>233.07330204420907</v>
      </c>
      <c r="R70" s="9">
        <f t="shared" ca="1" si="15"/>
        <v>292.21296245305081</v>
      </c>
      <c r="S70" s="9">
        <f t="shared" ca="1" si="15"/>
        <v>1054.3222197746438</v>
      </c>
      <c r="T70" s="9">
        <f t="shared" ca="1" si="15"/>
        <v>1342.8066637295724</v>
      </c>
      <c r="U70" s="9">
        <f t="shared" ca="1" si="15"/>
        <v>1680.9879964754871</v>
      </c>
    </row>
    <row r="71" spans="1:21">
      <c r="C71" s="9"/>
      <c r="D71" s="9"/>
      <c r="E71" s="9"/>
      <c r="F71" s="9"/>
      <c r="G71" s="9"/>
      <c r="H71" s="9"/>
      <c r="I71" s="9"/>
      <c r="J71" s="9"/>
      <c r="K71" s="9"/>
      <c r="L71" s="9"/>
      <c r="M71" s="9"/>
      <c r="N71" s="9"/>
      <c r="O71" s="9"/>
      <c r="P71" s="9"/>
      <c r="Q71" s="9"/>
      <c r="R71" s="9"/>
      <c r="S71" s="9"/>
      <c r="T71" s="9"/>
      <c r="U71" s="9"/>
    </row>
    <row r="72" spans="1:21">
      <c r="A72" t="s">
        <v>98</v>
      </c>
      <c r="B72" s="7">
        <v>0</v>
      </c>
      <c r="C72" s="9">
        <f ca="1">C68+B72-C67</f>
        <v>0</v>
      </c>
      <c r="D72" s="9">
        <f t="shared" ref="D72:U72" ca="1" si="16">D68+C72-D67</f>
        <v>0</v>
      </c>
      <c r="E72" s="9">
        <f t="shared" ca="1" si="16"/>
        <v>0</v>
      </c>
      <c r="F72" s="9">
        <f t="shared" ca="1" si="16"/>
        <v>0</v>
      </c>
      <c r="G72" s="9">
        <f t="shared" ca="1" si="16"/>
        <v>0</v>
      </c>
      <c r="H72" s="9">
        <f t="shared" ca="1" si="16"/>
        <v>0</v>
      </c>
      <c r="I72" s="9">
        <f t="shared" ca="1" si="16"/>
        <v>0</v>
      </c>
      <c r="J72" s="9">
        <f t="shared" ca="1" si="16"/>
        <v>0</v>
      </c>
      <c r="K72" s="9">
        <f t="shared" ca="1" si="16"/>
        <v>0</v>
      </c>
      <c r="L72" s="9">
        <f t="shared" ca="1" si="16"/>
        <v>0</v>
      </c>
      <c r="M72" s="9">
        <f t="shared" ca="1" si="16"/>
        <v>0</v>
      </c>
      <c r="N72" s="9">
        <f t="shared" ca="1" si="16"/>
        <v>0</v>
      </c>
      <c r="O72" s="9">
        <f t="shared" ca="1" si="16"/>
        <v>0</v>
      </c>
      <c r="P72" s="9">
        <f t="shared" ca="1" si="16"/>
        <v>0</v>
      </c>
      <c r="Q72" s="9">
        <f t="shared" ca="1" si="16"/>
        <v>0</v>
      </c>
      <c r="R72" s="9">
        <f t="shared" ca="1" si="16"/>
        <v>0</v>
      </c>
      <c r="S72" s="9">
        <f t="shared" ca="1" si="16"/>
        <v>0</v>
      </c>
      <c r="T72" s="9">
        <f t="shared" ca="1" si="16"/>
        <v>0</v>
      </c>
      <c r="U72" s="9">
        <f t="shared" ca="1" si="16"/>
        <v>0</v>
      </c>
    </row>
  </sheetData>
  <pageMargins left="0.5" right="0.5" top="0.5" bottom="0.5" header="0.3" footer="0.3"/>
  <pageSetup scale="80" orientation="landscape" r:id="rId1"/>
  <legacyDrawing r:id="rId2"/>
</worksheet>
</file>

<file path=xl/worksheets/sheet4.xml><?xml version="1.0" encoding="utf-8"?>
<worksheet xmlns="http://schemas.openxmlformats.org/spreadsheetml/2006/main" xmlns:r="http://schemas.openxmlformats.org/officeDocument/2006/relationships">
  <dimension ref="A1:U54"/>
  <sheetViews>
    <sheetView showGridLines="0" zoomScale="90" zoomScaleNormal="90" workbookViewId="0"/>
  </sheetViews>
  <sheetFormatPr defaultColWidth="9.140625" defaultRowHeight="15" outlineLevelRow="1"/>
  <cols>
    <col min="1" max="1" width="19" customWidth="1"/>
    <col min="2" max="21" width="7.7109375" customWidth="1"/>
  </cols>
  <sheetData>
    <row r="1" spans="1:21" ht="18.75">
      <c r="A1" s="23" t="str">
        <f>IS!A1</f>
        <v>Simple Tech Startup</v>
      </c>
    </row>
    <row r="2" spans="1:21" ht="15.75">
      <c r="A2" s="25" t="s">
        <v>53</v>
      </c>
    </row>
    <row r="3" spans="1:21">
      <c r="A3" s="24" t="str">
        <f>IS!A3</f>
        <v>($ in 000s)</v>
      </c>
    </row>
    <row r="4" spans="1:21">
      <c r="B4" s="12" t="str">
        <f>IS!B4</f>
        <v>Founded</v>
      </c>
      <c r="C4" s="12" t="str">
        <f>IS!C4</f>
        <v>Mo.</v>
      </c>
      <c r="D4" s="12" t="str">
        <f>IS!D4</f>
        <v>Mo.</v>
      </c>
      <c r="E4" s="12" t="str">
        <f>IS!E4</f>
        <v>Mo.</v>
      </c>
      <c r="F4" s="12" t="str">
        <f>IS!F4</f>
        <v>Mo.</v>
      </c>
      <c r="G4" s="12" t="str">
        <f>IS!G4</f>
        <v>Mo.</v>
      </c>
      <c r="H4" s="12" t="str">
        <f>IS!H4</f>
        <v>Mo.</v>
      </c>
      <c r="I4" s="12" t="str">
        <f>IS!I4</f>
        <v>Mo.</v>
      </c>
      <c r="J4" s="12" t="str">
        <f>IS!J4</f>
        <v>Mo.</v>
      </c>
      <c r="K4" s="12" t="str">
        <f>IS!K4</f>
        <v>Mo.</v>
      </c>
      <c r="L4" s="12" t="str">
        <f>IS!L4</f>
        <v>Mo.</v>
      </c>
      <c r="M4" s="12" t="str">
        <f>IS!M4</f>
        <v>Mo.</v>
      </c>
      <c r="N4" s="12" t="str">
        <f>IS!N4</f>
        <v>Mo.</v>
      </c>
      <c r="O4" s="12" t="str">
        <f>IS!O4</f>
        <v>Qtr.</v>
      </c>
      <c r="P4" s="12" t="str">
        <f>IS!P4</f>
        <v>Qtr.</v>
      </c>
      <c r="Q4" s="12" t="str">
        <f>IS!Q4</f>
        <v>Qtr.</v>
      </c>
      <c r="R4" s="12" t="str">
        <f>IS!R4</f>
        <v>Qtr.</v>
      </c>
      <c r="S4" s="12" t="str">
        <f>IS!S4</f>
        <v>Year</v>
      </c>
      <c r="T4" s="12" t="str">
        <f>IS!T4</f>
        <v>Year</v>
      </c>
      <c r="U4" s="12" t="str">
        <f>IS!U4</f>
        <v>Year</v>
      </c>
    </row>
    <row r="5" spans="1:21">
      <c r="A5" t="s">
        <v>2</v>
      </c>
      <c r="B5" s="14">
        <f>IS!B5</f>
        <v>40908</v>
      </c>
      <c r="C5" s="14">
        <f>IS!C5</f>
        <v>40938</v>
      </c>
      <c r="D5" s="14">
        <f>IS!D5</f>
        <v>40968</v>
      </c>
      <c r="E5" s="14">
        <f>IS!E5</f>
        <v>40998</v>
      </c>
      <c r="F5" s="14">
        <f>IS!F5</f>
        <v>41028</v>
      </c>
      <c r="G5" s="14">
        <f>IS!G5</f>
        <v>41058</v>
      </c>
      <c r="H5" s="14">
        <f>IS!H5</f>
        <v>41088</v>
      </c>
      <c r="I5" s="14">
        <f>IS!I5</f>
        <v>41118</v>
      </c>
      <c r="J5" s="14">
        <f>IS!J5</f>
        <v>41148</v>
      </c>
      <c r="K5" s="14">
        <f>IS!K5</f>
        <v>41178</v>
      </c>
      <c r="L5" s="14">
        <f>IS!L5</f>
        <v>41208</v>
      </c>
      <c r="M5" s="14">
        <f>IS!M5</f>
        <v>41238</v>
      </c>
      <c r="N5" s="14">
        <f>IS!N5</f>
        <v>41268</v>
      </c>
      <c r="O5" s="14">
        <f>IS!O5</f>
        <v>41358</v>
      </c>
      <c r="P5" s="14">
        <f>IS!P5</f>
        <v>41448</v>
      </c>
      <c r="Q5" s="14">
        <f>IS!Q5</f>
        <v>41538</v>
      </c>
      <c r="R5" s="14">
        <f>IS!R5</f>
        <v>41628</v>
      </c>
      <c r="S5" s="14">
        <f>IS!S5</f>
        <v>41988</v>
      </c>
      <c r="T5" s="14">
        <f>IS!T5</f>
        <v>42348</v>
      </c>
      <c r="U5" s="14">
        <f>IS!U5</f>
        <v>42708</v>
      </c>
    </row>
    <row r="6" spans="1:21" s="3" customFormat="1" hidden="1" outlineLevel="1">
      <c r="A6" s="3" t="s">
        <v>1</v>
      </c>
      <c r="B6" s="12">
        <f>IS!B6</f>
        <v>0</v>
      </c>
      <c r="C6" s="12">
        <f>IS!C6</f>
        <v>1</v>
      </c>
      <c r="D6" s="12">
        <f>IS!D6</f>
        <v>1</v>
      </c>
      <c r="E6" s="12">
        <f>IS!E6</f>
        <v>1</v>
      </c>
      <c r="F6" s="12">
        <f>IS!F6</f>
        <v>1</v>
      </c>
      <c r="G6" s="12">
        <f>IS!G6</f>
        <v>1</v>
      </c>
      <c r="H6" s="12">
        <f>IS!H6</f>
        <v>1</v>
      </c>
      <c r="I6" s="12">
        <f>IS!I6</f>
        <v>1</v>
      </c>
      <c r="J6" s="12">
        <f>IS!J6</f>
        <v>1</v>
      </c>
      <c r="K6" s="12">
        <f>IS!K6</f>
        <v>1</v>
      </c>
      <c r="L6" s="12">
        <f>IS!L6</f>
        <v>1</v>
      </c>
      <c r="M6" s="12">
        <f>IS!M6</f>
        <v>1</v>
      </c>
      <c r="N6" s="12">
        <f>IS!N6</f>
        <v>1</v>
      </c>
      <c r="O6" s="12">
        <f>IS!O6</f>
        <v>3</v>
      </c>
      <c r="P6" s="12">
        <f>IS!P6</f>
        <v>3</v>
      </c>
      <c r="Q6" s="12">
        <f>IS!Q6</f>
        <v>3</v>
      </c>
      <c r="R6" s="12">
        <f>IS!R6</f>
        <v>3</v>
      </c>
      <c r="S6" s="12">
        <f>IS!S6</f>
        <v>12</v>
      </c>
      <c r="T6" s="12">
        <f>IS!T6</f>
        <v>12</v>
      </c>
      <c r="U6" s="12">
        <f>IS!U6</f>
        <v>12</v>
      </c>
    </row>
    <row r="7" spans="1:21" ht="9" customHeight="1" collapsed="1"/>
    <row r="8" spans="1:21">
      <c r="A8" t="s">
        <v>66</v>
      </c>
    </row>
    <row r="9" spans="1:21">
      <c r="A9" s="6" t="s">
        <v>58</v>
      </c>
    </row>
    <row r="10" spans="1:21">
      <c r="A10" t="s">
        <v>54</v>
      </c>
      <c r="B10" s="7">
        <v>100</v>
      </c>
      <c r="C10" s="21">
        <f ca="1">B10+CF!C42</f>
        <v>549.9375</v>
      </c>
      <c r="D10" s="21">
        <f ca="1">C10+CF!D42</f>
        <v>568.15499999999997</v>
      </c>
      <c r="E10" s="21">
        <f ca="1">D10+CF!E42</f>
        <v>580.96600000000001</v>
      </c>
      <c r="F10" s="21">
        <f ca="1">E10+CF!F42</f>
        <v>596.7242</v>
      </c>
      <c r="G10" s="21">
        <f ca="1">F10+CF!G42</f>
        <v>615.77904000000001</v>
      </c>
      <c r="H10" s="21">
        <f ca="1">G10+CF!H42</f>
        <v>634.518598</v>
      </c>
      <c r="I10" s="21">
        <f ca="1">H10+CF!I42</f>
        <v>657.47731759999999</v>
      </c>
      <c r="J10" s="21">
        <f ca="1">I10+CF!J42</f>
        <v>685.25903111999992</v>
      </c>
      <c r="K10" s="21">
        <f ca="1">J10+CF!K42</f>
        <v>718.58833734399991</v>
      </c>
      <c r="L10" s="21">
        <f ca="1">K10+CF!L42</f>
        <v>754.30350481279993</v>
      </c>
      <c r="M10" s="21">
        <f ca="1">L10+CF!M42</f>
        <v>797.4792057753599</v>
      </c>
      <c r="N10" s="21">
        <f ca="1">M10+CF!N42</f>
        <v>849.3675469304319</v>
      </c>
      <c r="O10" s="21">
        <f ca="1">N10+CF!O42</f>
        <v>1031.3115438472191</v>
      </c>
      <c r="P10" s="21">
        <f ca="1">O10+CF!P42</f>
        <v>1264.6985068140305</v>
      </c>
      <c r="Q10" s="21">
        <f ca="1">P10+CF!Q42</f>
        <v>1571.0170290408705</v>
      </c>
      <c r="R10" s="21">
        <f ca="1">Q10+CF!R42</f>
        <v>1960.0534223797454</v>
      </c>
      <c r="S10" s="21">
        <f ca="1">R10+CF!S42</f>
        <v>3566.5637582995359</v>
      </c>
      <c r="T10" s="21">
        <f ca="1">S10+CF!T42</f>
        <v>5520.6728280699508</v>
      </c>
      <c r="U10" s="21">
        <f ca="1">T10+CF!U42</f>
        <v>7971.7003784611152</v>
      </c>
    </row>
    <row r="11" spans="1:21">
      <c r="A11" t="s">
        <v>55</v>
      </c>
      <c r="B11" s="7">
        <v>0</v>
      </c>
      <c r="C11" s="37">
        <f ca="1">30/360*IS!C$20*12/IS!C$6</f>
        <v>54</v>
      </c>
      <c r="D11" s="37">
        <f ca="1">30/360*IS!D$20*12/IS!D$6</f>
        <v>58.8</v>
      </c>
      <c r="E11" s="37">
        <f ca="1">30/360*IS!E$20*12/IS!E$6</f>
        <v>64.16</v>
      </c>
      <c r="F11" s="37">
        <f ca="1">30/360*IS!F$20*12/IS!F$6</f>
        <v>70.192000000000007</v>
      </c>
      <c r="G11" s="37">
        <f ca="1">30/360*IS!G$20*12/IS!G$6</f>
        <v>77.030399999999986</v>
      </c>
      <c r="H11" s="37">
        <f ca="1">30/360*IS!H$20*12/IS!H$6</f>
        <v>84.836479999999995</v>
      </c>
      <c r="I11" s="37">
        <f ca="1">30/360*IS!I$20*12/IS!I$6</f>
        <v>93.803775999999985</v>
      </c>
      <c r="J11" s="37">
        <f ca="1">30/360*IS!J$20*12/IS!J$6</f>
        <v>104.1645312</v>
      </c>
      <c r="K11" s="37">
        <f ca="1">30/360*IS!K$20*12/IS!K$6</f>
        <v>116.19743743999999</v>
      </c>
      <c r="L11" s="37">
        <f ca="1">30/360*IS!L$20*12/IS!L$6</f>
        <v>130.23692492799998</v>
      </c>
      <c r="M11" s="37">
        <f ca="1">30/360*IS!M$20*12/IS!M$6</f>
        <v>146.68430991359998</v>
      </c>
      <c r="N11" s="37">
        <f ca="1">30/360*IS!N$20*12/IS!N$6</f>
        <v>166.02117189631997</v>
      </c>
      <c r="O11" s="37">
        <f ca="1">30/360*IS!O$20*12/IS!O$6</f>
        <v>186.82540627558396</v>
      </c>
      <c r="P11" s="37">
        <f ca="1">30/360*IS!P$20*12/IS!P$6</f>
        <v>225.123820864034</v>
      </c>
      <c r="Q11" s="37">
        <f ca="1">30/360*IS!Q$20*12/IS!Q$6</f>
        <v>268.41525170350752</v>
      </c>
      <c r="R11" s="37">
        <f ca="1">30/360*IS!R$20*12/IS!R$6</f>
        <v>317.69830204420896</v>
      </c>
      <c r="S11" s="37">
        <f ca="1">30/360*IS!S$20*12/IS!S$6</f>
        <v>292.67129578638412</v>
      </c>
      <c r="T11" s="37">
        <f ca="1">30/360*IS!T$20*12/IS!T$6</f>
        <v>352.77222161032756</v>
      </c>
      <c r="U11" s="37">
        <f ca="1">30/360*IS!U$20*12/IS!U$6</f>
        <v>423.22666593239302</v>
      </c>
    </row>
    <row r="12" spans="1:21" hidden="1" outlineLevel="1">
      <c r="A12" t="s">
        <v>56</v>
      </c>
      <c r="B12" s="7">
        <v>0</v>
      </c>
      <c r="C12" s="7">
        <v>0</v>
      </c>
      <c r="D12" s="7">
        <v>0</v>
      </c>
      <c r="E12" s="7">
        <v>0</v>
      </c>
      <c r="F12" s="7">
        <v>0</v>
      </c>
      <c r="G12" s="7">
        <v>0</v>
      </c>
      <c r="H12" s="7">
        <v>0</v>
      </c>
      <c r="I12" s="7">
        <v>0</v>
      </c>
      <c r="J12" s="7">
        <v>0</v>
      </c>
      <c r="K12" s="7">
        <v>0</v>
      </c>
      <c r="L12" s="7">
        <v>0</v>
      </c>
      <c r="M12" s="7">
        <v>0</v>
      </c>
      <c r="N12" s="7">
        <v>0</v>
      </c>
      <c r="O12" s="7">
        <v>0</v>
      </c>
      <c r="P12" s="7">
        <v>0</v>
      </c>
      <c r="Q12" s="7">
        <v>0</v>
      </c>
      <c r="R12" s="7">
        <v>0</v>
      </c>
      <c r="S12" s="7">
        <v>0</v>
      </c>
      <c r="T12" s="7">
        <v>0</v>
      </c>
      <c r="U12" s="7">
        <v>0</v>
      </c>
    </row>
    <row r="13" spans="1:21" hidden="1" outlineLevel="1">
      <c r="A13" t="s">
        <v>57</v>
      </c>
      <c r="B13" s="7">
        <v>0</v>
      </c>
      <c r="C13" s="7">
        <v>0</v>
      </c>
      <c r="D13" s="7">
        <v>0</v>
      </c>
      <c r="E13" s="7">
        <v>0</v>
      </c>
      <c r="F13" s="7">
        <v>0</v>
      </c>
      <c r="G13" s="7">
        <v>0</v>
      </c>
      <c r="H13" s="7">
        <v>0</v>
      </c>
      <c r="I13" s="7">
        <v>0</v>
      </c>
      <c r="J13" s="7">
        <v>0</v>
      </c>
      <c r="K13" s="7">
        <v>0</v>
      </c>
      <c r="L13" s="7">
        <v>0</v>
      </c>
      <c r="M13" s="7">
        <v>0</v>
      </c>
      <c r="N13" s="7">
        <v>0</v>
      </c>
      <c r="O13" s="7">
        <v>0</v>
      </c>
      <c r="P13" s="7">
        <v>0</v>
      </c>
      <c r="Q13" s="7">
        <v>0</v>
      </c>
      <c r="R13" s="7">
        <v>0</v>
      </c>
      <c r="S13" s="7">
        <v>0</v>
      </c>
      <c r="T13" s="7">
        <v>0</v>
      </c>
      <c r="U13" s="7">
        <v>0</v>
      </c>
    </row>
    <row r="14" spans="1:21" collapsed="1">
      <c r="A14" t="s">
        <v>59</v>
      </c>
      <c r="B14" s="7">
        <v>0</v>
      </c>
      <c r="C14" s="7">
        <v>0</v>
      </c>
      <c r="D14" s="7">
        <v>0</v>
      </c>
      <c r="E14" s="7">
        <v>0</v>
      </c>
      <c r="F14" s="7">
        <v>0</v>
      </c>
      <c r="G14" s="7">
        <v>0</v>
      </c>
      <c r="H14" s="7">
        <v>0</v>
      </c>
      <c r="I14" s="7">
        <v>0</v>
      </c>
      <c r="J14" s="7">
        <v>0</v>
      </c>
      <c r="K14" s="7">
        <v>0</v>
      </c>
      <c r="L14" s="7">
        <v>0</v>
      </c>
      <c r="M14" s="7">
        <v>0</v>
      </c>
      <c r="N14" s="7">
        <v>0</v>
      </c>
      <c r="O14" s="7">
        <v>0</v>
      </c>
      <c r="P14" s="7">
        <v>0</v>
      </c>
      <c r="Q14" s="7">
        <v>0</v>
      </c>
      <c r="R14" s="7">
        <v>0</v>
      </c>
      <c r="S14" s="7">
        <v>0</v>
      </c>
      <c r="T14" s="7">
        <v>0</v>
      </c>
      <c r="U14" s="7">
        <v>0</v>
      </c>
    </row>
    <row r="15" spans="1:21" ht="9" customHeight="1" collapsed="1">
      <c r="A15" s="3"/>
      <c r="B15" s="36" t="s">
        <v>10</v>
      </c>
      <c r="C15" s="36" t="s">
        <v>10</v>
      </c>
      <c r="D15" s="36" t="s">
        <v>10</v>
      </c>
      <c r="E15" s="36" t="s">
        <v>10</v>
      </c>
      <c r="F15" s="36" t="s">
        <v>10</v>
      </c>
      <c r="G15" s="36" t="s">
        <v>10</v>
      </c>
      <c r="H15" s="36" t="s">
        <v>10</v>
      </c>
      <c r="I15" s="36" t="s">
        <v>10</v>
      </c>
      <c r="J15" s="36" t="s">
        <v>10</v>
      </c>
      <c r="K15" s="36" t="s">
        <v>10</v>
      </c>
      <c r="L15" s="36" t="s">
        <v>10</v>
      </c>
      <c r="M15" s="36" t="s">
        <v>10</v>
      </c>
      <c r="N15" s="36" t="s">
        <v>10</v>
      </c>
      <c r="O15" s="36" t="s">
        <v>10</v>
      </c>
      <c r="P15" s="36" t="s">
        <v>10</v>
      </c>
      <c r="Q15" s="36" t="s">
        <v>10</v>
      </c>
      <c r="R15" s="36" t="s">
        <v>10</v>
      </c>
      <c r="S15" s="36" t="s">
        <v>10</v>
      </c>
      <c r="T15" s="36" t="s">
        <v>10</v>
      </c>
      <c r="U15" s="36" t="s">
        <v>10</v>
      </c>
    </row>
    <row r="16" spans="1:21">
      <c r="A16" s="3" t="str">
        <f>A9</f>
        <v>Current Assets</v>
      </c>
      <c r="B16" s="9">
        <f>SUM(B9:B15)</f>
        <v>100</v>
      </c>
      <c r="C16" s="9">
        <f ca="1">SUM(C9:C15)</f>
        <v>603.9375</v>
      </c>
      <c r="D16" s="9">
        <f t="shared" ref="D16:U16" ca="1" si="0">SUM(D9:D15)</f>
        <v>626.95499999999993</v>
      </c>
      <c r="E16" s="9">
        <f t="shared" ca="1" si="0"/>
        <v>645.12599999999998</v>
      </c>
      <c r="F16" s="9">
        <f t="shared" ca="1" si="0"/>
        <v>666.9162</v>
      </c>
      <c r="G16" s="9">
        <f t="shared" ca="1" si="0"/>
        <v>692.80944</v>
      </c>
      <c r="H16" s="9">
        <f t="shared" ca="1" si="0"/>
        <v>719.35507800000005</v>
      </c>
      <c r="I16" s="9">
        <f t="shared" ca="1" si="0"/>
        <v>751.28109359999996</v>
      </c>
      <c r="J16" s="9">
        <f t="shared" ca="1" si="0"/>
        <v>789.42356231999997</v>
      </c>
      <c r="K16" s="9">
        <f t="shared" ca="1" si="0"/>
        <v>834.78577478399984</v>
      </c>
      <c r="L16" s="9">
        <f t="shared" ca="1" si="0"/>
        <v>884.54042974079994</v>
      </c>
      <c r="M16" s="9">
        <f t="shared" ca="1" si="0"/>
        <v>944.16351568895993</v>
      </c>
      <c r="N16" s="9">
        <f t="shared" ca="1" si="0"/>
        <v>1015.3887188267519</v>
      </c>
      <c r="O16" s="9">
        <f t="shared" ca="1" si="0"/>
        <v>1218.136950122803</v>
      </c>
      <c r="P16" s="9">
        <f t="shared" ca="1" si="0"/>
        <v>1489.8223276780645</v>
      </c>
      <c r="Q16" s="9">
        <f t="shared" ca="1" si="0"/>
        <v>1839.432280744378</v>
      </c>
      <c r="R16" s="9">
        <f t="shared" ca="1" si="0"/>
        <v>2277.7517244239543</v>
      </c>
      <c r="S16" s="9">
        <f t="shared" ca="1" si="0"/>
        <v>3859.2350540859202</v>
      </c>
      <c r="T16" s="9">
        <f t="shared" ca="1" si="0"/>
        <v>5873.4450496802783</v>
      </c>
      <c r="U16" s="9">
        <f t="shared" ca="1" si="0"/>
        <v>8394.9270443935075</v>
      </c>
    </row>
    <row r="17" spans="1:21" ht="9" customHeight="1">
      <c r="B17" s="9"/>
      <c r="C17" s="9"/>
      <c r="D17" s="9"/>
      <c r="E17" s="9"/>
      <c r="F17" s="9"/>
      <c r="G17" s="9"/>
      <c r="H17" s="9"/>
      <c r="I17" s="9"/>
      <c r="J17" s="9"/>
      <c r="K17" s="9"/>
      <c r="L17" s="9"/>
      <c r="M17" s="9"/>
      <c r="N17" s="9"/>
      <c r="O17" s="9"/>
      <c r="P17" s="9"/>
      <c r="Q17" s="9"/>
      <c r="R17" s="9"/>
      <c r="S17" s="9"/>
      <c r="T17" s="9"/>
      <c r="U17" s="9"/>
    </row>
    <row r="18" spans="1:21">
      <c r="A18" s="6" t="s">
        <v>60</v>
      </c>
      <c r="B18" s="9"/>
      <c r="C18" s="9"/>
      <c r="D18" s="9"/>
      <c r="E18" s="9"/>
      <c r="F18" s="9"/>
      <c r="G18" s="9"/>
      <c r="H18" s="9"/>
      <c r="I18" s="9"/>
      <c r="J18" s="9"/>
      <c r="K18" s="9"/>
      <c r="L18" s="9"/>
      <c r="M18" s="9"/>
      <c r="N18" s="9"/>
      <c r="O18" s="9"/>
      <c r="P18" s="9"/>
      <c r="Q18" s="9"/>
      <c r="R18" s="9"/>
      <c r="S18" s="9"/>
      <c r="T18" s="9"/>
      <c r="U18" s="9"/>
    </row>
    <row r="19" spans="1:21">
      <c r="A19" t="s">
        <v>61</v>
      </c>
      <c r="B19" s="7">
        <v>0</v>
      </c>
      <c r="C19" s="21">
        <f>B19-CF!C26</f>
        <v>0</v>
      </c>
      <c r="D19" s="21">
        <f>C19-CF!D26</f>
        <v>0</v>
      </c>
      <c r="E19" s="21">
        <f>D19-CF!E26</f>
        <v>0</v>
      </c>
      <c r="F19" s="21">
        <f>E19-CF!F26</f>
        <v>0</v>
      </c>
      <c r="G19" s="21">
        <f>F19-CF!G26</f>
        <v>0</v>
      </c>
      <c r="H19" s="21">
        <f>G19-CF!H26</f>
        <v>0</v>
      </c>
      <c r="I19" s="21">
        <f>H19-CF!I26</f>
        <v>0</v>
      </c>
      <c r="J19" s="21">
        <f>I19-CF!J26</f>
        <v>0</v>
      </c>
      <c r="K19" s="21">
        <f>J19-CF!K26</f>
        <v>0</v>
      </c>
      <c r="L19" s="21">
        <f>K19-CF!L26</f>
        <v>0</v>
      </c>
      <c r="M19" s="21">
        <f>L19-CF!M26</f>
        <v>0</v>
      </c>
      <c r="N19" s="21">
        <f>M19-CF!N26</f>
        <v>0</v>
      </c>
      <c r="O19" s="21">
        <f>N19-CF!O26</f>
        <v>0</v>
      </c>
      <c r="P19" s="21">
        <f>O19-CF!P26</f>
        <v>0</v>
      </c>
      <c r="Q19" s="21">
        <f>P19-CF!Q26</f>
        <v>0</v>
      </c>
      <c r="R19" s="21">
        <f>Q19-CF!R26</f>
        <v>0</v>
      </c>
      <c r="S19" s="21">
        <f>R19-CF!S26</f>
        <v>0</v>
      </c>
      <c r="T19" s="21">
        <f>S19-CF!T26</f>
        <v>0</v>
      </c>
      <c r="U19" s="21">
        <f>T19-CF!U26</f>
        <v>0</v>
      </c>
    </row>
    <row r="20" spans="1:21">
      <c r="A20" t="s">
        <v>65</v>
      </c>
      <c r="B20" s="7">
        <v>0</v>
      </c>
      <c r="C20" s="21">
        <f>B20-IS!C47</f>
        <v>0</v>
      </c>
      <c r="D20" s="21">
        <f>C20-IS!D47</f>
        <v>0</v>
      </c>
      <c r="E20" s="21">
        <f>D20-IS!E47</f>
        <v>0</v>
      </c>
      <c r="F20" s="21">
        <f>E20-IS!F47</f>
        <v>0</v>
      </c>
      <c r="G20" s="21">
        <f>F20-IS!G47</f>
        <v>0</v>
      </c>
      <c r="H20" s="21">
        <f>G20-IS!H47</f>
        <v>0</v>
      </c>
      <c r="I20" s="21">
        <f>H20-IS!I47</f>
        <v>0</v>
      </c>
      <c r="J20" s="21">
        <f>I20-IS!J47</f>
        <v>0</v>
      </c>
      <c r="K20" s="21">
        <f>J20-IS!K47</f>
        <v>0</v>
      </c>
      <c r="L20" s="21">
        <f>K20-IS!L47</f>
        <v>0</v>
      </c>
      <c r="M20" s="21">
        <f>L20-IS!M47</f>
        <v>0</v>
      </c>
      <c r="N20" s="21">
        <f>M20-IS!N47</f>
        <v>0</v>
      </c>
      <c r="O20" s="21">
        <f>N20-IS!O47</f>
        <v>0</v>
      </c>
      <c r="P20" s="21">
        <f>O20-IS!P47</f>
        <v>0</v>
      </c>
      <c r="Q20" s="21">
        <f>P20-IS!Q47</f>
        <v>0</v>
      </c>
      <c r="R20" s="21">
        <f>Q20-IS!R47</f>
        <v>0</v>
      </c>
      <c r="S20" s="21">
        <f>R20-IS!S47</f>
        <v>0</v>
      </c>
      <c r="T20" s="21">
        <f>S20-IS!T47</f>
        <v>0</v>
      </c>
      <c r="U20" s="21">
        <f>T20-IS!U47</f>
        <v>0</v>
      </c>
    </row>
    <row r="21" spans="1:21" ht="9" customHeight="1" collapsed="1">
      <c r="A21" s="3"/>
      <c r="B21" s="36" t="s">
        <v>10</v>
      </c>
      <c r="C21" s="36" t="s">
        <v>10</v>
      </c>
      <c r="D21" s="36" t="s">
        <v>10</v>
      </c>
      <c r="E21" s="36" t="s">
        <v>10</v>
      </c>
      <c r="F21" s="36" t="s">
        <v>10</v>
      </c>
      <c r="G21" s="36" t="s">
        <v>10</v>
      </c>
      <c r="H21" s="36" t="s">
        <v>10</v>
      </c>
      <c r="I21" s="36" t="s">
        <v>10</v>
      </c>
      <c r="J21" s="36" t="s">
        <v>10</v>
      </c>
      <c r="K21" s="36" t="s">
        <v>10</v>
      </c>
      <c r="L21" s="36" t="s">
        <v>10</v>
      </c>
      <c r="M21" s="36" t="s">
        <v>10</v>
      </c>
      <c r="N21" s="36" t="s">
        <v>10</v>
      </c>
      <c r="O21" s="36" t="s">
        <v>10</v>
      </c>
      <c r="P21" s="36" t="s">
        <v>10</v>
      </c>
      <c r="Q21" s="36" t="s">
        <v>10</v>
      </c>
      <c r="R21" s="36" t="s">
        <v>10</v>
      </c>
      <c r="S21" s="36" t="s">
        <v>10</v>
      </c>
      <c r="T21" s="36" t="s">
        <v>10</v>
      </c>
      <c r="U21" s="36" t="s">
        <v>10</v>
      </c>
    </row>
    <row r="22" spans="1:21">
      <c r="A22" s="3" t="s">
        <v>62</v>
      </c>
      <c r="B22" s="11">
        <f>SUM(B18:B21)</f>
        <v>0</v>
      </c>
      <c r="C22" s="11">
        <f t="shared" ref="C22:U22" si="1">SUM(C18:C21)</f>
        <v>0</v>
      </c>
      <c r="D22" s="11">
        <f t="shared" si="1"/>
        <v>0</v>
      </c>
      <c r="E22" s="11">
        <f t="shared" si="1"/>
        <v>0</v>
      </c>
      <c r="F22" s="11">
        <f t="shared" si="1"/>
        <v>0</v>
      </c>
      <c r="G22" s="11">
        <f t="shared" si="1"/>
        <v>0</v>
      </c>
      <c r="H22" s="11">
        <f t="shared" si="1"/>
        <v>0</v>
      </c>
      <c r="I22" s="11">
        <f t="shared" si="1"/>
        <v>0</v>
      </c>
      <c r="J22" s="11">
        <f t="shared" si="1"/>
        <v>0</v>
      </c>
      <c r="K22" s="11">
        <f t="shared" si="1"/>
        <v>0</v>
      </c>
      <c r="L22" s="11">
        <f t="shared" si="1"/>
        <v>0</v>
      </c>
      <c r="M22" s="11">
        <f t="shared" si="1"/>
        <v>0</v>
      </c>
      <c r="N22" s="11">
        <f t="shared" si="1"/>
        <v>0</v>
      </c>
      <c r="O22" s="11">
        <f t="shared" si="1"/>
        <v>0</v>
      </c>
      <c r="P22" s="11">
        <f t="shared" si="1"/>
        <v>0</v>
      </c>
      <c r="Q22" s="11">
        <f t="shared" si="1"/>
        <v>0</v>
      </c>
      <c r="R22" s="11">
        <f t="shared" si="1"/>
        <v>0</v>
      </c>
      <c r="S22" s="11">
        <f t="shared" si="1"/>
        <v>0</v>
      </c>
      <c r="T22" s="11">
        <f t="shared" si="1"/>
        <v>0</v>
      </c>
      <c r="U22" s="11">
        <f t="shared" si="1"/>
        <v>0</v>
      </c>
    </row>
    <row r="23" spans="1:21">
      <c r="B23" s="9"/>
      <c r="C23" s="9"/>
      <c r="D23" s="9"/>
      <c r="E23" s="9"/>
      <c r="F23" s="9"/>
      <c r="G23" s="9"/>
      <c r="H23" s="9"/>
      <c r="I23" s="9"/>
      <c r="J23" s="9"/>
      <c r="K23" s="9"/>
      <c r="L23" s="9"/>
      <c r="M23" s="9"/>
      <c r="N23" s="9"/>
      <c r="O23" s="9"/>
      <c r="P23" s="9"/>
      <c r="Q23" s="9"/>
      <c r="R23" s="9"/>
      <c r="S23" s="9"/>
      <c r="T23" s="9"/>
      <c r="U23" s="9"/>
    </row>
    <row r="24" spans="1:21">
      <c r="A24" t="s">
        <v>92</v>
      </c>
      <c r="B24" s="7">
        <v>0</v>
      </c>
      <c r="C24" s="21">
        <f ca="1">B24-CF!C11</f>
        <v>0</v>
      </c>
      <c r="D24" s="21">
        <f ca="1">C24-CF!D11</f>
        <v>0</v>
      </c>
      <c r="E24" s="21">
        <f ca="1">D24-CF!E11</f>
        <v>0</v>
      </c>
      <c r="F24" s="21">
        <f ca="1">E24-CF!F11</f>
        <v>0</v>
      </c>
      <c r="G24" s="21">
        <f ca="1">F24-CF!G11</f>
        <v>0</v>
      </c>
      <c r="H24" s="21">
        <f ca="1">G24-CF!H11</f>
        <v>0</v>
      </c>
      <c r="I24" s="21">
        <f ca="1">H24-CF!I11</f>
        <v>0</v>
      </c>
      <c r="J24" s="21">
        <f ca="1">I24-CF!J11</f>
        <v>0</v>
      </c>
      <c r="K24" s="21">
        <f ca="1">J24-CF!K11</f>
        <v>0</v>
      </c>
      <c r="L24" s="21">
        <f ca="1">K24-CF!L11</f>
        <v>0</v>
      </c>
      <c r="M24" s="21">
        <f ca="1">L24-CF!M11</f>
        <v>0</v>
      </c>
      <c r="N24" s="21">
        <f ca="1">M24-CF!N11</f>
        <v>0</v>
      </c>
      <c r="O24" s="21">
        <f ca="1">N24-CF!O11</f>
        <v>0</v>
      </c>
      <c r="P24" s="21">
        <f ca="1">O24-CF!P11</f>
        <v>0</v>
      </c>
      <c r="Q24" s="21">
        <f ca="1">P24-CF!Q11</f>
        <v>0</v>
      </c>
      <c r="R24" s="21">
        <f ca="1">Q24-CF!R11</f>
        <v>0</v>
      </c>
      <c r="S24" s="21">
        <f ca="1">R24-CF!S11</f>
        <v>0</v>
      </c>
      <c r="T24" s="21">
        <f ca="1">S24-CF!T11</f>
        <v>0</v>
      </c>
      <c r="U24" s="21">
        <f ca="1">T24-CF!U11</f>
        <v>0</v>
      </c>
    </row>
    <row r="25" spans="1:21">
      <c r="A25" t="s">
        <v>63</v>
      </c>
      <c r="B25" s="7">
        <v>0</v>
      </c>
      <c r="C25" s="7">
        <v>0</v>
      </c>
      <c r="D25" s="7">
        <v>0</v>
      </c>
      <c r="E25" s="7">
        <v>0</v>
      </c>
      <c r="F25" s="7">
        <v>0</v>
      </c>
      <c r="G25" s="7">
        <v>0</v>
      </c>
      <c r="H25" s="7">
        <v>0</v>
      </c>
      <c r="I25" s="7">
        <v>0</v>
      </c>
      <c r="J25" s="7">
        <v>0</v>
      </c>
      <c r="K25" s="7">
        <v>0</v>
      </c>
      <c r="L25" s="7">
        <v>0</v>
      </c>
      <c r="M25" s="7">
        <v>0</v>
      </c>
      <c r="N25" s="7">
        <v>0</v>
      </c>
      <c r="O25" s="7">
        <v>0</v>
      </c>
      <c r="P25" s="7">
        <v>0</v>
      </c>
      <c r="Q25" s="7">
        <v>0</v>
      </c>
      <c r="R25" s="7">
        <v>0</v>
      </c>
      <c r="S25" s="7">
        <v>0</v>
      </c>
      <c r="T25" s="7">
        <v>0</v>
      </c>
      <c r="U25" s="7">
        <v>0</v>
      </c>
    </row>
    <row r="26" spans="1:21">
      <c r="B26" s="9"/>
      <c r="C26" s="9"/>
      <c r="D26" s="9"/>
      <c r="E26" s="9"/>
      <c r="F26" s="9"/>
      <c r="G26" s="9"/>
      <c r="H26" s="9"/>
      <c r="I26" s="9"/>
      <c r="J26" s="9"/>
      <c r="K26" s="9"/>
      <c r="L26" s="9"/>
      <c r="M26" s="9"/>
      <c r="N26" s="9"/>
      <c r="O26" s="9"/>
      <c r="P26" s="9"/>
      <c r="Q26" s="9"/>
      <c r="R26" s="9"/>
      <c r="S26" s="9"/>
      <c r="T26" s="9"/>
      <c r="U26" s="9"/>
    </row>
    <row r="27" spans="1:21">
      <c r="A27" t="s">
        <v>64</v>
      </c>
      <c r="B27" s="9">
        <f>B22+B24+B25+B16</f>
        <v>100</v>
      </c>
      <c r="C27" s="9">
        <f t="shared" ref="C27:U27" ca="1" si="2">C22+C24+C25+C16</f>
        <v>603.9375</v>
      </c>
      <c r="D27" s="9">
        <f t="shared" ca="1" si="2"/>
        <v>626.95499999999993</v>
      </c>
      <c r="E27" s="9">
        <f t="shared" ca="1" si="2"/>
        <v>645.12599999999998</v>
      </c>
      <c r="F27" s="9">
        <f t="shared" ca="1" si="2"/>
        <v>666.9162</v>
      </c>
      <c r="G27" s="9">
        <f t="shared" ca="1" si="2"/>
        <v>692.80944</v>
      </c>
      <c r="H27" s="9">
        <f t="shared" ca="1" si="2"/>
        <v>719.35507800000005</v>
      </c>
      <c r="I27" s="9">
        <f t="shared" ca="1" si="2"/>
        <v>751.28109359999996</v>
      </c>
      <c r="J27" s="9">
        <f t="shared" ca="1" si="2"/>
        <v>789.42356231999997</v>
      </c>
      <c r="K27" s="9">
        <f t="shared" ca="1" si="2"/>
        <v>834.78577478399984</v>
      </c>
      <c r="L27" s="9">
        <f t="shared" ca="1" si="2"/>
        <v>884.54042974079994</v>
      </c>
      <c r="M27" s="9">
        <f t="shared" ca="1" si="2"/>
        <v>944.16351568895993</v>
      </c>
      <c r="N27" s="9">
        <f t="shared" ca="1" si="2"/>
        <v>1015.3887188267519</v>
      </c>
      <c r="O27" s="9">
        <f t="shared" ca="1" si="2"/>
        <v>1218.136950122803</v>
      </c>
      <c r="P27" s="9">
        <f t="shared" ca="1" si="2"/>
        <v>1489.8223276780645</v>
      </c>
      <c r="Q27" s="9">
        <f t="shared" ca="1" si="2"/>
        <v>1839.432280744378</v>
      </c>
      <c r="R27" s="9">
        <f t="shared" ca="1" si="2"/>
        <v>2277.7517244239543</v>
      </c>
      <c r="S27" s="9">
        <f t="shared" ca="1" si="2"/>
        <v>3859.2350540859202</v>
      </c>
      <c r="T27" s="9">
        <f t="shared" ca="1" si="2"/>
        <v>5873.4450496802783</v>
      </c>
      <c r="U27" s="9">
        <f t="shared" ca="1" si="2"/>
        <v>8394.9270443935075</v>
      </c>
    </row>
    <row r="28" spans="1:21">
      <c r="B28" s="9"/>
      <c r="C28" s="9"/>
      <c r="D28" s="9"/>
      <c r="E28" s="9"/>
      <c r="F28" s="9"/>
      <c r="G28" s="9"/>
      <c r="H28" s="9"/>
      <c r="I28" s="9"/>
      <c r="J28" s="9"/>
      <c r="K28" s="9"/>
      <c r="L28" s="9"/>
      <c r="M28" s="9"/>
      <c r="N28" s="9"/>
      <c r="O28" s="9"/>
      <c r="P28" s="9"/>
      <c r="Q28" s="9"/>
      <c r="R28" s="9"/>
      <c r="S28" s="9"/>
      <c r="T28" s="9"/>
      <c r="U28" s="9"/>
    </row>
    <row r="29" spans="1:21">
      <c r="A29" t="s">
        <v>67</v>
      </c>
      <c r="B29" s="9"/>
      <c r="C29" s="9"/>
      <c r="D29" s="9"/>
      <c r="E29" s="9"/>
      <c r="F29" s="9"/>
      <c r="G29" s="9"/>
      <c r="H29" s="9"/>
      <c r="I29" s="9"/>
      <c r="J29" s="9"/>
      <c r="K29" s="9"/>
      <c r="L29" s="9"/>
      <c r="M29" s="9"/>
      <c r="N29" s="9"/>
      <c r="O29" s="9"/>
      <c r="P29" s="9"/>
      <c r="Q29" s="9"/>
      <c r="R29" s="9"/>
      <c r="S29" s="9"/>
      <c r="T29" s="9"/>
      <c r="U29" s="9"/>
    </row>
    <row r="30" spans="1:21">
      <c r="A30" s="6" t="s">
        <v>68</v>
      </c>
      <c r="B30" s="9"/>
      <c r="C30" s="9"/>
      <c r="D30" s="9"/>
      <c r="E30" s="9"/>
      <c r="F30" s="9"/>
      <c r="G30" s="9"/>
      <c r="H30" s="9"/>
      <c r="I30" s="9"/>
      <c r="J30" s="9"/>
      <c r="K30" s="9"/>
      <c r="L30" s="9"/>
      <c r="M30" s="9"/>
      <c r="N30" s="9"/>
      <c r="O30" s="9"/>
      <c r="P30" s="9"/>
      <c r="Q30" s="9"/>
      <c r="R30" s="9"/>
      <c r="S30" s="9"/>
      <c r="T30" s="9"/>
      <c r="U30" s="9"/>
    </row>
    <row r="31" spans="1:21">
      <c r="A31" t="s">
        <v>69</v>
      </c>
      <c r="B31" s="7">
        <v>0</v>
      </c>
      <c r="C31" s="7">
        <v>0</v>
      </c>
      <c r="D31" s="7">
        <v>0</v>
      </c>
      <c r="E31" s="7">
        <v>0</v>
      </c>
      <c r="F31" s="7">
        <v>0</v>
      </c>
      <c r="G31" s="7">
        <v>0</v>
      </c>
      <c r="H31" s="7">
        <v>0</v>
      </c>
      <c r="I31" s="7">
        <v>0</v>
      </c>
      <c r="J31" s="7">
        <v>0</v>
      </c>
      <c r="K31" s="7">
        <v>0</v>
      </c>
      <c r="L31" s="7">
        <v>0</v>
      </c>
      <c r="M31" s="7">
        <v>0</v>
      </c>
      <c r="N31" s="7">
        <v>0</v>
      </c>
      <c r="O31" s="7">
        <v>0</v>
      </c>
      <c r="P31" s="7">
        <v>0</v>
      </c>
      <c r="Q31" s="7">
        <v>0</v>
      </c>
      <c r="R31" s="7">
        <v>0</v>
      </c>
      <c r="S31" s="7">
        <v>0</v>
      </c>
      <c r="T31" s="7">
        <v>0</v>
      </c>
      <c r="U31" s="7">
        <v>0</v>
      </c>
    </row>
    <row r="32" spans="1:21">
      <c r="A32" t="s">
        <v>70</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row>
    <row r="33" spans="1:21">
      <c r="A33" t="s">
        <v>104</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row>
    <row r="34" spans="1:21">
      <c r="A34" t="s">
        <v>71</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row>
    <row r="35" spans="1:21" ht="9" customHeight="1" collapsed="1">
      <c r="A35" s="3"/>
      <c r="B35" s="36" t="s">
        <v>10</v>
      </c>
      <c r="C35" s="36" t="s">
        <v>10</v>
      </c>
      <c r="D35" s="36" t="s">
        <v>10</v>
      </c>
      <c r="E35" s="36" t="s">
        <v>10</v>
      </c>
      <c r="F35" s="36" t="s">
        <v>10</v>
      </c>
      <c r="G35" s="36" t="s">
        <v>10</v>
      </c>
      <c r="H35" s="36" t="s">
        <v>10</v>
      </c>
      <c r="I35" s="36" t="s">
        <v>10</v>
      </c>
      <c r="J35" s="36" t="s">
        <v>10</v>
      </c>
      <c r="K35" s="36" t="s">
        <v>10</v>
      </c>
      <c r="L35" s="36" t="s">
        <v>10</v>
      </c>
      <c r="M35" s="36" t="s">
        <v>10</v>
      </c>
      <c r="N35" s="36" t="s">
        <v>10</v>
      </c>
      <c r="O35" s="36" t="s">
        <v>10</v>
      </c>
      <c r="P35" s="36" t="s">
        <v>10</v>
      </c>
      <c r="Q35" s="36" t="s">
        <v>10</v>
      </c>
      <c r="R35" s="36" t="s">
        <v>10</v>
      </c>
      <c r="S35" s="36" t="s">
        <v>10</v>
      </c>
      <c r="T35" s="36" t="s">
        <v>10</v>
      </c>
      <c r="U35" s="36" t="s">
        <v>10</v>
      </c>
    </row>
    <row r="36" spans="1:21">
      <c r="A36" s="3" t="str">
        <f>A30</f>
        <v>Current Liabilities</v>
      </c>
      <c r="B36" s="9">
        <f>SUM(B30:B35)</f>
        <v>0</v>
      </c>
      <c r="C36" s="9">
        <f>SUM(C30:C35)</f>
        <v>0</v>
      </c>
      <c r="D36" s="9">
        <f t="shared" ref="D36:U36" si="3">SUM(D30:D35)</f>
        <v>0</v>
      </c>
      <c r="E36" s="9">
        <f t="shared" si="3"/>
        <v>0</v>
      </c>
      <c r="F36" s="9">
        <f t="shared" si="3"/>
        <v>0</v>
      </c>
      <c r="G36" s="9">
        <f t="shared" si="3"/>
        <v>0</v>
      </c>
      <c r="H36" s="9">
        <f t="shared" si="3"/>
        <v>0</v>
      </c>
      <c r="I36" s="9">
        <f t="shared" si="3"/>
        <v>0</v>
      </c>
      <c r="J36" s="9">
        <f t="shared" si="3"/>
        <v>0</v>
      </c>
      <c r="K36" s="9">
        <f t="shared" si="3"/>
        <v>0</v>
      </c>
      <c r="L36" s="9">
        <f t="shared" si="3"/>
        <v>0</v>
      </c>
      <c r="M36" s="9">
        <f t="shared" si="3"/>
        <v>0</v>
      </c>
      <c r="N36" s="9">
        <f t="shared" si="3"/>
        <v>0</v>
      </c>
      <c r="O36" s="9">
        <f t="shared" si="3"/>
        <v>0</v>
      </c>
      <c r="P36" s="9">
        <f t="shared" si="3"/>
        <v>0</v>
      </c>
      <c r="Q36" s="9">
        <f t="shared" si="3"/>
        <v>0</v>
      </c>
      <c r="R36" s="9">
        <f t="shared" si="3"/>
        <v>0</v>
      </c>
      <c r="S36" s="9">
        <f t="shared" si="3"/>
        <v>0</v>
      </c>
      <c r="T36" s="9">
        <f t="shared" si="3"/>
        <v>0</v>
      </c>
      <c r="U36" s="9">
        <f t="shared" si="3"/>
        <v>0</v>
      </c>
    </row>
    <row r="37" spans="1:21" ht="9" customHeight="1">
      <c r="B37" s="9"/>
      <c r="C37" s="9"/>
      <c r="D37" s="9"/>
      <c r="E37" s="9"/>
      <c r="F37" s="9"/>
      <c r="G37" s="9"/>
      <c r="H37" s="9"/>
      <c r="I37" s="9"/>
      <c r="J37" s="9"/>
      <c r="K37" s="9"/>
      <c r="L37" s="9"/>
      <c r="M37" s="9"/>
      <c r="N37" s="9"/>
      <c r="O37" s="9"/>
      <c r="P37" s="9"/>
      <c r="Q37" s="9"/>
      <c r="R37" s="9"/>
      <c r="S37" s="9"/>
      <c r="T37" s="9"/>
      <c r="U37" s="9"/>
    </row>
    <row r="38" spans="1:21">
      <c r="A38" s="6" t="s">
        <v>72</v>
      </c>
      <c r="B38" s="9"/>
      <c r="C38" s="9"/>
      <c r="D38" s="9"/>
      <c r="E38" s="9"/>
      <c r="F38" s="9"/>
      <c r="G38" s="9"/>
      <c r="H38" s="9"/>
      <c r="I38" s="9"/>
      <c r="J38" s="9"/>
      <c r="K38" s="9"/>
      <c r="L38" s="9"/>
      <c r="M38" s="9"/>
      <c r="N38" s="9"/>
      <c r="O38" s="9"/>
      <c r="P38" s="9"/>
      <c r="Q38" s="9"/>
      <c r="R38" s="9"/>
      <c r="S38" s="9"/>
      <c r="T38" s="9"/>
      <c r="U38" s="9"/>
    </row>
    <row r="39" spans="1:21">
      <c r="A39" s="17" t="s">
        <v>73</v>
      </c>
      <c r="B39" s="7">
        <v>0</v>
      </c>
      <c r="C39" s="21">
        <f>B39+CF!C34</f>
        <v>0</v>
      </c>
      <c r="D39" s="21">
        <f>C39+CF!D34</f>
        <v>0</v>
      </c>
      <c r="E39" s="21">
        <f>D39+CF!E34</f>
        <v>0</v>
      </c>
      <c r="F39" s="21">
        <f>E39+CF!F34</f>
        <v>0</v>
      </c>
      <c r="G39" s="21">
        <f>F39+CF!G34</f>
        <v>0</v>
      </c>
      <c r="H39" s="21">
        <f>G39+CF!H34</f>
        <v>0</v>
      </c>
      <c r="I39" s="21">
        <f>H39+CF!I34</f>
        <v>0</v>
      </c>
      <c r="J39" s="21">
        <f>I39+CF!J34</f>
        <v>0</v>
      </c>
      <c r="K39" s="21">
        <f>J39+CF!K34</f>
        <v>0</v>
      </c>
      <c r="L39" s="21">
        <f>K39+CF!L34</f>
        <v>0</v>
      </c>
      <c r="M39" s="21">
        <f>L39+CF!M34</f>
        <v>0</v>
      </c>
      <c r="N39" s="21">
        <f>M39+CF!N34</f>
        <v>0</v>
      </c>
      <c r="O39" s="21">
        <f>N39+CF!O34</f>
        <v>0</v>
      </c>
      <c r="P39" s="21">
        <f>O39+CF!P34</f>
        <v>0</v>
      </c>
      <c r="Q39" s="21">
        <f>P39+CF!Q34</f>
        <v>0</v>
      </c>
      <c r="R39" s="21">
        <f>Q39+CF!R34</f>
        <v>0</v>
      </c>
      <c r="S39" s="21">
        <f>R39+CF!S34</f>
        <v>0</v>
      </c>
      <c r="T39" s="21">
        <f>S39+CF!T34</f>
        <v>0</v>
      </c>
      <c r="U39" s="21">
        <f>T39+CF!U34</f>
        <v>0</v>
      </c>
    </row>
    <row r="40" spans="1:21">
      <c r="A40" s="17" t="s">
        <v>74</v>
      </c>
      <c r="B40" s="7">
        <v>0</v>
      </c>
      <c r="C40" s="21">
        <f>B40+CF!C35</f>
        <v>0</v>
      </c>
      <c r="D40" s="21">
        <f>C40+CF!D35</f>
        <v>0</v>
      </c>
      <c r="E40" s="21">
        <f>D40+CF!E35</f>
        <v>0</v>
      </c>
      <c r="F40" s="21">
        <f>E40+CF!F35</f>
        <v>0</v>
      </c>
      <c r="G40" s="21">
        <f>F40+CF!G35</f>
        <v>0</v>
      </c>
      <c r="H40" s="21">
        <f>G40+CF!H35</f>
        <v>0</v>
      </c>
      <c r="I40" s="21">
        <f>H40+CF!I35</f>
        <v>0</v>
      </c>
      <c r="J40" s="21">
        <f>I40+CF!J35</f>
        <v>0</v>
      </c>
      <c r="K40" s="21">
        <f>J40+CF!K35</f>
        <v>0</v>
      </c>
      <c r="L40" s="21">
        <f>K40+CF!L35</f>
        <v>0</v>
      </c>
      <c r="M40" s="21">
        <f>L40+CF!M35</f>
        <v>0</v>
      </c>
      <c r="N40" s="21">
        <f>M40+CF!N35</f>
        <v>0</v>
      </c>
      <c r="O40" s="21">
        <f>N40+CF!O35</f>
        <v>0</v>
      </c>
      <c r="P40" s="21">
        <f>O40+CF!P35</f>
        <v>0</v>
      </c>
      <c r="Q40" s="21">
        <f>P40+CF!Q35</f>
        <v>0</v>
      </c>
      <c r="R40" s="21">
        <f>Q40+CF!R35</f>
        <v>0</v>
      </c>
      <c r="S40" s="21">
        <f>R40+CF!S35</f>
        <v>0</v>
      </c>
      <c r="T40" s="21">
        <f>S40+CF!T35</f>
        <v>0</v>
      </c>
      <c r="U40" s="21">
        <f>T40+CF!U35</f>
        <v>0</v>
      </c>
    </row>
    <row r="41" spans="1:21" ht="9" customHeight="1" collapsed="1">
      <c r="A41" s="3"/>
      <c r="B41" s="36" t="s">
        <v>10</v>
      </c>
      <c r="C41" s="36" t="s">
        <v>10</v>
      </c>
      <c r="D41" s="36" t="s">
        <v>10</v>
      </c>
      <c r="E41" s="36" t="s">
        <v>10</v>
      </c>
      <c r="F41" s="36" t="s">
        <v>10</v>
      </c>
      <c r="G41" s="36" t="s">
        <v>10</v>
      </c>
      <c r="H41" s="36" t="s">
        <v>10</v>
      </c>
      <c r="I41" s="36" t="s">
        <v>10</v>
      </c>
      <c r="J41" s="36" t="s">
        <v>10</v>
      </c>
      <c r="K41" s="36" t="s">
        <v>10</v>
      </c>
      <c r="L41" s="36" t="s">
        <v>10</v>
      </c>
      <c r="M41" s="36" t="s">
        <v>10</v>
      </c>
      <c r="N41" s="36" t="s">
        <v>10</v>
      </c>
      <c r="O41" s="36" t="s">
        <v>10</v>
      </c>
      <c r="P41" s="36" t="s">
        <v>10</v>
      </c>
      <c r="Q41" s="36" t="s">
        <v>10</v>
      </c>
      <c r="R41" s="36" t="s">
        <v>10</v>
      </c>
      <c r="S41" s="36" t="s">
        <v>10</v>
      </c>
      <c r="T41" s="36" t="s">
        <v>10</v>
      </c>
      <c r="U41" s="36" t="s">
        <v>10</v>
      </c>
    </row>
    <row r="42" spans="1:21">
      <c r="A42" s="3" t="str">
        <f>A38</f>
        <v>Non-Current Liabs</v>
      </c>
      <c r="B42" s="9">
        <f>SUM(B38:B41)</f>
        <v>0</v>
      </c>
      <c r="C42" s="9">
        <f>SUM(C38:C41)</f>
        <v>0</v>
      </c>
      <c r="D42" s="9">
        <f t="shared" ref="D42:U42" si="4">SUM(D38:D41)</f>
        <v>0</v>
      </c>
      <c r="E42" s="9">
        <f t="shared" si="4"/>
        <v>0</v>
      </c>
      <c r="F42" s="9">
        <f t="shared" si="4"/>
        <v>0</v>
      </c>
      <c r="G42" s="9">
        <f t="shared" si="4"/>
        <v>0</v>
      </c>
      <c r="H42" s="9">
        <f t="shared" si="4"/>
        <v>0</v>
      </c>
      <c r="I42" s="9">
        <f t="shared" si="4"/>
        <v>0</v>
      </c>
      <c r="J42" s="9">
        <f t="shared" si="4"/>
        <v>0</v>
      </c>
      <c r="K42" s="9">
        <f t="shared" si="4"/>
        <v>0</v>
      </c>
      <c r="L42" s="9">
        <f t="shared" si="4"/>
        <v>0</v>
      </c>
      <c r="M42" s="9">
        <f t="shared" si="4"/>
        <v>0</v>
      </c>
      <c r="N42" s="9">
        <f t="shared" si="4"/>
        <v>0</v>
      </c>
      <c r="O42" s="9">
        <f t="shared" si="4"/>
        <v>0</v>
      </c>
      <c r="P42" s="9">
        <f t="shared" si="4"/>
        <v>0</v>
      </c>
      <c r="Q42" s="9">
        <f t="shared" si="4"/>
        <v>0</v>
      </c>
      <c r="R42" s="9">
        <f t="shared" si="4"/>
        <v>0</v>
      </c>
      <c r="S42" s="9">
        <f t="shared" si="4"/>
        <v>0</v>
      </c>
      <c r="T42" s="9">
        <f t="shared" si="4"/>
        <v>0</v>
      </c>
      <c r="U42" s="9">
        <f t="shared" si="4"/>
        <v>0</v>
      </c>
    </row>
    <row r="43" spans="1:21">
      <c r="B43" s="9"/>
      <c r="C43" s="9"/>
      <c r="D43" s="9"/>
      <c r="E43" s="9"/>
      <c r="F43" s="9"/>
      <c r="G43" s="9"/>
      <c r="H43" s="9"/>
      <c r="I43" s="9"/>
      <c r="J43" s="9"/>
      <c r="K43" s="9"/>
      <c r="L43" s="9"/>
      <c r="M43" s="9"/>
      <c r="N43" s="9"/>
      <c r="O43" s="9"/>
      <c r="P43" s="9"/>
      <c r="Q43" s="9"/>
      <c r="R43" s="9"/>
      <c r="S43" s="9"/>
      <c r="T43" s="9"/>
      <c r="U43" s="9"/>
    </row>
    <row r="44" spans="1:21">
      <c r="A44" s="6" t="s">
        <v>75</v>
      </c>
      <c r="B44" s="9"/>
      <c r="C44" s="9"/>
      <c r="D44" s="9"/>
      <c r="E44" s="9"/>
      <c r="F44" s="9"/>
      <c r="G44" s="9"/>
      <c r="H44" s="9"/>
      <c r="I44" s="9"/>
      <c r="J44" s="9"/>
      <c r="K44" s="9"/>
      <c r="L44" s="9"/>
      <c r="M44" s="9"/>
      <c r="N44" s="9"/>
      <c r="O44" s="9"/>
      <c r="P44" s="9"/>
      <c r="Q44" s="9"/>
      <c r="R44" s="9"/>
      <c r="S44" s="9"/>
      <c r="T44" s="9"/>
      <c r="U44" s="9"/>
    </row>
    <row r="45" spans="1:21">
      <c r="A45" t="s">
        <v>76</v>
      </c>
      <c r="B45" s="7">
        <v>0</v>
      </c>
      <c r="C45" s="21">
        <f>B45+CF!C36</f>
        <v>500</v>
      </c>
      <c r="D45" s="21">
        <f>C45+CF!D36</f>
        <v>500</v>
      </c>
      <c r="E45" s="21">
        <f>D45+CF!E36</f>
        <v>500</v>
      </c>
      <c r="F45" s="21">
        <f>E45+CF!F36</f>
        <v>500</v>
      </c>
      <c r="G45" s="21">
        <f>F45+CF!G36</f>
        <v>500</v>
      </c>
      <c r="H45" s="21">
        <f>G45+CF!H36</f>
        <v>500</v>
      </c>
      <c r="I45" s="21">
        <f>H45+CF!I36</f>
        <v>500</v>
      </c>
      <c r="J45" s="21">
        <f>I45+CF!J36</f>
        <v>500</v>
      </c>
      <c r="K45" s="21">
        <f>J45+CF!K36</f>
        <v>500</v>
      </c>
      <c r="L45" s="21">
        <f>K45+CF!L36</f>
        <v>500</v>
      </c>
      <c r="M45" s="21">
        <f>L45+CF!M36</f>
        <v>500</v>
      </c>
      <c r="N45" s="21">
        <f>M45+CF!N36</f>
        <v>500</v>
      </c>
      <c r="O45" s="21">
        <f>N45+CF!O36</f>
        <v>500</v>
      </c>
      <c r="P45" s="21">
        <f>O45+CF!P36</f>
        <v>500</v>
      </c>
      <c r="Q45" s="21">
        <f>P45+CF!Q36</f>
        <v>500</v>
      </c>
      <c r="R45" s="21">
        <f>Q45+CF!R36</f>
        <v>500</v>
      </c>
      <c r="S45" s="21">
        <f>R45+CF!S36</f>
        <v>500</v>
      </c>
      <c r="T45" s="21">
        <f>S45+CF!T36</f>
        <v>500</v>
      </c>
      <c r="U45" s="21">
        <f>T45+CF!U36</f>
        <v>500</v>
      </c>
    </row>
    <row r="46" spans="1:21">
      <c r="A46" t="s">
        <v>77</v>
      </c>
      <c r="B46" s="7">
        <v>0</v>
      </c>
      <c r="C46" s="21">
        <f>B46+CF!C37</f>
        <v>0</v>
      </c>
      <c r="D46" s="21">
        <f>C46+CF!D37</f>
        <v>0</v>
      </c>
      <c r="E46" s="21">
        <f>D46+CF!E37</f>
        <v>0</v>
      </c>
      <c r="F46" s="21">
        <f>E46+CF!F37</f>
        <v>0</v>
      </c>
      <c r="G46" s="21">
        <f>F46+CF!G37</f>
        <v>0</v>
      </c>
      <c r="H46" s="21">
        <f>G46+CF!H37</f>
        <v>0</v>
      </c>
      <c r="I46" s="21">
        <f>H46+CF!I37</f>
        <v>0</v>
      </c>
      <c r="J46" s="21">
        <f>I46+CF!J37</f>
        <v>0</v>
      </c>
      <c r="K46" s="21">
        <f>J46+CF!K37</f>
        <v>0</v>
      </c>
      <c r="L46" s="21">
        <f>K46+CF!L37</f>
        <v>0</v>
      </c>
      <c r="M46" s="21">
        <f>L46+CF!M37</f>
        <v>0</v>
      </c>
      <c r="N46" s="21">
        <f>M46+CF!N37</f>
        <v>0</v>
      </c>
      <c r="O46" s="21">
        <f>N46+CF!O37</f>
        <v>0</v>
      </c>
      <c r="P46" s="21">
        <f>O46+CF!P37</f>
        <v>0</v>
      </c>
      <c r="Q46" s="21">
        <f>P46+CF!Q37</f>
        <v>0</v>
      </c>
      <c r="R46" s="21">
        <f>Q46+CF!R37</f>
        <v>0</v>
      </c>
      <c r="S46" s="21">
        <f>R46+CF!S37</f>
        <v>0</v>
      </c>
      <c r="T46" s="21">
        <f>S46+CF!T37</f>
        <v>0</v>
      </c>
      <c r="U46" s="21">
        <f>T46+CF!U37</f>
        <v>0</v>
      </c>
    </row>
    <row r="47" spans="1:21">
      <c r="A47" t="s">
        <v>78</v>
      </c>
      <c r="B47" s="7">
        <v>100</v>
      </c>
      <c r="C47" s="21">
        <f>B47+CF!C38</f>
        <v>100</v>
      </c>
      <c r="D47" s="21">
        <f>C47+CF!D38</f>
        <v>100</v>
      </c>
      <c r="E47" s="21">
        <f>D47+CF!E38</f>
        <v>100</v>
      </c>
      <c r="F47" s="21">
        <f>E47+CF!F38</f>
        <v>100</v>
      </c>
      <c r="G47" s="21">
        <f>F47+CF!G38</f>
        <v>100</v>
      </c>
      <c r="H47" s="21">
        <f>G47+CF!H38</f>
        <v>100</v>
      </c>
      <c r="I47" s="21">
        <f>H47+CF!I38</f>
        <v>100</v>
      </c>
      <c r="J47" s="21">
        <f>I47+CF!J38</f>
        <v>100</v>
      </c>
      <c r="K47" s="21">
        <f>J47+CF!K38</f>
        <v>100</v>
      </c>
      <c r="L47" s="21">
        <f>K47+CF!L38</f>
        <v>100</v>
      </c>
      <c r="M47" s="21">
        <f>L47+CF!M38</f>
        <v>100</v>
      </c>
      <c r="N47" s="21">
        <f>M47+CF!N38</f>
        <v>100</v>
      </c>
      <c r="O47" s="21">
        <f>N47+CF!O38</f>
        <v>100</v>
      </c>
      <c r="P47" s="21">
        <f>O47+CF!P38</f>
        <v>100</v>
      </c>
      <c r="Q47" s="21">
        <f>P47+CF!Q38</f>
        <v>100</v>
      </c>
      <c r="R47" s="21">
        <f>Q47+CF!R38</f>
        <v>100</v>
      </c>
      <c r="S47" s="21">
        <f>R47+CF!S38</f>
        <v>100</v>
      </c>
      <c r="T47" s="21">
        <f>S47+CF!T38</f>
        <v>100</v>
      </c>
      <c r="U47" s="21">
        <f>T47+CF!U38</f>
        <v>100</v>
      </c>
    </row>
    <row r="48" spans="1:21">
      <c r="A48" t="s">
        <v>79</v>
      </c>
      <c r="B48" s="7">
        <v>0</v>
      </c>
      <c r="C48" s="21">
        <f ca="1">B48+CF!C9</f>
        <v>3.9375</v>
      </c>
      <c r="D48" s="21">
        <f ca="1">C48+CF!D9</f>
        <v>26.954999999999998</v>
      </c>
      <c r="E48" s="21">
        <f ca="1">D48+CF!E9</f>
        <v>45.125999999999998</v>
      </c>
      <c r="F48" s="21">
        <f ca="1">E48+CF!F9</f>
        <v>66.916200000000003</v>
      </c>
      <c r="G48" s="21">
        <f ca="1">F48+CF!G9</f>
        <v>92.809439999999995</v>
      </c>
      <c r="H48" s="21">
        <f ca="1">G48+CF!H9</f>
        <v>119.35507799999999</v>
      </c>
      <c r="I48" s="21">
        <f ca="1">H48+CF!I9</f>
        <v>151.28109359999999</v>
      </c>
      <c r="J48" s="21">
        <f ca="1">I48+CF!J9</f>
        <v>189.42356231999997</v>
      </c>
      <c r="K48" s="21">
        <f ca="1">J48+CF!K9</f>
        <v>234.78577478399995</v>
      </c>
      <c r="L48" s="21">
        <f ca="1">K48+CF!L9</f>
        <v>284.54042974079994</v>
      </c>
      <c r="M48" s="21">
        <f ca="1">L48+CF!M9</f>
        <v>344.16351568895993</v>
      </c>
      <c r="N48" s="21">
        <f ca="1">M48+CF!N9</f>
        <v>415.38871882675193</v>
      </c>
      <c r="O48" s="21">
        <f ca="1">N48+CF!O9</f>
        <v>618.136950122803</v>
      </c>
      <c r="P48" s="21">
        <f ca="1">O48+CF!P9</f>
        <v>889.82232767806431</v>
      </c>
      <c r="Q48" s="21">
        <f ca="1">P48+CF!Q9</f>
        <v>1239.4322807443777</v>
      </c>
      <c r="R48" s="21">
        <f ca="1">Q48+CF!R9</f>
        <v>1677.7517244239539</v>
      </c>
      <c r="S48" s="21">
        <f ca="1">R48+CF!S9</f>
        <v>3259.2350540859197</v>
      </c>
      <c r="T48" s="21">
        <f ca="1">S48+CF!T9</f>
        <v>5273.4450496802783</v>
      </c>
      <c r="U48" s="21">
        <f ca="1">T48+CF!U9</f>
        <v>7794.9270443935084</v>
      </c>
    </row>
    <row r="49" spans="1:21" ht="9" customHeight="1" collapsed="1">
      <c r="A49" s="3"/>
      <c r="B49" s="36" t="s">
        <v>10</v>
      </c>
      <c r="C49" s="36" t="s">
        <v>10</v>
      </c>
      <c r="D49" s="36" t="s">
        <v>10</v>
      </c>
      <c r="E49" s="36" t="s">
        <v>10</v>
      </c>
      <c r="F49" s="36" t="s">
        <v>10</v>
      </c>
      <c r="G49" s="36" t="s">
        <v>10</v>
      </c>
      <c r="H49" s="36" t="s">
        <v>10</v>
      </c>
      <c r="I49" s="36" t="s">
        <v>10</v>
      </c>
      <c r="J49" s="36" t="s">
        <v>10</v>
      </c>
      <c r="K49" s="36" t="s">
        <v>10</v>
      </c>
      <c r="L49" s="36" t="s">
        <v>10</v>
      </c>
      <c r="M49" s="36" t="s">
        <v>10</v>
      </c>
      <c r="N49" s="36" t="s">
        <v>10</v>
      </c>
      <c r="O49" s="36" t="s">
        <v>10</v>
      </c>
      <c r="P49" s="36" t="s">
        <v>10</v>
      </c>
      <c r="Q49" s="36" t="s">
        <v>10</v>
      </c>
      <c r="R49" s="36" t="s">
        <v>10</v>
      </c>
      <c r="S49" s="36" t="s">
        <v>10</v>
      </c>
      <c r="T49" s="36" t="s">
        <v>10</v>
      </c>
      <c r="U49" s="36" t="s">
        <v>10</v>
      </c>
    </row>
    <row r="50" spans="1:21">
      <c r="A50" s="3" t="str">
        <f>A44</f>
        <v>Equity</v>
      </c>
      <c r="B50" s="9">
        <f>SUM(B44:B49)</f>
        <v>100</v>
      </c>
      <c r="C50" s="9">
        <f ca="1">SUM(C44:C49)</f>
        <v>603.9375</v>
      </c>
      <c r="D50" s="9">
        <f t="shared" ref="D50:U50" ca="1" si="5">SUM(D44:D49)</f>
        <v>626.95500000000004</v>
      </c>
      <c r="E50" s="9">
        <f t="shared" ca="1" si="5"/>
        <v>645.12599999999998</v>
      </c>
      <c r="F50" s="9">
        <f t="shared" ca="1" si="5"/>
        <v>666.9162</v>
      </c>
      <c r="G50" s="9">
        <f t="shared" ca="1" si="5"/>
        <v>692.80944</v>
      </c>
      <c r="H50" s="9">
        <f t="shared" ca="1" si="5"/>
        <v>719.35507800000005</v>
      </c>
      <c r="I50" s="9">
        <f t="shared" ca="1" si="5"/>
        <v>751.28109359999996</v>
      </c>
      <c r="J50" s="9">
        <f t="shared" ca="1" si="5"/>
        <v>789.42356231999997</v>
      </c>
      <c r="K50" s="9">
        <f t="shared" ca="1" si="5"/>
        <v>834.78577478399995</v>
      </c>
      <c r="L50" s="9">
        <f t="shared" ca="1" si="5"/>
        <v>884.54042974079994</v>
      </c>
      <c r="M50" s="9">
        <f t="shared" ca="1" si="5"/>
        <v>944.16351568895993</v>
      </c>
      <c r="N50" s="9">
        <f t="shared" ca="1" si="5"/>
        <v>1015.388718826752</v>
      </c>
      <c r="O50" s="9">
        <f t="shared" ca="1" si="5"/>
        <v>1218.136950122803</v>
      </c>
      <c r="P50" s="9">
        <f t="shared" ca="1" si="5"/>
        <v>1489.8223276780643</v>
      </c>
      <c r="Q50" s="9">
        <f t="shared" ca="1" si="5"/>
        <v>1839.4322807443777</v>
      </c>
      <c r="R50" s="9">
        <f t="shared" ca="1" si="5"/>
        <v>2277.7517244239539</v>
      </c>
      <c r="S50" s="9">
        <f t="shared" ca="1" si="5"/>
        <v>3859.2350540859197</v>
      </c>
      <c r="T50" s="9">
        <f t="shared" ca="1" si="5"/>
        <v>5873.4450496802783</v>
      </c>
      <c r="U50" s="9">
        <f t="shared" ca="1" si="5"/>
        <v>8394.9270443935093</v>
      </c>
    </row>
    <row r="51" spans="1:21" ht="9" customHeight="1">
      <c r="B51" s="9"/>
      <c r="C51" s="9"/>
      <c r="D51" s="9"/>
      <c r="E51" s="9"/>
      <c r="F51" s="9"/>
      <c r="G51" s="9"/>
      <c r="H51" s="9"/>
      <c r="I51" s="9"/>
      <c r="J51" s="9"/>
      <c r="K51" s="9"/>
      <c r="L51" s="9"/>
      <c r="M51" s="9"/>
      <c r="N51" s="9"/>
      <c r="O51" s="9"/>
      <c r="P51" s="9"/>
      <c r="Q51" s="9"/>
      <c r="R51" s="9"/>
      <c r="S51" s="9"/>
      <c r="T51" s="9"/>
      <c r="U51" s="9"/>
    </row>
    <row r="52" spans="1:21">
      <c r="A52" t="s">
        <v>80</v>
      </c>
      <c r="B52" s="9">
        <f>B50+B42+B36</f>
        <v>100</v>
      </c>
      <c r="C52" s="9">
        <f ca="1">C50+C42+C36</f>
        <v>603.9375</v>
      </c>
      <c r="D52" s="9">
        <f t="shared" ref="D52:U52" ca="1" si="6">D50+D42+D36</f>
        <v>626.95500000000004</v>
      </c>
      <c r="E52" s="9">
        <f t="shared" ca="1" si="6"/>
        <v>645.12599999999998</v>
      </c>
      <c r="F52" s="9">
        <f t="shared" ca="1" si="6"/>
        <v>666.9162</v>
      </c>
      <c r="G52" s="9">
        <f t="shared" ca="1" si="6"/>
        <v>692.80944</v>
      </c>
      <c r="H52" s="9">
        <f t="shared" ca="1" si="6"/>
        <v>719.35507800000005</v>
      </c>
      <c r="I52" s="9">
        <f t="shared" ca="1" si="6"/>
        <v>751.28109359999996</v>
      </c>
      <c r="J52" s="9">
        <f t="shared" ca="1" si="6"/>
        <v>789.42356231999997</v>
      </c>
      <c r="K52" s="9">
        <f t="shared" ca="1" si="6"/>
        <v>834.78577478399995</v>
      </c>
      <c r="L52" s="9">
        <f t="shared" ca="1" si="6"/>
        <v>884.54042974079994</v>
      </c>
      <c r="M52" s="9">
        <f t="shared" ca="1" si="6"/>
        <v>944.16351568895993</v>
      </c>
      <c r="N52" s="9">
        <f t="shared" ca="1" si="6"/>
        <v>1015.388718826752</v>
      </c>
      <c r="O52" s="9">
        <f t="shared" ca="1" si="6"/>
        <v>1218.136950122803</v>
      </c>
      <c r="P52" s="9">
        <f t="shared" ca="1" si="6"/>
        <v>1489.8223276780643</v>
      </c>
      <c r="Q52" s="9">
        <f t="shared" ca="1" si="6"/>
        <v>1839.4322807443777</v>
      </c>
      <c r="R52" s="9">
        <f t="shared" ca="1" si="6"/>
        <v>2277.7517244239539</v>
      </c>
      <c r="S52" s="9">
        <f t="shared" ca="1" si="6"/>
        <v>3859.2350540859197</v>
      </c>
      <c r="T52" s="9">
        <f t="shared" ca="1" si="6"/>
        <v>5873.4450496802783</v>
      </c>
      <c r="U52" s="9">
        <f t="shared" ca="1" si="6"/>
        <v>8394.9270443935093</v>
      </c>
    </row>
    <row r="53" spans="1:21" ht="9" customHeight="1">
      <c r="B53" s="9"/>
      <c r="C53" s="9"/>
      <c r="D53" s="9"/>
      <c r="E53" s="9"/>
      <c r="F53" s="9"/>
      <c r="G53" s="9"/>
      <c r="H53" s="9"/>
      <c r="I53" s="9"/>
      <c r="J53" s="9"/>
      <c r="K53" s="9"/>
      <c r="L53" s="9"/>
      <c r="M53" s="9"/>
      <c r="N53" s="9"/>
      <c r="O53" s="9"/>
      <c r="P53" s="9"/>
      <c r="Q53" s="9"/>
      <c r="R53" s="9"/>
      <c r="S53" s="9"/>
      <c r="T53" s="9"/>
      <c r="U53" s="9"/>
    </row>
    <row r="54" spans="1:21">
      <c r="A54" t="s">
        <v>81</v>
      </c>
      <c r="B54" s="9">
        <f>ABS(B27-B52)</f>
        <v>0</v>
      </c>
      <c r="C54" s="9">
        <f ca="1">ABS(C27-C52)</f>
        <v>0</v>
      </c>
      <c r="D54" s="9">
        <f t="shared" ref="D54:U54" ca="1" si="7">ABS(D27-D52)</f>
        <v>1.1368683772161603E-13</v>
      </c>
      <c r="E54" s="9">
        <f t="shared" ca="1" si="7"/>
        <v>0</v>
      </c>
      <c r="F54" s="9">
        <f t="shared" ca="1" si="7"/>
        <v>0</v>
      </c>
      <c r="G54" s="9">
        <f t="shared" ca="1" si="7"/>
        <v>0</v>
      </c>
      <c r="H54" s="9">
        <f t="shared" ca="1" si="7"/>
        <v>0</v>
      </c>
      <c r="I54" s="9">
        <f t="shared" ca="1" si="7"/>
        <v>0</v>
      </c>
      <c r="J54" s="9">
        <f t="shared" ca="1" si="7"/>
        <v>0</v>
      </c>
      <c r="K54" s="9">
        <f t="shared" ca="1" si="7"/>
        <v>1.1368683772161603E-13</v>
      </c>
      <c r="L54" s="9">
        <f t="shared" ca="1" si="7"/>
        <v>0</v>
      </c>
      <c r="M54" s="9">
        <f t="shared" ca="1" si="7"/>
        <v>0</v>
      </c>
      <c r="N54" s="9">
        <f t="shared" ca="1" si="7"/>
        <v>1.1368683772161603E-13</v>
      </c>
      <c r="O54" s="9">
        <f t="shared" ca="1" si="7"/>
        <v>0</v>
      </c>
      <c r="P54" s="9">
        <f t="shared" ca="1" si="7"/>
        <v>2.2737367544323206E-13</v>
      </c>
      <c r="Q54" s="9">
        <f t="shared" ca="1" si="7"/>
        <v>2.2737367544323206E-13</v>
      </c>
      <c r="R54" s="9">
        <f t="shared" ca="1" si="7"/>
        <v>4.5474735088646412E-13</v>
      </c>
      <c r="S54" s="9">
        <f t="shared" ca="1" si="7"/>
        <v>4.5474735088646412E-13</v>
      </c>
      <c r="T54" s="9">
        <f t="shared" ca="1" si="7"/>
        <v>0</v>
      </c>
      <c r="U54" s="9">
        <f t="shared" ca="1" si="7"/>
        <v>1.8189894035458565E-12</v>
      </c>
    </row>
  </sheetData>
  <conditionalFormatting sqref="B10:U10 C19:U19 B22:U22">
    <cfRule type="cellIs" dxfId="2" priority="5" operator="lessThan">
      <formula>0</formula>
    </cfRule>
  </conditionalFormatting>
  <conditionalFormatting sqref="B54:U54">
    <cfRule type="cellIs" dxfId="1" priority="4" operator="greaterThan">
      <formula>0.1</formula>
    </cfRule>
  </conditionalFormatting>
  <pageMargins left="0.5" right="0.5" top="0.5" bottom="0.5" header="0.3" footer="0.3"/>
  <pageSetup scale="80" orientation="landscape" r:id="rId1"/>
  <legacyDrawing r:id="rId2"/>
</worksheet>
</file>

<file path=xl/worksheets/sheet5.xml><?xml version="1.0" encoding="utf-8"?>
<worksheet xmlns="http://schemas.openxmlformats.org/spreadsheetml/2006/main" xmlns:r="http://schemas.openxmlformats.org/officeDocument/2006/relationships">
  <dimension ref="A1:V44"/>
  <sheetViews>
    <sheetView showGridLines="0" zoomScale="90" zoomScaleNormal="90" workbookViewId="0"/>
  </sheetViews>
  <sheetFormatPr defaultColWidth="9.28515625" defaultRowHeight="15" outlineLevelRow="1"/>
  <cols>
    <col min="1" max="1" width="14.42578125" customWidth="1"/>
    <col min="2" max="21" width="7.7109375" customWidth="1"/>
  </cols>
  <sheetData>
    <row r="1" spans="1:22" ht="18.75">
      <c r="A1" s="23" t="str">
        <f>IS!A1</f>
        <v>Simple Tech Startup</v>
      </c>
    </row>
    <row r="2" spans="1:22" ht="15.75">
      <c r="A2" s="25" t="s">
        <v>82</v>
      </c>
    </row>
    <row r="3" spans="1:22">
      <c r="A3" s="24" t="str">
        <f>IS!A3</f>
        <v>($ in 000s)</v>
      </c>
    </row>
    <row r="4" spans="1:22">
      <c r="B4" s="12"/>
      <c r="C4" s="12" t="str">
        <f>IS!C4</f>
        <v>Mo.</v>
      </c>
      <c r="D4" s="12" t="str">
        <f>IS!D4</f>
        <v>Mo.</v>
      </c>
      <c r="E4" s="12" t="str">
        <f>IS!E4</f>
        <v>Mo.</v>
      </c>
      <c r="F4" s="12" t="str">
        <f>IS!F4</f>
        <v>Mo.</v>
      </c>
      <c r="G4" s="12" t="str">
        <f>IS!G4</f>
        <v>Mo.</v>
      </c>
      <c r="H4" s="12" t="str">
        <f>IS!H4</f>
        <v>Mo.</v>
      </c>
      <c r="I4" s="12" t="str">
        <f>IS!I4</f>
        <v>Mo.</v>
      </c>
      <c r="J4" s="12" t="str">
        <f>IS!J4</f>
        <v>Mo.</v>
      </c>
      <c r="K4" s="12" t="str">
        <f>IS!K4</f>
        <v>Mo.</v>
      </c>
      <c r="L4" s="12" t="str">
        <f>IS!L4</f>
        <v>Mo.</v>
      </c>
      <c r="M4" s="12" t="str">
        <f>IS!M4</f>
        <v>Mo.</v>
      </c>
      <c r="N4" s="12" t="str">
        <f>IS!N4</f>
        <v>Mo.</v>
      </c>
      <c r="O4" s="12" t="str">
        <f>IS!O4</f>
        <v>Qtr.</v>
      </c>
      <c r="P4" s="12" t="str">
        <f>IS!P4</f>
        <v>Qtr.</v>
      </c>
      <c r="Q4" s="12" t="str">
        <f>IS!Q4</f>
        <v>Qtr.</v>
      </c>
      <c r="R4" s="12" t="str">
        <f>IS!R4</f>
        <v>Qtr.</v>
      </c>
      <c r="S4" s="12" t="str">
        <f>IS!S4</f>
        <v>Year</v>
      </c>
      <c r="T4" s="12" t="str">
        <f>IS!T4</f>
        <v>Year</v>
      </c>
      <c r="U4" s="12" t="str">
        <f>IS!U4</f>
        <v>Year</v>
      </c>
    </row>
    <row r="5" spans="1:22">
      <c r="A5" t="s">
        <v>2</v>
      </c>
      <c r="B5" s="14"/>
      <c r="C5" s="14">
        <f>IS!C5</f>
        <v>40938</v>
      </c>
      <c r="D5" s="14">
        <f>IS!D5</f>
        <v>40968</v>
      </c>
      <c r="E5" s="14">
        <f>IS!E5</f>
        <v>40998</v>
      </c>
      <c r="F5" s="14">
        <f>IS!F5</f>
        <v>41028</v>
      </c>
      <c r="G5" s="14">
        <f>IS!G5</f>
        <v>41058</v>
      </c>
      <c r="H5" s="14">
        <f>IS!H5</f>
        <v>41088</v>
      </c>
      <c r="I5" s="14">
        <f>IS!I5</f>
        <v>41118</v>
      </c>
      <c r="J5" s="14">
        <f>IS!J5</f>
        <v>41148</v>
      </c>
      <c r="K5" s="14">
        <f>IS!K5</f>
        <v>41178</v>
      </c>
      <c r="L5" s="14">
        <f>IS!L5</f>
        <v>41208</v>
      </c>
      <c r="M5" s="14">
        <f>IS!M5</f>
        <v>41238</v>
      </c>
      <c r="N5" s="14">
        <f>IS!N5</f>
        <v>41268</v>
      </c>
      <c r="O5" s="14">
        <f>IS!O5</f>
        <v>41358</v>
      </c>
      <c r="P5" s="14">
        <f>IS!P5</f>
        <v>41448</v>
      </c>
      <c r="Q5" s="14">
        <f>IS!Q5</f>
        <v>41538</v>
      </c>
      <c r="R5" s="14">
        <f>IS!R5</f>
        <v>41628</v>
      </c>
      <c r="S5" s="14">
        <f>IS!S5</f>
        <v>41988</v>
      </c>
      <c r="T5" s="14">
        <f>IS!T5</f>
        <v>42348</v>
      </c>
      <c r="U5" s="14">
        <f>IS!U5</f>
        <v>42708</v>
      </c>
    </row>
    <row r="6" spans="1:22" s="3" customFormat="1" hidden="1" outlineLevel="1">
      <c r="A6" s="3" t="s">
        <v>1</v>
      </c>
      <c r="B6" s="12"/>
      <c r="C6" s="12">
        <f>IS!C6</f>
        <v>1</v>
      </c>
      <c r="D6" s="12">
        <f>IS!D6</f>
        <v>1</v>
      </c>
      <c r="E6" s="12">
        <f>IS!E6</f>
        <v>1</v>
      </c>
      <c r="F6" s="12">
        <f>IS!F6</f>
        <v>1</v>
      </c>
      <c r="G6" s="12">
        <f>IS!G6</f>
        <v>1</v>
      </c>
      <c r="H6" s="12">
        <f>IS!H6</f>
        <v>1</v>
      </c>
      <c r="I6" s="12">
        <f>IS!I6</f>
        <v>1</v>
      </c>
      <c r="J6" s="12">
        <f>IS!J6</f>
        <v>1</v>
      </c>
      <c r="K6" s="12">
        <f>IS!K6</f>
        <v>1</v>
      </c>
      <c r="L6" s="12">
        <f>IS!L6</f>
        <v>1</v>
      </c>
      <c r="M6" s="12">
        <f>IS!M6</f>
        <v>1</v>
      </c>
      <c r="N6" s="12">
        <f>IS!N6</f>
        <v>1</v>
      </c>
      <c r="O6" s="12">
        <f>IS!O6</f>
        <v>3</v>
      </c>
      <c r="P6" s="12">
        <f>IS!P6</f>
        <v>3</v>
      </c>
      <c r="Q6" s="12">
        <f>IS!Q6</f>
        <v>3</v>
      </c>
      <c r="R6" s="12">
        <f>IS!R6</f>
        <v>3</v>
      </c>
      <c r="S6" s="12">
        <f>IS!S6</f>
        <v>12</v>
      </c>
      <c r="T6" s="12">
        <f>IS!T6</f>
        <v>12</v>
      </c>
      <c r="U6" s="12">
        <f>IS!U6</f>
        <v>12</v>
      </c>
    </row>
    <row r="7" spans="1:22" collapsed="1"/>
    <row r="8" spans="1:22">
      <c r="A8" s="6" t="s">
        <v>86</v>
      </c>
    </row>
    <row r="9" spans="1:22">
      <c r="A9" t="s">
        <v>18</v>
      </c>
      <c r="C9" s="9">
        <f ca="1">IS!C63</f>
        <v>3.9375</v>
      </c>
      <c r="D9" s="9">
        <f ca="1">IS!D63</f>
        <v>23.017499999999998</v>
      </c>
      <c r="E9" s="9">
        <f ca="1">IS!E63</f>
        <v>18.170999999999999</v>
      </c>
      <c r="F9" s="9">
        <f ca="1">IS!F63</f>
        <v>21.790200000000006</v>
      </c>
      <c r="G9" s="9">
        <f ca="1">IS!G63</f>
        <v>25.893239999999992</v>
      </c>
      <c r="H9" s="9">
        <f ca="1">IS!H63</f>
        <v>26.545637999999997</v>
      </c>
      <c r="I9" s="9">
        <f ca="1">IS!I63</f>
        <v>31.926015599999989</v>
      </c>
      <c r="J9" s="9">
        <f ca="1">IS!J63</f>
        <v>38.142468719999997</v>
      </c>
      <c r="K9" s="9">
        <f ca="1">IS!K63</f>
        <v>45.362212463999995</v>
      </c>
      <c r="L9" s="9">
        <f ca="1">IS!L63</f>
        <v>49.754654956799989</v>
      </c>
      <c r="M9" s="9">
        <f ca="1">IS!M63</f>
        <v>59.623085948159982</v>
      </c>
      <c r="N9" s="9">
        <f ca="1">IS!N63</f>
        <v>71.225203137791979</v>
      </c>
      <c r="O9" s="9">
        <f ca="1">IS!O63</f>
        <v>202.7482312960511</v>
      </c>
      <c r="P9" s="9">
        <f ca="1">IS!P63</f>
        <v>271.68537755526131</v>
      </c>
      <c r="Q9" s="9">
        <f ca="1">IS!Q63</f>
        <v>349.60995306631355</v>
      </c>
      <c r="R9" s="9">
        <f ca="1">IS!R63</f>
        <v>438.31944367957618</v>
      </c>
      <c r="S9" s="9">
        <f ca="1">IS!S63</f>
        <v>1581.4833296619656</v>
      </c>
      <c r="T9" s="9">
        <f ca="1">IS!T63</f>
        <v>2014.2099955943586</v>
      </c>
      <c r="U9" s="9">
        <f ca="1">IS!U63</f>
        <v>2521.4819947132301</v>
      </c>
      <c r="V9" s="10"/>
    </row>
    <row r="10" spans="1:22">
      <c r="A10" t="s">
        <v>83</v>
      </c>
      <c r="C10" s="9">
        <f>IS!C47</f>
        <v>0</v>
      </c>
      <c r="D10" s="9">
        <f>IS!D47</f>
        <v>0</v>
      </c>
      <c r="E10" s="9">
        <f>IS!E47</f>
        <v>0</v>
      </c>
      <c r="F10" s="9">
        <f>IS!F47</f>
        <v>0</v>
      </c>
      <c r="G10" s="9">
        <f>IS!G47</f>
        <v>0</v>
      </c>
      <c r="H10" s="9">
        <f>IS!H47</f>
        <v>0</v>
      </c>
      <c r="I10" s="9">
        <f>IS!I47</f>
        <v>0</v>
      </c>
      <c r="J10" s="9">
        <f>IS!J47</f>
        <v>0</v>
      </c>
      <c r="K10" s="9">
        <f>IS!K47</f>
        <v>0</v>
      </c>
      <c r="L10" s="9">
        <f>IS!L47</f>
        <v>0</v>
      </c>
      <c r="M10" s="9">
        <f>IS!M47</f>
        <v>0</v>
      </c>
      <c r="N10" s="9">
        <f>IS!N47</f>
        <v>0</v>
      </c>
      <c r="O10" s="9">
        <f>IS!O47</f>
        <v>0</v>
      </c>
      <c r="P10" s="9">
        <f>IS!P47</f>
        <v>0</v>
      </c>
      <c r="Q10" s="9">
        <f>IS!Q47</f>
        <v>0</v>
      </c>
      <c r="R10" s="9">
        <f>IS!R47</f>
        <v>0</v>
      </c>
      <c r="S10" s="9">
        <f>IS!S47</f>
        <v>0</v>
      </c>
      <c r="T10" s="9">
        <f>IS!T47</f>
        <v>0</v>
      </c>
      <c r="U10" s="9">
        <f>IS!U47</f>
        <v>0</v>
      </c>
      <c r="V10" s="10"/>
    </row>
    <row r="11" spans="1:22">
      <c r="A11" t="s">
        <v>102</v>
      </c>
      <c r="C11" s="9">
        <f ca="1">IS!C59</f>
        <v>0</v>
      </c>
      <c r="D11" s="9">
        <f ca="1">IS!D59</f>
        <v>0</v>
      </c>
      <c r="E11" s="9">
        <f ca="1">IS!E59</f>
        <v>0</v>
      </c>
      <c r="F11" s="9">
        <f ca="1">IS!F59</f>
        <v>0</v>
      </c>
      <c r="G11" s="9">
        <f ca="1">IS!G59</f>
        <v>0</v>
      </c>
      <c r="H11" s="9">
        <f ca="1">IS!H59</f>
        <v>0</v>
      </c>
      <c r="I11" s="9">
        <f ca="1">IS!I59</f>
        <v>0</v>
      </c>
      <c r="J11" s="9">
        <f ca="1">IS!J59</f>
        <v>0</v>
      </c>
      <c r="K11" s="9">
        <f ca="1">IS!K59</f>
        <v>0</v>
      </c>
      <c r="L11" s="9">
        <f ca="1">IS!L59</f>
        <v>0</v>
      </c>
      <c r="M11" s="9">
        <f ca="1">IS!M59</f>
        <v>0</v>
      </c>
      <c r="N11" s="9">
        <f ca="1">IS!N59</f>
        <v>0</v>
      </c>
      <c r="O11" s="9">
        <f ca="1">IS!O59</f>
        <v>0</v>
      </c>
      <c r="P11" s="9">
        <f ca="1">IS!P59</f>
        <v>0</v>
      </c>
      <c r="Q11" s="9">
        <f ca="1">IS!Q59</f>
        <v>0</v>
      </c>
      <c r="R11" s="9">
        <f ca="1">IS!R59</f>
        <v>0</v>
      </c>
      <c r="S11" s="9">
        <f ca="1">IS!S59</f>
        <v>0</v>
      </c>
      <c r="T11" s="9">
        <f ca="1">IS!T59</f>
        <v>0</v>
      </c>
      <c r="U11" s="9">
        <f ca="1">IS!U59</f>
        <v>0</v>
      </c>
      <c r="V11" s="10"/>
    </row>
    <row r="12" spans="1:22">
      <c r="A12" s="1" t="s">
        <v>84</v>
      </c>
      <c r="C12" s="9"/>
      <c r="D12" s="9"/>
      <c r="E12" s="9"/>
      <c r="F12" s="9"/>
      <c r="G12" s="9"/>
      <c r="H12" s="9"/>
      <c r="I12" s="9"/>
      <c r="J12" s="9"/>
      <c r="K12" s="9"/>
      <c r="L12" s="9"/>
      <c r="M12" s="9"/>
      <c r="N12" s="9"/>
      <c r="O12" s="9"/>
      <c r="P12" s="9"/>
      <c r="Q12" s="9"/>
      <c r="R12" s="9"/>
      <c r="S12" s="9"/>
      <c r="T12" s="9"/>
      <c r="U12" s="9"/>
      <c r="V12" s="10"/>
    </row>
    <row r="13" spans="1:22">
      <c r="A13" s="33" t="str">
        <f>BS!A11</f>
        <v>Accounts Receivable</v>
      </c>
      <c r="C13" s="9">
        <f ca="1">-(BS!C11-BS!B11)</f>
        <v>-54</v>
      </c>
      <c r="D13" s="9">
        <f ca="1">-(BS!D11-BS!C11)</f>
        <v>-4.7999999999999972</v>
      </c>
      <c r="E13" s="9">
        <f ca="1">-(BS!E11-BS!D11)</f>
        <v>-5.3599999999999994</v>
      </c>
      <c r="F13" s="9">
        <f ca="1">-(BS!F11-BS!E11)</f>
        <v>-6.0320000000000107</v>
      </c>
      <c r="G13" s="9">
        <f ca="1">-(BS!G11-BS!F11)</f>
        <v>-6.8383999999999787</v>
      </c>
      <c r="H13" s="9">
        <f ca="1">-(BS!H11-BS!G11)</f>
        <v>-7.8060800000000086</v>
      </c>
      <c r="I13" s="9">
        <f ca="1">-(BS!I11-BS!H11)</f>
        <v>-8.9672959999999904</v>
      </c>
      <c r="J13" s="9">
        <f ca="1">-(BS!J11-BS!I11)</f>
        <v>-10.360755200000014</v>
      </c>
      <c r="K13" s="9">
        <f ca="1">-(BS!K11-BS!J11)</f>
        <v>-12.032906239999988</v>
      </c>
      <c r="L13" s="9">
        <f ca="1">-(BS!L11-BS!K11)</f>
        <v>-14.039487487999992</v>
      </c>
      <c r="M13" s="9">
        <f ca="1">-(BS!M11-BS!L11)</f>
        <v>-16.447384985599996</v>
      </c>
      <c r="N13" s="9">
        <f ca="1">-(BS!N11-BS!M11)</f>
        <v>-19.336861982719995</v>
      </c>
      <c r="O13" s="9">
        <f ca="1">-(BS!O11-BS!N11)</f>
        <v>-20.804234379263988</v>
      </c>
      <c r="P13" s="9">
        <f ca="1">-(BS!P11-BS!O11)</f>
        <v>-38.298414588450044</v>
      </c>
      <c r="Q13" s="9">
        <f ca="1">-(BS!Q11-BS!P11)</f>
        <v>-43.29143083947352</v>
      </c>
      <c r="R13" s="9">
        <f ca="1">-(BS!R11-BS!Q11)</f>
        <v>-49.283050340701436</v>
      </c>
      <c r="S13" s="9">
        <f ca="1">-(BS!S11-BS!R11)</f>
        <v>25.027006257824837</v>
      </c>
      <c r="T13" s="9">
        <f ca="1">-(BS!T11-BS!S11)</f>
        <v>-60.100925823943442</v>
      </c>
      <c r="U13" s="9">
        <f ca="1">-(BS!U11-BS!T11)</f>
        <v>-70.454444322065456</v>
      </c>
      <c r="V13" s="10"/>
    </row>
    <row r="14" spans="1:22">
      <c r="A14" s="33" t="str">
        <f>BS!A12</f>
        <v>Inventory</v>
      </c>
      <c r="C14" s="9">
        <f>-(BS!C12-BS!B12)</f>
        <v>0</v>
      </c>
      <c r="D14" s="9">
        <f>-(BS!D12-BS!C12)</f>
        <v>0</v>
      </c>
      <c r="E14" s="9">
        <f>-(BS!E12-BS!D12)</f>
        <v>0</v>
      </c>
      <c r="F14" s="9">
        <f>-(BS!F12-BS!E12)</f>
        <v>0</v>
      </c>
      <c r="G14" s="9">
        <f>-(BS!G12-BS!F12)</f>
        <v>0</v>
      </c>
      <c r="H14" s="9">
        <f>-(BS!H12-BS!G12)</f>
        <v>0</v>
      </c>
      <c r="I14" s="9">
        <f>-(BS!I12-BS!H12)</f>
        <v>0</v>
      </c>
      <c r="J14" s="9">
        <f>-(BS!J12-BS!I12)</f>
        <v>0</v>
      </c>
      <c r="K14" s="9">
        <f>-(BS!K12-BS!J12)</f>
        <v>0</v>
      </c>
      <c r="L14" s="9">
        <f>-(BS!L12-BS!K12)</f>
        <v>0</v>
      </c>
      <c r="M14" s="9">
        <f>-(BS!M12-BS!L12)</f>
        <v>0</v>
      </c>
      <c r="N14" s="9">
        <f>-(BS!N12-BS!M12)</f>
        <v>0</v>
      </c>
      <c r="O14" s="9">
        <f>-(BS!O12-BS!N12)</f>
        <v>0</v>
      </c>
      <c r="P14" s="9">
        <f>-(BS!P12-BS!O12)</f>
        <v>0</v>
      </c>
      <c r="Q14" s="9">
        <f>-(BS!Q12-BS!P12)</f>
        <v>0</v>
      </c>
      <c r="R14" s="9">
        <f>-(BS!R12-BS!Q12)</f>
        <v>0</v>
      </c>
      <c r="S14" s="9">
        <f>-(BS!S12-BS!R12)</f>
        <v>0</v>
      </c>
      <c r="T14" s="9">
        <f>-(BS!T12-BS!S12)</f>
        <v>0</v>
      </c>
      <c r="U14" s="9">
        <f>-(BS!U12-BS!T12)</f>
        <v>0</v>
      </c>
      <c r="V14" s="10"/>
    </row>
    <row r="15" spans="1:22">
      <c r="A15" s="33" t="str">
        <f>BS!A13</f>
        <v>Prepaid Expenses</v>
      </c>
      <c r="C15" s="9">
        <f>-(BS!C13-BS!B13)</f>
        <v>0</v>
      </c>
      <c r="D15" s="9">
        <f>-(BS!D13-BS!C13)</f>
        <v>0</v>
      </c>
      <c r="E15" s="9">
        <f>-(BS!E13-BS!D13)</f>
        <v>0</v>
      </c>
      <c r="F15" s="9">
        <f>-(BS!F13-BS!E13)</f>
        <v>0</v>
      </c>
      <c r="G15" s="9">
        <f>-(BS!G13-BS!F13)</f>
        <v>0</v>
      </c>
      <c r="H15" s="9">
        <f>-(BS!H13-BS!G13)</f>
        <v>0</v>
      </c>
      <c r="I15" s="9">
        <f>-(BS!I13-BS!H13)</f>
        <v>0</v>
      </c>
      <c r="J15" s="9">
        <f>-(BS!J13-BS!I13)</f>
        <v>0</v>
      </c>
      <c r="K15" s="9">
        <f>-(BS!K13-BS!J13)</f>
        <v>0</v>
      </c>
      <c r="L15" s="9">
        <f>-(BS!L13-BS!K13)</f>
        <v>0</v>
      </c>
      <c r="M15" s="9">
        <f>-(BS!M13-BS!L13)</f>
        <v>0</v>
      </c>
      <c r="N15" s="9">
        <f>-(BS!N13-BS!M13)</f>
        <v>0</v>
      </c>
      <c r="O15" s="9">
        <f>-(BS!O13-BS!N13)</f>
        <v>0</v>
      </c>
      <c r="P15" s="9">
        <f>-(BS!P13-BS!O13)</f>
        <v>0</v>
      </c>
      <c r="Q15" s="9">
        <f>-(BS!Q13-BS!P13)</f>
        <v>0</v>
      </c>
      <c r="R15" s="9">
        <f>-(BS!R13-BS!Q13)</f>
        <v>0</v>
      </c>
      <c r="S15" s="9">
        <f>-(BS!S13-BS!R13)</f>
        <v>0</v>
      </c>
      <c r="T15" s="9">
        <f>-(BS!T13-BS!S13)</f>
        <v>0</v>
      </c>
      <c r="U15" s="9">
        <f>-(BS!U13-BS!T13)</f>
        <v>0</v>
      </c>
      <c r="V15" s="10"/>
    </row>
    <row r="16" spans="1:22">
      <c r="A16" s="33" t="str">
        <f>BS!A14</f>
        <v>Other Current Assets</v>
      </c>
      <c r="C16" s="9">
        <f>-(BS!C14-BS!B14)</f>
        <v>0</v>
      </c>
      <c r="D16" s="9">
        <f>-(BS!D14-BS!C14)</f>
        <v>0</v>
      </c>
      <c r="E16" s="9">
        <f>-(BS!E14-BS!D14)</f>
        <v>0</v>
      </c>
      <c r="F16" s="9">
        <f>-(BS!F14-BS!E14)</f>
        <v>0</v>
      </c>
      <c r="G16" s="9">
        <f>-(BS!G14-BS!F14)</f>
        <v>0</v>
      </c>
      <c r="H16" s="9">
        <f>-(BS!H14-BS!G14)</f>
        <v>0</v>
      </c>
      <c r="I16" s="9">
        <f>-(BS!I14-BS!H14)</f>
        <v>0</v>
      </c>
      <c r="J16" s="9">
        <f>-(BS!J14-BS!I14)</f>
        <v>0</v>
      </c>
      <c r="K16" s="9">
        <f>-(BS!K14-BS!J14)</f>
        <v>0</v>
      </c>
      <c r="L16" s="9">
        <f>-(BS!L14-BS!K14)</f>
        <v>0</v>
      </c>
      <c r="M16" s="9">
        <f>-(BS!M14-BS!L14)</f>
        <v>0</v>
      </c>
      <c r="N16" s="9">
        <f>-(BS!N14-BS!M14)</f>
        <v>0</v>
      </c>
      <c r="O16" s="9">
        <f>-(BS!O14-BS!N14)</f>
        <v>0</v>
      </c>
      <c r="P16" s="9">
        <f>-(BS!P14-BS!O14)</f>
        <v>0</v>
      </c>
      <c r="Q16" s="9">
        <f>-(BS!Q14-BS!P14)</f>
        <v>0</v>
      </c>
      <c r="R16" s="9">
        <f>-(BS!R14-BS!Q14)</f>
        <v>0</v>
      </c>
      <c r="S16" s="9">
        <f>-(BS!S14-BS!R14)</f>
        <v>0</v>
      </c>
      <c r="T16" s="9">
        <f>-(BS!T14-BS!S14)</f>
        <v>0</v>
      </c>
      <c r="U16" s="9">
        <f>-(BS!U14-BS!T14)</f>
        <v>0</v>
      </c>
      <c r="V16" s="10"/>
    </row>
    <row r="17" spans="1:22">
      <c r="A17" s="1" t="s">
        <v>85</v>
      </c>
      <c r="C17" s="9"/>
      <c r="D17" s="9"/>
      <c r="E17" s="9"/>
      <c r="F17" s="9"/>
      <c r="G17" s="9"/>
      <c r="H17" s="9"/>
      <c r="I17" s="9"/>
      <c r="J17" s="9"/>
      <c r="K17" s="9"/>
      <c r="L17" s="9"/>
      <c r="M17" s="9"/>
      <c r="N17" s="9"/>
      <c r="O17" s="9"/>
      <c r="P17" s="9"/>
      <c r="Q17" s="9"/>
      <c r="R17" s="9"/>
      <c r="S17" s="9"/>
      <c r="T17" s="9"/>
      <c r="U17" s="9"/>
      <c r="V17" s="10"/>
    </row>
    <row r="18" spans="1:22">
      <c r="A18" s="33" t="str">
        <f>BS!A31</f>
        <v>Accounts Payable</v>
      </c>
      <c r="C18" s="9">
        <f>BS!C31-BS!B31</f>
        <v>0</v>
      </c>
      <c r="D18" s="9">
        <f>BS!D31-BS!C31</f>
        <v>0</v>
      </c>
      <c r="E18" s="9">
        <f>BS!E31-BS!D31</f>
        <v>0</v>
      </c>
      <c r="F18" s="9">
        <f>BS!F31-BS!E31</f>
        <v>0</v>
      </c>
      <c r="G18" s="9">
        <f>BS!G31-BS!F31</f>
        <v>0</v>
      </c>
      <c r="H18" s="9">
        <f>BS!H31-BS!G31</f>
        <v>0</v>
      </c>
      <c r="I18" s="9">
        <f>BS!I31-BS!H31</f>
        <v>0</v>
      </c>
      <c r="J18" s="9">
        <f>BS!J31-BS!I31</f>
        <v>0</v>
      </c>
      <c r="K18" s="9">
        <f>BS!K31-BS!J31</f>
        <v>0</v>
      </c>
      <c r="L18" s="9">
        <f>BS!L31-BS!K31</f>
        <v>0</v>
      </c>
      <c r="M18" s="9">
        <f>BS!M31-BS!L31</f>
        <v>0</v>
      </c>
      <c r="N18" s="9">
        <f>BS!N31-BS!M31</f>
        <v>0</v>
      </c>
      <c r="O18" s="9">
        <f>BS!O31-BS!N31</f>
        <v>0</v>
      </c>
      <c r="P18" s="9">
        <f>BS!P31-BS!O31</f>
        <v>0</v>
      </c>
      <c r="Q18" s="9">
        <f>BS!Q31-BS!P31</f>
        <v>0</v>
      </c>
      <c r="R18" s="9">
        <f>BS!R31-BS!Q31</f>
        <v>0</v>
      </c>
      <c r="S18" s="9">
        <f>BS!S31-BS!R31</f>
        <v>0</v>
      </c>
      <c r="T18" s="9">
        <f>BS!T31-BS!S31</f>
        <v>0</v>
      </c>
      <c r="U18" s="9">
        <f>BS!U31-BS!T31</f>
        <v>0</v>
      </c>
      <c r="V18" s="10"/>
    </row>
    <row r="19" spans="1:22">
      <c r="A19" s="33" t="str">
        <f>BS!A32</f>
        <v>Accrued Expenses</v>
      </c>
      <c r="C19" s="9">
        <f>BS!C32-BS!B32</f>
        <v>0</v>
      </c>
      <c r="D19" s="9">
        <f>BS!D32-BS!C32</f>
        <v>0</v>
      </c>
      <c r="E19" s="9">
        <f>BS!E32-BS!D32</f>
        <v>0</v>
      </c>
      <c r="F19" s="9">
        <f>BS!F32-BS!E32</f>
        <v>0</v>
      </c>
      <c r="G19" s="9">
        <f>BS!G32-BS!F32</f>
        <v>0</v>
      </c>
      <c r="H19" s="9">
        <f>BS!H32-BS!G32</f>
        <v>0</v>
      </c>
      <c r="I19" s="9">
        <f>BS!I32-BS!H32</f>
        <v>0</v>
      </c>
      <c r="J19" s="9">
        <f>BS!J32-BS!I32</f>
        <v>0</v>
      </c>
      <c r="K19" s="9">
        <f>BS!K32-BS!J32</f>
        <v>0</v>
      </c>
      <c r="L19" s="9">
        <f>BS!L32-BS!K32</f>
        <v>0</v>
      </c>
      <c r="M19" s="9">
        <f>BS!M32-BS!L32</f>
        <v>0</v>
      </c>
      <c r="N19" s="9">
        <f>BS!N32-BS!M32</f>
        <v>0</v>
      </c>
      <c r="O19" s="9">
        <f>BS!O32-BS!N32</f>
        <v>0</v>
      </c>
      <c r="P19" s="9">
        <f>BS!P32-BS!O32</f>
        <v>0</v>
      </c>
      <c r="Q19" s="9">
        <f>BS!Q32-BS!P32</f>
        <v>0</v>
      </c>
      <c r="R19" s="9">
        <f>BS!R32-BS!Q32</f>
        <v>0</v>
      </c>
      <c r="S19" s="9">
        <f>BS!S32-BS!R32</f>
        <v>0</v>
      </c>
      <c r="T19" s="9">
        <f>BS!T32-BS!S32</f>
        <v>0</v>
      </c>
      <c r="U19" s="9">
        <f>BS!U32-BS!T32</f>
        <v>0</v>
      </c>
      <c r="V19" s="10"/>
    </row>
    <row r="20" spans="1:22">
      <c r="A20" s="33" t="str">
        <f>BS!A33</f>
        <v>Deferred Revenue</v>
      </c>
      <c r="C20" s="9">
        <f>BS!C33-BS!B33</f>
        <v>0</v>
      </c>
      <c r="D20" s="9">
        <f>BS!D33-BS!C33</f>
        <v>0</v>
      </c>
      <c r="E20" s="9">
        <f>BS!E33-BS!D33</f>
        <v>0</v>
      </c>
      <c r="F20" s="9">
        <f>BS!F33-BS!E33</f>
        <v>0</v>
      </c>
      <c r="G20" s="9">
        <f>BS!G33-BS!F33</f>
        <v>0</v>
      </c>
      <c r="H20" s="9">
        <f>BS!H33-BS!G33</f>
        <v>0</v>
      </c>
      <c r="I20" s="9">
        <f>BS!I33-BS!H33</f>
        <v>0</v>
      </c>
      <c r="J20" s="9">
        <f>BS!J33-BS!I33</f>
        <v>0</v>
      </c>
      <c r="K20" s="9">
        <f>BS!K33-BS!J33</f>
        <v>0</v>
      </c>
      <c r="L20" s="9">
        <f>BS!L33-BS!K33</f>
        <v>0</v>
      </c>
      <c r="M20" s="9">
        <f>BS!M33-BS!L33</f>
        <v>0</v>
      </c>
      <c r="N20" s="9">
        <f>BS!N33-BS!M33</f>
        <v>0</v>
      </c>
      <c r="O20" s="9">
        <f>BS!O33-BS!N33</f>
        <v>0</v>
      </c>
      <c r="P20" s="9">
        <f>BS!P33-BS!O33</f>
        <v>0</v>
      </c>
      <c r="Q20" s="9">
        <f>BS!Q33-BS!P33</f>
        <v>0</v>
      </c>
      <c r="R20" s="9">
        <f>BS!R33-BS!Q33</f>
        <v>0</v>
      </c>
      <c r="S20" s="9">
        <f>BS!S33-BS!R33</f>
        <v>0</v>
      </c>
      <c r="T20" s="9">
        <f>BS!T33-BS!S33</f>
        <v>0</v>
      </c>
      <c r="U20" s="9">
        <f>BS!U33-BS!T33</f>
        <v>0</v>
      </c>
      <c r="V20" s="10"/>
    </row>
    <row r="21" spans="1:22">
      <c r="A21" s="33" t="str">
        <f>BS!A34</f>
        <v>Other Current Liabs.</v>
      </c>
      <c r="C21" s="9">
        <f>BS!C34-BS!B34</f>
        <v>0</v>
      </c>
      <c r="D21" s="9">
        <f>BS!D34-BS!C34</f>
        <v>0</v>
      </c>
      <c r="E21" s="9">
        <f>BS!E34-BS!D34</f>
        <v>0</v>
      </c>
      <c r="F21" s="9">
        <f>BS!F34-BS!E34</f>
        <v>0</v>
      </c>
      <c r="G21" s="9">
        <f>BS!G34-BS!F34</f>
        <v>0</v>
      </c>
      <c r="H21" s="9">
        <f>BS!H34-BS!G34</f>
        <v>0</v>
      </c>
      <c r="I21" s="9">
        <f>BS!I34-BS!H34</f>
        <v>0</v>
      </c>
      <c r="J21" s="9">
        <f>BS!J34-BS!I34</f>
        <v>0</v>
      </c>
      <c r="K21" s="9">
        <f>BS!K34-BS!J34</f>
        <v>0</v>
      </c>
      <c r="L21" s="9">
        <f>BS!L34-BS!K34</f>
        <v>0</v>
      </c>
      <c r="M21" s="9">
        <f>BS!M34-BS!L34</f>
        <v>0</v>
      </c>
      <c r="N21" s="9">
        <f>BS!N34-BS!M34</f>
        <v>0</v>
      </c>
      <c r="O21" s="9">
        <f>BS!O34-BS!N34</f>
        <v>0</v>
      </c>
      <c r="P21" s="9">
        <f>BS!P34-BS!O34</f>
        <v>0</v>
      </c>
      <c r="Q21" s="9">
        <f>BS!Q34-BS!P34</f>
        <v>0</v>
      </c>
      <c r="R21" s="9">
        <f>BS!R34-BS!Q34</f>
        <v>0</v>
      </c>
      <c r="S21" s="9">
        <f>BS!S34-BS!R34</f>
        <v>0</v>
      </c>
      <c r="T21" s="9">
        <f>BS!T34-BS!S34</f>
        <v>0</v>
      </c>
      <c r="U21" s="9">
        <f>BS!U34-BS!T34</f>
        <v>0</v>
      </c>
      <c r="V21" s="10"/>
    </row>
    <row r="22" spans="1:22" ht="9.9499999999999993" customHeight="1">
      <c r="A22" s="33"/>
      <c r="C22" s="36" t="s">
        <v>10</v>
      </c>
      <c r="D22" s="36" t="s">
        <v>10</v>
      </c>
      <c r="E22" s="36" t="s">
        <v>10</v>
      </c>
      <c r="F22" s="36" t="s">
        <v>10</v>
      </c>
      <c r="G22" s="36" t="s">
        <v>10</v>
      </c>
      <c r="H22" s="36" t="s">
        <v>10</v>
      </c>
      <c r="I22" s="36" t="s">
        <v>10</v>
      </c>
      <c r="J22" s="36" t="s">
        <v>10</v>
      </c>
      <c r="K22" s="36" t="s">
        <v>10</v>
      </c>
      <c r="L22" s="36" t="s">
        <v>10</v>
      </c>
      <c r="M22" s="36" t="s">
        <v>10</v>
      </c>
      <c r="N22" s="36" t="s">
        <v>10</v>
      </c>
      <c r="O22" s="36" t="s">
        <v>10</v>
      </c>
      <c r="P22" s="36" t="s">
        <v>10</v>
      </c>
      <c r="Q22" s="36" t="s">
        <v>10</v>
      </c>
      <c r="R22" s="36" t="s">
        <v>10</v>
      </c>
      <c r="S22" s="36" t="s">
        <v>10</v>
      </c>
      <c r="T22" s="36" t="s">
        <v>10</v>
      </c>
      <c r="U22" s="36" t="s">
        <v>10</v>
      </c>
      <c r="V22" s="10"/>
    </row>
    <row r="23" spans="1:22">
      <c r="A23" t="str">
        <f>A8</f>
        <v>Cash from Operations</v>
      </c>
      <c r="C23" s="9">
        <f ca="1">SUM(C8:C22)</f>
        <v>-50.0625</v>
      </c>
      <c r="D23" s="9">
        <f t="shared" ref="D23:U23" ca="1" si="0">SUM(D8:D22)</f>
        <v>18.217500000000001</v>
      </c>
      <c r="E23" s="9">
        <f t="shared" ca="1" si="0"/>
        <v>12.811</v>
      </c>
      <c r="F23" s="9">
        <f t="shared" ca="1" si="0"/>
        <v>15.758199999999995</v>
      </c>
      <c r="G23" s="9">
        <f t="shared" ca="1" si="0"/>
        <v>19.054840000000013</v>
      </c>
      <c r="H23" s="9">
        <f t="shared" ca="1" si="0"/>
        <v>18.739557999999988</v>
      </c>
      <c r="I23" s="9">
        <f t="shared" ca="1" si="0"/>
        <v>22.958719599999998</v>
      </c>
      <c r="J23" s="9">
        <f t="shared" ca="1" si="0"/>
        <v>27.781713519999983</v>
      </c>
      <c r="K23" s="9">
        <f t="shared" ca="1" si="0"/>
        <v>33.329306224000007</v>
      </c>
      <c r="L23" s="9">
        <f t="shared" ca="1" si="0"/>
        <v>35.715167468799997</v>
      </c>
      <c r="M23" s="9">
        <f t="shared" ca="1" si="0"/>
        <v>43.175700962559986</v>
      </c>
      <c r="N23" s="9">
        <f t="shared" ca="1" si="0"/>
        <v>51.888341155071984</v>
      </c>
      <c r="O23" s="9">
        <f t="shared" ca="1" si="0"/>
        <v>181.94399691678711</v>
      </c>
      <c r="P23" s="9">
        <f t="shared" ca="1" si="0"/>
        <v>233.38696296681127</v>
      </c>
      <c r="Q23" s="9">
        <f t="shared" ca="1" si="0"/>
        <v>306.31852222684006</v>
      </c>
      <c r="R23" s="9">
        <f t="shared" ca="1" si="0"/>
        <v>389.03639333887475</v>
      </c>
      <c r="S23" s="9">
        <f t="shared" ca="1" si="0"/>
        <v>1606.5103359197906</v>
      </c>
      <c r="T23" s="9">
        <f t="shared" ca="1" si="0"/>
        <v>1954.1090697704151</v>
      </c>
      <c r="U23" s="9">
        <f t="shared" ca="1" si="0"/>
        <v>2451.0275503911644</v>
      </c>
      <c r="V23" s="10"/>
    </row>
    <row r="24" spans="1:22">
      <c r="C24" s="9"/>
      <c r="D24" s="9"/>
      <c r="E24" s="9"/>
      <c r="F24" s="9"/>
      <c r="G24" s="9"/>
      <c r="H24" s="9"/>
      <c r="I24" s="9"/>
      <c r="J24" s="9"/>
      <c r="K24" s="9"/>
      <c r="L24" s="9"/>
      <c r="M24" s="9"/>
      <c r="N24" s="9"/>
      <c r="O24" s="9"/>
      <c r="P24" s="9"/>
      <c r="Q24" s="9"/>
      <c r="R24" s="9"/>
      <c r="S24" s="9"/>
      <c r="T24" s="9"/>
      <c r="U24" s="9"/>
      <c r="V24" s="10"/>
    </row>
    <row r="25" spans="1:22">
      <c r="A25" s="6" t="s">
        <v>87</v>
      </c>
      <c r="C25" s="9"/>
      <c r="D25" s="9"/>
      <c r="E25" s="9"/>
      <c r="F25" s="9"/>
      <c r="G25" s="9"/>
      <c r="H25" s="9"/>
      <c r="I25" s="9"/>
      <c r="J25" s="9"/>
      <c r="K25" s="9"/>
      <c r="L25" s="9"/>
      <c r="M25" s="9"/>
      <c r="N25" s="9"/>
      <c r="O25" s="9"/>
      <c r="P25" s="9"/>
      <c r="Q25" s="9"/>
      <c r="R25" s="9"/>
      <c r="S25" s="9"/>
      <c r="T25" s="9"/>
      <c r="U25" s="9"/>
      <c r="V25" s="10"/>
    </row>
    <row r="26" spans="1:22">
      <c r="A26" t="s">
        <v>91</v>
      </c>
      <c r="C26" s="7">
        <v>0</v>
      </c>
      <c r="D26" s="7">
        <v>0</v>
      </c>
      <c r="E26" s="7">
        <v>0</v>
      </c>
      <c r="F26" s="7">
        <v>0</v>
      </c>
      <c r="G26" s="7">
        <v>0</v>
      </c>
      <c r="H26" s="7">
        <v>0</v>
      </c>
      <c r="I26" s="7">
        <v>0</v>
      </c>
      <c r="J26" s="7">
        <v>0</v>
      </c>
      <c r="K26" s="7">
        <v>0</v>
      </c>
      <c r="L26" s="7">
        <v>0</v>
      </c>
      <c r="M26" s="7">
        <v>0</v>
      </c>
      <c r="N26" s="7">
        <v>0</v>
      </c>
      <c r="O26" s="7">
        <v>0</v>
      </c>
      <c r="P26" s="7">
        <v>0</v>
      </c>
      <c r="Q26" s="7">
        <v>0</v>
      </c>
      <c r="R26" s="7">
        <v>0</v>
      </c>
      <c r="S26" s="7">
        <v>0</v>
      </c>
      <c r="T26" s="7">
        <v>0</v>
      </c>
      <c r="U26" s="7">
        <v>0</v>
      </c>
      <c r="V26" s="10"/>
    </row>
    <row r="27" spans="1:22" ht="9.9499999999999993" customHeight="1">
      <c r="C27" s="36" t="s">
        <v>10</v>
      </c>
      <c r="D27" s="36" t="s">
        <v>10</v>
      </c>
      <c r="E27" s="36" t="s">
        <v>10</v>
      </c>
      <c r="F27" s="36" t="s">
        <v>10</v>
      </c>
      <c r="G27" s="36" t="s">
        <v>10</v>
      </c>
      <c r="H27" s="36" t="s">
        <v>10</v>
      </c>
      <c r="I27" s="36" t="s">
        <v>10</v>
      </c>
      <c r="J27" s="36" t="s">
        <v>10</v>
      </c>
      <c r="K27" s="36" t="s">
        <v>10</v>
      </c>
      <c r="L27" s="36" t="s">
        <v>10</v>
      </c>
      <c r="M27" s="36" t="s">
        <v>10</v>
      </c>
      <c r="N27" s="36" t="s">
        <v>10</v>
      </c>
      <c r="O27" s="36" t="s">
        <v>10</v>
      </c>
      <c r="P27" s="36" t="s">
        <v>10</v>
      </c>
      <c r="Q27" s="36" t="s">
        <v>10</v>
      </c>
      <c r="R27" s="36" t="s">
        <v>10</v>
      </c>
      <c r="S27" s="36" t="s">
        <v>10</v>
      </c>
      <c r="T27" s="36" t="s">
        <v>10</v>
      </c>
      <c r="U27" s="36" t="s">
        <v>10</v>
      </c>
      <c r="V27" s="10"/>
    </row>
    <row r="28" spans="1:22">
      <c r="A28" t="str">
        <f>A25</f>
        <v>Cash from Investing</v>
      </c>
      <c r="C28" s="9">
        <f>SUM(C25:C27)</f>
        <v>0</v>
      </c>
      <c r="D28" s="9">
        <f t="shared" ref="D28:U28" si="1">SUM(D25:D27)</f>
        <v>0</v>
      </c>
      <c r="E28" s="9">
        <f t="shared" si="1"/>
        <v>0</v>
      </c>
      <c r="F28" s="9">
        <f t="shared" si="1"/>
        <v>0</v>
      </c>
      <c r="G28" s="9">
        <f t="shared" si="1"/>
        <v>0</v>
      </c>
      <c r="H28" s="9">
        <f t="shared" si="1"/>
        <v>0</v>
      </c>
      <c r="I28" s="9">
        <f t="shared" si="1"/>
        <v>0</v>
      </c>
      <c r="J28" s="9">
        <f t="shared" si="1"/>
        <v>0</v>
      </c>
      <c r="K28" s="9">
        <f t="shared" si="1"/>
        <v>0</v>
      </c>
      <c r="L28" s="9">
        <f t="shared" si="1"/>
        <v>0</v>
      </c>
      <c r="M28" s="9">
        <f t="shared" si="1"/>
        <v>0</v>
      </c>
      <c r="N28" s="9">
        <f t="shared" si="1"/>
        <v>0</v>
      </c>
      <c r="O28" s="9">
        <f t="shared" si="1"/>
        <v>0</v>
      </c>
      <c r="P28" s="9">
        <f t="shared" si="1"/>
        <v>0</v>
      </c>
      <c r="Q28" s="9">
        <f t="shared" si="1"/>
        <v>0</v>
      </c>
      <c r="R28" s="9">
        <f t="shared" si="1"/>
        <v>0</v>
      </c>
      <c r="S28" s="9">
        <f t="shared" si="1"/>
        <v>0</v>
      </c>
      <c r="T28" s="9">
        <f t="shared" si="1"/>
        <v>0</v>
      </c>
      <c r="U28" s="9">
        <f t="shared" si="1"/>
        <v>0</v>
      </c>
      <c r="V28" s="10"/>
    </row>
    <row r="29" spans="1:22">
      <c r="C29" s="9"/>
      <c r="D29" s="9"/>
      <c r="E29" s="9"/>
      <c r="F29" s="9"/>
      <c r="G29" s="9"/>
      <c r="H29" s="9"/>
      <c r="I29" s="9"/>
      <c r="J29" s="9"/>
      <c r="K29" s="9"/>
      <c r="L29" s="9"/>
      <c r="M29" s="9"/>
      <c r="N29" s="9"/>
      <c r="O29" s="9"/>
      <c r="P29" s="9"/>
      <c r="Q29" s="9"/>
      <c r="R29" s="9"/>
      <c r="S29" s="9"/>
      <c r="T29" s="9"/>
      <c r="U29" s="9"/>
      <c r="V29" s="10"/>
    </row>
    <row r="30" spans="1:22">
      <c r="A30" t="s">
        <v>26</v>
      </c>
      <c r="C30" s="9">
        <f ca="1">C23+C28</f>
        <v>-50.0625</v>
      </c>
      <c r="D30" s="9">
        <f t="shared" ref="D30:U30" ca="1" si="2">D23+D28</f>
        <v>18.217500000000001</v>
      </c>
      <c r="E30" s="9">
        <f t="shared" ca="1" si="2"/>
        <v>12.811</v>
      </c>
      <c r="F30" s="9">
        <f t="shared" ca="1" si="2"/>
        <v>15.758199999999995</v>
      </c>
      <c r="G30" s="9">
        <f t="shared" ca="1" si="2"/>
        <v>19.054840000000013</v>
      </c>
      <c r="H30" s="9">
        <f t="shared" ca="1" si="2"/>
        <v>18.739557999999988</v>
      </c>
      <c r="I30" s="9">
        <f t="shared" ca="1" si="2"/>
        <v>22.958719599999998</v>
      </c>
      <c r="J30" s="9">
        <f t="shared" ca="1" si="2"/>
        <v>27.781713519999983</v>
      </c>
      <c r="K30" s="9">
        <f t="shared" ca="1" si="2"/>
        <v>33.329306224000007</v>
      </c>
      <c r="L30" s="9">
        <f t="shared" ca="1" si="2"/>
        <v>35.715167468799997</v>
      </c>
      <c r="M30" s="9">
        <f t="shared" ca="1" si="2"/>
        <v>43.175700962559986</v>
      </c>
      <c r="N30" s="9">
        <f t="shared" ca="1" si="2"/>
        <v>51.888341155071984</v>
      </c>
      <c r="O30" s="9">
        <f t="shared" ca="1" si="2"/>
        <v>181.94399691678711</v>
      </c>
      <c r="P30" s="9">
        <f t="shared" ca="1" si="2"/>
        <v>233.38696296681127</v>
      </c>
      <c r="Q30" s="9">
        <f t="shared" ca="1" si="2"/>
        <v>306.31852222684006</v>
      </c>
      <c r="R30" s="9">
        <f t="shared" ca="1" si="2"/>
        <v>389.03639333887475</v>
      </c>
      <c r="S30" s="9">
        <f t="shared" ca="1" si="2"/>
        <v>1606.5103359197906</v>
      </c>
      <c r="T30" s="9">
        <f t="shared" ca="1" si="2"/>
        <v>1954.1090697704151</v>
      </c>
      <c r="U30" s="9">
        <f t="shared" ca="1" si="2"/>
        <v>2451.0275503911644</v>
      </c>
      <c r="V30" s="10"/>
    </row>
    <row r="31" spans="1:22">
      <c r="C31" s="9"/>
      <c r="D31" s="9"/>
      <c r="E31" s="9"/>
      <c r="F31" s="9"/>
      <c r="G31" s="9"/>
      <c r="H31" s="9"/>
      <c r="I31" s="9"/>
      <c r="J31" s="9"/>
      <c r="K31" s="9"/>
      <c r="L31" s="9"/>
      <c r="M31" s="9"/>
      <c r="N31" s="9"/>
      <c r="O31" s="9"/>
      <c r="P31" s="9"/>
      <c r="Q31" s="9"/>
      <c r="R31" s="9"/>
      <c r="S31" s="9"/>
      <c r="T31" s="9"/>
      <c r="U31" s="9"/>
      <c r="V31" s="10"/>
    </row>
    <row r="32" spans="1:22">
      <c r="A32" s="6" t="s">
        <v>89</v>
      </c>
      <c r="C32" s="9"/>
      <c r="D32" s="9"/>
      <c r="E32" s="9"/>
      <c r="F32" s="9"/>
      <c r="G32" s="9"/>
      <c r="H32" s="9"/>
      <c r="I32" s="9"/>
      <c r="J32" s="9"/>
      <c r="K32" s="9"/>
      <c r="L32" s="9"/>
      <c r="M32" s="9"/>
      <c r="N32" s="9"/>
      <c r="O32" s="9"/>
      <c r="P32" s="9"/>
      <c r="Q32" s="9"/>
      <c r="R32" s="9"/>
      <c r="S32" s="9"/>
      <c r="T32" s="9"/>
      <c r="U32" s="9"/>
      <c r="V32" s="10"/>
    </row>
    <row r="33" spans="1:22">
      <c r="A33" s="1" t="s">
        <v>103</v>
      </c>
      <c r="C33" s="9"/>
      <c r="D33" s="9"/>
      <c r="E33" s="9"/>
      <c r="F33" s="9"/>
      <c r="G33" s="9"/>
      <c r="H33" s="9"/>
      <c r="I33" s="9"/>
      <c r="J33" s="9"/>
      <c r="K33" s="9"/>
      <c r="L33" s="9"/>
      <c r="M33" s="9"/>
      <c r="N33" s="9"/>
      <c r="O33" s="9"/>
      <c r="P33" s="9"/>
      <c r="Q33" s="9"/>
      <c r="R33" s="9"/>
      <c r="S33" s="9"/>
      <c r="T33" s="9"/>
      <c r="U33" s="9"/>
      <c r="V33" s="10"/>
    </row>
    <row r="34" spans="1:22">
      <c r="A34" t="str">
        <f>BS!A39</f>
        <v>Loan 1</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10"/>
    </row>
    <row r="35" spans="1:22">
      <c r="A35" t="str">
        <f>BS!A40</f>
        <v>Loan 2</v>
      </c>
      <c r="C35" s="7">
        <v>0</v>
      </c>
      <c r="D35" s="7">
        <v>0</v>
      </c>
      <c r="E35" s="7">
        <v>0</v>
      </c>
      <c r="F35" s="7">
        <v>0</v>
      </c>
      <c r="G35" s="7">
        <v>0</v>
      </c>
      <c r="H35" s="7">
        <v>0</v>
      </c>
      <c r="I35" s="7">
        <v>0</v>
      </c>
      <c r="J35" s="7">
        <v>0</v>
      </c>
      <c r="K35" s="7">
        <v>0</v>
      </c>
      <c r="L35" s="7">
        <v>0</v>
      </c>
      <c r="M35" s="7">
        <v>0</v>
      </c>
      <c r="N35" s="7">
        <v>0</v>
      </c>
      <c r="O35" s="7">
        <v>0</v>
      </c>
      <c r="P35" s="7">
        <v>0</v>
      </c>
      <c r="Q35" s="7">
        <v>0</v>
      </c>
      <c r="R35" s="7">
        <v>0</v>
      </c>
      <c r="S35" s="7">
        <v>0</v>
      </c>
      <c r="T35" s="7">
        <v>0</v>
      </c>
      <c r="U35" s="7">
        <v>0</v>
      </c>
      <c r="V35" s="10"/>
    </row>
    <row r="36" spans="1:22">
      <c r="A36" t="str">
        <f>BS!A45</f>
        <v>Preferred A</v>
      </c>
      <c r="C36" s="7">
        <v>500</v>
      </c>
      <c r="D36" s="7">
        <v>0</v>
      </c>
      <c r="E36" s="7">
        <v>0</v>
      </c>
      <c r="F36" s="7">
        <v>0</v>
      </c>
      <c r="G36" s="7">
        <v>0</v>
      </c>
      <c r="H36" s="7">
        <v>0</v>
      </c>
      <c r="I36" s="7">
        <v>0</v>
      </c>
      <c r="J36" s="7">
        <v>0</v>
      </c>
      <c r="K36" s="7">
        <v>0</v>
      </c>
      <c r="L36" s="7">
        <v>0</v>
      </c>
      <c r="M36" s="7">
        <v>0</v>
      </c>
      <c r="N36" s="7">
        <v>0</v>
      </c>
      <c r="O36" s="7">
        <v>0</v>
      </c>
      <c r="P36" s="7">
        <v>0</v>
      </c>
      <c r="Q36" s="7">
        <v>0</v>
      </c>
      <c r="R36" s="7">
        <v>0</v>
      </c>
      <c r="S36" s="7">
        <v>0</v>
      </c>
      <c r="T36" s="7">
        <v>0</v>
      </c>
      <c r="U36" s="7">
        <v>0</v>
      </c>
      <c r="V36" s="10"/>
    </row>
    <row r="37" spans="1:22">
      <c r="A37" t="str">
        <f>BS!A46</f>
        <v>Preferred B</v>
      </c>
      <c r="C37" s="7">
        <v>0</v>
      </c>
      <c r="D37" s="7">
        <v>0</v>
      </c>
      <c r="E37" s="7">
        <v>0</v>
      </c>
      <c r="F37" s="7">
        <v>0</v>
      </c>
      <c r="G37" s="7">
        <v>0</v>
      </c>
      <c r="H37" s="7">
        <v>0</v>
      </c>
      <c r="I37" s="7">
        <v>0</v>
      </c>
      <c r="J37" s="7">
        <v>0</v>
      </c>
      <c r="K37" s="7">
        <v>0</v>
      </c>
      <c r="L37" s="7">
        <v>0</v>
      </c>
      <c r="M37" s="7">
        <v>0</v>
      </c>
      <c r="N37" s="7">
        <v>0</v>
      </c>
      <c r="O37" s="7">
        <v>0</v>
      </c>
      <c r="P37" s="7">
        <v>0</v>
      </c>
      <c r="Q37" s="7">
        <v>0</v>
      </c>
      <c r="R37" s="7">
        <v>0</v>
      </c>
      <c r="S37" s="7">
        <v>0</v>
      </c>
      <c r="T37" s="7">
        <v>0</v>
      </c>
      <c r="U37" s="7">
        <v>0</v>
      </c>
      <c r="V37" s="10"/>
    </row>
    <row r="38" spans="1:22">
      <c r="A38" t="str">
        <f>BS!A47</f>
        <v>Common</v>
      </c>
      <c r="C38" s="7">
        <v>0</v>
      </c>
      <c r="D38" s="7">
        <v>0</v>
      </c>
      <c r="E38" s="7">
        <v>0</v>
      </c>
      <c r="F38" s="7">
        <v>0</v>
      </c>
      <c r="G38" s="7">
        <v>0</v>
      </c>
      <c r="H38" s="7">
        <v>0</v>
      </c>
      <c r="I38" s="7">
        <v>0</v>
      </c>
      <c r="J38" s="7">
        <v>0</v>
      </c>
      <c r="K38" s="7">
        <v>0</v>
      </c>
      <c r="L38" s="7">
        <v>0</v>
      </c>
      <c r="M38" s="7">
        <v>0</v>
      </c>
      <c r="N38" s="7">
        <v>0</v>
      </c>
      <c r="O38" s="7">
        <v>0</v>
      </c>
      <c r="P38" s="7">
        <v>0</v>
      </c>
      <c r="Q38" s="7">
        <v>0</v>
      </c>
      <c r="R38" s="7">
        <v>0</v>
      </c>
      <c r="S38" s="7">
        <v>0</v>
      </c>
      <c r="T38" s="7">
        <v>0</v>
      </c>
      <c r="U38" s="7">
        <v>0</v>
      </c>
      <c r="V38" s="10"/>
    </row>
    <row r="39" spans="1:22" ht="9.9499999999999993" customHeight="1">
      <c r="C39" s="36" t="s">
        <v>10</v>
      </c>
      <c r="D39" s="36" t="s">
        <v>10</v>
      </c>
      <c r="E39" s="36" t="s">
        <v>10</v>
      </c>
      <c r="F39" s="36" t="s">
        <v>10</v>
      </c>
      <c r="G39" s="36" t="s">
        <v>10</v>
      </c>
      <c r="H39" s="36" t="s">
        <v>10</v>
      </c>
      <c r="I39" s="36" t="s">
        <v>10</v>
      </c>
      <c r="J39" s="36" t="s">
        <v>10</v>
      </c>
      <c r="K39" s="36" t="s">
        <v>10</v>
      </c>
      <c r="L39" s="36" t="s">
        <v>10</v>
      </c>
      <c r="M39" s="36" t="s">
        <v>10</v>
      </c>
      <c r="N39" s="36" t="s">
        <v>10</v>
      </c>
      <c r="O39" s="36" t="s">
        <v>10</v>
      </c>
      <c r="P39" s="36" t="s">
        <v>10</v>
      </c>
      <c r="Q39" s="36" t="s">
        <v>10</v>
      </c>
      <c r="R39" s="36" t="s">
        <v>10</v>
      </c>
      <c r="S39" s="36" t="s">
        <v>10</v>
      </c>
      <c r="T39" s="36" t="s">
        <v>10</v>
      </c>
      <c r="U39" s="36" t="s">
        <v>10</v>
      </c>
      <c r="V39" s="10"/>
    </row>
    <row r="40" spans="1:22">
      <c r="A40" t="str">
        <f>A32</f>
        <v>Financing Activities</v>
      </c>
      <c r="C40" s="9">
        <f>SUM(C32:C39)</f>
        <v>500</v>
      </c>
      <c r="D40" s="9">
        <f t="shared" ref="D40:U40" si="3">SUM(D32:D39)</f>
        <v>0</v>
      </c>
      <c r="E40" s="9">
        <f t="shared" si="3"/>
        <v>0</v>
      </c>
      <c r="F40" s="9">
        <f t="shared" si="3"/>
        <v>0</v>
      </c>
      <c r="G40" s="9">
        <f t="shared" si="3"/>
        <v>0</v>
      </c>
      <c r="H40" s="9">
        <f t="shared" si="3"/>
        <v>0</v>
      </c>
      <c r="I40" s="9">
        <f t="shared" si="3"/>
        <v>0</v>
      </c>
      <c r="J40" s="9">
        <f t="shared" si="3"/>
        <v>0</v>
      </c>
      <c r="K40" s="9">
        <f t="shared" si="3"/>
        <v>0</v>
      </c>
      <c r="L40" s="9">
        <f t="shared" si="3"/>
        <v>0</v>
      </c>
      <c r="M40" s="9">
        <f t="shared" si="3"/>
        <v>0</v>
      </c>
      <c r="N40" s="9">
        <f t="shared" si="3"/>
        <v>0</v>
      </c>
      <c r="O40" s="9">
        <f t="shared" si="3"/>
        <v>0</v>
      </c>
      <c r="P40" s="9">
        <f t="shared" si="3"/>
        <v>0</v>
      </c>
      <c r="Q40" s="9">
        <f t="shared" si="3"/>
        <v>0</v>
      </c>
      <c r="R40" s="9">
        <f t="shared" si="3"/>
        <v>0</v>
      </c>
      <c r="S40" s="9">
        <f t="shared" si="3"/>
        <v>0</v>
      </c>
      <c r="T40" s="9">
        <f t="shared" si="3"/>
        <v>0</v>
      </c>
      <c r="U40" s="9">
        <f t="shared" si="3"/>
        <v>0</v>
      </c>
      <c r="V40" s="10"/>
    </row>
    <row r="41" spans="1:22">
      <c r="C41" s="9"/>
      <c r="D41" s="9"/>
      <c r="E41" s="9"/>
      <c r="F41" s="9"/>
      <c r="G41" s="9"/>
      <c r="H41" s="9"/>
      <c r="I41" s="9"/>
      <c r="J41" s="9"/>
      <c r="K41" s="9"/>
      <c r="L41" s="9"/>
      <c r="M41" s="9"/>
      <c r="N41" s="9"/>
      <c r="O41" s="9"/>
      <c r="P41" s="9"/>
      <c r="Q41" s="9"/>
      <c r="R41" s="9"/>
      <c r="S41" s="9"/>
      <c r="T41" s="9"/>
      <c r="U41" s="9"/>
      <c r="V41" s="10"/>
    </row>
    <row r="42" spans="1:22">
      <c r="A42" t="s">
        <v>88</v>
      </c>
      <c r="C42" s="9">
        <f ca="1">C30+C40</f>
        <v>449.9375</v>
      </c>
      <c r="D42" s="9">
        <f t="shared" ref="D42:U42" ca="1" si="4">D30+D40</f>
        <v>18.217500000000001</v>
      </c>
      <c r="E42" s="9">
        <f t="shared" ca="1" si="4"/>
        <v>12.811</v>
      </c>
      <c r="F42" s="9">
        <f t="shared" ca="1" si="4"/>
        <v>15.758199999999995</v>
      </c>
      <c r="G42" s="9">
        <f t="shared" ca="1" si="4"/>
        <v>19.054840000000013</v>
      </c>
      <c r="H42" s="9">
        <f t="shared" ca="1" si="4"/>
        <v>18.739557999999988</v>
      </c>
      <c r="I42" s="9">
        <f t="shared" ca="1" si="4"/>
        <v>22.958719599999998</v>
      </c>
      <c r="J42" s="9">
        <f t="shared" ca="1" si="4"/>
        <v>27.781713519999983</v>
      </c>
      <c r="K42" s="9">
        <f t="shared" ca="1" si="4"/>
        <v>33.329306224000007</v>
      </c>
      <c r="L42" s="9">
        <f t="shared" ca="1" si="4"/>
        <v>35.715167468799997</v>
      </c>
      <c r="M42" s="9">
        <f t="shared" ca="1" si="4"/>
        <v>43.175700962559986</v>
      </c>
      <c r="N42" s="9">
        <f t="shared" ca="1" si="4"/>
        <v>51.888341155071984</v>
      </c>
      <c r="O42" s="9">
        <f t="shared" ca="1" si="4"/>
        <v>181.94399691678711</v>
      </c>
      <c r="P42" s="9">
        <f t="shared" ca="1" si="4"/>
        <v>233.38696296681127</v>
      </c>
      <c r="Q42" s="9">
        <f t="shared" ca="1" si="4"/>
        <v>306.31852222684006</v>
      </c>
      <c r="R42" s="9">
        <f t="shared" ca="1" si="4"/>
        <v>389.03639333887475</v>
      </c>
      <c r="S42" s="9">
        <f t="shared" ca="1" si="4"/>
        <v>1606.5103359197906</v>
      </c>
      <c r="T42" s="9">
        <f t="shared" ca="1" si="4"/>
        <v>1954.1090697704151</v>
      </c>
      <c r="U42" s="9">
        <f t="shared" ca="1" si="4"/>
        <v>2451.0275503911644</v>
      </c>
      <c r="V42" s="10"/>
    </row>
    <row r="43" spans="1:22">
      <c r="C43" s="10"/>
      <c r="D43" s="10"/>
      <c r="E43" s="10"/>
      <c r="F43" s="10"/>
      <c r="G43" s="10"/>
      <c r="H43" s="10"/>
      <c r="I43" s="10"/>
      <c r="J43" s="10"/>
      <c r="K43" s="10"/>
      <c r="L43" s="10"/>
      <c r="M43" s="10"/>
      <c r="N43" s="10"/>
      <c r="O43" s="10"/>
      <c r="P43" s="10"/>
      <c r="Q43" s="10"/>
      <c r="R43" s="10"/>
      <c r="S43" s="10"/>
      <c r="T43" s="10"/>
      <c r="U43" s="10"/>
      <c r="V43" s="10"/>
    </row>
    <row r="44" spans="1:22">
      <c r="C44" s="10"/>
      <c r="D44" s="10"/>
      <c r="E44" s="10"/>
      <c r="F44" s="10"/>
      <c r="G44" s="10"/>
      <c r="H44" s="10"/>
      <c r="I44" s="10"/>
      <c r="J44" s="10"/>
      <c r="K44" s="10"/>
      <c r="L44" s="10"/>
      <c r="M44" s="10"/>
      <c r="N44" s="10"/>
      <c r="O44" s="10"/>
      <c r="P44" s="10"/>
      <c r="Q44" s="10"/>
      <c r="R44" s="10"/>
      <c r="S44" s="10"/>
      <c r="T44" s="10"/>
      <c r="U44" s="10"/>
      <c r="V44" s="10"/>
    </row>
  </sheetData>
  <conditionalFormatting sqref="C26:U26">
    <cfRule type="cellIs" dxfId="0" priority="1" operator="greaterThan">
      <formula>0</formula>
    </cfRule>
  </conditionalFormatting>
  <dataValidations count="1">
    <dataValidation type="decimal" operator="lessThanOrEqual" allowBlank="1" showErrorMessage="1" errorTitle="Invalid input" error="A negative value was expected." promptTitle="Invalid Capex" prompt="A negative value was expected." sqref="C26:U26">
      <formula1>0</formula1>
    </dataValidation>
  </dataValidations>
  <pageMargins left="0.5" right="0.5" top="0.5" bottom="0.5" header="0.3" footer="0.3"/>
  <pageSetup scale="80" orientation="landscape" r:id="rId1"/>
  <legacyDrawing r:id="rId2"/>
</worksheet>
</file>

<file path=xl/worksheets/sheet6.xml><?xml version="1.0" encoding="utf-8"?>
<worksheet xmlns="http://schemas.openxmlformats.org/spreadsheetml/2006/main" xmlns:r="http://schemas.openxmlformats.org/officeDocument/2006/relationships">
  <dimension ref="A1:U26"/>
  <sheetViews>
    <sheetView showGridLines="0" zoomScale="90" zoomScaleNormal="90" workbookViewId="0">
      <selection activeCell="C2" sqref="C2"/>
    </sheetView>
  </sheetViews>
  <sheetFormatPr defaultColWidth="9.28515625" defaultRowHeight="15" outlineLevelRow="1"/>
  <cols>
    <col min="1" max="1" width="14.42578125" customWidth="1"/>
    <col min="2" max="21" width="7.7109375" customWidth="1"/>
  </cols>
  <sheetData>
    <row r="1" spans="1:21" ht="19.5" thickBot="1">
      <c r="A1" s="23" t="str">
        <f>IS!A1</f>
        <v>Simple Tech Startup</v>
      </c>
    </row>
    <row r="2" spans="1:21" ht="16.5" thickBot="1">
      <c r="A2" s="25" t="s">
        <v>90</v>
      </c>
      <c r="B2" s="27" t="s">
        <v>47</v>
      </c>
      <c r="C2" s="28">
        <v>2</v>
      </c>
      <c r="D2" s="31" t="str">
        <f ca="1">OFFSET($B$9,$C$2-1,0)</f>
        <v>Case B</v>
      </c>
      <c r="E2" s="29"/>
      <c r="F2" s="30"/>
    </row>
    <row r="3" spans="1:21">
      <c r="A3" s="24" t="str">
        <f>IS!A3</f>
        <v>($ in 000s)</v>
      </c>
    </row>
    <row r="4" spans="1:21">
      <c r="B4" s="12"/>
      <c r="C4" s="12" t="str">
        <f>IS!C4</f>
        <v>Mo.</v>
      </c>
      <c r="D4" s="12" t="str">
        <f>IS!D4</f>
        <v>Mo.</v>
      </c>
      <c r="E4" s="12" t="str">
        <f>IS!E4</f>
        <v>Mo.</v>
      </c>
      <c r="F4" s="12" t="str">
        <f>IS!F4</f>
        <v>Mo.</v>
      </c>
      <c r="G4" s="12" t="str">
        <f>IS!G4</f>
        <v>Mo.</v>
      </c>
      <c r="H4" s="12" t="str">
        <f>IS!H4</f>
        <v>Mo.</v>
      </c>
      <c r="I4" s="12" t="str">
        <f>IS!I4</f>
        <v>Mo.</v>
      </c>
      <c r="J4" s="12" t="str">
        <f>IS!J4</f>
        <v>Mo.</v>
      </c>
      <c r="K4" s="12" t="str">
        <f>IS!K4</f>
        <v>Mo.</v>
      </c>
      <c r="L4" s="12" t="str">
        <f>IS!L4</f>
        <v>Mo.</v>
      </c>
      <c r="M4" s="12" t="str">
        <f>IS!M4</f>
        <v>Mo.</v>
      </c>
      <c r="N4" s="12" t="str">
        <f>IS!N4</f>
        <v>Mo.</v>
      </c>
      <c r="O4" s="12" t="str">
        <f>IS!O4</f>
        <v>Qtr.</v>
      </c>
      <c r="P4" s="12" t="str">
        <f>IS!P4</f>
        <v>Qtr.</v>
      </c>
      <c r="Q4" s="12" t="str">
        <f>IS!Q4</f>
        <v>Qtr.</v>
      </c>
      <c r="R4" s="12" t="str">
        <f>IS!R4</f>
        <v>Qtr.</v>
      </c>
      <c r="S4" s="12" t="str">
        <f>IS!S4</f>
        <v>Year</v>
      </c>
      <c r="T4" s="12" t="str">
        <f>IS!T4</f>
        <v>Year</v>
      </c>
      <c r="U4" s="12" t="str">
        <f>IS!U4</f>
        <v>Year</v>
      </c>
    </row>
    <row r="5" spans="1:21">
      <c r="A5" t="s">
        <v>2</v>
      </c>
      <c r="B5" s="14"/>
      <c r="C5" s="14">
        <f>IS!C5</f>
        <v>40938</v>
      </c>
      <c r="D5" s="14">
        <f>IS!D5</f>
        <v>40968</v>
      </c>
      <c r="E5" s="14">
        <f>IS!E5</f>
        <v>40998</v>
      </c>
      <c r="F5" s="14">
        <f>IS!F5</f>
        <v>41028</v>
      </c>
      <c r="G5" s="14">
        <f>IS!G5</f>
        <v>41058</v>
      </c>
      <c r="H5" s="14">
        <f>IS!H5</f>
        <v>41088</v>
      </c>
      <c r="I5" s="14">
        <f>IS!I5</f>
        <v>41118</v>
      </c>
      <c r="J5" s="14">
        <f>IS!J5</f>
        <v>41148</v>
      </c>
      <c r="K5" s="14">
        <f>IS!K5</f>
        <v>41178</v>
      </c>
      <c r="L5" s="14">
        <f>IS!L5</f>
        <v>41208</v>
      </c>
      <c r="M5" s="14">
        <f>IS!M5</f>
        <v>41238</v>
      </c>
      <c r="N5" s="14">
        <f>IS!N5</f>
        <v>41268</v>
      </c>
      <c r="O5" s="14">
        <f>IS!O5</f>
        <v>41358</v>
      </c>
      <c r="P5" s="14">
        <f>IS!P5</f>
        <v>41448</v>
      </c>
      <c r="Q5" s="14">
        <f>IS!Q5</f>
        <v>41538</v>
      </c>
      <c r="R5" s="14">
        <f>IS!R5</f>
        <v>41628</v>
      </c>
      <c r="S5" s="14">
        <f>IS!S5</f>
        <v>41988</v>
      </c>
      <c r="T5" s="14">
        <f>IS!T5</f>
        <v>42348</v>
      </c>
      <c r="U5" s="14">
        <f>IS!U5</f>
        <v>42708</v>
      </c>
    </row>
    <row r="6" spans="1:21" s="3" customFormat="1" outlineLevel="1">
      <c r="A6" s="3" t="s">
        <v>1</v>
      </c>
      <c r="B6" s="12"/>
      <c r="C6" s="12">
        <f>IS!C6</f>
        <v>1</v>
      </c>
      <c r="D6" s="12">
        <f>IS!D6</f>
        <v>1</v>
      </c>
      <c r="E6" s="12">
        <f>IS!E6</f>
        <v>1</v>
      </c>
      <c r="F6" s="12">
        <f>IS!F6</f>
        <v>1</v>
      </c>
      <c r="G6" s="12">
        <f>IS!G6</f>
        <v>1</v>
      </c>
      <c r="H6" s="12">
        <f>IS!H6</f>
        <v>1</v>
      </c>
      <c r="I6" s="12">
        <f>IS!I6</f>
        <v>1</v>
      </c>
      <c r="J6" s="12">
        <f>IS!J6</f>
        <v>1</v>
      </c>
      <c r="K6" s="12">
        <f>IS!K6</f>
        <v>1</v>
      </c>
      <c r="L6" s="12">
        <f>IS!L6</f>
        <v>1</v>
      </c>
      <c r="M6" s="12">
        <f>IS!M6</f>
        <v>1</v>
      </c>
      <c r="N6" s="12">
        <f>IS!N6</f>
        <v>1</v>
      </c>
      <c r="O6" s="12">
        <f>IS!O6</f>
        <v>3</v>
      </c>
      <c r="P6" s="12">
        <f>IS!P6</f>
        <v>3</v>
      </c>
      <c r="Q6" s="12">
        <f>IS!Q6</f>
        <v>3</v>
      </c>
      <c r="R6" s="12">
        <f>IS!R6</f>
        <v>3</v>
      </c>
      <c r="S6" s="12">
        <f>IS!S6</f>
        <v>12</v>
      </c>
      <c r="T6" s="12">
        <f>IS!T6</f>
        <v>12</v>
      </c>
      <c r="U6" s="12">
        <f>IS!U6</f>
        <v>12</v>
      </c>
    </row>
    <row r="9" spans="1:21" outlineLevel="1">
      <c r="A9" s="17">
        <v>1</v>
      </c>
      <c r="B9" s="17" t="s">
        <v>48</v>
      </c>
      <c r="C9" s="7">
        <v>10</v>
      </c>
      <c r="D9" s="7">
        <v>11</v>
      </c>
      <c r="E9" s="7">
        <v>12</v>
      </c>
      <c r="F9" s="7">
        <v>13</v>
      </c>
      <c r="G9" s="7">
        <v>14</v>
      </c>
      <c r="H9" s="7">
        <v>15</v>
      </c>
      <c r="I9" s="7">
        <v>16</v>
      </c>
      <c r="J9" s="7">
        <v>17</v>
      </c>
      <c r="K9" s="7">
        <v>18</v>
      </c>
      <c r="L9" s="7">
        <v>19</v>
      </c>
      <c r="M9" s="7">
        <v>20</v>
      </c>
      <c r="N9" s="7">
        <v>21</v>
      </c>
      <c r="O9" s="7">
        <v>63</v>
      </c>
      <c r="P9" s="7">
        <v>83</v>
      </c>
      <c r="Q9" s="7">
        <v>103</v>
      </c>
      <c r="R9" s="7">
        <v>123</v>
      </c>
      <c r="S9" s="7">
        <f>R9+50</f>
        <v>173</v>
      </c>
      <c r="T9" s="7">
        <f t="shared" ref="T9:U9" si="0">S9+50</f>
        <v>223</v>
      </c>
      <c r="U9" s="7">
        <f t="shared" si="0"/>
        <v>273</v>
      </c>
    </row>
    <row r="10" spans="1:21" outlineLevel="1">
      <c r="A10">
        <f>A9+1</f>
        <v>2</v>
      </c>
      <c r="B10" s="17" t="s">
        <v>49</v>
      </c>
      <c r="C10" s="7">
        <v>20</v>
      </c>
      <c r="D10" s="7">
        <v>21</v>
      </c>
      <c r="E10" s="7">
        <v>22</v>
      </c>
      <c r="F10" s="7">
        <v>23</v>
      </c>
      <c r="G10" s="7">
        <v>24</v>
      </c>
      <c r="H10" s="7">
        <v>25</v>
      </c>
      <c r="I10" s="7">
        <v>26</v>
      </c>
      <c r="J10" s="7">
        <v>27</v>
      </c>
      <c r="K10" s="7">
        <v>28</v>
      </c>
      <c r="L10" s="7">
        <v>29</v>
      </c>
      <c r="M10" s="7">
        <v>30</v>
      </c>
      <c r="N10" s="7">
        <v>31</v>
      </c>
      <c r="O10" s="7">
        <v>93</v>
      </c>
      <c r="P10" s="7">
        <v>113</v>
      </c>
      <c r="Q10" s="7">
        <v>133</v>
      </c>
      <c r="R10" s="7">
        <v>153</v>
      </c>
      <c r="S10" s="7">
        <f t="shared" ref="S10:U10" si="1">R10+50</f>
        <v>203</v>
      </c>
      <c r="T10" s="7">
        <f t="shared" si="1"/>
        <v>253</v>
      </c>
      <c r="U10" s="7">
        <f t="shared" si="1"/>
        <v>303</v>
      </c>
    </row>
    <row r="11" spans="1:21" outlineLevel="1">
      <c r="A11">
        <f t="shared" ref="A11:A13" si="2">A10+1</f>
        <v>3</v>
      </c>
      <c r="B11" s="17" t="s">
        <v>50</v>
      </c>
      <c r="C11" s="7">
        <v>30</v>
      </c>
      <c r="D11" s="7">
        <v>31</v>
      </c>
      <c r="E11" s="7">
        <v>32</v>
      </c>
      <c r="F11" s="7">
        <v>33</v>
      </c>
      <c r="G11" s="7">
        <v>34</v>
      </c>
      <c r="H11" s="7">
        <v>35</v>
      </c>
      <c r="I11" s="7">
        <v>36</v>
      </c>
      <c r="J11" s="7">
        <v>37</v>
      </c>
      <c r="K11" s="7">
        <v>38</v>
      </c>
      <c r="L11" s="7">
        <v>39</v>
      </c>
      <c r="M11" s="7">
        <v>40</v>
      </c>
      <c r="N11" s="7">
        <v>41</v>
      </c>
      <c r="O11" s="7">
        <v>123</v>
      </c>
      <c r="P11" s="7">
        <v>143</v>
      </c>
      <c r="Q11" s="7">
        <v>163</v>
      </c>
      <c r="R11" s="7">
        <v>183</v>
      </c>
      <c r="S11" s="7">
        <f t="shared" ref="S11:U11" si="3">R11+50</f>
        <v>233</v>
      </c>
      <c r="T11" s="7">
        <f t="shared" si="3"/>
        <v>283</v>
      </c>
      <c r="U11" s="7">
        <f t="shared" si="3"/>
        <v>333</v>
      </c>
    </row>
    <row r="12" spans="1:21" outlineLevel="1">
      <c r="A12">
        <f t="shared" si="2"/>
        <v>4</v>
      </c>
      <c r="B12" s="17" t="s">
        <v>51</v>
      </c>
      <c r="C12" s="7">
        <v>40</v>
      </c>
      <c r="D12" s="7">
        <v>41</v>
      </c>
      <c r="E12" s="7">
        <v>42</v>
      </c>
      <c r="F12" s="7">
        <v>43</v>
      </c>
      <c r="G12" s="7">
        <v>44</v>
      </c>
      <c r="H12" s="7">
        <v>45</v>
      </c>
      <c r="I12" s="7">
        <v>46</v>
      </c>
      <c r="J12" s="7">
        <v>47</v>
      </c>
      <c r="K12" s="7">
        <v>48</v>
      </c>
      <c r="L12" s="7">
        <v>49</v>
      </c>
      <c r="M12" s="7">
        <v>50</v>
      </c>
      <c r="N12" s="7">
        <v>51</v>
      </c>
      <c r="O12" s="7">
        <v>153</v>
      </c>
      <c r="P12" s="7">
        <v>173</v>
      </c>
      <c r="Q12" s="7">
        <v>193</v>
      </c>
      <c r="R12" s="7">
        <v>213</v>
      </c>
      <c r="S12" s="7">
        <f t="shared" ref="S12:U12" si="4">R12+50</f>
        <v>263</v>
      </c>
      <c r="T12" s="7">
        <f t="shared" si="4"/>
        <v>313</v>
      </c>
      <c r="U12" s="7">
        <f t="shared" si="4"/>
        <v>363</v>
      </c>
    </row>
    <row r="13" spans="1:21" outlineLevel="1">
      <c r="A13">
        <f t="shared" si="2"/>
        <v>5</v>
      </c>
      <c r="B13" s="17" t="s">
        <v>52</v>
      </c>
      <c r="C13" s="7">
        <v>50</v>
      </c>
      <c r="D13" s="7">
        <v>51</v>
      </c>
      <c r="E13" s="7">
        <v>52</v>
      </c>
      <c r="F13" s="7">
        <v>53</v>
      </c>
      <c r="G13" s="7">
        <v>54</v>
      </c>
      <c r="H13" s="7">
        <v>55</v>
      </c>
      <c r="I13" s="7">
        <v>56</v>
      </c>
      <c r="J13" s="7">
        <v>57</v>
      </c>
      <c r="K13" s="7">
        <v>58</v>
      </c>
      <c r="L13" s="7">
        <v>59</v>
      </c>
      <c r="M13" s="7">
        <v>60</v>
      </c>
      <c r="N13" s="7">
        <v>61</v>
      </c>
      <c r="O13" s="7">
        <v>183</v>
      </c>
      <c r="P13" s="7">
        <v>203</v>
      </c>
      <c r="Q13" s="7">
        <v>223</v>
      </c>
      <c r="R13" s="7">
        <v>243</v>
      </c>
      <c r="S13" s="7">
        <f t="shared" ref="S13:U13" si="5">R13+50</f>
        <v>293</v>
      </c>
      <c r="T13" s="7">
        <f t="shared" si="5"/>
        <v>343</v>
      </c>
      <c r="U13" s="7">
        <f t="shared" si="5"/>
        <v>393</v>
      </c>
    </row>
    <row r="14" spans="1:21">
      <c r="A14" s="3" t="s">
        <v>7</v>
      </c>
      <c r="B14" s="7"/>
      <c r="C14" s="11">
        <f ca="1">OFFSET(C9,$C$2-1,0)</f>
        <v>20</v>
      </c>
      <c r="D14" s="11">
        <f t="shared" ref="D14:U14" ca="1" si="6">OFFSET(D9,$C$2-1,0)</f>
        <v>21</v>
      </c>
      <c r="E14" s="11">
        <f t="shared" ca="1" si="6"/>
        <v>22</v>
      </c>
      <c r="F14" s="11">
        <f t="shared" ca="1" si="6"/>
        <v>23</v>
      </c>
      <c r="G14" s="11">
        <f t="shared" ca="1" si="6"/>
        <v>24</v>
      </c>
      <c r="H14" s="11">
        <f t="shared" ca="1" si="6"/>
        <v>25</v>
      </c>
      <c r="I14" s="11">
        <f t="shared" ca="1" si="6"/>
        <v>26</v>
      </c>
      <c r="J14" s="11">
        <f t="shared" ca="1" si="6"/>
        <v>27</v>
      </c>
      <c r="K14" s="11">
        <f t="shared" ca="1" si="6"/>
        <v>28</v>
      </c>
      <c r="L14" s="11">
        <f t="shared" ca="1" si="6"/>
        <v>29</v>
      </c>
      <c r="M14" s="11">
        <f t="shared" ca="1" si="6"/>
        <v>30</v>
      </c>
      <c r="N14" s="11">
        <f t="shared" ca="1" si="6"/>
        <v>31</v>
      </c>
      <c r="O14" s="11">
        <f t="shared" ca="1" si="6"/>
        <v>93</v>
      </c>
      <c r="P14" s="11">
        <f t="shared" ref="P14:R14" ca="1" si="7">OFFSET(P9,$C$2-1,0)</f>
        <v>113</v>
      </c>
      <c r="Q14" s="11">
        <f t="shared" ca="1" si="7"/>
        <v>133</v>
      </c>
      <c r="R14" s="11">
        <f t="shared" ca="1" si="7"/>
        <v>153</v>
      </c>
      <c r="S14" s="11">
        <f t="shared" ca="1" si="6"/>
        <v>203</v>
      </c>
      <c r="T14" s="11">
        <f t="shared" ca="1" si="6"/>
        <v>253</v>
      </c>
      <c r="U14" s="11">
        <f t="shared" ca="1" si="6"/>
        <v>303</v>
      </c>
    </row>
    <row r="15" spans="1:21">
      <c r="A15" s="3"/>
      <c r="B15" s="7"/>
      <c r="C15" s="7"/>
      <c r="D15" s="7"/>
      <c r="E15" s="7"/>
      <c r="F15" s="7"/>
      <c r="G15" s="7"/>
      <c r="H15" s="7"/>
      <c r="I15" s="7"/>
      <c r="J15" s="7"/>
      <c r="K15" s="7"/>
      <c r="L15" s="7"/>
      <c r="M15" s="7"/>
      <c r="N15" s="7"/>
      <c r="O15" s="7"/>
      <c r="P15" s="7"/>
      <c r="Q15" s="7"/>
      <c r="R15" s="7"/>
      <c r="S15" s="7"/>
      <c r="T15" s="7"/>
      <c r="U15" s="7"/>
    </row>
    <row r="16" spans="1:21" outlineLevel="1">
      <c r="A16" s="17">
        <v>1</v>
      </c>
      <c r="B16" s="17" t="s">
        <v>48</v>
      </c>
      <c r="C16" s="7">
        <v>10</v>
      </c>
      <c r="D16" s="7">
        <v>11</v>
      </c>
      <c r="E16" s="7">
        <v>12</v>
      </c>
      <c r="F16" s="7">
        <v>13</v>
      </c>
      <c r="G16" s="7">
        <v>14</v>
      </c>
      <c r="H16" s="7">
        <v>15</v>
      </c>
      <c r="I16" s="7">
        <v>16</v>
      </c>
      <c r="J16" s="7">
        <v>17</v>
      </c>
      <c r="K16" s="7">
        <v>18</v>
      </c>
      <c r="L16" s="7">
        <v>19</v>
      </c>
      <c r="M16" s="7">
        <v>20</v>
      </c>
      <c r="N16" s="7">
        <v>21</v>
      </c>
      <c r="O16" s="7">
        <v>63</v>
      </c>
      <c r="P16" s="7">
        <v>83</v>
      </c>
      <c r="Q16" s="7">
        <v>103</v>
      </c>
      <c r="R16" s="7">
        <v>123</v>
      </c>
      <c r="S16" s="7">
        <v>173</v>
      </c>
      <c r="T16" s="7">
        <v>223</v>
      </c>
      <c r="U16" s="7">
        <v>273</v>
      </c>
    </row>
    <row r="17" spans="1:21" outlineLevel="1">
      <c r="A17">
        <f>A16+1</f>
        <v>2</v>
      </c>
      <c r="B17" s="17" t="s">
        <v>49</v>
      </c>
      <c r="C17" s="7">
        <v>20</v>
      </c>
      <c r="D17" s="7">
        <v>21</v>
      </c>
      <c r="E17" s="7">
        <v>22</v>
      </c>
      <c r="F17" s="7">
        <v>23</v>
      </c>
      <c r="G17" s="7">
        <v>24</v>
      </c>
      <c r="H17" s="7">
        <v>25</v>
      </c>
      <c r="I17" s="7">
        <v>26</v>
      </c>
      <c r="J17" s="7">
        <v>27</v>
      </c>
      <c r="K17" s="7">
        <v>28</v>
      </c>
      <c r="L17" s="7">
        <v>29</v>
      </c>
      <c r="M17" s="7">
        <v>30</v>
      </c>
      <c r="N17" s="7">
        <v>31</v>
      </c>
      <c r="O17" s="7">
        <v>93</v>
      </c>
      <c r="P17" s="7">
        <v>113</v>
      </c>
      <c r="Q17" s="7">
        <v>133</v>
      </c>
      <c r="R17" s="7">
        <v>153</v>
      </c>
      <c r="S17" s="7">
        <v>203</v>
      </c>
      <c r="T17" s="7">
        <v>253</v>
      </c>
      <c r="U17" s="7">
        <v>303</v>
      </c>
    </row>
    <row r="18" spans="1:21" outlineLevel="1">
      <c r="A18">
        <f t="shared" ref="A18:A20" si="8">A17+1</f>
        <v>3</v>
      </c>
      <c r="B18" s="17" t="s">
        <v>50</v>
      </c>
      <c r="C18" s="7">
        <v>30</v>
      </c>
      <c r="D18" s="7">
        <v>31</v>
      </c>
      <c r="E18" s="7">
        <v>32</v>
      </c>
      <c r="F18" s="7">
        <v>33</v>
      </c>
      <c r="G18" s="7">
        <v>34</v>
      </c>
      <c r="H18" s="7">
        <v>35</v>
      </c>
      <c r="I18" s="7">
        <v>36</v>
      </c>
      <c r="J18" s="7">
        <v>37</v>
      </c>
      <c r="K18" s="7">
        <v>38</v>
      </c>
      <c r="L18" s="7">
        <v>39</v>
      </c>
      <c r="M18" s="7">
        <v>40</v>
      </c>
      <c r="N18" s="7">
        <v>41</v>
      </c>
      <c r="O18" s="7">
        <v>123</v>
      </c>
      <c r="P18" s="7">
        <v>143</v>
      </c>
      <c r="Q18" s="7">
        <v>163</v>
      </c>
      <c r="R18" s="7">
        <v>183</v>
      </c>
      <c r="S18" s="7">
        <v>233</v>
      </c>
      <c r="T18" s="7">
        <v>283</v>
      </c>
      <c r="U18" s="7">
        <v>333</v>
      </c>
    </row>
    <row r="19" spans="1:21" outlineLevel="1">
      <c r="A19">
        <f t="shared" si="8"/>
        <v>4</v>
      </c>
      <c r="B19" s="17" t="s">
        <v>51</v>
      </c>
      <c r="C19" s="7">
        <v>40</v>
      </c>
      <c r="D19" s="7">
        <v>41</v>
      </c>
      <c r="E19" s="7">
        <v>42</v>
      </c>
      <c r="F19" s="7">
        <v>43</v>
      </c>
      <c r="G19" s="7">
        <v>44</v>
      </c>
      <c r="H19" s="7">
        <v>45</v>
      </c>
      <c r="I19" s="7">
        <v>46</v>
      </c>
      <c r="J19" s="7">
        <v>47</v>
      </c>
      <c r="K19" s="7">
        <v>48</v>
      </c>
      <c r="L19" s="7">
        <v>49</v>
      </c>
      <c r="M19" s="7">
        <v>50</v>
      </c>
      <c r="N19" s="7">
        <v>51</v>
      </c>
      <c r="O19" s="7">
        <v>153</v>
      </c>
      <c r="P19" s="7">
        <v>173</v>
      </c>
      <c r="Q19" s="7">
        <v>193</v>
      </c>
      <c r="R19" s="7">
        <v>213</v>
      </c>
      <c r="S19" s="7">
        <v>263</v>
      </c>
      <c r="T19" s="7">
        <v>313</v>
      </c>
      <c r="U19" s="7">
        <v>363</v>
      </c>
    </row>
    <row r="20" spans="1:21" outlineLevel="1">
      <c r="A20">
        <f t="shared" si="8"/>
        <v>5</v>
      </c>
      <c r="B20" s="17" t="s">
        <v>52</v>
      </c>
      <c r="C20" s="7">
        <v>50</v>
      </c>
      <c r="D20" s="7">
        <v>51</v>
      </c>
      <c r="E20" s="7">
        <v>52</v>
      </c>
      <c r="F20" s="7">
        <v>53</v>
      </c>
      <c r="G20" s="7">
        <v>54</v>
      </c>
      <c r="H20" s="7">
        <v>55</v>
      </c>
      <c r="I20" s="7">
        <v>56</v>
      </c>
      <c r="J20" s="7">
        <v>57</v>
      </c>
      <c r="K20" s="7">
        <v>58</v>
      </c>
      <c r="L20" s="7">
        <v>59</v>
      </c>
      <c r="M20" s="7">
        <v>60</v>
      </c>
      <c r="N20" s="7">
        <v>61</v>
      </c>
      <c r="O20" s="7">
        <v>183</v>
      </c>
      <c r="P20" s="7">
        <v>203</v>
      </c>
      <c r="Q20" s="7">
        <v>223</v>
      </c>
      <c r="R20" s="7">
        <v>243</v>
      </c>
      <c r="S20" s="7">
        <v>293</v>
      </c>
      <c r="T20" s="7">
        <v>343</v>
      </c>
      <c r="U20" s="7">
        <v>393</v>
      </c>
    </row>
    <row r="21" spans="1:21">
      <c r="A21" s="3" t="s">
        <v>23</v>
      </c>
      <c r="B21" s="7"/>
      <c r="C21" s="11">
        <f ca="1">OFFSET(C16,$C$2-1,0)</f>
        <v>20</v>
      </c>
      <c r="D21" s="11">
        <f t="shared" ref="D21:U21" ca="1" si="9">OFFSET(D16,$C$2-1,0)</f>
        <v>21</v>
      </c>
      <c r="E21" s="11">
        <f t="shared" ca="1" si="9"/>
        <v>22</v>
      </c>
      <c r="F21" s="11">
        <f t="shared" ca="1" si="9"/>
        <v>23</v>
      </c>
      <c r="G21" s="11">
        <f t="shared" ca="1" si="9"/>
        <v>24</v>
      </c>
      <c r="H21" s="11">
        <f t="shared" ca="1" si="9"/>
        <v>25</v>
      </c>
      <c r="I21" s="11">
        <f t="shared" ca="1" si="9"/>
        <v>26</v>
      </c>
      <c r="J21" s="11">
        <f t="shared" ca="1" si="9"/>
        <v>27</v>
      </c>
      <c r="K21" s="11">
        <f t="shared" ca="1" si="9"/>
        <v>28</v>
      </c>
      <c r="L21" s="11">
        <f t="shared" ca="1" si="9"/>
        <v>29</v>
      </c>
      <c r="M21" s="11">
        <f t="shared" ca="1" si="9"/>
        <v>30</v>
      </c>
      <c r="N21" s="11">
        <f t="shared" ca="1" si="9"/>
        <v>31</v>
      </c>
      <c r="O21" s="11">
        <f t="shared" ca="1" si="9"/>
        <v>93</v>
      </c>
      <c r="P21" s="11">
        <f t="shared" ref="P21:R21" ca="1" si="10">OFFSET(P16,$C$2-1,0)</f>
        <v>113</v>
      </c>
      <c r="Q21" s="11">
        <f t="shared" ca="1" si="10"/>
        <v>133</v>
      </c>
      <c r="R21" s="11">
        <f t="shared" ca="1" si="10"/>
        <v>153</v>
      </c>
      <c r="S21" s="11">
        <f t="shared" ca="1" si="9"/>
        <v>203</v>
      </c>
      <c r="T21" s="11">
        <f t="shared" ca="1" si="9"/>
        <v>253</v>
      </c>
      <c r="U21" s="11">
        <f t="shared" ca="1" si="9"/>
        <v>303</v>
      </c>
    </row>
    <row r="22" spans="1:21">
      <c r="A22" s="3"/>
      <c r="B22" s="7"/>
      <c r="C22" s="7"/>
      <c r="D22" s="7"/>
      <c r="E22" s="7"/>
      <c r="F22" s="7"/>
      <c r="G22" s="7"/>
      <c r="H22" s="7"/>
      <c r="I22" s="7"/>
      <c r="J22" s="7"/>
      <c r="K22" s="7"/>
      <c r="L22" s="7"/>
      <c r="M22" s="7"/>
      <c r="N22" s="7"/>
      <c r="O22" s="7"/>
      <c r="P22" s="7"/>
      <c r="Q22" s="7"/>
      <c r="R22" s="7"/>
      <c r="S22" s="7"/>
      <c r="T22" s="7"/>
      <c r="U22" s="7"/>
    </row>
    <row r="23" spans="1:21">
      <c r="A23" s="3"/>
      <c r="B23" s="7"/>
      <c r="C23" s="7"/>
      <c r="D23" s="7"/>
      <c r="E23" s="7"/>
      <c r="F23" s="7"/>
      <c r="G23" s="7"/>
      <c r="H23" s="7"/>
      <c r="I23" s="7"/>
      <c r="J23" s="7"/>
      <c r="K23" s="7"/>
      <c r="L23" s="7"/>
      <c r="M23" s="7"/>
      <c r="N23" s="7"/>
      <c r="O23" s="7"/>
      <c r="P23" s="7"/>
      <c r="Q23" s="7"/>
      <c r="R23" s="7"/>
      <c r="S23" s="7"/>
      <c r="T23" s="7"/>
      <c r="U23" s="7"/>
    </row>
    <row r="24" spans="1:21">
      <c r="A24" s="3"/>
      <c r="B24" s="7"/>
      <c r="C24" s="7"/>
      <c r="D24" s="7"/>
      <c r="E24" s="7"/>
      <c r="F24" s="7"/>
      <c r="G24" s="7"/>
      <c r="H24" s="7"/>
      <c r="I24" s="7"/>
      <c r="J24" s="7"/>
      <c r="K24" s="7"/>
      <c r="L24" s="7"/>
      <c r="M24" s="7"/>
      <c r="N24" s="7"/>
      <c r="O24" s="7"/>
      <c r="P24" s="7"/>
      <c r="Q24" s="7"/>
      <c r="R24" s="7"/>
      <c r="S24" s="7"/>
      <c r="T24" s="7"/>
      <c r="U24" s="7"/>
    </row>
    <row r="25" spans="1:21">
      <c r="A25" s="3"/>
      <c r="B25" s="7"/>
      <c r="C25" s="7"/>
      <c r="D25" s="7"/>
      <c r="E25" s="7"/>
      <c r="F25" s="7"/>
      <c r="G25" s="7"/>
      <c r="H25" s="7"/>
      <c r="I25" s="7"/>
      <c r="J25" s="7"/>
      <c r="K25" s="7"/>
      <c r="L25" s="7"/>
      <c r="M25" s="7"/>
      <c r="N25" s="7"/>
      <c r="O25" s="7"/>
      <c r="P25" s="7"/>
      <c r="Q25" s="7"/>
      <c r="R25" s="7"/>
      <c r="S25" s="7"/>
      <c r="T25" s="7"/>
      <c r="U25" s="7"/>
    </row>
    <row r="26" spans="1:21">
      <c r="A26" s="3"/>
      <c r="B26" s="7"/>
      <c r="C26" s="7"/>
      <c r="D26" s="7"/>
      <c r="E26" s="7"/>
      <c r="F26" s="7"/>
      <c r="G26" s="7"/>
      <c r="H26" s="7"/>
      <c r="I26" s="7"/>
      <c r="J26" s="7"/>
      <c r="K26" s="7"/>
      <c r="L26" s="7"/>
      <c r="M26" s="7"/>
      <c r="N26" s="7"/>
      <c r="O26" s="7"/>
      <c r="P26" s="7"/>
      <c r="Q26" s="7"/>
      <c r="R26" s="7"/>
      <c r="S26" s="7"/>
      <c r="T26" s="7"/>
      <c r="U26" s="7"/>
    </row>
  </sheetData>
  <pageMargins left="0.5" right="0.5" top="0.5" bottom="0.5" header="0.3" footer="0.3"/>
  <pageSetup scale="80" orientation="landscape" r:id="rId1"/>
</worksheet>
</file>

<file path=xl/worksheets/sheet7.xml><?xml version="1.0" encoding="utf-8"?>
<worksheet xmlns="http://schemas.openxmlformats.org/spreadsheetml/2006/main" xmlns:r="http://schemas.openxmlformats.org/officeDocument/2006/relationships">
  <dimension ref="A1:U33"/>
  <sheetViews>
    <sheetView showGridLines="0" zoomScale="90" zoomScaleNormal="90" workbookViewId="0"/>
  </sheetViews>
  <sheetFormatPr defaultColWidth="9.28515625" defaultRowHeight="15" outlineLevelRow="1"/>
  <cols>
    <col min="1" max="1" width="14.42578125" customWidth="1"/>
    <col min="2" max="21" width="7.7109375" customWidth="1"/>
  </cols>
  <sheetData>
    <row r="1" spans="1:21" ht="18.75">
      <c r="A1" s="23" t="str">
        <f>IS!A1</f>
        <v>Simple Tech Startup</v>
      </c>
    </row>
    <row r="2" spans="1:21" ht="15.75">
      <c r="A2" s="25" t="s">
        <v>31</v>
      </c>
    </row>
    <row r="3" spans="1:21">
      <c r="A3" s="24" t="str">
        <f>IS!A3</f>
        <v>($ in 000s)</v>
      </c>
    </row>
    <row r="4" spans="1:21">
      <c r="B4" s="12"/>
      <c r="C4" s="12" t="str">
        <f>IS!C4</f>
        <v>Mo.</v>
      </c>
      <c r="D4" s="12" t="str">
        <f>IS!D4</f>
        <v>Mo.</v>
      </c>
      <c r="E4" s="12" t="str">
        <f>IS!E4</f>
        <v>Mo.</v>
      </c>
      <c r="F4" s="12" t="str">
        <f>IS!F4</f>
        <v>Mo.</v>
      </c>
      <c r="G4" s="12" t="str">
        <f>IS!G4</f>
        <v>Mo.</v>
      </c>
      <c r="H4" s="12" t="str">
        <f>IS!H4</f>
        <v>Mo.</v>
      </c>
      <c r="I4" s="12" t="str">
        <f>IS!I4</f>
        <v>Mo.</v>
      </c>
      <c r="J4" s="12" t="str">
        <f>IS!J4</f>
        <v>Mo.</v>
      </c>
      <c r="K4" s="12" t="str">
        <f>IS!K4</f>
        <v>Mo.</v>
      </c>
      <c r="L4" s="12" t="str">
        <f>IS!L4</f>
        <v>Mo.</v>
      </c>
      <c r="M4" s="12" t="str">
        <f>IS!M4</f>
        <v>Mo.</v>
      </c>
      <c r="N4" s="12" t="str">
        <f>IS!N4</f>
        <v>Mo.</v>
      </c>
      <c r="O4" s="12" t="str">
        <f>IS!O4</f>
        <v>Qtr.</v>
      </c>
      <c r="P4" s="12" t="str">
        <f>IS!P4</f>
        <v>Qtr.</v>
      </c>
      <c r="Q4" s="12" t="str">
        <f>IS!Q4</f>
        <v>Qtr.</v>
      </c>
      <c r="R4" s="12" t="str">
        <f>IS!R4</f>
        <v>Qtr.</v>
      </c>
      <c r="S4" s="12" t="str">
        <f>IS!S4</f>
        <v>Year</v>
      </c>
      <c r="T4" s="12" t="str">
        <f>IS!T4</f>
        <v>Year</v>
      </c>
      <c r="U4" s="12" t="str">
        <f>IS!U4</f>
        <v>Year</v>
      </c>
    </row>
    <row r="5" spans="1:21">
      <c r="A5" t="s">
        <v>2</v>
      </c>
      <c r="B5" s="14"/>
      <c r="C5" s="14">
        <f>IS!C5</f>
        <v>40938</v>
      </c>
      <c r="D5" s="14">
        <f>IS!D5</f>
        <v>40968</v>
      </c>
      <c r="E5" s="14">
        <f>IS!E5</f>
        <v>40998</v>
      </c>
      <c r="F5" s="14">
        <f>IS!F5</f>
        <v>41028</v>
      </c>
      <c r="G5" s="14">
        <f>IS!G5</f>
        <v>41058</v>
      </c>
      <c r="H5" s="14">
        <f>IS!H5</f>
        <v>41088</v>
      </c>
      <c r="I5" s="14">
        <f>IS!I5</f>
        <v>41118</v>
      </c>
      <c r="J5" s="14">
        <f>IS!J5</f>
        <v>41148</v>
      </c>
      <c r="K5" s="14">
        <f>IS!K5</f>
        <v>41178</v>
      </c>
      <c r="L5" s="14">
        <f>IS!L5</f>
        <v>41208</v>
      </c>
      <c r="M5" s="14">
        <f>IS!M5</f>
        <v>41238</v>
      </c>
      <c r="N5" s="14">
        <f>IS!N5</f>
        <v>41268</v>
      </c>
      <c r="O5" s="14">
        <f>IS!O5</f>
        <v>41358</v>
      </c>
      <c r="P5" s="14">
        <f>IS!P5</f>
        <v>41448</v>
      </c>
      <c r="Q5" s="14">
        <f>IS!Q5</f>
        <v>41538</v>
      </c>
      <c r="R5" s="14">
        <f>IS!R5</f>
        <v>41628</v>
      </c>
      <c r="S5" s="14">
        <f>IS!S5</f>
        <v>41988</v>
      </c>
      <c r="T5" s="14">
        <f>IS!T5</f>
        <v>42348</v>
      </c>
      <c r="U5" s="14">
        <f>IS!U5</f>
        <v>42708</v>
      </c>
    </row>
    <row r="6" spans="1:21" s="3" customFormat="1" hidden="1" outlineLevel="1">
      <c r="A6" s="3" t="s">
        <v>1</v>
      </c>
      <c r="B6" s="12"/>
      <c r="C6" s="12">
        <f>IS!C6</f>
        <v>1</v>
      </c>
      <c r="D6" s="12">
        <f>IS!D6</f>
        <v>1</v>
      </c>
      <c r="E6" s="12">
        <f>IS!E6</f>
        <v>1</v>
      </c>
      <c r="F6" s="12">
        <f>IS!F6</f>
        <v>1</v>
      </c>
      <c r="G6" s="12">
        <f>IS!G6</f>
        <v>1</v>
      </c>
      <c r="H6" s="12">
        <f>IS!H6</f>
        <v>1</v>
      </c>
      <c r="I6" s="12">
        <f>IS!I6</f>
        <v>1</v>
      </c>
      <c r="J6" s="12">
        <f>IS!J6</f>
        <v>1</v>
      </c>
      <c r="K6" s="12">
        <f>IS!K6</f>
        <v>1</v>
      </c>
      <c r="L6" s="12">
        <f>IS!L6</f>
        <v>1</v>
      </c>
      <c r="M6" s="12">
        <f>IS!M6</f>
        <v>1</v>
      </c>
      <c r="N6" s="12">
        <f>IS!N6</f>
        <v>1</v>
      </c>
      <c r="O6" s="12">
        <f>IS!O6</f>
        <v>3</v>
      </c>
      <c r="P6" s="12">
        <f>IS!P6</f>
        <v>3</v>
      </c>
      <c r="Q6" s="12">
        <f>IS!Q6</f>
        <v>3</v>
      </c>
      <c r="R6" s="12">
        <f>IS!R6</f>
        <v>3</v>
      </c>
      <c r="S6" s="12">
        <f>IS!S6</f>
        <v>12</v>
      </c>
      <c r="T6" s="12">
        <f>IS!T6</f>
        <v>12</v>
      </c>
      <c r="U6" s="12">
        <f>IS!U6</f>
        <v>12</v>
      </c>
    </row>
    <row r="7" spans="1:21" collapsed="1"/>
    <row r="8" spans="1:21">
      <c r="A8" s="6" t="s">
        <v>33</v>
      </c>
      <c r="B8" s="18"/>
      <c r="C8" s="1" t="s">
        <v>44</v>
      </c>
    </row>
    <row r="9" spans="1:21">
      <c r="A9" s="17" t="s">
        <v>34</v>
      </c>
      <c r="B9" s="19"/>
      <c r="C9" s="16">
        <v>1</v>
      </c>
      <c r="D9" s="16">
        <v>1</v>
      </c>
      <c r="E9" s="16">
        <v>1</v>
      </c>
      <c r="F9" s="16">
        <v>1</v>
      </c>
      <c r="G9" s="16">
        <v>1</v>
      </c>
      <c r="H9" s="16">
        <v>1</v>
      </c>
      <c r="I9" s="16">
        <v>1</v>
      </c>
      <c r="J9" s="16">
        <v>1</v>
      </c>
      <c r="K9" s="16">
        <v>1</v>
      </c>
      <c r="L9" s="16">
        <v>1</v>
      </c>
      <c r="M9" s="16">
        <v>1</v>
      </c>
      <c r="N9" s="16">
        <v>1</v>
      </c>
      <c r="O9" s="16">
        <v>1</v>
      </c>
      <c r="P9" s="16">
        <v>1</v>
      </c>
      <c r="Q9" s="16">
        <v>1</v>
      </c>
      <c r="R9" s="16">
        <v>1</v>
      </c>
      <c r="S9" s="16">
        <v>1</v>
      </c>
      <c r="T9" s="16">
        <v>1</v>
      </c>
      <c r="U9" s="16">
        <v>1</v>
      </c>
    </row>
    <row r="10" spans="1:21">
      <c r="A10" s="17" t="s">
        <v>35</v>
      </c>
      <c r="B10" s="19"/>
      <c r="C10" s="16">
        <v>1</v>
      </c>
      <c r="D10" s="16">
        <v>1</v>
      </c>
      <c r="E10" s="16">
        <v>1</v>
      </c>
      <c r="F10" s="16">
        <v>1</v>
      </c>
      <c r="G10" s="16">
        <v>1</v>
      </c>
      <c r="H10" s="16">
        <v>1</v>
      </c>
      <c r="I10" s="16">
        <v>1</v>
      </c>
      <c r="J10" s="16">
        <v>1</v>
      </c>
      <c r="K10" s="16">
        <v>1</v>
      </c>
      <c r="L10" s="16">
        <v>1</v>
      </c>
      <c r="M10" s="16">
        <v>1</v>
      </c>
      <c r="N10" s="16">
        <v>1</v>
      </c>
      <c r="O10" s="16">
        <v>1</v>
      </c>
      <c r="P10" s="16">
        <v>1</v>
      </c>
      <c r="Q10" s="16">
        <v>1</v>
      </c>
      <c r="R10" s="16">
        <v>1</v>
      </c>
      <c r="S10" s="16">
        <v>1</v>
      </c>
      <c r="T10" s="16">
        <v>1</v>
      </c>
      <c r="U10" s="16">
        <v>1</v>
      </c>
    </row>
    <row r="11" spans="1:21">
      <c r="A11" s="17" t="s">
        <v>36</v>
      </c>
      <c r="B11" s="19"/>
      <c r="C11" s="16">
        <v>0</v>
      </c>
      <c r="D11" s="16">
        <v>0</v>
      </c>
      <c r="E11" s="16">
        <v>1</v>
      </c>
      <c r="F11" s="16">
        <v>1</v>
      </c>
      <c r="G11" s="16">
        <v>1</v>
      </c>
      <c r="H11" s="16">
        <v>1</v>
      </c>
      <c r="I11" s="16">
        <v>1</v>
      </c>
      <c r="J11" s="16">
        <v>1</v>
      </c>
      <c r="K11" s="16">
        <v>1</v>
      </c>
      <c r="L11" s="16">
        <v>1</v>
      </c>
      <c r="M11" s="16">
        <v>1</v>
      </c>
      <c r="N11" s="16">
        <v>1</v>
      </c>
      <c r="O11" s="16">
        <v>1</v>
      </c>
      <c r="P11" s="16">
        <v>1</v>
      </c>
      <c r="Q11" s="16">
        <v>1</v>
      </c>
      <c r="R11" s="16">
        <v>1</v>
      </c>
      <c r="S11" s="16">
        <v>1</v>
      </c>
      <c r="T11" s="16">
        <v>1</v>
      </c>
      <c r="U11" s="16">
        <v>1</v>
      </c>
    </row>
    <row r="12" spans="1:21">
      <c r="A12" s="17" t="s">
        <v>37</v>
      </c>
      <c r="B12" s="19"/>
      <c r="C12" s="16">
        <v>0</v>
      </c>
      <c r="D12" s="16">
        <v>0</v>
      </c>
      <c r="E12" s="16">
        <v>1</v>
      </c>
      <c r="F12" s="16">
        <v>1</v>
      </c>
      <c r="G12" s="16">
        <v>1</v>
      </c>
      <c r="H12" s="16">
        <v>1</v>
      </c>
      <c r="I12" s="16">
        <v>1</v>
      </c>
      <c r="J12" s="16">
        <v>1</v>
      </c>
      <c r="K12" s="16">
        <v>1</v>
      </c>
      <c r="L12" s="16">
        <v>1</v>
      </c>
      <c r="M12" s="16">
        <v>1</v>
      </c>
      <c r="N12" s="16">
        <v>1</v>
      </c>
      <c r="O12" s="16">
        <v>1</v>
      </c>
      <c r="P12" s="16">
        <v>1</v>
      </c>
      <c r="Q12" s="16">
        <v>1</v>
      </c>
      <c r="R12" s="16">
        <v>1</v>
      </c>
      <c r="S12" s="16">
        <v>1</v>
      </c>
      <c r="T12" s="16">
        <v>1</v>
      </c>
      <c r="U12" s="16">
        <v>1</v>
      </c>
    </row>
    <row r="13" spans="1:21">
      <c r="A13" s="17" t="s">
        <v>38</v>
      </c>
      <c r="B13" s="19"/>
      <c r="C13" s="16">
        <v>0</v>
      </c>
      <c r="D13" s="16">
        <v>0</v>
      </c>
      <c r="E13" s="16">
        <v>0</v>
      </c>
      <c r="F13" s="16">
        <v>0</v>
      </c>
      <c r="G13" s="16">
        <v>0</v>
      </c>
      <c r="H13" s="16">
        <v>1</v>
      </c>
      <c r="I13" s="16">
        <v>1</v>
      </c>
      <c r="J13" s="16">
        <v>1</v>
      </c>
      <c r="K13" s="16">
        <v>1</v>
      </c>
      <c r="L13" s="16">
        <v>1</v>
      </c>
      <c r="M13" s="16">
        <v>1</v>
      </c>
      <c r="N13" s="16">
        <v>1</v>
      </c>
      <c r="O13" s="16">
        <v>1</v>
      </c>
      <c r="P13" s="16">
        <v>1</v>
      </c>
      <c r="Q13" s="16">
        <v>1</v>
      </c>
      <c r="R13" s="16">
        <v>1</v>
      </c>
      <c r="S13" s="16">
        <v>1</v>
      </c>
      <c r="T13" s="16">
        <v>1</v>
      </c>
      <c r="U13" s="16">
        <v>1</v>
      </c>
    </row>
    <row r="14" spans="1:21">
      <c r="A14" s="17" t="s">
        <v>39</v>
      </c>
      <c r="B14" s="19"/>
      <c r="C14" s="16">
        <v>0</v>
      </c>
      <c r="D14" s="16">
        <v>0</v>
      </c>
      <c r="E14" s="16">
        <v>0</v>
      </c>
      <c r="F14" s="16">
        <v>0</v>
      </c>
      <c r="G14" s="16">
        <v>0</v>
      </c>
      <c r="H14" s="16">
        <v>0</v>
      </c>
      <c r="I14" s="16">
        <v>0</v>
      </c>
      <c r="J14" s="16">
        <v>0</v>
      </c>
      <c r="K14" s="16">
        <v>0</v>
      </c>
      <c r="L14" s="16">
        <v>1</v>
      </c>
      <c r="M14" s="16">
        <v>1</v>
      </c>
      <c r="N14" s="16">
        <v>1</v>
      </c>
      <c r="O14" s="16">
        <v>1</v>
      </c>
      <c r="P14" s="16">
        <v>1</v>
      </c>
      <c r="Q14" s="16">
        <v>1</v>
      </c>
      <c r="R14" s="16">
        <v>1</v>
      </c>
      <c r="S14" s="16">
        <v>1</v>
      </c>
      <c r="T14" s="16">
        <v>1</v>
      </c>
      <c r="U14" s="16">
        <v>1</v>
      </c>
    </row>
    <row r="15" spans="1:21">
      <c r="A15" s="17" t="s">
        <v>40</v>
      </c>
      <c r="B15" s="19"/>
      <c r="C15" s="16">
        <v>0</v>
      </c>
      <c r="D15" s="16">
        <v>0</v>
      </c>
      <c r="E15" s="16">
        <v>0</v>
      </c>
      <c r="F15" s="16">
        <v>0</v>
      </c>
      <c r="G15" s="16">
        <v>0</v>
      </c>
      <c r="H15" s="16">
        <v>0</v>
      </c>
      <c r="I15" s="16">
        <v>0</v>
      </c>
      <c r="J15" s="16">
        <v>0</v>
      </c>
      <c r="K15" s="16">
        <v>0</v>
      </c>
      <c r="L15" s="16">
        <v>0</v>
      </c>
      <c r="M15" s="16">
        <v>0</v>
      </c>
      <c r="N15" s="16">
        <v>0</v>
      </c>
      <c r="O15" s="16">
        <v>1</v>
      </c>
      <c r="P15" s="16">
        <v>1</v>
      </c>
      <c r="Q15" s="16">
        <v>1</v>
      </c>
      <c r="R15" s="16">
        <v>1</v>
      </c>
      <c r="S15" s="16">
        <v>1</v>
      </c>
      <c r="T15" s="16">
        <v>1</v>
      </c>
      <c r="U15" s="16">
        <v>1</v>
      </c>
    </row>
    <row r="16" spans="1:21">
      <c r="A16" s="17" t="s">
        <v>41</v>
      </c>
      <c r="B16" s="19"/>
      <c r="C16" s="16">
        <v>0</v>
      </c>
      <c r="D16" s="16">
        <v>0</v>
      </c>
      <c r="E16" s="16">
        <v>0</v>
      </c>
      <c r="F16" s="16">
        <v>0</v>
      </c>
      <c r="G16" s="16">
        <v>0</v>
      </c>
      <c r="H16" s="16">
        <v>0</v>
      </c>
      <c r="I16" s="16">
        <v>0</v>
      </c>
      <c r="J16" s="16">
        <v>0</v>
      </c>
      <c r="K16" s="16">
        <v>0</v>
      </c>
      <c r="L16" s="16">
        <v>0</v>
      </c>
      <c r="M16" s="16">
        <v>0</v>
      </c>
      <c r="N16" s="16">
        <v>0</v>
      </c>
      <c r="O16" s="16">
        <v>1</v>
      </c>
      <c r="P16" s="16">
        <v>1</v>
      </c>
      <c r="Q16" s="16">
        <v>1</v>
      </c>
      <c r="R16" s="16">
        <v>1</v>
      </c>
      <c r="S16" s="16">
        <v>1</v>
      </c>
      <c r="T16" s="16">
        <v>1</v>
      </c>
      <c r="U16" s="16">
        <v>1</v>
      </c>
    </row>
    <row r="17" spans="1:21">
      <c r="A17" s="17" t="s">
        <v>42</v>
      </c>
      <c r="B17" s="19"/>
      <c r="C17" s="16">
        <v>0</v>
      </c>
      <c r="D17" s="16">
        <v>0</v>
      </c>
      <c r="E17" s="16">
        <v>0</v>
      </c>
      <c r="F17" s="16">
        <v>0</v>
      </c>
      <c r="G17" s="16">
        <v>0</v>
      </c>
      <c r="H17" s="16">
        <v>0</v>
      </c>
      <c r="I17" s="16">
        <v>0</v>
      </c>
      <c r="J17" s="16">
        <v>0</v>
      </c>
      <c r="K17" s="16">
        <v>0</v>
      </c>
      <c r="L17" s="16">
        <v>0</v>
      </c>
      <c r="M17" s="16">
        <v>0</v>
      </c>
      <c r="N17" s="16">
        <v>0</v>
      </c>
      <c r="O17" s="16">
        <v>1</v>
      </c>
      <c r="P17" s="16">
        <v>1</v>
      </c>
      <c r="Q17" s="16">
        <v>1</v>
      </c>
      <c r="R17" s="16">
        <v>1</v>
      </c>
      <c r="S17" s="16">
        <v>1</v>
      </c>
      <c r="T17" s="16">
        <v>1</v>
      </c>
      <c r="U17" s="16">
        <v>1</v>
      </c>
    </row>
    <row r="18" spans="1:21">
      <c r="A18" s="17" t="s">
        <v>43</v>
      </c>
      <c r="B18" s="19"/>
      <c r="C18" s="16">
        <v>0</v>
      </c>
      <c r="D18" s="16">
        <v>0</v>
      </c>
      <c r="E18" s="16">
        <v>0</v>
      </c>
      <c r="F18" s="16">
        <v>0</v>
      </c>
      <c r="G18" s="16">
        <v>0</v>
      </c>
      <c r="H18" s="16">
        <v>0</v>
      </c>
      <c r="I18" s="16">
        <v>0</v>
      </c>
      <c r="J18" s="16">
        <v>0</v>
      </c>
      <c r="K18" s="16">
        <v>0</v>
      </c>
      <c r="L18" s="16">
        <v>0</v>
      </c>
      <c r="M18" s="16">
        <v>0</v>
      </c>
      <c r="N18" s="16">
        <v>0</v>
      </c>
      <c r="O18" s="16">
        <v>1</v>
      </c>
      <c r="P18" s="16">
        <v>1</v>
      </c>
      <c r="Q18" s="16">
        <v>1</v>
      </c>
      <c r="R18" s="16">
        <v>1</v>
      </c>
      <c r="S18" s="16">
        <v>1</v>
      </c>
      <c r="T18" s="16">
        <v>1</v>
      </c>
      <c r="U18" s="16">
        <v>1</v>
      </c>
    </row>
    <row r="20" spans="1:21">
      <c r="A20" s="6" t="s">
        <v>33</v>
      </c>
      <c r="B20" s="18" t="s">
        <v>32</v>
      </c>
      <c r="C20" s="1" t="s">
        <v>45</v>
      </c>
    </row>
    <row r="21" spans="1:21">
      <c r="A21" t="str">
        <f>A9</f>
        <v>Employee 1</v>
      </c>
      <c r="B21" s="19">
        <v>75</v>
      </c>
      <c r="C21" s="15">
        <f>$B21*C$6/12*C9</f>
        <v>6.25</v>
      </c>
      <c r="D21" s="15">
        <f t="shared" ref="D21:U21" si="0">$B21*D$6/12*D9</f>
        <v>6.25</v>
      </c>
      <c r="E21" s="15">
        <f t="shared" si="0"/>
        <v>6.25</v>
      </c>
      <c r="F21" s="15">
        <f t="shared" si="0"/>
        <v>6.25</v>
      </c>
      <c r="G21" s="15">
        <f t="shared" si="0"/>
        <v>6.25</v>
      </c>
      <c r="H21" s="15">
        <f t="shared" si="0"/>
        <v>6.25</v>
      </c>
      <c r="I21" s="15">
        <f t="shared" si="0"/>
        <v>6.25</v>
      </c>
      <c r="J21" s="15">
        <f t="shared" si="0"/>
        <v>6.25</v>
      </c>
      <c r="K21" s="15">
        <f t="shared" si="0"/>
        <v>6.25</v>
      </c>
      <c r="L21" s="15">
        <f t="shared" si="0"/>
        <v>6.25</v>
      </c>
      <c r="M21" s="15">
        <f t="shared" si="0"/>
        <v>6.25</v>
      </c>
      <c r="N21" s="15">
        <f t="shared" si="0"/>
        <v>6.25</v>
      </c>
      <c r="O21" s="15">
        <f t="shared" si="0"/>
        <v>18.75</v>
      </c>
      <c r="P21" s="15">
        <f t="shared" si="0"/>
        <v>18.75</v>
      </c>
      <c r="Q21" s="15">
        <f t="shared" si="0"/>
        <v>18.75</v>
      </c>
      <c r="R21" s="15">
        <f t="shared" si="0"/>
        <v>18.75</v>
      </c>
      <c r="S21" s="15">
        <f t="shared" si="0"/>
        <v>75</v>
      </c>
      <c r="T21" s="15">
        <f t="shared" si="0"/>
        <v>75</v>
      </c>
      <c r="U21" s="15">
        <f t="shared" si="0"/>
        <v>75</v>
      </c>
    </row>
    <row r="22" spans="1:21">
      <c r="A22" t="str">
        <f t="shared" ref="A22:A30" si="1">A10</f>
        <v>Employee 2</v>
      </c>
      <c r="B22" s="19">
        <v>75</v>
      </c>
      <c r="C22" s="15">
        <f t="shared" ref="C22:U22" si="2">$B22*C$6/12*C10</f>
        <v>6.25</v>
      </c>
      <c r="D22" s="15">
        <f t="shared" si="2"/>
        <v>6.25</v>
      </c>
      <c r="E22" s="15">
        <f t="shared" si="2"/>
        <v>6.25</v>
      </c>
      <c r="F22" s="15">
        <f t="shared" si="2"/>
        <v>6.25</v>
      </c>
      <c r="G22" s="15">
        <f t="shared" si="2"/>
        <v>6.25</v>
      </c>
      <c r="H22" s="15">
        <f t="shared" si="2"/>
        <v>6.25</v>
      </c>
      <c r="I22" s="15">
        <f t="shared" si="2"/>
        <v>6.25</v>
      </c>
      <c r="J22" s="15">
        <f t="shared" si="2"/>
        <v>6.25</v>
      </c>
      <c r="K22" s="15">
        <f t="shared" si="2"/>
        <v>6.25</v>
      </c>
      <c r="L22" s="15">
        <f t="shared" si="2"/>
        <v>6.25</v>
      </c>
      <c r="M22" s="15">
        <f t="shared" si="2"/>
        <v>6.25</v>
      </c>
      <c r="N22" s="15">
        <f t="shared" si="2"/>
        <v>6.25</v>
      </c>
      <c r="O22" s="15">
        <f t="shared" si="2"/>
        <v>18.75</v>
      </c>
      <c r="P22" s="15">
        <f t="shared" si="2"/>
        <v>18.75</v>
      </c>
      <c r="Q22" s="15">
        <f t="shared" si="2"/>
        <v>18.75</v>
      </c>
      <c r="R22" s="15">
        <f t="shared" si="2"/>
        <v>18.75</v>
      </c>
      <c r="S22" s="15">
        <f t="shared" si="2"/>
        <v>75</v>
      </c>
      <c r="T22" s="15">
        <f t="shared" si="2"/>
        <v>75</v>
      </c>
      <c r="U22" s="15">
        <f t="shared" si="2"/>
        <v>75</v>
      </c>
    </row>
    <row r="23" spans="1:21">
      <c r="A23" t="str">
        <f t="shared" si="1"/>
        <v>Employee 3</v>
      </c>
      <c r="B23" s="19">
        <v>75</v>
      </c>
      <c r="C23" s="15">
        <f t="shared" ref="C23:U23" si="3">$B23*C$6/12*C11</f>
        <v>0</v>
      </c>
      <c r="D23" s="15">
        <f t="shared" si="3"/>
        <v>0</v>
      </c>
      <c r="E23" s="15">
        <f t="shared" si="3"/>
        <v>6.25</v>
      </c>
      <c r="F23" s="15">
        <f t="shared" si="3"/>
        <v>6.25</v>
      </c>
      <c r="G23" s="15">
        <f t="shared" si="3"/>
        <v>6.25</v>
      </c>
      <c r="H23" s="15">
        <f t="shared" si="3"/>
        <v>6.25</v>
      </c>
      <c r="I23" s="15">
        <f t="shared" si="3"/>
        <v>6.25</v>
      </c>
      <c r="J23" s="15">
        <f t="shared" si="3"/>
        <v>6.25</v>
      </c>
      <c r="K23" s="15">
        <f t="shared" si="3"/>
        <v>6.25</v>
      </c>
      <c r="L23" s="15">
        <f t="shared" si="3"/>
        <v>6.25</v>
      </c>
      <c r="M23" s="15">
        <f t="shared" si="3"/>
        <v>6.25</v>
      </c>
      <c r="N23" s="15">
        <f t="shared" si="3"/>
        <v>6.25</v>
      </c>
      <c r="O23" s="15">
        <f t="shared" si="3"/>
        <v>18.75</v>
      </c>
      <c r="P23" s="15">
        <f t="shared" si="3"/>
        <v>18.75</v>
      </c>
      <c r="Q23" s="15">
        <f t="shared" si="3"/>
        <v>18.75</v>
      </c>
      <c r="R23" s="15">
        <f t="shared" si="3"/>
        <v>18.75</v>
      </c>
      <c r="S23" s="15">
        <f t="shared" si="3"/>
        <v>75</v>
      </c>
      <c r="T23" s="15">
        <f t="shared" si="3"/>
        <v>75</v>
      </c>
      <c r="U23" s="15">
        <f t="shared" si="3"/>
        <v>75</v>
      </c>
    </row>
    <row r="24" spans="1:21">
      <c r="A24" t="str">
        <f t="shared" si="1"/>
        <v>Employee 4</v>
      </c>
      <c r="B24" s="19">
        <v>75</v>
      </c>
      <c r="C24" s="15">
        <f t="shared" ref="C24:U24" si="4">$B24*C$6/12*C12</f>
        <v>0</v>
      </c>
      <c r="D24" s="15">
        <f t="shared" si="4"/>
        <v>0</v>
      </c>
      <c r="E24" s="15">
        <f t="shared" si="4"/>
        <v>6.25</v>
      </c>
      <c r="F24" s="15">
        <f t="shared" si="4"/>
        <v>6.25</v>
      </c>
      <c r="G24" s="15">
        <f t="shared" si="4"/>
        <v>6.25</v>
      </c>
      <c r="H24" s="15">
        <f t="shared" si="4"/>
        <v>6.25</v>
      </c>
      <c r="I24" s="15">
        <f t="shared" si="4"/>
        <v>6.25</v>
      </c>
      <c r="J24" s="15">
        <f t="shared" si="4"/>
        <v>6.25</v>
      </c>
      <c r="K24" s="15">
        <f t="shared" si="4"/>
        <v>6.25</v>
      </c>
      <c r="L24" s="15">
        <f t="shared" si="4"/>
        <v>6.25</v>
      </c>
      <c r="M24" s="15">
        <f t="shared" si="4"/>
        <v>6.25</v>
      </c>
      <c r="N24" s="15">
        <f t="shared" si="4"/>
        <v>6.25</v>
      </c>
      <c r="O24" s="15">
        <f t="shared" si="4"/>
        <v>18.75</v>
      </c>
      <c r="P24" s="15">
        <f t="shared" si="4"/>
        <v>18.75</v>
      </c>
      <c r="Q24" s="15">
        <f t="shared" si="4"/>
        <v>18.75</v>
      </c>
      <c r="R24" s="15">
        <f t="shared" si="4"/>
        <v>18.75</v>
      </c>
      <c r="S24" s="15">
        <f t="shared" si="4"/>
        <v>75</v>
      </c>
      <c r="T24" s="15">
        <f t="shared" si="4"/>
        <v>75</v>
      </c>
      <c r="U24" s="15">
        <f t="shared" si="4"/>
        <v>75</v>
      </c>
    </row>
    <row r="25" spans="1:21">
      <c r="A25" t="str">
        <f t="shared" si="1"/>
        <v>Employee 5</v>
      </c>
      <c r="B25" s="19">
        <v>75</v>
      </c>
      <c r="C25" s="15">
        <f t="shared" ref="C25:U25" si="5">$B25*C$6/12*C13</f>
        <v>0</v>
      </c>
      <c r="D25" s="15">
        <f t="shared" si="5"/>
        <v>0</v>
      </c>
      <c r="E25" s="15">
        <f t="shared" si="5"/>
        <v>0</v>
      </c>
      <c r="F25" s="15">
        <f t="shared" si="5"/>
        <v>0</v>
      </c>
      <c r="G25" s="15">
        <f t="shared" si="5"/>
        <v>0</v>
      </c>
      <c r="H25" s="15">
        <f t="shared" si="5"/>
        <v>6.25</v>
      </c>
      <c r="I25" s="15">
        <f t="shared" si="5"/>
        <v>6.25</v>
      </c>
      <c r="J25" s="15">
        <f t="shared" si="5"/>
        <v>6.25</v>
      </c>
      <c r="K25" s="15">
        <f t="shared" si="5"/>
        <v>6.25</v>
      </c>
      <c r="L25" s="15">
        <f t="shared" si="5"/>
        <v>6.25</v>
      </c>
      <c r="M25" s="15">
        <f t="shared" si="5"/>
        <v>6.25</v>
      </c>
      <c r="N25" s="15">
        <f t="shared" si="5"/>
        <v>6.25</v>
      </c>
      <c r="O25" s="15">
        <f t="shared" si="5"/>
        <v>18.75</v>
      </c>
      <c r="P25" s="15">
        <f t="shared" si="5"/>
        <v>18.75</v>
      </c>
      <c r="Q25" s="15">
        <f t="shared" si="5"/>
        <v>18.75</v>
      </c>
      <c r="R25" s="15">
        <f t="shared" si="5"/>
        <v>18.75</v>
      </c>
      <c r="S25" s="15">
        <f t="shared" si="5"/>
        <v>75</v>
      </c>
      <c r="T25" s="15">
        <f t="shared" si="5"/>
        <v>75</v>
      </c>
      <c r="U25" s="15">
        <f t="shared" si="5"/>
        <v>75</v>
      </c>
    </row>
    <row r="26" spans="1:21">
      <c r="A26" t="str">
        <f t="shared" si="1"/>
        <v>Employee 6</v>
      </c>
      <c r="B26" s="19">
        <v>75</v>
      </c>
      <c r="C26" s="15">
        <f t="shared" ref="C26:U26" si="6">$B26*C$6/12*C14</f>
        <v>0</v>
      </c>
      <c r="D26" s="15">
        <f t="shared" si="6"/>
        <v>0</v>
      </c>
      <c r="E26" s="15">
        <f t="shared" si="6"/>
        <v>0</v>
      </c>
      <c r="F26" s="15">
        <f t="shared" si="6"/>
        <v>0</v>
      </c>
      <c r="G26" s="15">
        <f t="shared" si="6"/>
        <v>0</v>
      </c>
      <c r="H26" s="15">
        <f t="shared" si="6"/>
        <v>0</v>
      </c>
      <c r="I26" s="15">
        <f t="shared" si="6"/>
        <v>0</v>
      </c>
      <c r="J26" s="15">
        <f t="shared" si="6"/>
        <v>0</v>
      </c>
      <c r="K26" s="15">
        <f t="shared" si="6"/>
        <v>0</v>
      </c>
      <c r="L26" s="15">
        <f t="shared" si="6"/>
        <v>6.25</v>
      </c>
      <c r="M26" s="15">
        <f t="shared" si="6"/>
        <v>6.25</v>
      </c>
      <c r="N26" s="15">
        <f t="shared" si="6"/>
        <v>6.25</v>
      </c>
      <c r="O26" s="15">
        <f t="shared" si="6"/>
        <v>18.75</v>
      </c>
      <c r="P26" s="15">
        <f t="shared" si="6"/>
        <v>18.75</v>
      </c>
      <c r="Q26" s="15">
        <f t="shared" si="6"/>
        <v>18.75</v>
      </c>
      <c r="R26" s="15">
        <f t="shared" si="6"/>
        <v>18.75</v>
      </c>
      <c r="S26" s="15">
        <f t="shared" si="6"/>
        <v>75</v>
      </c>
      <c r="T26" s="15">
        <f t="shared" si="6"/>
        <v>75</v>
      </c>
      <c r="U26" s="15">
        <f t="shared" si="6"/>
        <v>75</v>
      </c>
    </row>
    <row r="27" spans="1:21">
      <c r="A27" t="str">
        <f t="shared" si="1"/>
        <v>Employee 7</v>
      </c>
      <c r="B27" s="19">
        <v>75</v>
      </c>
      <c r="C27" s="15">
        <f t="shared" ref="C27:U27" si="7">$B27*C$6/12*C15</f>
        <v>0</v>
      </c>
      <c r="D27" s="15">
        <f t="shared" si="7"/>
        <v>0</v>
      </c>
      <c r="E27" s="15">
        <f t="shared" si="7"/>
        <v>0</v>
      </c>
      <c r="F27" s="15">
        <f t="shared" si="7"/>
        <v>0</v>
      </c>
      <c r="G27" s="15">
        <f t="shared" si="7"/>
        <v>0</v>
      </c>
      <c r="H27" s="15">
        <f t="shared" si="7"/>
        <v>0</v>
      </c>
      <c r="I27" s="15">
        <f t="shared" si="7"/>
        <v>0</v>
      </c>
      <c r="J27" s="15">
        <f t="shared" si="7"/>
        <v>0</v>
      </c>
      <c r="K27" s="15">
        <f t="shared" si="7"/>
        <v>0</v>
      </c>
      <c r="L27" s="15">
        <f t="shared" si="7"/>
        <v>0</v>
      </c>
      <c r="M27" s="15">
        <f t="shared" si="7"/>
        <v>0</v>
      </c>
      <c r="N27" s="15">
        <f t="shared" si="7"/>
        <v>0</v>
      </c>
      <c r="O27" s="15">
        <f t="shared" si="7"/>
        <v>18.75</v>
      </c>
      <c r="P27" s="15">
        <f t="shared" si="7"/>
        <v>18.75</v>
      </c>
      <c r="Q27" s="15">
        <f t="shared" si="7"/>
        <v>18.75</v>
      </c>
      <c r="R27" s="15">
        <f t="shared" si="7"/>
        <v>18.75</v>
      </c>
      <c r="S27" s="15">
        <f t="shared" si="7"/>
        <v>75</v>
      </c>
      <c r="T27" s="15">
        <f t="shared" si="7"/>
        <v>75</v>
      </c>
      <c r="U27" s="15">
        <f t="shared" si="7"/>
        <v>75</v>
      </c>
    </row>
    <row r="28" spans="1:21">
      <c r="A28" t="str">
        <f t="shared" si="1"/>
        <v>Employee 8</v>
      </c>
      <c r="B28" s="19">
        <v>75</v>
      </c>
      <c r="C28" s="15">
        <f t="shared" ref="C28:U28" si="8">$B28*C$6/12*C16</f>
        <v>0</v>
      </c>
      <c r="D28" s="15">
        <f t="shared" si="8"/>
        <v>0</v>
      </c>
      <c r="E28" s="15">
        <f t="shared" si="8"/>
        <v>0</v>
      </c>
      <c r="F28" s="15">
        <f t="shared" si="8"/>
        <v>0</v>
      </c>
      <c r="G28" s="15">
        <f t="shared" si="8"/>
        <v>0</v>
      </c>
      <c r="H28" s="15">
        <f t="shared" si="8"/>
        <v>0</v>
      </c>
      <c r="I28" s="15">
        <f t="shared" si="8"/>
        <v>0</v>
      </c>
      <c r="J28" s="15">
        <f t="shared" si="8"/>
        <v>0</v>
      </c>
      <c r="K28" s="15">
        <f t="shared" si="8"/>
        <v>0</v>
      </c>
      <c r="L28" s="15">
        <f t="shared" si="8"/>
        <v>0</v>
      </c>
      <c r="M28" s="15">
        <f t="shared" si="8"/>
        <v>0</v>
      </c>
      <c r="N28" s="15">
        <f t="shared" si="8"/>
        <v>0</v>
      </c>
      <c r="O28" s="15">
        <f t="shared" si="8"/>
        <v>18.75</v>
      </c>
      <c r="P28" s="15">
        <f t="shared" si="8"/>
        <v>18.75</v>
      </c>
      <c r="Q28" s="15">
        <f t="shared" si="8"/>
        <v>18.75</v>
      </c>
      <c r="R28" s="15">
        <f t="shared" si="8"/>
        <v>18.75</v>
      </c>
      <c r="S28" s="15">
        <f t="shared" si="8"/>
        <v>75</v>
      </c>
      <c r="T28" s="15">
        <f t="shared" si="8"/>
        <v>75</v>
      </c>
      <c r="U28" s="15">
        <f t="shared" si="8"/>
        <v>75</v>
      </c>
    </row>
    <row r="29" spans="1:21">
      <c r="A29" t="str">
        <f t="shared" si="1"/>
        <v>Employee 9</v>
      </c>
      <c r="B29" s="19">
        <v>75</v>
      </c>
      <c r="C29" s="15">
        <f t="shared" ref="C29:U29" si="9">$B29*C$6/12*C17</f>
        <v>0</v>
      </c>
      <c r="D29" s="15">
        <f t="shared" si="9"/>
        <v>0</v>
      </c>
      <c r="E29" s="15">
        <f t="shared" si="9"/>
        <v>0</v>
      </c>
      <c r="F29" s="15">
        <f t="shared" si="9"/>
        <v>0</v>
      </c>
      <c r="G29" s="15">
        <f t="shared" si="9"/>
        <v>0</v>
      </c>
      <c r="H29" s="15">
        <f t="shared" si="9"/>
        <v>0</v>
      </c>
      <c r="I29" s="15">
        <f t="shared" si="9"/>
        <v>0</v>
      </c>
      <c r="J29" s="15">
        <f t="shared" si="9"/>
        <v>0</v>
      </c>
      <c r="K29" s="15">
        <f t="shared" si="9"/>
        <v>0</v>
      </c>
      <c r="L29" s="15">
        <f t="shared" si="9"/>
        <v>0</v>
      </c>
      <c r="M29" s="15">
        <f t="shared" si="9"/>
        <v>0</v>
      </c>
      <c r="N29" s="15">
        <f t="shared" si="9"/>
        <v>0</v>
      </c>
      <c r="O29" s="15">
        <f t="shared" si="9"/>
        <v>18.75</v>
      </c>
      <c r="P29" s="15">
        <f t="shared" si="9"/>
        <v>18.75</v>
      </c>
      <c r="Q29" s="15">
        <f t="shared" si="9"/>
        <v>18.75</v>
      </c>
      <c r="R29" s="15">
        <f t="shared" si="9"/>
        <v>18.75</v>
      </c>
      <c r="S29" s="15">
        <f t="shared" si="9"/>
        <v>75</v>
      </c>
      <c r="T29" s="15">
        <f t="shared" si="9"/>
        <v>75</v>
      </c>
      <c r="U29" s="15">
        <f t="shared" si="9"/>
        <v>75</v>
      </c>
    </row>
    <row r="30" spans="1:21">
      <c r="A30" t="str">
        <f t="shared" si="1"/>
        <v>Employee 10</v>
      </c>
      <c r="B30" s="19">
        <v>75</v>
      </c>
      <c r="C30" s="15">
        <f t="shared" ref="C30:U30" si="10">$B30*C$6/12*C18</f>
        <v>0</v>
      </c>
      <c r="D30" s="15">
        <f t="shared" si="10"/>
        <v>0</v>
      </c>
      <c r="E30" s="15">
        <f t="shared" si="10"/>
        <v>0</v>
      </c>
      <c r="F30" s="15">
        <f t="shared" si="10"/>
        <v>0</v>
      </c>
      <c r="G30" s="15">
        <f t="shared" si="10"/>
        <v>0</v>
      </c>
      <c r="H30" s="15">
        <f t="shared" si="10"/>
        <v>0</v>
      </c>
      <c r="I30" s="15">
        <f t="shared" si="10"/>
        <v>0</v>
      </c>
      <c r="J30" s="15">
        <f t="shared" si="10"/>
        <v>0</v>
      </c>
      <c r="K30" s="15">
        <f t="shared" si="10"/>
        <v>0</v>
      </c>
      <c r="L30" s="15">
        <f t="shared" si="10"/>
        <v>0</v>
      </c>
      <c r="M30" s="15">
        <f t="shared" si="10"/>
        <v>0</v>
      </c>
      <c r="N30" s="15">
        <f t="shared" si="10"/>
        <v>0</v>
      </c>
      <c r="O30" s="15">
        <f t="shared" si="10"/>
        <v>18.75</v>
      </c>
      <c r="P30" s="15">
        <f t="shared" si="10"/>
        <v>18.75</v>
      </c>
      <c r="Q30" s="15">
        <f t="shared" si="10"/>
        <v>18.75</v>
      </c>
      <c r="R30" s="15">
        <f t="shared" si="10"/>
        <v>18.75</v>
      </c>
      <c r="S30" s="15">
        <f t="shared" si="10"/>
        <v>75</v>
      </c>
      <c r="T30" s="15">
        <f t="shared" si="10"/>
        <v>75</v>
      </c>
      <c r="U30" s="15">
        <f t="shared" si="10"/>
        <v>75</v>
      </c>
    </row>
    <row r="31" spans="1:21" ht="9" customHeight="1" collapsed="1">
      <c r="A31" s="3"/>
      <c r="B31" s="8"/>
      <c r="C31" s="8" t="s">
        <v>10</v>
      </c>
      <c r="D31" s="8" t="s">
        <v>10</v>
      </c>
      <c r="E31" s="8" t="s">
        <v>10</v>
      </c>
      <c r="F31" s="8" t="s">
        <v>10</v>
      </c>
      <c r="G31" s="8" t="s">
        <v>10</v>
      </c>
      <c r="H31" s="8" t="s">
        <v>10</v>
      </c>
      <c r="I31" s="8" t="s">
        <v>10</v>
      </c>
      <c r="J31" s="8" t="s">
        <v>10</v>
      </c>
      <c r="K31" s="8" t="s">
        <v>10</v>
      </c>
      <c r="L31" s="8" t="s">
        <v>10</v>
      </c>
      <c r="M31" s="8" t="s">
        <v>10</v>
      </c>
      <c r="N31" s="8" t="s">
        <v>10</v>
      </c>
      <c r="O31" s="8" t="s">
        <v>10</v>
      </c>
      <c r="P31" s="8" t="s">
        <v>10</v>
      </c>
      <c r="Q31" s="8" t="s">
        <v>10</v>
      </c>
      <c r="R31" s="8" t="s">
        <v>10</v>
      </c>
      <c r="S31" s="8" t="s">
        <v>10</v>
      </c>
      <c r="T31" s="8" t="s">
        <v>10</v>
      </c>
      <c r="U31" s="8" t="s">
        <v>10</v>
      </c>
    </row>
    <row r="32" spans="1:21">
      <c r="A32" t="s">
        <v>4</v>
      </c>
      <c r="C32" s="15">
        <f>SUM(C20:C31)</f>
        <v>12.5</v>
      </c>
      <c r="D32" s="15">
        <f t="shared" ref="D32:U32" si="11">SUM(D20:D31)</f>
        <v>12.5</v>
      </c>
      <c r="E32" s="15">
        <f t="shared" si="11"/>
        <v>25</v>
      </c>
      <c r="F32" s="15">
        <f t="shared" si="11"/>
        <v>25</v>
      </c>
      <c r="G32" s="15">
        <f t="shared" si="11"/>
        <v>25</v>
      </c>
      <c r="H32" s="15">
        <f t="shared" si="11"/>
        <v>31.25</v>
      </c>
      <c r="I32" s="15">
        <f t="shared" si="11"/>
        <v>31.25</v>
      </c>
      <c r="J32" s="15">
        <f t="shared" si="11"/>
        <v>31.25</v>
      </c>
      <c r="K32" s="15">
        <f t="shared" si="11"/>
        <v>31.25</v>
      </c>
      <c r="L32" s="15">
        <f t="shared" si="11"/>
        <v>37.5</v>
      </c>
      <c r="M32" s="15">
        <f t="shared" si="11"/>
        <v>37.5</v>
      </c>
      <c r="N32" s="15">
        <f t="shared" si="11"/>
        <v>37.5</v>
      </c>
      <c r="O32" s="15">
        <f t="shared" si="11"/>
        <v>187.5</v>
      </c>
      <c r="P32" s="15">
        <f t="shared" si="11"/>
        <v>187.5</v>
      </c>
      <c r="Q32" s="15">
        <f t="shared" si="11"/>
        <v>187.5</v>
      </c>
      <c r="R32" s="15">
        <f t="shared" si="11"/>
        <v>187.5</v>
      </c>
      <c r="S32" s="15">
        <f t="shared" si="11"/>
        <v>750</v>
      </c>
      <c r="T32" s="15">
        <f t="shared" si="11"/>
        <v>750</v>
      </c>
      <c r="U32" s="15">
        <f t="shared" si="11"/>
        <v>750</v>
      </c>
    </row>
    <row r="33" spans="1:21" s="1" customFormat="1">
      <c r="A33" s="1" t="s">
        <v>5</v>
      </c>
      <c r="B33" s="20">
        <v>7.4999999999999997E-2</v>
      </c>
      <c r="C33" s="32">
        <f>C32*$B33</f>
        <v>0.9375</v>
      </c>
      <c r="D33" s="32">
        <f t="shared" ref="D33:U33" si="12">D32*$B33</f>
        <v>0.9375</v>
      </c>
      <c r="E33" s="32">
        <f t="shared" si="12"/>
        <v>1.875</v>
      </c>
      <c r="F33" s="32">
        <f t="shared" si="12"/>
        <v>1.875</v>
      </c>
      <c r="G33" s="32">
        <f t="shared" si="12"/>
        <v>1.875</v>
      </c>
      <c r="H33" s="32">
        <f t="shared" si="12"/>
        <v>2.34375</v>
      </c>
      <c r="I33" s="32">
        <f t="shared" si="12"/>
        <v>2.34375</v>
      </c>
      <c r="J33" s="32">
        <f t="shared" si="12"/>
        <v>2.34375</v>
      </c>
      <c r="K33" s="32">
        <f t="shared" si="12"/>
        <v>2.34375</v>
      </c>
      <c r="L33" s="32">
        <f t="shared" si="12"/>
        <v>2.8125</v>
      </c>
      <c r="M33" s="32">
        <f t="shared" si="12"/>
        <v>2.8125</v>
      </c>
      <c r="N33" s="32">
        <f t="shared" si="12"/>
        <v>2.8125</v>
      </c>
      <c r="O33" s="32">
        <f t="shared" si="12"/>
        <v>14.0625</v>
      </c>
      <c r="P33" s="32">
        <f t="shared" si="12"/>
        <v>14.0625</v>
      </c>
      <c r="Q33" s="32">
        <f t="shared" si="12"/>
        <v>14.0625</v>
      </c>
      <c r="R33" s="32">
        <f t="shared" si="12"/>
        <v>14.0625</v>
      </c>
      <c r="S33" s="32">
        <f t="shared" si="12"/>
        <v>56.25</v>
      </c>
      <c r="T33" s="32">
        <f t="shared" si="12"/>
        <v>56.25</v>
      </c>
      <c r="U33" s="32">
        <f t="shared" si="12"/>
        <v>56.25</v>
      </c>
    </row>
  </sheetData>
  <pageMargins left="0.5" right="0.5" top="0.5" bottom="0.5" header="0.3" footer="0.3"/>
  <pageSetup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ReadMe</vt:lpstr>
      <vt:lpstr>IS</vt:lpstr>
      <vt:lpstr>BS</vt:lpstr>
      <vt:lpstr>CF</vt:lpstr>
      <vt:lpstr>Scen</vt:lpstr>
      <vt:lpstr>HC</vt:lpstr>
      <vt:lpstr>BS!Print_Area</vt:lpstr>
      <vt:lpstr>CF!Print_Area</vt:lpstr>
      <vt:lpstr>HC!Print_Area</vt:lpstr>
      <vt:lpstr>IS!Print_Area</vt:lpstr>
      <vt:lpstr>ReadMe!Print_Area</vt:lpstr>
      <vt:lpstr>Scen!Print_Area</vt:lpstr>
    </vt:vector>
  </TitlesOfParts>
  <Company>Sagelit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dc:creator>
  <cp:lastModifiedBy>Vin</cp:lastModifiedBy>
  <cp:lastPrinted>2012-04-02T11:42:26Z</cp:lastPrinted>
  <dcterms:created xsi:type="dcterms:W3CDTF">2012-03-30T11:33:31Z</dcterms:created>
  <dcterms:modified xsi:type="dcterms:W3CDTF">2012-04-04T19:43:47Z</dcterms:modified>
</cp:coreProperties>
</file>